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15" windowHeight="7695" tabRatio="500" activeTab="1"/>
  </bookViews>
  <sheets>
    <sheet name="Dashboard" sheetId="1" r:id="rId1"/>
    <sheet name="Controle_Estoque" sheetId="2" r:id="rId2"/>
    <sheet name="Historico_Pedidos" sheetId="3" r:id="rId3"/>
    <sheet name="Analises_Gerais" sheetId="4" r:id="rId4"/>
    <sheet name="Historico_Saidas" sheetId="5" r:id="rId5"/>
    <sheet name="Base_Gestran" sheetId="6" r:id="rId6"/>
    <sheet name="Historico_Entradas" sheetId="7" r:id="rId7"/>
    <sheet name="Historico_Snapshot" sheetId="8" r:id="rId8"/>
  </sheets>
  <definedNames>
    <definedName name="_xlnm._FilterDatabase" localSheetId="1" hidden="1">Controle_Estoque!$A$7:$I$67</definedName>
    <definedName name="_xlnm._FilterDatabase" localSheetId="2" hidden="1">Historico_Pedidos!$A$4:$K$60</definedName>
    <definedName name="_xlnm._FilterDatabase" localSheetId="7" hidden="1">Historico_Snapshot!$A$4:$H$305</definedName>
    <definedName name="_xlnm._FilterDatabase" localSheetId="5" hidden="1">Base_Gestran!$C:$C</definedName>
  </definedNames>
  <calcPr calcId="144525"/>
</workbook>
</file>

<file path=xl/sharedStrings.xml><?xml version="1.0" encoding="utf-8"?>
<sst xmlns="http://schemas.openxmlformats.org/spreadsheetml/2006/main" count="39382" uniqueCount="6125">
  <si>
    <t>PAINEL DE CONTROLE — ALMOXARIFADO BOIBOM</t>
  </si>
  <si>
    <t>Clique em um botão para abrir a aba correspondente.</t>
  </si>
  <si>
    <t>📦 ANALISAR ESTOQUE</t>
  </si>
  <si>
    <t>Ver o que precisa comprar agora, mínimo/máximo por item</t>
  </si>
  <si>
    <t>🛒 ANALISAR COMPRAS</t>
  </si>
  <si>
    <t>Pedidos pendentes, solicitados e recebidos</t>
  </si>
  <si>
    <t>🗄️ BASE GESTRAN</t>
  </si>
  <si>
    <t>Posição completa do sistema, todos os 5.480 itens</t>
  </si>
  <si>
    <t>📊 ANALISAR DADOS</t>
  </si>
  <si>
    <t>Visão geral: itens zerados, duplicados, valor parado</t>
  </si>
  <si>
    <t>HISTÓRICO DE SAÍDA</t>
  </si>
  <si>
    <t>CONTROLE DE ESTOQUE — O QUE COMPRAR</t>
  </si>
  <si>
    <t>ITENS P/ COMPRAR AGORA:</t>
  </si>
  <si>
    <t>Uma linha por produto. Preencha Produto + Setor (nome exato da Base_Gestran) e Mínimo/Máximo — o resto roda sozinho. Sem duplicar: cada item aparece uma vez só.</t>
  </si>
  <si>
    <t>ITENS OK / ACIMA DO MÁXIMO:</t>
  </si>
  <si>
    <t>Regra: quando Saldo Atual ≤ Mínimo, o Status vira COMPRAR e sugere repor até o Máximo.</t>
  </si>
  <si>
    <t>Produto</t>
  </si>
  <si>
    <t>Setor / Almoxarifado</t>
  </si>
  <si>
    <t>Saldo Atual
(sistema)</t>
  </si>
  <si>
    <t>Consumo Médio
Semanal (referência)</t>
  </si>
  <si>
    <t>Mínimo
(você define)</t>
  </si>
  <si>
    <t>Máximo
(você define)</t>
  </si>
  <si>
    <t>Status</t>
  </si>
  <si>
    <t>Qtd Sugerida
de Compra</t>
  </si>
  <si>
    <t>Observações</t>
  </si>
  <si>
    <t>LAMPADA H4 24V PHILLIPS</t>
  </si>
  <si>
    <t>ALMOXARIFADO</t>
  </si>
  <si>
    <t>LAMPADA H7 24V PHILLIPS</t>
  </si>
  <si>
    <t>BUZINA BIBI 24V</t>
  </si>
  <si>
    <t>RESERVATORIO DE ÁGUA ACCELO TANQUE EXPANSÃO PARALELA</t>
  </si>
  <si>
    <t>ROLAMENTO DE CENTRO 45MM</t>
  </si>
  <si>
    <t xml:space="preserve">TANQUE DE LIQUIDO SA1 AC/AE </t>
  </si>
  <si>
    <t>aguardando pra dar saida</t>
  </si>
  <si>
    <t>OLEO 175PZ DANFOS 160PZ</t>
  </si>
  <si>
    <t>CONJ ALAVANCA DO CONTRA PESO DE AÇO A 0002643224</t>
  </si>
  <si>
    <t>ALMOXARIFADO 1-  MANUTENCAO TRANSPORTE</t>
  </si>
  <si>
    <t>BOMBA D'AGUA (OM 904/906)</t>
  </si>
  <si>
    <t>PAPEL HIGIENICO ROLAO 8X300</t>
  </si>
  <si>
    <t>ALMOXARIFADO 5- LIMPEZA</t>
  </si>
  <si>
    <t>SIKAFLEX BRANCO</t>
  </si>
  <si>
    <t>RODA COLSON PNEUMATICA 350-4 R.7</t>
  </si>
  <si>
    <t>FITA ROTULADOR COMPATIVEL C/ TZE-641 18MM AMARELA Pt-e550wvp</t>
  </si>
  <si>
    <t>ANTISSEPTICO BUCAL REFIL 1 LITRO</t>
  </si>
  <si>
    <t xml:space="preserve">PEDRA PERFUMADA SANÍTARIA (REDE PLÁSTICA) HARPIC </t>
  </si>
  <si>
    <t xml:space="preserve">PERFEX </t>
  </si>
  <si>
    <t>BATERIA 100A  (USAMOS A VELHA COMO BASE DE TROCA PARA ABATER NO VALOR)</t>
  </si>
  <si>
    <t xml:space="preserve">VASSOURÃO DE INOX </t>
  </si>
  <si>
    <t xml:space="preserve">FILTRO DE AR VW </t>
  </si>
  <si>
    <t>FILTRO LUBRIFICANTE OMD2RO115403 VW</t>
  </si>
  <si>
    <t>FILTRO DE COMBUSTIVEL OMD2PO127177</t>
  </si>
  <si>
    <t>JAPONA NYLON AZUL MOTORISTA (M)</t>
  </si>
  <si>
    <t>ALMOXARIFADO 9- LOGÍSTICA</t>
  </si>
  <si>
    <t>JAPONA NYLON AZUL MOTORISTA (G)</t>
  </si>
  <si>
    <t>JAPONA NYLON AZUL MOTORISTA (GG)</t>
  </si>
  <si>
    <t>JAPONA NYLON MOTORISTA (EGG)</t>
  </si>
  <si>
    <t>CALÇA TÉRMICA -25° M</t>
  </si>
  <si>
    <t>CALÇA TÉRMICA -25°  G</t>
  </si>
  <si>
    <t>CALÇA TÉRMICA -25° GG</t>
  </si>
  <si>
    <t>CALÇA TÉRMICA -45° M</t>
  </si>
  <si>
    <t>CALÇA TÉRMICA -45° G</t>
  </si>
  <si>
    <t>CALÇA TÉRMICA -45° GG</t>
  </si>
  <si>
    <t>INTERRUPTOR VIDRO ELET.VW DUPLO</t>
  </si>
  <si>
    <t xml:space="preserve">PASTA SANFONADA A-Z </t>
  </si>
  <si>
    <t>LANTERNA LATERAL BAU S/ SUPORTE</t>
  </si>
  <si>
    <t>PASTILHA SANITÁRIA</t>
  </si>
  <si>
    <t>DESENTUPIDOR DE VASO COM CABO</t>
  </si>
  <si>
    <t>ELEVADOR VIDRO 23B837502 LD</t>
  </si>
  <si>
    <t>LANTERNA LATERAL LED REDONDA VER/LAR/CRISTAL</t>
  </si>
  <si>
    <t>DUREX PACOTES COM 5</t>
  </si>
  <si>
    <t>SACOLA COM ALÇA 50X60</t>
  </si>
  <si>
    <t>STRECTH</t>
  </si>
  <si>
    <t>RESMA A4</t>
  </si>
  <si>
    <t>LUVA</t>
  </si>
  <si>
    <t>CORDA P/BOI</t>
  </si>
  <si>
    <t>CORDA AMARRAR CAMINHﾃグ</t>
  </si>
  <si>
    <t>PARAFUSO DE CAIXA</t>
  </si>
  <si>
    <t>HISTÓRICO DE PEDIDOS DE COMPRA</t>
  </si>
  <si>
    <t>PENDENTES:</t>
  </si>
  <si>
    <t>Registro de cada solicitação: o que foi pedido, motivo, saldo no sistema, fornecedor e status até a entrega.</t>
  </si>
  <si>
    <t>SOLICITADOS:</t>
  </si>
  <si>
    <t>RECEBIDOS:</t>
  </si>
  <si>
    <t>Data do
Pedido</t>
  </si>
  <si>
    <t>Produto / Material</t>
  </si>
  <si>
    <t>Quantidade
a Comprar</t>
  </si>
  <si>
    <t>Medida
(Un/Caixa/Pct)</t>
  </si>
  <si>
    <t>Setor</t>
  </si>
  <si>
    <t>Motivo</t>
  </si>
  <si>
    <t>Fornecedor</t>
  </si>
  <si>
    <t>Situação</t>
  </si>
  <si>
    <t>Previsão
de Entrega</t>
  </si>
  <si>
    <t>Chave (aux)</t>
  </si>
  <si>
    <t>UND</t>
  </si>
  <si>
    <t xml:space="preserve">ESTOQUE ZERADO </t>
  </si>
  <si>
    <t xml:space="preserve">CASA DO PEDREIRO </t>
  </si>
  <si>
    <t>PENDENTE</t>
  </si>
  <si>
    <t>MERCADO LIVRE</t>
  </si>
  <si>
    <t xml:space="preserve">ESTOQUE BAIXO </t>
  </si>
  <si>
    <t xml:space="preserve">JAÉ ILHA DESCARTÁVEIS </t>
  </si>
  <si>
    <t xml:space="preserve">RL </t>
  </si>
  <si>
    <t xml:space="preserve">PCT </t>
  </si>
  <si>
    <t>RECEBIDO</t>
  </si>
  <si>
    <t xml:space="preserve">VALOIS </t>
  </si>
  <si>
    <t>ROBSON BATERIAS</t>
  </si>
  <si>
    <t xml:space="preserve">TRANSRIO </t>
  </si>
  <si>
    <t>PAMCOLD</t>
  </si>
  <si>
    <t>PROPEÇAS</t>
  </si>
  <si>
    <t>MERCADO LIVRE / KALUNGA</t>
  </si>
  <si>
    <t>SOLICITADO</t>
  </si>
  <si>
    <t>ESTOQUE BAIXO</t>
  </si>
  <si>
    <t>VALOIS</t>
  </si>
  <si>
    <t>AUTOPECAS RIO BONITO</t>
  </si>
  <si>
    <t>FRIGOKING</t>
  </si>
  <si>
    <t>CAMISA G AZUL</t>
  </si>
  <si>
    <t>CAMISA G VERMELHA</t>
  </si>
  <si>
    <t>CONTROLADOR SA1</t>
  </si>
  <si>
    <t>CHICOTE SA1</t>
  </si>
  <si>
    <t>filtro de óleo do motor (accelo 1016 e vw 11.180)</t>
  </si>
  <si>
    <t>filtro racor e refil do racor (accelo 1016 e vw 11.180)</t>
  </si>
  <si>
    <t>filtro de ar (accelo 1016 e vw 11.180)</t>
  </si>
  <si>
    <t>filtro de combustível (accelo 1016 e vw 11.180)</t>
  </si>
  <si>
    <t>refletor 50</t>
  </si>
  <si>
    <t>galha de florescente completa 40</t>
  </si>
  <si>
    <t>ANÁLISE GERAL DO ESTOQUE — VISÃO PARA A DIRETORIA</t>
  </si>
  <si>
    <t>Baseado no export do Gestran (aba Base_Gestran). Atualiza sozinho quando você colar um novo export.</t>
  </si>
  <si>
    <t>Total de cadastros (linhas) na base</t>
  </si>
  <si>
    <t>Cadastros com saldo físico &gt; 0</t>
  </si>
  <si>
    <t>Cadastros com saldo ZERADO</t>
  </si>
  <si>
    <t>Cadastros com saldo NEGATIVO (erro a corrigir)</t>
  </si>
  <si>
    <t>% da base realmente com estoque</t>
  </si>
  <si>
    <t>Valor total em estoque (R$)</t>
  </si>
  <si>
    <t>Cadastros sem NENHUM registro de saída (parados)</t>
  </si>
  <si>
    <t>Produtos com mesmo nome cadastrado em +1 registro (possível marca/local fragmentado)</t>
  </si>
  <si>
    <t>TOP 20 ITENS POR VALOR PARADO EM ESTOQUE</t>
  </si>
  <si>
    <t>POSIÇÃO</t>
  </si>
  <si>
    <t>Almoxarifado</t>
  </si>
  <si>
    <t>Saldo</t>
  </si>
  <si>
    <t>Valor Total em Estoque (R$)</t>
  </si>
  <si>
    <t>Nota: 'Chave Único' na Base_Gestran (coluna N) é só um auxiliar de cálculo para o ranking acima — não é um dado do sistema.</t>
  </si>
  <si>
    <t>OBSERVAÇÕES IDENTIFICADAS NA CONFERÊNCIA MANUAL DE HOJE</t>
  </si>
  <si>
    <t>HISTÓRICO DE SAÍDAS — para calcular consumo médio automaticamente</t>
  </si>
  <si>
    <t>Semanas cobertas pelo período puxado</t>
  </si>
  <si>
    <t>Cole aqui o extrato de movimentação de cada item (Data + Quantidade da saída). Pode colar os 3 trimestres, um embaixo do outro — não precisa apagar o anterior, só ir acrescentando linhas novas.</t>
  </si>
  <si>
    <t>Ex: Jan a Set = 9 meses ≈ 39 semanas. Ajuste aqui se puxar período diferente.</t>
  </si>
  <si>
    <t>Item (Produto) — mesmo nome usado no Painel</t>
  </si>
  <si>
    <t>Almoxarifado (Local)</t>
  </si>
  <si>
    <t>Data da Saída</t>
  </si>
  <si>
    <t>Quantidade</t>
  </si>
  <si>
    <t>EXEMPLO: BUZINA BIBI 24V</t>
  </si>
  <si>
    <t>2026-08-05</t>
  </si>
  <si>
    <t>LAMPADA R5 24V MARCA PHILLIPS</t>
  </si>
  <si>
    <t xml:space="preserve">FAROL DE MILHA - LED (REDONDO) </t>
  </si>
  <si>
    <t xml:space="preserve">BOTÃO TIC TAC </t>
  </si>
  <si>
    <t>LAMPADA 1 POLO 24V</t>
  </si>
  <si>
    <t>CABO LIGAÇAO FECHADURA ACCELO (LD) (LE)</t>
  </si>
  <si>
    <t xml:space="preserve">MACANETA INTERNA ESQUERDA ACCELO / 3233 - A </t>
  </si>
  <si>
    <t>PALHETA LIMPADOR (VW 11.180 DELIVERY) MARCA DYNA</t>
  </si>
  <si>
    <t>FILTRO LUBRIFICANTE OMD 2R0115403</t>
  </si>
  <si>
    <t>FILTRO DE COMBUSTIVEL 23B 127177</t>
  </si>
  <si>
    <t>FILTRO DE AR 23B 129620</t>
  </si>
  <si>
    <t>RELE AUXILIAR DNI 8215 UNIVERSAL</t>
  </si>
  <si>
    <t>VALVULA BLOCK CATERPILLAR</t>
  </si>
  <si>
    <t>MACANETA INTERNA DIREITA ACCELO</t>
  </si>
  <si>
    <t>INTERRUPTOR VIDRO ELETRICO MB ACCELO 24V</t>
  </si>
  <si>
    <t>CORREIA A-40</t>
  </si>
  <si>
    <t>LAMPADA AUTOMATIVA P21W 24V 21W</t>
  </si>
  <si>
    <t>SENSOR DE TEMPERATURA</t>
  </si>
  <si>
    <t>TUBO COMBUSTIVEL SPRINTER</t>
  </si>
  <si>
    <t>MANGUEIRA DO INTERCOOLER SPRINTER</t>
  </si>
  <si>
    <t>SUPORTE PARALAMA DIANTEIRO CABINE MB ACCELO (LD)</t>
  </si>
  <si>
    <t>Extensão Porta Mercedes Benz Accelo A 9797287121</t>
  </si>
  <si>
    <t>RELE PISCA 24V 4 SAÍDAS</t>
  </si>
  <si>
    <t xml:space="preserve">LANTERNA LATERAL OVAL CRISTAL BIVOLT </t>
  </si>
  <si>
    <t xml:space="preserve">SIRENE DE RÉ </t>
  </si>
  <si>
    <t>VIDRO ESPELHO RETROVISOR SUPERIOR LE 23B857521A</t>
  </si>
  <si>
    <t>LANTERNA TOPO BAU VERMELHA H37147</t>
  </si>
  <si>
    <t>Lanterna Lateral LED Bivolt Amarela,VERMELHA,CRISTAL(Pisca) - Sinalsul</t>
  </si>
  <si>
    <t>MOLDURA FAROL C/DEFLETOR MB ACCELO 815 915 1016 (LD)</t>
  </si>
  <si>
    <t>SUPORTE DO ESTRIBO ESCADA ACCELO DIREITO (LD)</t>
  </si>
  <si>
    <t>FAROL ACCELO (LD)</t>
  </si>
  <si>
    <t>LANTERNA DIANTEIRA MB ACCELO (LD)</t>
  </si>
  <si>
    <t>AMORTECEDOR CABINE TRASEIRA MARCA PARALELA (ACCELO)</t>
  </si>
  <si>
    <t>COPO DESCARTÁVEL 200ML COPOMAIS</t>
  </si>
  <si>
    <t>ALMOXARIFADO 0- GERAL</t>
  </si>
  <si>
    <t>MOTOBOMBABFG 2 SAUTO ESCOVANTE</t>
  </si>
  <si>
    <t>PRESSOSTATO BAIXA -5/7 PSI 061F1076 COD 01317 MARCA PARALELA (MB 815)</t>
  </si>
  <si>
    <t>CINEMATICO COMPLETO RODOAR</t>
  </si>
  <si>
    <t>LANTERNA TRASEIRA CARRETA GUERRA MARCA PARALELA (FH 440)</t>
  </si>
  <si>
    <t xml:space="preserve">LAMPADA 21PW 1 POLO 12V </t>
  </si>
  <si>
    <t xml:space="preserve">LAMPADA R5 12V </t>
  </si>
  <si>
    <t xml:space="preserve">EMBREAGEM VISCOSA -VW 9.170/11.180 </t>
  </si>
  <si>
    <t>ESPELHO RETROVISOR ACCELO</t>
  </si>
  <si>
    <t xml:space="preserve">ROLAMENTO - 45M </t>
  </si>
  <si>
    <t>SUPORTE ESTRIBO ACCELO (LD)</t>
  </si>
  <si>
    <t>PISANTE ESTRIBO MB ACCELO (LD) (LE)</t>
  </si>
  <si>
    <t>RETENTOR RODA TRZ SABO 08397</t>
  </si>
  <si>
    <t>MANGUEIRA DE AR ESPIRAL P/LIMPEZA -COMPLETA</t>
  </si>
  <si>
    <t>ANTI-FERRUGEM WD-40 300ML</t>
  </si>
  <si>
    <t>DISCO DE CORTE INOX STARRET 4.1/2 X 1.0MM X 7/8</t>
  </si>
  <si>
    <t xml:space="preserve">LANTERNA LATERAL OVAL LED  LARANJA </t>
  </si>
  <si>
    <t>COXIM 23B/899542/A</t>
  </si>
  <si>
    <t>COXIM 23B/899541/A</t>
  </si>
  <si>
    <t xml:space="preserve">FILTRO DML 164 DANFOS </t>
  </si>
  <si>
    <t>ELETRO VENT UNIV 10P 24V SOPRANTE 750018</t>
  </si>
  <si>
    <t>PUXADOR DE PORTA MERCEDES BENZ ACCELO 715 815 915 1016 LE</t>
  </si>
  <si>
    <t>SENSOR DE VELOCIDADE 34MM (PINO REDONDO)</t>
  </si>
  <si>
    <t>ALAVANCA SELETORA A002650330</t>
  </si>
  <si>
    <t>EIXO SELETOR A9902651600</t>
  </si>
  <si>
    <t>BUCHA ESTABILIZADORA DT/TR - 715/915</t>
  </si>
  <si>
    <t>FILTRO DIESEL MERCEDES 901551 (MB 815/1016) MARCA MERCEDES BENZ</t>
  </si>
  <si>
    <t>FILTRO DE OLEO MERCEDES BENZ A9041800109</t>
  </si>
  <si>
    <t>Filtro Racor Mecedes Benz  A0004779915</t>
  </si>
  <si>
    <t>FILTRO DE AR MERCEDE BENZ A3740940104</t>
  </si>
  <si>
    <t>BARRA LONGA DIREÇAO 8.160/9.170/10.160 (23B415801)VW</t>
  </si>
  <si>
    <t>VALVULA DE BUZINA AR SOLENOIDE</t>
  </si>
  <si>
    <t>TAMBOR DE FREIO TRASEIRO (ACCELO 1016) MARCA PARALELA</t>
  </si>
  <si>
    <t>FAROL AUX ESQUERDO 4592-A</t>
  </si>
  <si>
    <t>FAROL AUX DIREITO 4592</t>
  </si>
  <si>
    <t xml:space="preserve">CILINDRO MESTRE DE EMBREAGEM 915/1016 /3046    5110327100A1 </t>
  </si>
  <si>
    <t>FAIXA REFLETIVA PARACHOQUE MARCA 3M</t>
  </si>
  <si>
    <t>PUXADOR DE PORTA MERCEDES BENZ ACCELO 715 815 915 1016 LD</t>
  </si>
  <si>
    <t>JOGO DE LONA DE FREIO ACCELO L559/TH259 DFW959 MARCA PARALELA (MB 1016)</t>
  </si>
  <si>
    <t>TAMBOR DE FREIO D/T ACCELO /915</t>
  </si>
  <si>
    <t>CABO DE ACIONAMENTO DE PORTA (FECHADURA) VW (LD) (LE)</t>
  </si>
  <si>
    <t>CORREIA 8PK 1950 RNH</t>
  </si>
  <si>
    <t>ALAVANCA DE ENGATE 23B 311540</t>
  </si>
  <si>
    <t>CILINDRO AUXILIAR EMBREAGEM (ACCELO/ATEGO) 3046</t>
  </si>
  <si>
    <t>TENSIONADOR CORREIA - 9.160 EOD 0761-A</t>
  </si>
  <si>
    <t>PALHETA LIMPADOR ACCELO PARALELA</t>
  </si>
  <si>
    <t>VIDRO ESPELHO RETROVISOR LE 23B857521B</t>
  </si>
  <si>
    <t>CORREIA ALTERNADOR 13X 1325</t>
  </si>
  <si>
    <t>CORREIA ALTERNADOR 8PK 2155</t>
  </si>
  <si>
    <t>LANTERNA INTERNA FURGAO -6 LEDS</t>
  </si>
  <si>
    <t>LAMPADA 2 POLOS LED 12V/24V</t>
  </si>
  <si>
    <t>LAMPADA LED ESMAGADA 24V</t>
  </si>
  <si>
    <t>DISCO DE CORTE PREMIUM 115x1 0x22 MARCA WURTH</t>
  </si>
  <si>
    <t>MANGOTE FREIO 630MM ENGATE / PORCA / 2254</t>
  </si>
  <si>
    <t>TENSIONADOR DE CORREIA MICRO 904/906/924 GATES</t>
  </si>
  <si>
    <t>FILTRO SEPARADOR DE AGUA 9794770015</t>
  </si>
  <si>
    <t>FILTRO DML 303FS 720X3/8(DANFOS)</t>
  </si>
  <si>
    <t>SPRAY PRETO FOSCO 360ML DECOR COLORGIN</t>
  </si>
  <si>
    <t>SENSOR DE TEMPERATURA AGUA REFRIGERADOR 000712</t>
  </si>
  <si>
    <t>SENSOR PRESSÃO OLEO - 904/906 (ACCELO 1016)</t>
  </si>
  <si>
    <t>CABO P/DESTRAVAMENTO DA ESCORA (CABINE)ACCELO A 9793170018</t>
  </si>
  <si>
    <t>valvula de expansao 068z3348</t>
  </si>
  <si>
    <t>VARETA MEDIDORA DE OLEO MERCEDES A9240101072</t>
  </si>
  <si>
    <t>COLUNA DE DIREÇÂO 23B422067 A</t>
  </si>
  <si>
    <t>LAMPADA 1 POLO LED 12V/24V</t>
  </si>
  <si>
    <t>LENTE LANTERNA ,  TRAZEIRA MODERNA / BICOLOR</t>
  </si>
  <si>
    <t>LAMPADA  1POLO LARANJA 24V</t>
  </si>
  <si>
    <t>AMORTECEDOR TRASEIRO ACCELO</t>
  </si>
  <si>
    <t>RESISTOR DA CAIXA DE AR - 24V / 0118217060</t>
  </si>
  <si>
    <t>MANGUIERA SEM GTIN VO20574584</t>
  </si>
  <si>
    <t>MANGUEIRA SEM GTIN VO20574583</t>
  </si>
  <si>
    <t>CABO DE CAPO DESTRAVAMENTO INTERNO ACCELO</t>
  </si>
  <si>
    <t>MANGUEIRA DO INTERCOOLER 70x70x220</t>
  </si>
  <si>
    <t>JUNTA CARTER ISF 3.8 MARCA CUMMINS</t>
  </si>
  <si>
    <t>SACO PLAST PE 60X90</t>
  </si>
  <si>
    <t>FLOX BAC LT 5L MARCA MERCOTECH</t>
  </si>
  <si>
    <t>ÁLCOOL 70% 1 LITRO</t>
  </si>
  <si>
    <t>COPO COPOMAIS 50ML</t>
  </si>
  <si>
    <t>PAPEL TOALHA BOBINA 6X20X200</t>
  </si>
  <si>
    <t>INSETICIDA/SBP 360ML</t>
  </si>
  <si>
    <t>DETERGENTE LAVA LOUÇA 500ML</t>
  </si>
  <si>
    <t>DESINFETANTE AVELA E CEREJA 5L MARCA MERCOTECH</t>
  </si>
  <si>
    <t>BOM AR LAVANDA 360ML</t>
  </si>
  <si>
    <t xml:space="preserve">PAPEL TOALHA INTERFOLHADO 2D 2.400 FLS	</t>
  </si>
  <si>
    <t>LAMINA 2 PONTAS 350MM FURO 20MM AÇO (ROÇADEIRA)</t>
  </si>
  <si>
    <t>OLEO LUBRIFICANTE 2T 500ML 8017H MARCA STIHLL</t>
  </si>
  <si>
    <t xml:space="preserve">ATLAS FIBRA ABRASIVA </t>
  </si>
  <si>
    <t>ESTILETE LARGO</t>
  </si>
  <si>
    <t>ARGUS DETERGENTE NEUTRO 5L</t>
  </si>
  <si>
    <t>COPO DO FILTRO DE COMBUSTIVEL-RACOR A3760927104</t>
  </si>
  <si>
    <t>BORRIFADOR PULVERIZADOR 300ML</t>
  </si>
  <si>
    <t>ROLAMENTO DE AGULHA SEM GTIN VO184141</t>
  </si>
  <si>
    <t>ALAVANCA DE MUDANÇA SEM GTIN VO21869820</t>
  </si>
  <si>
    <t>ALMOFADA SEM GTIN VO20489993</t>
  </si>
  <si>
    <t>PARAFUSO SEM GTIN VO20490013</t>
  </si>
  <si>
    <t>VALVULA TERMOSTATICA 83 ACCELO</t>
  </si>
  <si>
    <t>FILTRO DE AR DA CAIXA DE AR A 0008305618</t>
  </si>
  <si>
    <t>MOTOR ELETRICO DA CAIXA DE AR 24V</t>
  </si>
  <si>
    <t xml:space="preserve">PARALAMA DIANTEIRO LD CABINE ACCELO </t>
  </si>
  <si>
    <t>ELETRO VENT F27P-12L8202/E4HT-41S CX 12A 12V</t>
  </si>
  <si>
    <t>ELETRO VENTILADO. UNIVERSAL 12P  12V ´´ASPIRANTE´´</t>
  </si>
  <si>
    <t xml:space="preserve">REVESTIMENTO DE PORTA LD </t>
  </si>
  <si>
    <t>CONJUNTO CABEÇOTE COMP.85MM ACCELO</t>
  </si>
  <si>
    <t>FAROL DE MILHA REDONDO 092MM FERRO</t>
  </si>
  <si>
    <t>SUPORTE REFORÇO PARALAMA CABINE A 9798800216 (LD)</t>
  </si>
  <si>
    <t xml:space="preserve">CARREGADOR VEICULAR 3.1 </t>
  </si>
  <si>
    <t>JUNTA TAMPA VALVULA JG - OM 904/924</t>
  </si>
  <si>
    <t>BATERIA ZETTA Z 100E</t>
  </si>
  <si>
    <t xml:space="preserve">RELE PISCA 24V 3 SAIDAS </t>
  </si>
  <si>
    <t>FILTRO DE AR -1938/ SCANIA /0790</t>
  </si>
  <si>
    <t>FILTRO DIESEL  -MWM 4.12 /AGRALE /1451</t>
  </si>
  <si>
    <t>ALAVANCA DE ENGATE 3364146</t>
  </si>
  <si>
    <t>SENSOR NIVEL DE AGUA ACCELO</t>
  </si>
  <si>
    <t xml:space="preserve">ELETRO VENT UNIV 11P 24V SOPRANTE </t>
  </si>
  <si>
    <t>CORREIA 6PK 2325</t>
  </si>
  <si>
    <t>COMPRESSOR CM VW CONTELLATION POLIA 8PK (ONE)</t>
  </si>
  <si>
    <t>VIDRO ESPELHO 23B/857522-A</t>
  </si>
  <si>
    <t xml:space="preserve">FAROL TIPO SELED BRAN </t>
  </si>
  <si>
    <t>LENTE LANT TRASEIRA VOLVO PL07290009</t>
  </si>
  <si>
    <t>TAMPA TRASEIRA DA CAIXA DE MUDANÇA A 9792610005</t>
  </si>
  <si>
    <t>SUPORTE DE APOIO DO COXIM A 9792610440</t>
  </si>
  <si>
    <t>LU CONSOLE A 97924200002</t>
  </si>
  <si>
    <t>PARAFUSO ALLEN M14X2X45 A9799901000</t>
  </si>
  <si>
    <t>LAPIS PRETO C/BORRACHA</t>
  </si>
  <si>
    <t>FAROL MILHA VW DELIVERY EXPRESS -DIREITO</t>
  </si>
  <si>
    <t>LANTERNA IAM SETA DIANT 24V VW</t>
  </si>
  <si>
    <t>BARRA CURTA DIREÇAO ACCELO 1016 ZL 1136 REF; A9794600205</t>
  </si>
  <si>
    <t>VALVULA RELE DE FREIO 710 /1620 M22X1,5 WABCO</t>
  </si>
  <si>
    <t>CILINDRO 23B 721261</t>
  </si>
  <si>
    <t xml:space="preserve">PALHETA LIMPADOR C/ESGUICHO(DNA) </t>
  </si>
  <si>
    <t>SENSOR DE NEUTRO INTERRUPTOR TRANSFERENCIA ACCELO</t>
  </si>
  <si>
    <t>LAMPADA 21PW 2 POLOS 12V</t>
  </si>
  <si>
    <t>MANIVELA DO VIDRO MERCEDES ACCELO</t>
  </si>
  <si>
    <t>ESPELHO EXTERNO A9108100903</t>
  </si>
  <si>
    <t>REVESTIMENTO CAIXA DE RODA A9076842802</t>
  </si>
  <si>
    <t xml:space="preserve">BOMBA D´ÀGUA VW DELIVERY 9.160 </t>
  </si>
  <si>
    <t>JNG BOTAO LA39J11BG VD PUL</t>
  </si>
  <si>
    <t>AMORTECEDOR DIANTEIRO VOLVO VM 260</t>
  </si>
  <si>
    <t xml:space="preserve">FILTRO DML 164 SPRINTER </t>
  </si>
  <si>
    <t xml:space="preserve">RETENTOR PINHÃO 7.7 126.2 </t>
  </si>
  <si>
    <t>JOGO REPARO VALVULA DESCARGA RAPIDA  II15138-60</t>
  </si>
  <si>
    <t>CRUZETA UNIVERSAL SPL 90 1X</t>
  </si>
  <si>
    <t>VALVULA MANETE DE FREIO VW 23B607403</t>
  </si>
  <si>
    <t>LANTERNA LATERAL BAU C/SUPORTE AMARELA/LARANJA</t>
  </si>
  <si>
    <t>SENSOR DE EMBREAGEM VW (321)</t>
  </si>
  <si>
    <t>SENSOR DE TEMPERATURA - VW 9.170/11.180 (5095)</t>
  </si>
  <si>
    <t>MOTOR CX ACCELO /ACTROS/ CARGO 24V (ONE )</t>
  </si>
  <si>
    <t>SOLENOIDE MAGNETICA  MB 1215 1418</t>
  </si>
  <si>
    <t>COND.CAMINHÃO VOLVO FH/NH 98</t>
  </si>
  <si>
    <t>BUZINA BIBI 12V</t>
  </si>
  <si>
    <t>ALAVANCA DO FREIO A 9034200212 MB (SPRINTER)</t>
  </si>
  <si>
    <t>LANTERNA TETO VOLVO FH NH NI (LD)</t>
  </si>
  <si>
    <t>LANTERNA TETO VOLVO FH NH NI (LE)</t>
  </si>
  <si>
    <t>ELEVADOR VIDRO  23B837501 LE</t>
  </si>
  <si>
    <t>PARA-LAMA DIANTEIRO A91088100007000 LE</t>
  </si>
  <si>
    <t>PARA-LAMA DIANTEIRO A91088101007000 LD</t>
  </si>
  <si>
    <t>FRISO DEPROTEÇAO A91069001009K83</t>
  </si>
  <si>
    <t>PARA LAMA DIANTEIRO A91088028007000 INFERIOR LE</t>
  </si>
  <si>
    <t>PARA LAMA DIANTEIRO A91088029007000 INFERIOR LD</t>
  </si>
  <si>
    <t>SUPORTE DO PARA LAMAA9108811300</t>
  </si>
  <si>
    <t>FRISO DE PROTEÇAO A9106900000 9K83</t>
  </si>
  <si>
    <t>PERFIL PROTETOR DE CANTOS A9109850900</t>
  </si>
  <si>
    <t>SUPORTE DO PARA LAMA A9108810800</t>
  </si>
  <si>
    <t>PORCA COMB N000000006037</t>
  </si>
  <si>
    <t>PARAFUSO M6X12 ACO LIGA A9909903600</t>
  </si>
  <si>
    <t>PARAFUSO A1639900136</t>
  </si>
  <si>
    <t>COBERTURA DO ESPELHO A9108110300</t>
  </si>
  <si>
    <t>PAR CIL HEXALOB N000000004592</t>
  </si>
  <si>
    <t>ENCANAMENTO ADITIVO ARLA 32 REYTORNO PLAST A 6954762501</t>
  </si>
  <si>
    <t>FOLE DE LIGAÇAO ACCELO 915/815</t>
  </si>
  <si>
    <t>LU CINTA DE APERTO-AÇO (GUARDA-PÓ) A9798300029</t>
  </si>
  <si>
    <t>FAROL PRINCIPAL (LD) VW 23B941034A</t>
  </si>
  <si>
    <t>FAROL PRINCIPAL (LE)VW 23B941033A</t>
  </si>
  <si>
    <t xml:space="preserve">LAMPADA 21PW 12V LARANJA </t>
  </si>
  <si>
    <t>INTERRUPTOR VIDRO ELET.VW SIMPLES</t>
  </si>
  <si>
    <t>MOLDURA FAROL C/DEFLETOR MB ACCELO 815 915 1016 (LE)</t>
  </si>
  <si>
    <t>FAROL ACCELO (LE)</t>
  </si>
  <si>
    <t xml:space="preserve">LANTERNA SETA DIANTEIRA (LD) (ACCELO 1016) </t>
  </si>
  <si>
    <t xml:space="preserve">LANTERNA SETA DIANTEIRA (LE) (ACCELO 1016) </t>
  </si>
  <si>
    <t xml:space="preserve">DEFLETOR LD ACCELO </t>
  </si>
  <si>
    <t>COBERTURA MBB LE A9796277002</t>
  </si>
  <si>
    <t>LENTE TRASEIRA VW MARCA PARALELA</t>
  </si>
  <si>
    <t>FAROLMILHA VW DELIVERY EXPRESS - ESQUERDO</t>
  </si>
  <si>
    <t>VALVULA REGULADORA SPRINTER DEVOC</t>
  </si>
  <si>
    <t>FILTRO DE CABINE FILTROS BRASIL FB 1264F VOLKSWAGEN DELIYERY 4.150 6.160B9.170</t>
  </si>
  <si>
    <t>COND CAMINHAO MB/ATRON ACCELO 2008-C/REFIL (IMP)</t>
  </si>
  <si>
    <t xml:space="preserve">EXTINTOR TIPO PQSP 02KG ABC AUTOMOTIVO </t>
  </si>
  <si>
    <t>SUPORTE BATERIA 11.180 23B915543A</t>
  </si>
  <si>
    <t>TAMPA FILTRO LUBRIFICANTE - OM 904/924</t>
  </si>
  <si>
    <t>MANGOTE DE FREIO SPRINTER</t>
  </si>
  <si>
    <t>COXIM DO MOTOR MENOR SPRINTER</t>
  </si>
  <si>
    <t xml:space="preserve">junta da turbina om-904 </t>
  </si>
  <si>
    <t>ROLAMENTO 40MM  / 2003</t>
  </si>
  <si>
    <t>CAPA DE VOLANTE ACCELO</t>
  </si>
  <si>
    <t>CRUZETA JUNTA UNIVERSAL NUJ275 801018</t>
  </si>
  <si>
    <t>MANGUEIRA DO RADIADOR MBB ACCELO INFERIOR</t>
  </si>
  <si>
    <t>SENSOR TEMPERATURA ACCELO/ATEGO 27/10B</t>
  </si>
  <si>
    <t xml:space="preserve">BRAÇO RETROVISOR LE ACCELO MARCA BEPO </t>
  </si>
  <si>
    <t>COMANDO DE SETA MB ACCELO</t>
  </si>
  <si>
    <t xml:space="preserve">TAMPA DE ÓLEO MBB TODOS </t>
  </si>
  <si>
    <t>PAPEL CHAMEX A4 CHAMEQUINHO BRANCO 75GR</t>
  </si>
  <si>
    <t xml:space="preserve">BRAÇO RETROVISOR LD ACCELO MARCA BEPO </t>
  </si>
  <si>
    <t>CORREIA 8PK 1375</t>
  </si>
  <si>
    <t>KIT EMBREAGEM VW DELIVERY 11.180 OMD 23B198149</t>
  </si>
  <si>
    <t>COBERTURA LD 23B853118</t>
  </si>
  <si>
    <t>FOLE PNEUMATICO ANCAIXE GRANDE</t>
  </si>
  <si>
    <t>GRAMPO 7/8X92X360 VM FH 440 MARCA PARALELA</t>
  </si>
  <si>
    <t>SH 5000</t>
  </si>
  <si>
    <t>ALMOXARIFADO 7- INDUSTRIA</t>
  </si>
  <si>
    <t>KIT VEDACAO UNIDADE BICO INJETOR MARCA PARALELA (MB 1016)</t>
  </si>
  <si>
    <t>MANGUEIRA PREMIUM R22</t>
  </si>
  <si>
    <t>OLEO M-DELVAC MODERN 15W40 SD V3 MARCA M-DELVAC</t>
  </si>
  <si>
    <t xml:space="preserve">ADITIVO RADIADOR 200ML ADITECH HT-E 35R </t>
  </si>
  <si>
    <t>CAPA PORCA CROMADA 33</t>
  </si>
  <si>
    <t>TAMPA TANQUE EXPANSAO-ACCELO</t>
  </si>
  <si>
    <t>JUNTA TAMPA RADIADOR MB OLEO 904 /3028 JL48237</t>
  </si>
  <si>
    <t>AMORTECEDOR DIANTEIRO MARCA PARALELA (ACCELO)</t>
  </si>
  <si>
    <t>ABRAÇADEIRA CRUZETA 709/912</t>
  </si>
  <si>
    <t>LAMPADA LED 1 POLO 24V WURTH</t>
  </si>
  <si>
    <t>REPARO CUICA FREIO AR (FERRO)</t>
  </si>
  <si>
    <t>SUPORTE ESTRIBO ACCELO (LE)</t>
  </si>
  <si>
    <t>ESTRIBO ACCELO (LD)</t>
  </si>
  <si>
    <t>MAÇANETA EXTERNA DA PORTA SPRINTER</t>
  </si>
  <si>
    <t>VALVULA ABS VW</t>
  </si>
  <si>
    <t>CORREA 6PK1230</t>
  </si>
  <si>
    <t>ELEVADOR MANUAL VIDRO DELIVERY R-4402LE</t>
  </si>
  <si>
    <t>CHICOTE 8 VIAS DA DOSADORA DA BOMBA DO ARLA MB FASE 2</t>
  </si>
  <si>
    <t>TRAVA CABO ALAVANCA CAMBIO - ACCELO</t>
  </si>
  <si>
    <t>JUNTA VAL. TERMOSTATICA OM 904 ALUMINIO</t>
  </si>
  <si>
    <t>REPARO CONEXAO ENCAIXE 22MM ( REPARO DE CUICA)</t>
  </si>
  <si>
    <t>KIT FAIXA REFLETIVA DIREITO/ESQUERDO</t>
  </si>
  <si>
    <t>GASOLINA COMUM 01</t>
  </si>
  <si>
    <t>ALMOXARIFADO 2- MANUTENCAO PREDIAL</t>
  </si>
  <si>
    <t>001 013615 RESERV.RAD.VW.GOL/SAV/PRT/SANT 00/G-1006</t>
  </si>
  <si>
    <t>ADITIVO DE RADIADOR</t>
  </si>
  <si>
    <t>ZENNITH - ACIDO P/LIMPEZA 1L</t>
  </si>
  <si>
    <t>LE CONJUNTO SUPORTE ESPELHO MB ACCELO 2020 2021 2022 PAR</t>
  </si>
  <si>
    <t xml:space="preserve">ESPELHO CONVEXO BICUDA </t>
  </si>
  <si>
    <t>RESIS CAMINHÃO VW DELIVERY</t>
  </si>
  <si>
    <t>EVAP CAMINHÃO VW DELIVERY</t>
  </si>
  <si>
    <t>ESTOPA 400G MARCA POLIUM</t>
  </si>
  <si>
    <t>SOLUÇAO DESENGRAXANTE SKY</t>
  </si>
  <si>
    <t>CONDESADOR DO AR CONDICIONADO A9795000054</t>
  </si>
  <si>
    <t xml:space="preserve">PANO DE CHÃO ALVEJADO 100% ALGODÃO </t>
  </si>
  <si>
    <t>MAZA ESMALTE IND PRETO FOSCO 1/4</t>
  </si>
  <si>
    <t>BIG DESINFETANTE 5L MARCA MERCOTECH</t>
  </si>
  <si>
    <t>CANETA PCD 2.0MM PRETA</t>
  </si>
  <si>
    <t>MARCA TEXTO VERDE MAXPRINT</t>
  </si>
  <si>
    <t>MARCA TEXTO LUMI AM MAXPRINT</t>
  </si>
  <si>
    <t>PACOTE DE FOLHA A4 CHAMEX</t>
  </si>
  <si>
    <t>TUBO DE GRAXA STIHL 80G</t>
  </si>
  <si>
    <t>LANTERNA TOPO BAU BRANCA H37146</t>
  </si>
  <si>
    <t>SPKY BP PRATA LUNAR</t>
  </si>
  <si>
    <t xml:space="preserve">SKY PU PRETO CADILAC  </t>
  </si>
  <si>
    <t xml:space="preserve">OLEO BSE-32 5L BITZER </t>
  </si>
  <si>
    <t>ROLO DE LÃ PINTURA (PELE) 9CM ATLAS</t>
  </si>
  <si>
    <t>ROLO PINTURA ESPUMA 9CM MARCA ATLAS</t>
  </si>
  <si>
    <t>ESPONJA MULTIUSO</t>
  </si>
  <si>
    <t>ALCOOL PRING 70 1L</t>
  </si>
  <si>
    <t>SACO DE LIXO 100L 5 KG</t>
  </si>
  <si>
    <t>LAMPADA INFRAVERMELHO SECAGEM 250W</t>
  </si>
  <si>
    <t>PROTEÇAO DE LAMINA D6</t>
  </si>
  <si>
    <t>DIAFRAGMA BINS 7 TIPO 24</t>
  </si>
  <si>
    <t>LAMPADA AUTOMATIVA H7 24V 70W</t>
  </si>
  <si>
    <t>LANTERNA DIANTEIRA MB ACCELO (LE)</t>
  </si>
  <si>
    <t>LAMPADA 1141 24V</t>
  </si>
  <si>
    <t>GÁS R404A FLUIDO HP62 ONU3337</t>
  </si>
  <si>
    <t>SACO PLASTICO PARA DESCARTE DE ABSORVENTE C/200</t>
  </si>
  <si>
    <t xml:space="preserve">SACO DE LIXO 200L 5 KG	</t>
  </si>
  <si>
    <t>PEDRA SANITARIA 25GR FLORAL</t>
  </si>
  <si>
    <t>MAZA ESM IND PRETO CADILAC 1/4 001360</t>
  </si>
  <si>
    <t>ENERGIZER BATERIA 2032 3V</t>
  </si>
  <si>
    <t>COLORGIN PRETO BRILH</t>
  </si>
  <si>
    <t>ROLO PINTURA ESPUMA 15CM MARCA ATLAS</t>
  </si>
  <si>
    <t>PINCEL ACHATADO SINTÉTICO - AT951/14 ATLAS</t>
  </si>
  <si>
    <t>FUSIVEL DE POTENCIA 80A</t>
  </si>
  <si>
    <t>SACO DE LIXO 60L LEVE C/100</t>
  </si>
  <si>
    <t>RESISTÊNCIA BUFFET COMUM 90 2500W 220V</t>
  </si>
  <si>
    <t>EXAUSTOR AXIAL 40CM VENTISOL COMERCIAL PAREDE ALTA VAZÃO</t>
  </si>
  <si>
    <t>JUNTA TAMPA RADIADOR OLEO - 904</t>
  </si>
  <si>
    <t>SUPORTE 23B854735C</t>
  </si>
  <si>
    <t xml:space="preserve">TASCH REFLETOR LED TR 200W 6500K PRETO </t>
  </si>
  <si>
    <t>ESCORA VO20938986</t>
  </si>
  <si>
    <t>MANOPLA ALAVANCA  V020554339</t>
  </si>
  <si>
    <t>REFLETOR LED 50W 6500K BIV RLT MGC</t>
  </si>
  <si>
    <t>KIT DE EMBREAGEM A00925046040010</t>
  </si>
  <si>
    <t>LU MANGUEIRA PRE FORMADA A 9795011782</t>
  </si>
  <si>
    <t>INTERRUPTOR DE LUZ   DE NEUTRO A0005458906</t>
  </si>
  <si>
    <t>FITA ISOLANTE 19x20M TIGRE</t>
  </si>
  <si>
    <t>PAPEL TOALHA BOBINA CARIOCA GOLD 58</t>
  </si>
  <si>
    <t xml:space="preserve">A-907 REV. CAIXA DE RODA </t>
  </si>
  <si>
    <t>SUPORTE DO ESTRIBO ESCADA ACCELO ESQUERDO (LE)</t>
  </si>
  <si>
    <t>SUPORTE PARALAMA DIANTEIRO CABINE MB ACCELO (LE)</t>
  </si>
  <si>
    <t>RIBBOM 110M 450 OUT WAX- RESIN/ CERA RESINA K115 INDUSTRIA</t>
  </si>
  <si>
    <t>CANETA ESFEROGRÁFICA 07 AZUL</t>
  </si>
  <si>
    <t xml:space="preserve">COLORGIN PRETO RAPIDO </t>
  </si>
  <si>
    <t xml:space="preserve">PERFECS PANO PICOTADO ROLO AZ 0,28X300M </t>
  </si>
  <si>
    <t xml:space="preserve">SUPORTE ESTRIBO P/ MERCEDES BENZ ACCELO 2003 A 2020 A9796607001 /A9796607101)LADO ESQUERDO </t>
  </si>
  <si>
    <t>PARAFUSO PARALAMA BRASILIA</t>
  </si>
  <si>
    <t>GUARDANAPO/PAPEL HIGIENICO INTERFOLHADO 250 FLS</t>
  </si>
  <si>
    <t>CORRETIVO FITA TAPE NEON CIS</t>
  </si>
  <si>
    <t>COPIATIVO IMSPEÇÃO SAIDA DE VEICULO</t>
  </si>
  <si>
    <t>RELATÓRIO DE VIAGEM</t>
  </si>
  <si>
    <t>LUVA NITRÍLICA AZUL (G) C/100</t>
  </si>
  <si>
    <t>SABONETE 5L LIQUIDO FRUTAS</t>
  </si>
  <si>
    <t>TOUCA TNT C/100</t>
  </si>
  <si>
    <t>LAMPADA LED TKL 60 9W 6500K</t>
  </si>
  <si>
    <t>MOTOR CX CAMINHAO VW DELIVERY 24V (IMP)</t>
  </si>
  <si>
    <t>6954764401 ENCANAMENTO ADITIVO ARLA 32-MB-ACCELO</t>
  </si>
  <si>
    <t>DIFUSOR DE AROMAS 100ML LAVANDA</t>
  </si>
  <si>
    <t>LUVA OPERADOR DECATHON</t>
  </si>
  <si>
    <t>PU BAU CINZA 400G</t>
  </si>
  <si>
    <t>FILTRO RACOR PARKER R-26-A50 SPRINTER</t>
  </si>
  <si>
    <t>FILTRO DE COMBUSTIVEL SPRINTER</t>
  </si>
  <si>
    <t>1169 MEIO PARALAMA 3/4 UNIRVESAL</t>
  </si>
  <si>
    <t>PARALAMA ESTRIBO CAMINHAO MB ACCELO 715 915 1016 LE</t>
  </si>
  <si>
    <t>PARALAMA ESTRIBO CAMINHAO MB ACCELO 715 915 1016 LD</t>
  </si>
  <si>
    <t>STRETCH MANUAL 500MM X 25 MICRA X 3</t>
  </si>
  <si>
    <t>ROLO ETIQUETA 60X30 P/ BALANÇA</t>
  </si>
  <si>
    <t>FITA EMBALAGEM DUREX 45M</t>
  </si>
  <si>
    <t>SACOLA CINZA 50X60 C/5KG</t>
  </si>
  <si>
    <t xml:space="preserve">CAPA BANCO VOLKS DELIVERY NOVO </t>
  </si>
  <si>
    <t>007254 LANTERNA ILUM. INTERNA-BAU REFRIGERADO</t>
  </si>
  <si>
    <t>CALÇO APOIO TRAV. CAMBIO ACCELO  R-3327</t>
  </si>
  <si>
    <t>DISCO CORTE FERRO 12X1/8 FURO 1 (300MMX3.0MMX25.40MM)</t>
  </si>
  <si>
    <t>PU PARABRISA 380GR</t>
  </si>
  <si>
    <t>ACABAMENTO PROTETOR LATERAL (RETO 100MM)</t>
  </si>
  <si>
    <t>BATENTE BORRACHA HC 60X92X140 C</t>
  </si>
  <si>
    <t>BATENTE DE BORACHA HC 60X92X140H</t>
  </si>
  <si>
    <t>SUPORTE PROTETOR CICLISTA 380x550MM (2 BARRA)</t>
  </si>
  <si>
    <t>TUBO 23A/131674B/MANGUEIRA ARLA</t>
  </si>
  <si>
    <t>LIMPA AR CONDICIONADO LAVANDA</t>
  </si>
  <si>
    <t>TINTA SPRAY PRETO BRILHANTE</t>
  </si>
  <si>
    <t>CABO EMBREAGEM TITAN150 2004/08 KS/ES  EM DIANTE SC MARCA PARALELA (MOTO)</t>
  </si>
  <si>
    <t>CAPA BANCO ACCEILO</t>
  </si>
  <si>
    <t>MANGUEIRA DE FREIO DIANTEIRA  ACCELO</t>
  </si>
  <si>
    <t>GRAMPEADOR P/GRAMPO 26/6 PLUS LINE P/2</t>
  </si>
  <si>
    <t>LACRES AZUL MALOTE 23CM  NUMERADA C/1000</t>
  </si>
  <si>
    <t>FITILHO PLASTICO</t>
  </si>
  <si>
    <t>PNEU TRASEIRO MOTO (KPN7998)</t>
  </si>
  <si>
    <t>CAMARA DE AR (MOTO)</t>
  </si>
  <si>
    <t xml:space="preserve">BUZINA TITAN 125/150 SCUD </t>
  </si>
  <si>
    <t>CHAVE IGNIÇAO TITAN 150 2009/13</t>
  </si>
  <si>
    <t>LAMPADA BIODO 35 35 IMPORTADA DA HONDA YAMAHA</t>
  </si>
  <si>
    <t>FILTRO DE AR BIZ 125 06 10 METAL LEVE</t>
  </si>
  <si>
    <t>FAROL COMPLETO (CG TITAN 150)</t>
  </si>
  <si>
    <t xml:space="preserve">PARACHOQUE MBB ACCELO </t>
  </si>
  <si>
    <t>MÁSCARA PFF2 SEMI-DESCARTÁVEL</t>
  </si>
  <si>
    <t>LUVA PU POL PRETA TAM;09/G</t>
  </si>
  <si>
    <t xml:space="preserve">OCULOS INCOLOR </t>
  </si>
  <si>
    <t>FITA TRANSPARENTE DUREX 45 x 100M</t>
  </si>
  <si>
    <t>SACOLA VERDE REFORÇADA 50x60 5 KG</t>
  </si>
  <si>
    <t>GRAMPO 26/6 CX C/5000</t>
  </si>
  <si>
    <t xml:space="preserve">BOTA N°41 FRIGORÍFICA BRANCA MICROFIBRA	</t>
  </si>
  <si>
    <t>VEDAÇAO DA JANELA A9799877151</t>
  </si>
  <si>
    <t>FITA CREPE AUTOMOTIVO VERDE 18X50</t>
  </si>
  <si>
    <t>TINTA PRETO FOSCO VINILICO MAZA</t>
  </si>
  <si>
    <t xml:space="preserve">REPARO CUICA MASTER 20X30 </t>
  </si>
  <si>
    <t>SACO LISO VACUO 20X30X0,10 MC</t>
  </si>
  <si>
    <t>AMORTECEDOR TRASEIRO ACCELO NAKATA</t>
  </si>
  <si>
    <t xml:space="preserve">CONJUNTO CABEÇOTE COMPLETO 85MM  ATEGO </t>
  </si>
  <si>
    <t xml:space="preserve">LUVA NITRILACA K-10 </t>
  </si>
  <si>
    <t>PROTETOR AURICULAR COPOLIMERO 16DB</t>
  </si>
  <si>
    <t>CANETA ESFEROGRÁFICA 07 PRETA</t>
  </si>
  <si>
    <t>CANETA ESFEROGRÁFICA 07 VERMELHA</t>
  </si>
  <si>
    <t>ALMOXARIFADO 8- EPI</t>
  </si>
  <si>
    <t>BOPP BRANCO FOSCO FASSON S 2045 90MTS ZEBRA</t>
  </si>
  <si>
    <t>FITILHO PEMBALAR</t>
  </si>
  <si>
    <t>LUVA POLARFLEX OPERADOR (G)</t>
  </si>
  <si>
    <t>INTERMAX A/C B50L</t>
  </si>
  <si>
    <t>TAE PNEU NEW B50L</t>
  </si>
  <si>
    <t xml:space="preserve">TAE CERA B50 </t>
  </si>
  <si>
    <t>APLICADOR DE CERA E SILICONE AUTOMTIVO 11X2CM</t>
  </si>
  <si>
    <t>CERA TRADICIONAL GRAND PRIX 200G x 24</t>
  </si>
  <si>
    <t xml:space="preserve">PER CERA PRETA PEROLA 250ML ESTETICA </t>
  </si>
  <si>
    <t>TAE BRIL GEL 3,6KG</t>
  </si>
  <si>
    <t>ALONGADOR DE BICO DE PNEU</t>
  </si>
  <si>
    <t>PNEU 350 x 4 MARCA PARALELA</t>
  </si>
  <si>
    <t>SUPORTE UNIVERSAL EQUALIZADOR PARA CONTROLE DIMENSIONAL DE PNEUMATICOS EQ 1345</t>
  </si>
  <si>
    <t xml:space="preserve">SUPORTE UNIVERSAL EQUALIZADOR PARA CONTROLE DIMENSIONAL DE PNEUMATICOS EQ 1145 </t>
  </si>
  <si>
    <t>SUPORTE UNIVERAL EQUALIZADOR PARA CONTROLE DIMENSIONAL DE PNEUMATICO EQ-1135</t>
  </si>
  <si>
    <t xml:space="preserve">PNEU 90/90 S/CAMARA CINBORG </t>
  </si>
  <si>
    <t>PNEU 90/90 -18 MR5 C/CAMARA PREDA</t>
  </si>
  <si>
    <t>PNEU 325X8 MAX NACIONAL</t>
  </si>
  <si>
    <t>EQUALIZADOR PARA CONTROL DIMENSIONAL DE PNEUMATICOS EQ-120</t>
  </si>
  <si>
    <t>EQUALIZADOR PARA CONTROLE DIMENSIONAL DE PNEUMATICOS EQ 100DC</t>
  </si>
  <si>
    <t>001 2009 PORCA 1/2 ONC 2ZINCADA SEX</t>
  </si>
  <si>
    <t>ABRACADEIRA</t>
  </si>
  <si>
    <t xml:space="preserve">ABRACADEIRA  INA13 X 19 FG 9M </t>
  </si>
  <si>
    <t>2402 CHAPA INOX PERF.2,50 MM X 610 MM X 1 M</t>
  </si>
  <si>
    <t xml:space="preserve">CHAPA ALUMINIO 200 X 100 100 AL </t>
  </si>
  <si>
    <t>CHAPA ALUMÍNIO XADREZ 2.50x1.00x1.20</t>
  </si>
  <si>
    <t>CHAPA ALUMINIO XADREZ 2.50x1.00x2.20</t>
  </si>
  <si>
    <t>CHAPA ALUMINIO XADREZ 2X1</t>
  </si>
  <si>
    <t>CHAPA DE ALUMINIO LISA 2,00X1,00X1,00</t>
  </si>
  <si>
    <t>CHAPA GALVANIZADA 18(2X1)</t>
  </si>
  <si>
    <t>CHAPA U 2X1,95 GALV AL.</t>
  </si>
  <si>
    <t>CHAPA U 3X2.65 AL</t>
  </si>
  <si>
    <t>CHAPA U 4x3/16</t>
  </si>
  <si>
    <t>CHAPA U ENCAIXE 68X30X200</t>
  </si>
  <si>
    <t>CHAPA U ENRIJ 5X2.65 AL</t>
  </si>
  <si>
    <t>FITA ISOLANTE</t>
  </si>
  <si>
    <t>FITA ISOLANTE AUTOFUSAO 3M 19X10M</t>
  </si>
  <si>
    <t>ADESIVO PVC BISNAGA 17G MARCA TIGRE</t>
  </si>
  <si>
    <t>CONDULETE ADAPTADOR 1 TIGRE</t>
  </si>
  <si>
    <t>CONDULETE ADAPTADOR TOP 3/4 TIGRE</t>
  </si>
  <si>
    <t>CONDULETE BRAÇADEIRA FECH. 1/2 MARCA TIGRE</t>
  </si>
  <si>
    <t>CONDULETE BRAÇADEIRA FECH.TOP 3/4 TIGRE</t>
  </si>
  <si>
    <t>CONDULETE CURVA ELETRODUTO 90 TOP 3/4 TIGRE</t>
  </si>
  <si>
    <t>CONDULETE LUVA LISA P/ELET.TOP 3/4 TIGRE</t>
  </si>
  <si>
    <t>CONDULETE TOP CX 5 ENTRADAS TIGRE</t>
  </si>
  <si>
    <t>LAMPADA R5 24V MARCA WURTH</t>
  </si>
  <si>
    <t>PASTA DESENGRAXANTE 3 KG MARCA WURTH</t>
  </si>
  <si>
    <t>PARAFUSO 6,0X25 PARABARRO/CHOQUE COROLLA</t>
  </si>
  <si>
    <t>GRAMPO PARABARRO COROLLA/RAV4/HILUX</t>
  </si>
  <si>
    <t xml:space="preserve">GRAMPO PARABARRO COROLLA/ETIOS </t>
  </si>
  <si>
    <t>BUCHA PARABARRO CRV/COROLLA /ETIOS</t>
  </si>
  <si>
    <t>PISO PASTILHADO 50X50 MOEDA</t>
  </si>
  <si>
    <t>ADESIVO WURTH BONDER PLUS 100G</t>
  </si>
  <si>
    <t>TRAVA ROSCA VERMELHO (FH440)</t>
  </si>
  <si>
    <t>COLA EPOXI TITANIO 25G</t>
  </si>
  <si>
    <t>DUREPOXI 100G</t>
  </si>
  <si>
    <t>COLA TITANIUM BICOMPONENTE 25ML EPOXY STEEL</t>
  </si>
  <si>
    <t xml:space="preserve">BROCA TITANIO 6.50MMM </t>
  </si>
  <si>
    <t>FIBRA ABRASIVA (ESPONJA) AT95/30</t>
  </si>
  <si>
    <t>FIBRA ABRASIVA (P/FERRUGEM)</t>
  </si>
  <si>
    <t>FITA VEDA ROSCA 18x25M TIGRE</t>
  </si>
  <si>
    <t xml:space="preserve">CAL P/REBOCO CHILL20KL </t>
  </si>
  <si>
    <t>CAL CREM CAL 8KG</t>
  </si>
  <si>
    <t>CAL P/PINTURA CHIII ITABIRA 8KG</t>
  </si>
  <si>
    <t>PANO DE SACO ALVEJADO 70X45</t>
  </si>
  <si>
    <t>RIBON 110M 450 OUT LOGISTICA</t>
  </si>
  <si>
    <t>RIBON G50 110 C 450 OUT</t>
  </si>
  <si>
    <t>LAPISEIRAGINASIU 0.7 SORTIDA COMPACTOR</t>
  </si>
  <si>
    <t>POSTITE BLOCO ADESIVO MAXPRINT NEON PEQUENO</t>
  </si>
  <si>
    <t>BORRACHA BICOLOR AZUL/VERMELHA</t>
  </si>
  <si>
    <t>DORFLEX CAIXA</t>
  </si>
  <si>
    <t>TORSILAX CAIXA</t>
  </si>
  <si>
    <t>DIPIRONA SODICA 1G C/10</t>
  </si>
  <si>
    <t xml:space="preserve">ALCOOL 70 100ML </t>
  </si>
  <si>
    <t>ÁLCOOL 70% 50ML</t>
  </si>
  <si>
    <t xml:space="preserve">ALCOOL 70% GL5L </t>
  </si>
  <si>
    <t>ÁLCOOL IODADO 1L</t>
  </si>
  <si>
    <t>ALCOOL ISOPROPILICO 78971984</t>
  </si>
  <si>
    <t xml:space="preserve">PANO DE PRATO C/VIES </t>
  </si>
  <si>
    <t>PANO DE PRATO ESTAMPADO</t>
  </si>
  <si>
    <t>ALMOXARIFADO 10- MATERIAL DE ESCRITÓRIO</t>
  </si>
  <si>
    <t>001 000061 BATERIA</t>
  </si>
  <si>
    <t>PAPELÃO ARQUIVO MORTO</t>
  </si>
  <si>
    <t>ADOÇANCATE STEVIA ZERO CAL 100ML</t>
  </si>
  <si>
    <t xml:space="preserve">CANETA CORRETIVA 7ML </t>
  </si>
  <si>
    <t xml:space="preserve">CALCULADORA DE MESA 8  DIGITOS PILHA </t>
  </si>
  <si>
    <t xml:space="preserve">CLIPS 6/0 GALVANIZADO LINHA LEVE CX C/50 </t>
  </si>
  <si>
    <t>RAÇÃO P/ PEIXE (LAGUNA)</t>
  </si>
  <si>
    <t>VINAGRE PEIXE DE ARROZ</t>
  </si>
  <si>
    <t xml:space="preserve">LUVA NITRÍLICA AZUL (M) C/100	</t>
  </si>
  <si>
    <t xml:space="preserve">LUVA NITRILICA AZUL MEDIX GG </t>
  </si>
  <si>
    <t>LUVA NITRILICA VERO MEDICAL TAM G</t>
  </si>
  <si>
    <t>ADUBO CLORETO DE POTASSIO</t>
  </si>
  <si>
    <t>ALMOXARIFADO 6- JARDINAGEM</t>
  </si>
  <si>
    <t xml:space="preserve">ADUBO SUPER FOSTATO SIMPLES </t>
  </si>
  <si>
    <t>ADUBO UREIA GRAN 50KL</t>
  </si>
  <si>
    <t>TERRA ADUBADA 20 KG ESTRELA DO JARDIM</t>
  </si>
  <si>
    <t>BUSCOPAN COMPOSTO CX</t>
  </si>
  <si>
    <t>COMPOSTO VEGETAL</t>
  </si>
  <si>
    <t>MEIA TÉRMICA ALGODÃO</t>
  </si>
  <si>
    <t xml:space="preserve">BLOCO LEMBRETE C/700 FLS </t>
  </si>
  <si>
    <t>REGUA LINIMETRICA/FLUVIOMETRICA ALUMINIO 2X70X1000MM C/COTAS</t>
  </si>
  <si>
    <t xml:space="preserve">TESOURA CIS 8 21CM </t>
  </si>
  <si>
    <t xml:space="preserve">TESOURA DE PODA </t>
  </si>
  <si>
    <t>TESOURA P/UNHA</t>
  </si>
  <si>
    <t xml:space="preserve">TESOURA PARA CERCA VIVA </t>
  </si>
  <si>
    <t>TESOURA USO GERAL 25CM</t>
  </si>
  <si>
    <t xml:space="preserve">TESOURAO PODA TIPO BYPASS </t>
  </si>
  <si>
    <t>CARREGADOR CELULAR TOMADA PLUG FONTE USB 5V 2.1a</t>
  </si>
  <si>
    <t>CELULAR SANSUNG GALAXY A06 128GB</t>
  </si>
  <si>
    <t>CELULAR SANSUNG GALAXY A07 128GB</t>
  </si>
  <si>
    <t>CELULAR SANSUNG GALAXY A15 4G</t>
  </si>
  <si>
    <t>CELULAR SANSUNG GALAXY S25 128GB AZUL</t>
  </si>
  <si>
    <t>CANETA DECTORA DE CELULA FALSA</t>
  </si>
  <si>
    <t>COND AR CONDICIONADO GREE HW 18000 BTUS FRIO CINZA</t>
  </si>
  <si>
    <t xml:space="preserve">PONTO DE ACESSO UBIGUITIL UNIFI OUTDOOU 122M </t>
  </si>
  <si>
    <t>ACCESS POINT INTERNO CISCO AIR CAP17021-Z-K9 CONTROLLER SEM SUPORTE</t>
  </si>
  <si>
    <t>ACCESS POINT OUTDOOR</t>
  </si>
  <si>
    <t xml:space="preserve">PONTO DE ACESSO UBIQUITI WI-FI </t>
  </si>
  <si>
    <t>MONITOR 23.8DELL P2422H</t>
  </si>
  <si>
    <t>MONITOR DELL 21.5 SE2222H 100V/240V PRETO</t>
  </si>
  <si>
    <t>CPU DELLF OPTIPLEX MINI 7020 15 14H 512GB 127/220</t>
  </si>
  <si>
    <t>FONE DEOUVIDO BLUTOOLH 25H DE BATERIA MODELO TAH 2209 PRETO</t>
  </si>
  <si>
    <t>FONE OUVIDO 8605</t>
  </si>
  <si>
    <t>PLACA MAE DELL 7020 9029 02YYK5 00V62H OXCR8D</t>
  </si>
  <si>
    <t>PLACA MAE DELL 7040 MICRO DDR4 MODEL: 21YVC DP/N 96JG8</t>
  </si>
  <si>
    <t>FITA DBA 9MM ROLOS COM 4.000MTS</t>
  </si>
  <si>
    <t>BANDEJA AÇOUGUE CAIXA VERMELHA 40L</t>
  </si>
  <si>
    <t>BANDEJA FIXA FRONT 290MM PRETO</t>
  </si>
  <si>
    <t>SEGURANÇA E MEDICINA DO TRABALHO-93ª EDIÇÃO 2026</t>
  </si>
  <si>
    <t>PATCH BORDADO TAG TARJA EM TRENINAMENTO 2X8 8669</t>
  </si>
  <si>
    <t>PARAFUSO DE METAL P/ PASTA NIQUELADO 15MM C/50 PEÇAS</t>
  </si>
  <si>
    <t>ODORIZANTE HORTELA 140ML</t>
  </si>
  <si>
    <t>AROMATIZANTE LAVANDA 5LT</t>
  </si>
  <si>
    <t>AROMATIZANTE LIQUIDO 5L  EUCALIPTO</t>
  </si>
  <si>
    <t>00073252 DESOD.BOM AR AERO 1X360ML</t>
  </si>
  <si>
    <t>BOM AR FRESH TOQUE DE ALGODÃO</t>
  </si>
  <si>
    <t>BOM AR TALCO 360ML</t>
  </si>
  <si>
    <t>NOVA SIRENE 12V</t>
  </si>
  <si>
    <t>FERRO DE SOLDA 100W 127V</t>
  </si>
  <si>
    <t>FERRO DE SOLDA 100W 220V PROFISSIONAL</t>
  </si>
  <si>
    <t>EXAUSTOR INDUSTRIAL 50CM 127V</t>
  </si>
  <si>
    <t>EXAUSTOR INDUTRIAL 40CM 220V</t>
  </si>
  <si>
    <t>KIT COM 6 FACAS DESOSSA CURVADA BRANCA</t>
  </si>
  <si>
    <t>LUVA SKI PROFISSIONAL NEVE SNOW</t>
  </si>
  <si>
    <t>ANTENAS CORTA PIPA (MOTO)</t>
  </si>
  <si>
    <t>KIT 20 UNIDADES REUTILIZE SACOS</t>
  </si>
  <si>
    <t>20 PANOS MICROFIBRA CINZA 30X30 PREMIUM LIMPA VIDROS E PIA</t>
  </si>
  <si>
    <t>capa termiga SAVE GOODS PARA PALETE</t>
  </si>
  <si>
    <t>MACACÃO REFLETIVO/BRIM 100% ALGODÃO 56=G</t>
  </si>
  <si>
    <t>CONJUNTO CAPA DE CHUVA MOTOQUEIRO (G)</t>
  </si>
  <si>
    <t>CONJUNTO CAPA DE CHUVA MOTOQUEIRO (M)</t>
  </si>
  <si>
    <t>CONJUNTO DE CHUVA NYLON G PANTANEIRO</t>
  </si>
  <si>
    <t>CAPA DE CHUVA EXG</t>
  </si>
  <si>
    <t>CAPA DE CHUVA PVC FORRADA (G)</t>
  </si>
  <si>
    <t>SPRAY AUTOMOTIVO AMARELO CATERPILAR BRILHANTE RUST OLEUM</t>
  </si>
  <si>
    <t>MINI PC DELL OPTIPLEX 7040 CORE 15-6600T 8GB SSD M.2 256GB</t>
  </si>
  <si>
    <t>MASCARA PARA SOLDA REG.AUTOMÁTICA MSL 5000 LYNUS</t>
  </si>
  <si>
    <t xml:space="preserve">SUPORTE APLICADOR FIME STRETCH </t>
  </si>
  <si>
    <t>IMPRESSORA EPSON L6270 MULTIFUNCIONAL ECOTANK WIFI-FI USB BIVOLT</t>
  </si>
  <si>
    <t>REFIL FIO DENTAL 500M</t>
  </si>
  <si>
    <t>FERRO DE PASSA A SECO BLACK DECKER 220V</t>
  </si>
  <si>
    <t>GRAMPEADOR ALICATE CIS HP-45</t>
  </si>
  <si>
    <t xml:space="preserve">LANTERNA DE CABECA </t>
  </si>
  <si>
    <t>PROTETOR DISCO ESMERILHADEIRA MAKITA ORIGINAL 41/2 C/ENGATE</t>
  </si>
  <si>
    <t>SWITCH GER 24P+4P POE S2328G-PA</t>
  </si>
  <si>
    <t>SWITCH GERENC 24P SKD SG4204D POE MAX</t>
  </si>
  <si>
    <t>ANTI DESLIZANTE P/CORREIAS 220ML</t>
  </si>
  <si>
    <t>TERMOMETRO DIGITAL COLORIDO BRANCO SIMPLES</t>
  </si>
  <si>
    <t>TRAVA PALLETS</t>
  </si>
  <si>
    <t>PLAQUETA SINALIZAÇAO NUMEROS ARMARIO MESA KIT6,5X2,5 CM</t>
  </si>
  <si>
    <t>MORDENTE BICO DE PATO FSC0617 P/LATARIA AUTOMOTIVA</t>
  </si>
  <si>
    <t>NOBREAK ATTIV 1500VA-BI 4822212</t>
  </si>
  <si>
    <t xml:space="preserve">NOBREAK ATTIV 600VA 220V </t>
  </si>
  <si>
    <t>BOMBA MANUAL P/ TRANSFERENCIA OLEO</t>
  </si>
  <si>
    <t>MOCHILA SACO COLORIDO EM NYLON PERSONALIZADO</t>
  </si>
  <si>
    <t xml:space="preserve">20 UNIDADES SQUEEZE 500 ML - BRANCO </t>
  </si>
  <si>
    <t>20 UNIDADES SQUEEZE 500 ML PLASTICO VERDE .</t>
  </si>
  <si>
    <t>KIT 25 SQUEEZE 500ML DIVERSAS CORES</t>
  </si>
  <si>
    <t>KIT 35 SQUEEZE 500ML DIVERSAS CORES</t>
  </si>
  <si>
    <t xml:space="preserve">BEBEDOURO ELETRONICO </t>
  </si>
  <si>
    <t>CANETA MAGNETICA COM LED</t>
  </si>
  <si>
    <t xml:space="preserve">LUVA TERMICA TOUCH SCREEN </t>
  </si>
  <si>
    <t>ROLETE DE BORRACHA IMPRESSORA ZEBRA S4M/ Z4M+</t>
  </si>
  <si>
    <t>CABEÇA DE IMPRESSAO TERMICA ZEBRA</t>
  </si>
  <si>
    <t xml:space="preserve">TECLADO COMPATIVEL NOTEBOOK </t>
  </si>
  <si>
    <t>PASTA TERMICA PRATA</t>
  </si>
  <si>
    <t>ROLETE PARA MÁQUINA DE CALCULAR</t>
  </si>
  <si>
    <t xml:space="preserve">SSD HD KINGSTON 240 GB COR PRETO RAPIDO NOTEBOOK E PC </t>
  </si>
  <si>
    <t>SSD WD GREEN PC SN350 240GB PCI</t>
  </si>
  <si>
    <t>FITA COMPATIVEL BROTHER TZE-641 AMARELA LETRA PRETA 18MM</t>
  </si>
  <si>
    <t>FONTE 12V 2A PARA ROTULADOR BROTHER PTe300 PTe500 PTe550</t>
  </si>
  <si>
    <t>BOIA TORPEDO TILASCA LASTRO ENCAPSULADO VERMELHA</t>
  </si>
  <si>
    <t xml:space="preserve">MEMORIA RAM BASICS COLOR VERDE 8GB 1 CRUCIAL </t>
  </si>
  <si>
    <t>SUPORTE DE NOTEBOOKERGONOMICO PLASTICO</t>
  </si>
  <si>
    <t>FURADEIRA DE BANCADA MFB -16 MANDRIL 5/8 500W</t>
  </si>
  <si>
    <t>CABO MICRO USB V8 (1 METRO)</t>
  </si>
  <si>
    <t>PEN DRIVE 64GB USB 2.0 C</t>
  </si>
  <si>
    <t>RADIO FM/MP3 (BLUETOOTH) USB/SD 25W-1</t>
  </si>
  <si>
    <t>KIT 4 RADIOS COMUNICADOR 777S 16 CANAIS</t>
  </si>
  <si>
    <t>APOIO P/DIGITACAO EM GEL P/TECLADO</t>
  </si>
  <si>
    <t xml:space="preserve">APOIO ERGONOMICO P/OS PES </t>
  </si>
  <si>
    <t>ADAPTADOR REBITADEIRA PARA PARAFUSADEIRA FURADEIRA LORBEN</t>
  </si>
  <si>
    <t>FILTRO DE GELATINA 197 ALICE BLUE - 50X60CM</t>
  </si>
  <si>
    <t>IMÃ MANTA ADESIVA A4</t>
  </si>
  <si>
    <t>ESPATULA COM FELTRO ANTI RISCO PARA ENVELOPAMENTO DE ADESIVO</t>
  </si>
  <si>
    <t>4 ESPATULAS DE FELTRO ANTI RISCO PARA ENVELOPAMENTO</t>
  </si>
  <si>
    <t>CARRINHO DE MÃO 55L</t>
  </si>
  <si>
    <t xml:space="preserve">KIT RESTAURADOR DE VIDRO REMOVE MANCHA, TOALHA, APLICADOR </t>
  </si>
  <si>
    <t>RELOGIO DE PAREDE</t>
  </si>
  <si>
    <t>ESPETO DE BAMBU 25CM C/50</t>
  </si>
  <si>
    <t>CADEIRA ESCRITORIO DIRETOR DIR-003 PRETO</t>
  </si>
  <si>
    <t>CALCULADORA AL8089</t>
  </si>
  <si>
    <t>LIXEIRA ESCRITORIO COZINHA BANHEIRO C/PEDAL 15LT</t>
  </si>
  <si>
    <t>CHAVEIRO CAPACETE EPI</t>
  </si>
  <si>
    <t>VENTILADOR DE COLUNA BRITANIA BVT 350 MAXX FORCE</t>
  </si>
  <si>
    <t>VENTILADOR DE PAREDE VENTISOL OSCILANTE PREMIUM BIVOLT</t>
  </si>
  <si>
    <t>ALICATE AMPERIMETRO DIGITAL 600V MINIPA</t>
  </si>
  <si>
    <t>ALICATE AMPERIMETRO DIGITAL LOTUS</t>
  </si>
  <si>
    <t>ESMERILHADEIRA ANGULA 4.1/2 800W 220V</t>
  </si>
  <si>
    <t>CLIPADEIRA HIDRALICA PORTATIL AR CONDICIONADO AUTOMOTIVO</t>
  </si>
  <si>
    <t xml:space="preserve">ALICATE DE METAL P/CORTA MANQUEIRA DE ARCONDICIONADO AUTO </t>
  </si>
  <si>
    <t>FITA DE IMPRESSAO P/ RELOGIO</t>
  </si>
  <si>
    <t>BOTA ACQUA SOFT PRETA N°41 SEM BIQUEIRA</t>
  </si>
  <si>
    <t>755131 TORNEIRA ESFERA JARDIM C/ALAVANCA 7005</t>
  </si>
  <si>
    <t>PLACA WRELESS DELL LATITUDE 14 E S470 DW 1820</t>
  </si>
  <si>
    <t>CORTADORA DE TIRAS E CUBOS CBC 200</t>
  </si>
  <si>
    <t>MOUSE PAD EM PVC PRETO APP-TECH</t>
  </si>
  <si>
    <t>REGUA 30CM</t>
  </si>
  <si>
    <t>MARCA TEXTO LARANJA MAXPRINT</t>
  </si>
  <si>
    <t>CLIPS 2/0 CX 100 GALV REF 0806 -0 BACCHI</t>
  </si>
  <si>
    <t xml:space="preserve">EXTRATOR DE GRAMPO </t>
  </si>
  <si>
    <t>CADERNO 96 FLS PAUTA B</t>
  </si>
  <si>
    <t xml:space="preserve">BLOCO POST 654 76X76 CAOLEÇAO SUPER NOVA </t>
  </si>
  <si>
    <t xml:space="preserve">CRACHAS </t>
  </si>
  <si>
    <t>ALMOXARIFADO 4- UNIFORME</t>
  </si>
  <si>
    <t>PORTA CRACHA HORIZ. E VERT. BGE-547 AZUL - C/10</t>
  </si>
  <si>
    <t>PORTA CRACHA HORIZ. E VERT. BGE-547 TRANSPARENTE - C/10</t>
  </si>
  <si>
    <t xml:space="preserve">VASELINA LÍQUIDA 1LT </t>
  </si>
  <si>
    <t>BLUSA POLO MOTORISTA AZUL CELESTE (M)</t>
  </si>
  <si>
    <t>HIGIENIZADOR DE AR COND. ORBI 200ML</t>
  </si>
  <si>
    <t>MOTOR DE DIREÇAO CROW RM 143912</t>
  </si>
  <si>
    <t>PORTA ESCOVAS - PC4500 (128742)</t>
  </si>
  <si>
    <t>CINTA ERGONOMICA (EEG)</t>
  </si>
  <si>
    <t>RESERVATORIO AGUA DO VOLKS 515239</t>
  </si>
  <si>
    <t>SENSOR NOX ARLA ACCELO 1016</t>
  </si>
  <si>
    <t>CORREIA A-45</t>
  </si>
  <si>
    <t xml:space="preserve">HASTE DO LIMPADO LD ACCELO </t>
  </si>
  <si>
    <t>HASTE LIMPADO ESQ ACCELO</t>
  </si>
  <si>
    <t>PALHETA PARABRISA ACCELO</t>
  </si>
  <si>
    <t>PORCA MANGA EIXO DELIVERY 23B/ 407644A</t>
  </si>
  <si>
    <t>APOIO 23B/407661/A</t>
  </si>
  <si>
    <t xml:space="preserve">BLOCO ADESIVO POST IT 76MMX102MM AMARELO C/ 100 </t>
  </si>
  <si>
    <t>BOTINHA/PANTUFA TÉRMICA NYLON AZUL</t>
  </si>
  <si>
    <t>LIMPA CONTATO 300ML</t>
  </si>
  <si>
    <t>CINTA ABDOMINAL/LOMBAR RETA (P)</t>
  </si>
  <si>
    <t>CAPA LOMBAR CRUA 7/8 CRU - T.UNICO</t>
  </si>
  <si>
    <t>JAPONA TERMICA NYLON AZUL (-45 ) M</t>
  </si>
  <si>
    <t>SACO PLÁSTICO PEBD/PE 50x80</t>
  </si>
  <si>
    <t>CONJUNTO DE MOLETOM BRANCO (GG)</t>
  </si>
  <si>
    <t>HIPOCLORITO DE SODIO 50L (60KG) CLORO ATIVO START</t>
  </si>
  <si>
    <t xml:space="preserve">FICHA TECNICA DO MOTORISTA </t>
  </si>
  <si>
    <t>ELASTICO 50GRS AMARELO</t>
  </si>
  <si>
    <t>FITA TRANSPARENTE DUREX 48 x 50MM</t>
  </si>
  <si>
    <t>CAPACITOR 25UF 250V 2 FIOS</t>
  </si>
  <si>
    <t>PEROXY 3000 5 LITROS PEROXY</t>
  </si>
  <si>
    <t>CINTA ERGONOMICA (G)</t>
  </si>
  <si>
    <t>DIFUSOR DE AROMAS 100ML BAMBU</t>
  </si>
  <si>
    <t xml:space="preserve">CAIXA PARA CORRESPONDENCIA TRIPLA CRISTAL ESCANINHO </t>
  </si>
  <si>
    <t>GARRAFA TERMICA MAGIC PUMP 1.81(PRESSAO)PRETA 54</t>
  </si>
  <si>
    <t>PAPEL HIGIENICO INTERFOLHADO 620FOLHAS</t>
  </si>
  <si>
    <t>ENVELOPE 24X34  C/100UN</t>
  </si>
  <si>
    <t>BOTA PVC BRANCA N/43</t>
  </si>
  <si>
    <t xml:space="preserve">TOMADA SENSOR DE TEMPERATURA </t>
  </si>
  <si>
    <t>LANTERNA TRZ C/CONECTOR - C/VIGIA</t>
  </si>
  <si>
    <t xml:space="preserve">OLEO MOBIL 4T 20W50 SUPERMOTO </t>
  </si>
  <si>
    <t>PAPEL TOALHA FLUXO CENTRAL 120M</t>
  </si>
  <si>
    <t>CHAVE ALLEN CURTA C/PO</t>
  </si>
  <si>
    <t>PORTA CADEADO 4 1/2</t>
  </si>
  <si>
    <t>ATLAS TRINCHA 1¨ - 395/3 UN 395/3</t>
  </si>
  <si>
    <t>JAPONA TERMICA NYLON AZUL (GG)</t>
  </si>
  <si>
    <t>SABONETE ESPUMA PRIMAVERA CX (6X800ML)</t>
  </si>
  <si>
    <t xml:space="preserve">ALCOOL LIQUIDO 70 GL COLMEIA S/ VALVULA CX(O6 X 600ML) </t>
  </si>
  <si>
    <t>LAMPADA LED 90W 15W 6500K</t>
  </si>
  <si>
    <t>CLIPS 2/0 GALVANIZADO CX C/100 LINHA LEVE</t>
  </si>
  <si>
    <t xml:space="preserve">CANETA MARCADOR PERMANENTE 1,0MM </t>
  </si>
  <si>
    <t>ARLA REDUX32 GRANEL PRODUÇÃO</t>
  </si>
  <si>
    <t>SCS PLAST TR PR 20.0X30.0</t>
  </si>
  <si>
    <t>SCS PLAST 20.0 X30.0 790013</t>
  </si>
  <si>
    <t>SCS PLAST BM 100 22.00X40.00 L 508649</t>
  </si>
  <si>
    <t>ELEMENTO FILTRANTE / FILTRO DO COMBUSTIVEL 2V3127177B METEOR VW</t>
  </si>
  <si>
    <t>A 0014770015 ELEMENTO DO FILTRO DE COMBUSTIVEL</t>
  </si>
  <si>
    <t>DEGRAU 23B 854750B 9B9</t>
  </si>
  <si>
    <t>BUCHA DA PONTA BARRA ESTABILIZADORA 1000196</t>
  </si>
  <si>
    <t>CJ GRADE FRONTAL DO RADIADOR A9797500018</t>
  </si>
  <si>
    <t>CORREIA A-38</t>
  </si>
  <si>
    <t>ENGATE RAPIDO FEMEA ROSCA 1/2 PARA AR COMPRIMIDO SF40</t>
  </si>
  <si>
    <t>BOTA DE COURO Nº41 TERMICA BRANCOL</t>
  </si>
  <si>
    <t xml:space="preserve">TOUCA NINJA/BALACLAVA LA AZUL </t>
  </si>
  <si>
    <t xml:space="preserve">CAMISA DE MANGA G-BRANCA </t>
  </si>
  <si>
    <t xml:space="preserve">CADEADO 25MM </t>
  </si>
  <si>
    <t>REFLETOR LED TR SLIM 50W 6500K PRETO</t>
  </si>
  <si>
    <t>REFLETOR LED TR 200W 6500K PRETO</t>
  </si>
  <si>
    <t>FIO CABO FLEX 750V 6,00MM VD/AM BRASILEIRINHO</t>
  </si>
  <si>
    <t>BOTA DE COURO N/41</t>
  </si>
  <si>
    <t>MAZA MARTELADO VERDE BRASIL 1/4 1137</t>
  </si>
  <si>
    <t>MAZA ZARCAO CINZA ESCURO 1/4  15454</t>
  </si>
  <si>
    <t>THINNER 5L MONTANA</t>
  </si>
  <si>
    <t>INTERRUPTOR 1 SESSAO</t>
  </si>
  <si>
    <t>FAME 0339 MODULARE EVIDENCE MOD INT 1 BS</t>
  </si>
  <si>
    <t>SENSOR INDUTIVO 4 PINOS REDONDO (35MM)</t>
  </si>
  <si>
    <t>COXIM APOIO TRAV. CAMBIO ACCELO MARCA SUPORTE REI</t>
  </si>
  <si>
    <t>ROLETE SAPATA DE FREIO  BENDIX (32.OMM)</t>
  </si>
  <si>
    <t>TAMPA DO TANQUE C2</t>
  </si>
  <si>
    <t xml:space="preserve">PASTA ABA ELAST OF FINA LINE </t>
  </si>
  <si>
    <t>CAMISA CARECA P.V. PREMIUM CINZA (GG)</t>
  </si>
  <si>
    <t>CALÇA DE MOTORISTA AZUL ROYAL (M)</t>
  </si>
  <si>
    <t>JAPONA TERMICA NYLON AZUL (-45) G</t>
  </si>
  <si>
    <t xml:space="preserve">BOTA COURO TERMICA BRACOL Nº42 </t>
  </si>
  <si>
    <t>BLUSA POLO BRANCA MASCULINA (G)</t>
  </si>
  <si>
    <t>CORDA 4MM BRANCA</t>
  </si>
  <si>
    <t>CONJ. MOLETOM MAC. MARINHO</t>
  </si>
  <si>
    <t>CINTA ABDOMINAL G</t>
  </si>
  <si>
    <t>CALÇA BRANCA M</t>
  </si>
  <si>
    <t>CAMISA BRANCA CARECA SIPAT MASCULINO (M)</t>
  </si>
  <si>
    <t>SABONETE ESPULMA C/TRICLOSAN</t>
  </si>
  <si>
    <t>CALÇA BRIM AZUL COBALTO (GG)</t>
  </si>
  <si>
    <t>CAMISA CARECA PREMIUM AZUL MARINHO (G)</t>
  </si>
  <si>
    <t>REMENDO SBR1 SCHEBOR</t>
  </si>
  <si>
    <t>RODAPULSO 23B/614149C</t>
  </si>
  <si>
    <t>MANGUEIRA 23B/121101</t>
  </si>
  <si>
    <t>ROLAMENTO DUPLO (VW 11.180) OMD23B501611A</t>
  </si>
  <si>
    <t>ESTICADOR CABO DE AÇO 1/4</t>
  </si>
  <si>
    <t xml:space="preserve">CLIPS CABO AÇO 1/4 C02 PSÇ </t>
  </si>
  <si>
    <t>P. MDF 4,5X35 100PÇS 1458</t>
  </si>
  <si>
    <t>BUCHA USAF 06 U-BS SC 1000UN 0001</t>
  </si>
  <si>
    <t>CABO DE AÇO GALV. 1/8 3,20MM 6X7</t>
  </si>
  <si>
    <t>BOTÃO FRANCES P&amp;J C/02 PÇS ABS CR</t>
  </si>
  <si>
    <t>CALÇA  DE MOTORISTA XGG</t>
  </si>
  <si>
    <t>BOTA DE COURO N/40</t>
  </si>
  <si>
    <t>CONJUNTO DE MOLETOM BRANCO (M)</t>
  </si>
  <si>
    <t>MECANISMO ELEVADOR DO VIDRO SC/40</t>
  </si>
  <si>
    <t xml:space="preserve">VIPES ULTRACLEANER 500ML </t>
  </si>
  <si>
    <t xml:space="preserve">TF7 CONVERTEDOR DE FERRUGEM 1L </t>
  </si>
  <si>
    <t>BOTA DE PVC BRANCA N/44,45</t>
  </si>
  <si>
    <t xml:space="preserve">KIT MAÇANETA INTERNA LE VW DELIVERY </t>
  </si>
  <si>
    <t>DIPIRONA SODICA 500MG C/10</t>
  </si>
  <si>
    <t>PASTA CELAST. POLIP. A4 TRANSPARENTE LINE A02 PLASE</t>
  </si>
  <si>
    <t>PILHA ALCALINA PALITO (AAA)</t>
  </si>
  <si>
    <t xml:space="preserve">PASTA ABA ELASTICO 3CM </t>
  </si>
  <si>
    <t>TESOURA 20CM</t>
  </si>
  <si>
    <t>ALAVANCA  DE MACHA SPRINTER 2002/2012 IMPORTADA</t>
  </si>
  <si>
    <t>BARRA DE DIRECAO CURTA MB ACCELO ACCELO /3465 MARCA PARALELA (MB 815)</t>
  </si>
  <si>
    <t>RESERVATORIO DE OLEO HIDRAULICO SPRINTER</t>
  </si>
  <si>
    <t>CAMISA POLO FEMININA AZUL M</t>
  </si>
  <si>
    <t>CAMISA POLO FEMININA VERMELHA M</t>
  </si>
  <si>
    <t>LAMPADA H4 24V MARCA WURTH</t>
  </si>
  <si>
    <t>CHICOTE 2P0/971079/F</t>
  </si>
  <si>
    <t>BOTA DE COURO N/42</t>
  </si>
  <si>
    <t>PILHA ALCALINA NORMAL (AA)</t>
  </si>
  <si>
    <t>Grupo</t>
  </si>
  <si>
    <t>Unidade de Medida</t>
  </si>
  <si>
    <t>Data última entrada</t>
  </si>
  <si>
    <t>Data última saída</t>
  </si>
  <si>
    <t>Valor Última Compra</t>
  </si>
  <si>
    <t>Custo Médio</t>
  </si>
  <si>
    <t>Valor Total em Estoque</t>
  </si>
  <si>
    <t>Mínimo (sistema)</t>
  </si>
  <si>
    <t>Máximo (sistema)</t>
  </si>
  <si>
    <t>Qtd Cadastros Mesmo Produto</t>
  </si>
  <si>
    <t>Chave Único (p/ ranking)</t>
  </si>
  <si>
    <t>ÓLEO SAE 15W 40 20L</t>
  </si>
  <si>
    <t>MANUTENCAO TRANSPORTE</t>
  </si>
  <si>
    <t>Un</t>
  </si>
  <si>
    <t>ÓLEO BATF TA OH50</t>
  </si>
  <si>
    <t>ÓLEO 4L (COD. 3E9902.000)</t>
  </si>
  <si>
    <t>ÓCULOS ESCURO</t>
  </si>
  <si>
    <t>ÁLCOOL GEL ALL CLEAN 70% 5L MARCA MERCOTECH</t>
  </si>
  <si>
    <t>MATERIAL DE LIMPEZA</t>
  </si>
  <si>
    <t>ÁGUA OXIGENADA 10V 100ML</t>
  </si>
  <si>
    <t>ZU- 80 GL 000510</t>
  </si>
  <si>
    <t>MANUTENÇAO PREDIAL</t>
  </si>
  <si>
    <t>XADREX CORANTE EM PO 250G PRETO</t>
  </si>
  <si>
    <t>Pç</t>
  </si>
  <si>
    <t>WORKER MAÇARICO PORTATIL AUTOMATICO 360º MAPP</t>
  </si>
  <si>
    <t>WEG TOMADA SOB 2PT 32A 380V 9H IP44</t>
  </si>
  <si>
    <t>WEG PLUG 2PT 32A 380V IP44</t>
  </si>
  <si>
    <t>WEG INT DISJUNTOR 63A</t>
  </si>
  <si>
    <t>WEG DISJUNTOR DIN 3 X 50A C</t>
  </si>
  <si>
    <t xml:space="preserve">WEG DISJUNTOR DIN 3 X 25A C </t>
  </si>
  <si>
    <t>WEG CHAVE MAGNETICA PDW 220 3F 3CV</t>
  </si>
  <si>
    <t>VÁLVULA P/ MICTÓRIO AUTOMATICO 1/2</t>
  </si>
  <si>
    <t>VONDER ESPIGAO 1/4 MX 1/4 5114</t>
  </si>
  <si>
    <t xml:space="preserve">VIRABREQUIM DO MOTOR VW </t>
  </si>
  <si>
    <t>VIRA MACHO ROCAST T LONGO 5M-12M</t>
  </si>
  <si>
    <t>VIPES.AUT.FINA ABRAC INOX 13X19MM</t>
  </si>
  <si>
    <t>VIPES TINTA SPRAY PRETO FOSCO 400ML</t>
  </si>
  <si>
    <t>VIPES SILICONE SPRAY CARRO NOVO</t>
  </si>
  <si>
    <t>VINCISOLV P/ACRILICO E DUPLA AÇAO LATA 5 LITROS</t>
  </si>
  <si>
    <t>VINCA</t>
  </si>
  <si>
    <t>JARDINAGEM</t>
  </si>
  <si>
    <t>COZINHA</t>
  </si>
  <si>
    <t>VIDRO ESPELHO RETROVISOR LD 23B877522B</t>
  </si>
  <si>
    <t>VIDRO ESPELHO RETROVISOR (LE) MARCA ORIGINAL (VW 11.180)</t>
  </si>
  <si>
    <t xml:space="preserve">VIDRO ESPELHO RETROVISOR  MARCA ORIGINAL (VW 11.180) </t>
  </si>
  <si>
    <t>VIBRA STOP MINI 1/2 CONJ 4 UND (PÉ)</t>
  </si>
  <si>
    <t>VIBRA STOP MICRO III 5/16</t>
  </si>
  <si>
    <t>VIBRA STOP MICRO III 1/2</t>
  </si>
  <si>
    <t>VIAPOL VIAFLEX VEDA FITA 30 X 1M ALUMINIO</t>
  </si>
  <si>
    <t xml:space="preserve">VIAPOL FITA ADESIVA 45CM </t>
  </si>
  <si>
    <t>VERNIZ ZU 80GL</t>
  </si>
  <si>
    <t>VERNIZ PREMIUM SOLARE FILTRO SOLAR MONTANA</t>
  </si>
  <si>
    <t xml:space="preserve">VERNIZ OSMOTOL DECK SEMI BRILHO IPE 3,6L MONTANA </t>
  </si>
  <si>
    <t>VERNIZ BI 10.000 C/CATALIZADOR RAPIDO SKY</t>
  </si>
  <si>
    <t>VERGALHAO CA 60 4.20MM (3/16)</t>
  </si>
  <si>
    <t>VERGALHAO CA 50 12.50MM(1/2)</t>
  </si>
  <si>
    <t xml:space="preserve">VERGALHAO CA 50 10.00 MM </t>
  </si>
  <si>
    <t>VENTOSA SIMPLES P/REM DE VIDRO</t>
  </si>
  <si>
    <t>PATRIMÔNIO</t>
  </si>
  <si>
    <t>VENTILADOR (COD. VO221666250)</t>
  </si>
  <si>
    <t>VELA TREZE ESTRELAS OURO 4C</t>
  </si>
  <si>
    <t>VELA TITAN / FAN 150 /BROS NGK</t>
  </si>
  <si>
    <t>VELA NGK BP5HS VW SEDAN(BUGRE)</t>
  </si>
  <si>
    <t>VELA IGUINIÇÃO BKR7ESBD FOX FLEX 04 MARCA PARALELA SAVEIRO</t>
  </si>
  <si>
    <t>VELA DR8EA-N FAZER/ LANDER 2012 E.</t>
  </si>
  <si>
    <t>VELA DE IGNIÇÃO NGK BPM7A (ROÇADEIRA)</t>
  </si>
  <si>
    <t>VELA AQUECEDORA SPRINTER</t>
  </si>
  <si>
    <t>VEDAÇÃO (COD. 5256541)</t>
  </si>
  <si>
    <t>VEDAÇAO P/REPARO MANGUEIRA DE MANOMETRO(MANIFOLD)</t>
  </si>
  <si>
    <t>VEDA TUDO 100G</t>
  </si>
  <si>
    <t xml:space="preserve">VEDA PORTA 70CM </t>
  </si>
  <si>
    <t>VEDA ESCAPE</t>
  </si>
  <si>
    <t>VASSOURA V16</t>
  </si>
  <si>
    <t>VASSOURA ROSSI MODERNA</t>
  </si>
  <si>
    <t>VASSOURA PARABRISA SEM CABO</t>
  </si>
  <si>
    <t>VASSOURA PALHETA FIXA C/CABO</t>
  </si>
  <si>
    <t>VASSOURA MULTIUSO</t>
  </si>
  <si>
    <t>VASSOURA LAVA ONIBUS PITA C/CABO 1,5MTS START</t>
  </si>
  <si>
    <t>VASSOURA JARDIM PLASTICA 26D C/C LARANJA</t>
  </si>
  <si>
    <t>VASSOURA JARDIM PLASTICA 18D C/C 1,20CM</t>
  </si>
  <si>
    <t xml:space="preserve">VASSOURA GARI </t>
  </si>
  <si>
    <t xml:space="preserve">VASSOURA DE PIAÇAVA </t>
  </si>
  <si>
    <t>VASSOURA DE PELO ANIMAL 40</t>
  </si>
  <si>
    <t>VASSOURA C/ESCOVA REFORÇADO</t>
  </si>
  <si>
    <t>VASSOURA ANCINHO DE FERRO</t>
  </si>
  <si>
    <t>VASSOURA ANCINHO</t>
  </si>
  <si>
    <t>VASOS DE PLANTA DIVERSO</t>
  </si>
  <si>
    <t>VASELINA SPRAY 300ML TEK BOND</t>
  </si>
  <si>
    <t>VASELINA SOLIDA BALDE</t>
  </si>
  <si>
    <t xml:space="preserve">VASELINA LIQUIDA 500ML </t>
  </si>
  <si>
    <t>VASELINA BALDE 3KG GITANES</t>
  </si>
  <si>
    <t>VARIADOR LUMININ/VELOCIDADE BIVOLT</t>
  </si>
  <si>
    <t>VARETA SUSTENTAÇÃO CAPÔ</t>
  </si>
  <si>
    <t xml:space="preserve">VARETA DO NIVEL DE OLEO DO MOTOR SPRINTER </t>
  </si>
  <si>
    <t>VARETA DE OLEO 23A/115611</t>
  </si>
  <si>
    <t>VARAO LD INOX 2,275 C/CABO-PUNHO-TRINCO</t>
  </si>
  <si>
    <t>VALVULA TR414 MARCA PARALELA</t>
  </si>
  <si>
    <t>VALVULA TERMOSTATICA 82 VT459.82</t>
  </si>
  <si>
    <t xml:space="preserve">VALVULA SCHIRAIDER </t>
  </si>
  <si>
    <t>VALVULA S/C TR9211</t>
  </si>
  <si>
    <t>VALVULA RET PI8023</t>
  </si>
  <si>
    <t xml:space="preserve">VALVULA RELE ACCELO </t>
  </si>
  <si>
    <t>VALVULA REGULADORA DE PRESSAO</t>
  </si>
  <si>
    <t xml:space="preserve">VALVULA REGULADORA DE AR 2307 </t>
  </si>
  <si>
    <t>VALVULA REAL LAVATORIO 7/8 S/LADRAO</t>
  </si>
  <si>
    <t>VALVULA PEDAL - 1620/1721/ATEGO</t>
  </si>
  <si>
    <t>VALVULA P/TANQUE.S/LAD.S/UNHO BRANCO VT</t>
  </si>
  <si>
    <t>VALVULA FUNDO DE POÇO 3/4</t>
  </si>
  <si>
    <t>VALVULA FREIO MOTOR SOLENOIDE 24V 2220</t>
  </si>
  <si>
    <t>VALVULA ESFERA PN25 3/4 MARCA DOCOL</t>
  </si>
  <si>
    <t>VALVULA DESCARGA RAPIDA 22CM K001003-60</t>
  </si>
  <si>
    <t>VALVULA DE RODOAR</t>
  </si>
  <si>
    <t>VALVULA DE RETENCAO SOLD 32MM</t>
  </si>
  <si>
    <t>VALVULA DE FREIO DE MÃO MBB</t>
  </si>
  <si>
    <t xml:space="preserve">VALVULA DE ALIVIO </t>
  </si>
  <si>
    <t>VALVULA CONTROLADORA MULTIFUNCIONAL KARCHER</t>
  </si>
  <si>
    <t>VALVULA CONECTORA COMPRESSOR 10PA15</t>
  </si>
  <si>
    <t>VALVULA BLOCK CAMINHAO VW DELIYER 6 160/9-170/11180</t>
  </si>
  <si>
    <t>VALVULA A 6110780149</t>
  </si>
  <si>
    <t>VALVULA 4 CIRCUITO SAIDA 22MM</t>
  </si>
  <si>
    <t>VALV RET UNIV SCHRADER R12/R134A PCT C/10</t>
  </si>
  <si>
    <t>VALEPLAST AMARELA REFORÇADA 4X1M 24KG METRO</t>
  </si>
  <si>
    <t>VALE COM CANHOTO 50 FOLHAS</t>
  </si>
  <si>
    <t>VALE COM CANHOTO 100 FOLHAS</t>
  </si>
  <si>
    <t>V7 DESENGRAXANTE SPRAY 500ML</t>
  </si>
  <si>
    <t>V6 ESPUMA ESTOFADOS 300ML</t>
  </si>
  <si>
    <t>V10 SILICONE GREY NEUTRO A TEMP</t>
  </si>
  <si>
    <t xml:space="preserve">V.FERRO 04.20MM 3/16X12M 1,31 KG GERDAU/ARCELOR </t>
  </si>
  <si>
    <t>UREIA 1KG</t>
  </si>
  <si>
    <t>UNIÃO PU DE 4MM</t>
  </si>
  <si>
    <t>UNIÃO PLASTICA 12MM</t>
  </si>
  <si>
    <t>UNIÃO INSTANTANEA 8MM</t>
  </si>
  <si>
    <t>UNIÃO INSTANTANEA 12MM PLASTICO</t>
  </si>
  <si>
    <t>UNIÃO ESCAMA 12MM</t>
  </si>
  <si>
    <t>UNIÃO AQUATHERM 22MM TIGRE</t>
  </si>
  <si>
    <t>UNIAO TEE INST PLASTICA 8MM</t>
  </si>
  <si>
    <t>UNIAO TEE INST PLASTICA 6MM</t>
  </si>
  <si>
    <t>UNIAO TEE INST PLASTICA 12MM</t>
  </si>
  <si>
    <t>UNIAO TEE INST PLASTICA 10MM</t>
  </si>
  <si>
    <t>UNIAO SOLD 25MM</t>
  </si>
  <si>
    <t xml:space="preserve">UNIAO RETA ENG RAPIDO  12MM </t>
  </si>
  <si>
    <t>UNIAO INSTANTANEA ENGATE RAPIDO 6MM</t>
  </si>
  <si>
    <t>UNIAO INSTANTANEA 10MM</t>
  </si>
  <si>
    <t>UNIAO ENG RAPIDO -08MM</t>
  </si>
  <si>
    <t>UNIAO 3/8</t>
  </si>
  <si>
    <t>UNIAO 10MM AL.C/VENTIL R134</t>
  </si>
  <si>
    <t>UNIAO 1/4 NPT X 1/2  NPT</t>
  </si>
  <si>
    <t xml:space="preserve">UNIAO 1/2 NPT X 1/4 NPT </t>
  </si>
  <si>
    <t>UNIAO 1.1/ 2 FERRO GALVANIZADO 150 LBS</t>
  </si>
  <si>
    <t>UNIAO 08MM AL.C/VENTIL R134</t>
  </si>
  <si>
    <t>ULTRAGEAR 90 - 1L</t>
  </si>
  <si>
    <t>TURBO COMPRESSOR (A 9240963899)</t>
  </si>
  <si>
    <t>TURBINA TURBO COMPRESOR SPRINTER OKTB- 439 FRES-N</t>
  </si>
  <si>
    <t>TURBINA SPRINTER</t>
  </si>
  <si>
    <t>TURBINA BBV924 CTT</t>
  </si>
  <si>
    <t>TUPA REBITE ALUMINIO 10X14</t>
  </si>
  <si>
    <t>TUBULAÇAO DE COMBUSTIVEL A6110707632</t>
  </si>
  <si>
    <t>TUBO SANFONADO REFORÇADO 241</t>
  </si>
  <si>
    <t xml:space="preserve">TUBO SAIDA MOTOR </t>
  </si>
  <si>
    <t>TUBO NYLON EXT 8X INT 6MM 25M S/TRA</t>
  </si>
  <si>
    <t>m</t>
  </si>
  <si>
    <t>TUBO NYLON 4X2 -TODOS</t>
  </si>
  <si>
    <t>TUBO LIGAÇÃO BOMBA D'AGUA - 904/906</t>
  </si>
  <si>
    <t>TUBO IND.QUAD.GALV. 20X20 P18 AL</t>
  </si>
  <si>
    <t>TUBO IND REYANG. 50X30 P18AL FCP 2,00VL</t>
  </si>
  <si>
    <t>TUBO IND RETANG GALV 40X20 P18</t>
  </si>
  <si>
    <t>TUBO IND QUAD GALV 50X50 P18</t>
  </si>
  <si>
    <t>TUBO IND GALV.30X30 P18 AL.FCP 2,00 VL FCP 6,37</t>
  </si>
  <si>
    <t>TUBO GUIA DA EMBREAGEM 4100 8005102028009</t>
  </si>
  <si>
    <t>TUBO GALVANIZADO 11/4X1,95 S ROSCA</t>
  </si>
  <si>
    <t>TUBO GALVAN.3/4 X 2.65 TUPER AL DIN NBR5580</t>
  </si>
  <si>
    <t xml:space="preserve">TUBO GALV. 2.1/2X3.75 </t>
  </si>
  <si>
    <t>TUBO GALV DIN 1/2X2.65</t>
  </si>
  <si>
    <t>TUBO GALV 1X3.35 TUPER AL</t>
  </si>
  <si>
    <t>TUBO GALV 1.1/4X3.35</t>
  </si>
  <si>
    <t>TUBO GALV 1.1/2X3.35</t>
  </si>
  <si>
    <t>TUBO FLEXIVEL ESCAPAMENTO 3X385</t>
  </si>
  <si>
    <t>TUBO FLEXIVEL DESCARGA ACCELO</t>
  </si>
  <si>
    <t>TUBO FLEXIVEL DE BORRACHA A 9015012582</t>
  </si>
  <si>
    <t>TUBO ESGOTO 6M 100 TIGRE</t>
  </si>
  <si>
    <t xml:space="preserve">TUBO COBRE 1/4 </t>
  </si>
  <si>
    <t>TUBO ARLA EURO V</t>
  </si>
  <si>
    <t>TRON-DOSADOR TOTALMIX(COMODATO)</t>
  </si>
  <si>
    <t>TRINHA 3/4 396/2</t>
  </si>
  <si>
    <t>TRINHA 3/4 319/2</t>
  </si>
  <si>
    <t>TRINCO REDONDO 24X6 ZB</t>
  </si>
  <si>
    <t>TRINCO FIO REDONDO 30X6</t>
  </si>
  <si>
    <t>TRINCHA ATLAS PLUMATEK 315/4</t>
  </si>
  <si>
    <t>TRINCHA ATLAS DUPLA 445/5</t>
  </si>
  <si>
    <t>TRINCHA 3/4'' 395/2</t>
  </si>
  <si>
    <t>TRINCHA 3'' 395/7</t>
  </si>
  <si>
    <t>TRINCHA 2'' AT315/5</t>
  </si>
  <si>
    <t>TRINCHA 2" - 395/5</t>
  </si>
  <si>
    <t xml:space="preserve">TRINCHA 2" </t>
  </si>
  <si>
    <t>TRINCHA 2 1/2'' 395/6</t>
  </si>
  <si>
    <t>TRINCHA 1/2'' 395/1</t>
  </si>
  <si>
    <t>TRINCHA 1.1/2'' 395/4</t>
  </si>
  <si>
    <t>TRINCHA 1'' 395/3</t>
  </si>
  <si>
    <t>TRINCHA 1 1/2'' AT315/4</t>
  </si>
  <si>
    <t>TRINCHA 1 1/2' 396/4</t>
  </si>
  <si>
    <t>TRILHO PARA PERCIANA</t>
  </si>
  <si>
    <t>TRILHO P/DISJUNTOR DIN 1,00MT</t>
  </si>
  <si>
    <t>TRILHO 1M</t>
  </si>
  <si>
    <t>TRENA DE BOLSO 10MTS AMARELA</t>
  </si>
  <si>
    <t>TRENA 7,5M</t>
  </si>
  <si>
    <t>TRENA 5MM</t>
  </si>
  <si>
    <t>TRAVA PORTA MALA LOGAN 2007 2008 2009 2010  2011 2012 2013</t>
  </si>
  <si>
    <t>LOGISTICA</t>
  </si>
  <si>
    <t xml:space="preserve">TRAVA DE BICO </t>
  </si>
  <si>
    <t>TRAT HIDROPAC BB 50L</t>
  </si>
  <si>
    <t>TRAPP ENGATE RAPIDO 1/2 DY</t>
  </si>
  <si>
    <t>TRAPO MALHA MISTA 20KG</t>
  </si>
  <si>
    <t>TRANCA BATENTE PORTA DIANTEIRA SPRINTER</t>
  </si>
  <si>
    <t>TRAMOTINA PAZINHA ESTREITA</t>
  </si>
  <si>
    <t>TR PLASTICO P/ BUZINA</t>
  </si>
  <si>
    <t>TPA REBOQUE VM LE 2006</t>
  </si>
  <si>
    <t>TPA REBOQUE VM LD 2006</t>
  </si>
  <si>
    <t>TORQUES ARMADOR 12''</t>
  </si>
  <si>
    <t>TORNEIRA REFRESQUEIRA IBBL</t>
  </si>
  <si>
    <t>TORNEIRA P/JARDIM 1/2 BRANCA</t>
  </si>
  <si>
    <t>TORNEIRA METALICA BEBEDOURO</t>
  </si>
  <si>
    <t>TORNEIRA LOREN TORNCOZ WAY 1168C30 PAREDE</t>
  </si>
  <si>
    <t>TORNEIRA LAVATORIO MESA AUTO 1/2</t>
  </si>
  <si>
    <t>TORNEIRA JARDIM C/BICO 1131 C31 1/4 VOLTA 1/2</t>
  </si>
  <si>
    <t>TORNEIRA JARDIM C/B 1130 DOCOL 903706 DN20</t>
  </si>
  <si>
    <t>TORNEIRA JARDI 11CM PRETA</t>
  </si>
  <si>
    <t>TORNEIRA INJET AUTOMATICA 1197 CR 234</t>
  </si>
  <si>
    <t xml:space="preserve">TORNEIRA BOIA PRESSAO 1/4 </t>
  </si>
  <si>
    <t>TORNEIRA 15CM TANQUE BIOXMANG BC 1/2-3/4</t>
  </si>
  <si>
    <t>TORNEIRA  COZINHA 1/4</t>
  </si>
  <si>
    <t>TOMEMB C/TAMPA 20A 2P+T AZUL SIB</t>
  </si>
  <si>
    <t>TOMATE SALADA</t>
  </si>
  <si>
    <t>TOMATE CEREJA EMBALADO</t>
  </si>
  <si>
    <t>TOMADA REBOQUE GRANDE DNI 8311</t>
  </si>
  <si>
    <t>TOMADA PLUG FEMEA 2143 3P 20A PRETO</t>
  </si>
  <si>
    <t>TOMADA PLUG FEMEA 1490 90° 2P+T 20A PRETO</t>
  </si>
  <si>
    <t>TOMADA PLUG 3 SAIDAS 20A</t>
  </si>
  <si>
    <t>TOMADA PLUG 3 SAIDAS 10A</t>
  </si>
  <si>
    <t>TOMADA PLUG 3 PINOS /3 SAIDAS 20A</t>
  </si>
  <si>
    <t>TOMADA PLUG 3 PINOS /3 SAIDAS 10A</t>
  </si>
  <si>
    <t>TOMADA PAD 2PT 20A/250V</t>
  </si>
  <si>
    <t xml:space="preserve">TOMADA ELETRICA ENGATE -REDONDA 7 POLOS(COMPLETA  REFORÇADA 12/24V </t>
  </si>
  <si>
    <t xml:space="preserve">TOMADA DUPLA 20A </t>
  </si>
  <si>
    <t xml:space="preserve">TOMADA DUPLA 10A </t>
  </si>
  <si>
    <t xml:space="preserve">TOMADA BOB IGN MBB 3 SAIDAS </t>
  </si>
  <si>
    <t xml:space="preserve">TOMADA 20A FAME </t>
  </si>
  <si>
    <t xml:space="preserve">TOMADA 10A FAME </t>
  </si>
  <si>
    <t>TOM SOB 3PT 16A 220 9H IP44 MARCA WEG</t>
  </si>
  <si>
    <t>TOM EXT INDUST 32A 3P + N+T 380V 6H</t>
  </si>
  <si>
    <t xml:space="preserve">TOM EMB INDUSTRIAL TBSE C/TAMPA 20A 2P+T AZUL </t>
  </si>
  <si>
    <t>TOCHA REGISTRO ESFERA PASSAGEM PLENA 3/4</t>
  </si>
  <si>
    <t>TOCHA PARA SOLDA MIG - MAG PROFISSIONAL  180A EURO CONNECTOR -3 METROS</t>
  </si>
  <si>
    <t>TOCHA N TME 306/2 C/R 1.2M 300A 1,80MTS GUI PRETO</t>
  </si>
  <si>
    <t>TOBO IND GALV 25X25 P18 AL</t>
  </si>
  <si>
    <t>TOALHA DE ROSTO 42X70</t>
  </si>
  <si>
    <t>TITANIO VIDRO VW</t>
  </si>
  <si>
    <t>TIRANTE VOLKS</t>
  </si>
  <si>
    <t>TIRANTE ACIONAMENTO CAMBIO-ACCELO</t>
  </si>
  <si>
    <t>TIRA FERRUGEM AZULIM 5L</t>
  </si>
  <si>
    <t>TINTA VINCIPOXI COMPONENTE B (ONU 1263)</t>
  </si>
  <si>
    <t>TINTA VINCIPOXI ALUMINIO MASTIC</t>
  </si>
  <si>
    <t>TINTA VINCIPOLY ACRÍLICA VERMELHA</t>
  </si>
  <si>
    <t>TINTA VINCICRIL AMARELO (SINAL GALÃO)</t>
  </si>
  <si>
    <t xml:space="preserve">TINTA SPRAY ALUMINIO PRETO </t>
  </si>
  <si>
    <t>TINTA PRIMER VERDE 900ML</t>
  </si>
  <si>
    <t>TINTA DE CARIMBO 40ML</t>
  </si>
  <si>
    <t>TINTA COMPATIVELEPSON CIANO</t>
  </si>
  <si>
    <t>T.I</t>
  </si>
  <si>
    <t>TINTA COMPATIVEL EPSON YELLOW</t>
  </si>
  <si>
    <t>TINTA COMPATIVEL EPSON PRETO</t>
  </si>
  <si>
    <t>TINTA COMPATIVEL EPSON MAGENTA</t>
  </si>
  <si>
    <t>TINTA COMPATIVEL EPSON BLACK</t>
  </si>
  <si>
    <t>TINTA CO MPATIVEL EPSON YELLOW</t>
  </si>
  <si>
    <t>TINTA BRANCA DIRETO NA/PARA FERRUGEM MAZA</t>
  </si>
  <si>
    <t>TINTA ACRILICA STANDARD NOVACOR EXTRA FOSCO BRANCO 18L</t>
  </si>
  <si>
    <t xml:space="preserve">TINTA ACRILICA PREMIUM PISO CONCRETO 18L </t>
  </si>
  <si>
    <t>TINTA ACRILICA METALATEX REQUINTE ACET BRANCO 18L SW 7790006</t>
  </si>
  <si>
    <t>TINTA A BASE DE AGUA ESMALTE SINTETICO BRANCO 3.600</t>
  </si>
  <si>
    <t>TIGRE SOLDA TE B.LATAO 25X1/2</t>
  </si>
  <si>
    <t>TIGRE SOLDA TE B.LATAO 20X1/2</t>
  </si>
  <si>
    <t>TIGRE SOLDA REDUÇÃO 25X20</t>
  </si>
  <si>
    <t>TIGRE SOLDA LUVA REDUÇÃO 32X25</t>
  </si>
  <si>
    <t>TIGRE SOLDA LUVA 20X1</t>
  </si>
  <si>
    <t xml:space="preserve">TIGRE SOLDA CX AGUA 20 </t>
  </si>
  <si>
    <t>TIGRE SOLDA CAP 60MM 22080601</t>
  </si>
  <si>
    <t>TIGRE LUVA ELET DE PRESSAO TIGREFLEX 25</t>
  </si>
  <si>
    <t>TIGRE ESG. JOELHO 90 40 27560440</t>
  </si>
  <si>
    <t xml:space="preserve">TIGRE ESG. CAP 50MM 26060508 </t>
  </si>
  <si>
    <t>TIGRE CPVC CURVA 90 22</t>
  </si>
  <si>
    <t>TIGRE CONDULETE TOP CURVA 3/4X90</t>
  </si>
  <si>
    <t>THINNER MAZA SM116 MULTIUSO GL</t>
  </si>
  <si>
    <t>TF7 CONVERTEDOR DE FERRUGEM 5L</t>
  </si>
  <si>
    <t>TF7 CONVERTEDOR DE FERRUGEM 500ML</t>
  </si>
  <si>
    <t>TESOURA CHAPA 12" 300MM GEDORE RED</t>
  </si>
  <si>
    <t>TERRA ADUBADA</t>
  </si>
  <si>
    <t>TERMOSTATO RC 42600</t>
  </si>
  <si>
    <t>TERMOSTATO 20X120 FOX</t>
  </si>
  <si>
    <t>TERMOSTATICA BOMBA D'AGUA 9062030415 MARCA PARALELA</t>
  </si>
  <si>
    <t xml:space="preserve">TERMO PRO TERMOMETRO ESPETO RESISTENTE </t>
  </si>
  <si>
    <t xml:space="preserve">TERMINAL RECEPTOR FEMEA 6.5MM </t>
  </si>
  <si>
    <t xml:space="preserve">TERMINAL PRE ISOL ANEL 10MM </t>
  </si>
  <si>
    <t>TERMINAL PINO 5MM</t>
  </si>
  <si>
    <t>TERMINAL PINO 4.0 A 6,00MM AM</t>
  </si>
  <si>
    <t>TERMINAL PINO 1,5 A 2,5MM AZ C10 1890 A.SANTOS</t>
  </si>
  <si>
    <t>TERMINAL P/FIO T14 TODOS</t>
  </si>
  <si>
    <t>TERMINAL P/ FIO T13 TODOS</t>
  </si>
  <si>
    <t>TERMINAL ILHOS 0,75MM CZ C/10</t>
  </si>
  <si>
    <t>TERMINAL HIDRAULICO PRENSADO</t>
  </si>
  <si>
    <t xml:space="preserve">TERMINAL GARFO 1,5 X 2,5 MM </t>
  </si>
  <si>
    <t>Pct</t>
  </si>
  <si>
    <t>TERMINAL FREIO MOT. ADAPTADO</t>
  </si>
  <si>
    <t>TERMINAL FEMEA 4-6MM</t>
  </si>
  <si>
    <t>TERMINAL FEMEA 1,5 X 2,5 MM</t>
  </si>
  <si>
    <t>TERMINAL FEMEA 0,5X1 5MM</t>
  </si>
  <si>
    <t>TERMINAL ENCAIXE MACHO</t>
  </si>
  <si>
    <t>TERMINAL DO DIFERENCIAL 78864</t>
  </si>
  <si>
    <t>TERMINAL DE DIREÇÃO ACCELO MB MARCA PARALELA</t>
  </si>
  <si>
    <t>TERMINAL DE BOMBA DE COMBUSTIVEL</t>
  </si>
  <si>
    <t>TERMINAL DE BATERIA</t>
  </si>
  <si>
    <t xml:space="preserve">TERMINAL COMPRESSAO TUBOLAR 70MM </t>
  </si>
  <si>
    <t>TERMINAL COMPRESSAO 16MM</t>
  </si>
  <si>
    <t>TERMINAL BARRA SOLDA (ESQ)</t>
  </si>
  <si>
    <t>TERMINAL BARRA SOLDA (DIR)</t>
  </si>
  <si>
    <t>TERMINAL ANEL 4-6MM</t>
  </si>
  <si>
    <t>TERMINAL ACELERADOR 8MMX 8MM CURTO</t>
  </si>
  <si>
    <t>TERMINAL 1998 ISOL 25MM</t>
  </si>
  <si>
    <t>TERMINAL 1996A ISOL 16MM</t>
  </si>
  <si>
    <t>TERMINAL 1878 ISOD MACHO 0,5 A 1,5MM</t>
  </si>
  <si>
    <t>TERM.EQUIP CONTROL TEMP 50-200 20A BUCHA M ROBERTSHAW</t>
  </si>
  <si>
    <t xml:space="preserve">TENSIONADOR DE CORREIA SPRINTER </t>
  </si>
  <si>
    <t xml:space="preserve">TENSIONADOR DE CORREIA 2P0145299 </t>
  </si>
  <si>
    <t xml:space="preserve">TEMPEROS CX </t>
  </si>
  <si>
    <t>TEMPERO PAPRIKA DOCE 500 GR</t>
  </si>
  <si>
    <t>TEMPERO PAPRIKA DEFUMADA 500 GR</t>
  </si>
  <si>
    <t>TEMPERO CHIMICHURRY 500 GR</t>
  </si>
  <si>
    <t>TEMOSTRATO BEBEDOURO RC42600</t>
  </si>
  <si>
    <t>TELA OND FIO 12 MALHA 1"C/1,5 MT ALT</t>
  </si>
  <si>
    <t>TELA MOSQUITEIRO FIBRA VIDRO REVESTIDA EM PVC</t>
  </si>
  <si>
    <t>TELA CIRANDA 0.80CM  METRO</t>
  </si>
  <si>
    <t>TEKBOND COLA MADEIRA 100G</t>
  </si>
  <si>
    <t>TEK BOND PU 40 / 35 FIX CINZA</t>
  </si>
  <si>
    <t>TEK BOND GRAFITE SPRAY 200ML 100G</t>
  </si>
  <si>
    <t>TEK BOND  793</t>
  </si>
  <si>
    <t>TE ROSCA 3/4</t>
  </si>
  <si>
    <t>TE 1/2 GALVANIZADO</t>
  </si>
  <si>
    <t>TAXA DE ENTREGA MERCADO TROPICAL</t>
  </si>
  <si>
    <t>TASCH PLAFON ECONOMIC E 27 SACO PLASTICO BRANCA</t>
  </si>
  <si>
    <t xml:space="preserve">TARRAXA TORMEP 3/4 </t>
  </si>
  <si>
    <t xml:space="preserve">TAPETE VOLVO </t>
  </si>
  <si>
    <t>TAPETE VINIL LISO GRAFITE</t>
  </si>
  <si>
    <t>TAPETE EM VINIL PERSONALISADO M2</t>
  </si>
  <si>
    <t>TAPETE EM VINIL LISO AZUL</t>
  </si>
  <si>
    <t>TAPETE ACCELO VERNIZ</t>
  </si>
  <si>
    <t>TANQUE TAMPA EXPANSÃO - CONTSTEL. (07...) / 2871</t>
  </si>
  <si>
    <t xml:space="preserve">TANQUE DE LIQUIDO FLEX 300AR  ATUALIZADO </t>
  </si>
  <si>
    <t>TAMPAO SEXTAVADO 1/2 GALVA</t>
  </si>
  <si>
    <t xml:space="preserve">TAMPAO FERRO NODULAR DN600 ARTICULADO </t>
  </si>
  <si>
    <t>TAMPAO 40X40</t>
  </si>
  <si>
    <t>TAMPA TST 100 COPOBRAS</t>
  </si>
  <si>
    <t>TAMPA TP03/06 COPAZA C/50</t>
  </si>
  <si>
    <t>TAMPA TANQUE COMBUSTÍVEL ROSCA CENTRAL MARCA PARALELA (MB 1016)</t>
  </si>
  <si>
    <t xml:space="preserve">TAMPA TANQUE C/ ROSCA INTERNA </t>
  </si>
  <si>
    <t>TAMPA SEM GTIN VO20490007</t>
  </si>
  <si>
    <t>TAMPA RESERVATORIO ARLA</t>
  </si>
  <si>
    <t>TAMPA RESERV. ARLA - ACCELO /ATEGO 2858</t>
  </si>
  <si>
    <t>TAMPA REBOQUE VM (LE) (LD)</t>
  </si>
  <si>
    <t>TAMPA POTE/COPO T-100 100ML</t>
  </si>
  <si>
    <t>TAMPA P-100 /P-150/C COPOPLAST</t>
  </si>
  <si>
    <t>TAMPA LUMINOX 15X15</t>
  </si>
  <si>
    <t xml:space="preserve">TAMPA DO RESERVATORIO </t>
  </si>
  <si>
    <t>TAMPA DO RADIADOR 1.0</t>
  </si>
  <si>
    <t xml:space="preserve">TAMPA DO FILTRO LUBRIFICANTE </t>
  </si>
  <si>
    <t>TAMPA DESCARTÁVEL 100ML C/100 UND (150/180/200/250)</t>
  </si>
  <si>
    <t xml:space="preserve">TAMPA DE VALVULA SPRINTER </t>
  </si>
  <si>
    <t>tampa de plastico do botao</t>
  </si>
  <si>
    <t>TAMPA DE FECHAMENTO</t>
  </si>
  <si>
    <t>TAMPA DA CARCACA DO MARCAL 9902420300</t>
  </si>
  <si>
    <t>TAMPA DA CAIXA DE DIREÇÃO VW 11180</t>
  </si>
  <si>
    <t>TAMPA DA  CARCACA  A0014662705</t>
  </si>
  <si>
    <t>TAMPA CUICA 20 WABCO</t>
  </si>
  <si>
    <t>TAMPA COPOMAIS PT-100ML</t>
  </si>
  <si>
    <t>TAMPA COMBUST VW SEDAN S/CHAVE(BUGRE)</t>
  </si>
  <si>
    <t>TAMPA ARLA 2V3/131980</t>
  </si>
  <si>
    <t>TAMPA ALTA CUICA FREIO MASTER VW VOLKS</t>
  </si>
  <si>
    <t>TAMPA A9015450003</t>
  </si>
  <si>
    <t>TAMPA 9017200348 MERCEDES</t>
  </si>
  <si>
    <t>TAMPA -940703270044</t>
  </si>
  <si>
    <t>TAMPA -3900965</t>
  </si>
  <si>
    <t>TAMBOR DE FREIO TRASEIRO VOLKSWAGEN</t>
  </si>
  <si>
    <t xml:space="preserve">TAMBOR DE FREIO DIANTEIRO 9T VOLKSWAGEN </t>
  </si>
  <si>
    <t>TAMBOR DE FREIO DIANTEIRO (ACCELO 1016) MARCA PARALELA</t>
  </si>
  <si>
    <t>TAMBOR DE FREIO DELLIVERY 3801 VW</t>
  </si>
  <si>
    <t>TAMBOR DE FREIO 3693 FRU</t>
  </si>
  <si>
    <t>TAMBOR DE FREIO 3687 FRU</t>
  </si>
  <si>
    <t>TAMBOR DE EMBREAGEM FS-160/220 G4</t>
  </si>
  <si>
    <t>TALÃO - INSPEÇÃO DE SAÍDA DE VEÍCULO</t>
  </si>
  <si>
    <t>TALÃO - CHECKLIST DE CARREGAMENTO</t>
  </si>
  <si>
    <t xml:space="preserve">TALOES 50X2 PAPEL COPIATIVO REGISTRO DE ABASTECIMENTO </t>
  </si>
  <si>
    <t>TALHADEIRA CHATA 5/16 10"</t>
  </si>
  <si>
    <t>TALHADEIRA 12</t>
  </si>
  <si>
    <t>TALFON TOP 1KG</t>
  </si>
  <si>
    <t>GAL</t>
  </si>
  <si>
    <t>BD</t>
  </si>
  <si>
    <t>TACO BAR SINUCA SNOOKER</t>
  </si>
  <si>
    <t>TA R4 A/C B50L</t>
  </si>
  <si>
    <t>SWIChPOE HPE NETWORKING INTANT ON 1930 48G 370W 4SFP+JL 686A</t>
  </si>
  <si>
    <t>SUPORTEV P/RODIZIO COM DOBRADIÇA INTERNA 10MM</t>
  </si>
  <si>
    <t>SUPORTE SERRA COPO 9/16</t>
  </si>
  <si>
    <t>SUPORTE SERRA COPO 1.1/4</t>
  </si>
  <si>
    <t>SUPORTE SEM GTIN V021261040</t>
  </si>
  <si>
    <t>SUPORTE REFORCO PARALAMA CABINE MB ACCELO LE 9798800116</t>
  </si>
  <si>
    <t>SUPORTE PROTETOR ALUMINIO 300X440MM 3/4</t>
  </si>
  <si>
    <t>SUPORTE PONTEADO N3 PRETO</t>
  </si>
  <si>
    <t>SUPORTE PMONITOR C3 GAVETAS PRETO/BRANCO</t>
  </si>
  <si>
    <t>SUPORTE PERSIANA</t>
  </si>
  <si>
    <t>SUPORTE PARALAMA TRASEIRO VW</t>
  </si>
  <si>
    <t>SUPORTE PARA EXTINTOR 2KG</t>
  </si>
  <si>
    <t>SUPORTE PARA COPO DE CAFE</t>
  </si>
  <si>
    <t>SUPORTE PARA CONDENSADORA 500MM BRA</t>
  </si>
  <si>
    <t>SUPORTE P/ TV FIXO UNIVERSAL</t>
  </si>
  <si>
    <t>SUPORTE MANGUEIRA</t>
  </si>
  <si>
    <t xml:space="preserve">SUPORTE KROK BRANCO 300 </t>
  </si>
  <si>
    <t>SUPORTE FORNO/MICROONDAS</t>
  </si>
  <si>
    <t>SUPORTE DO RODIZIO 11MM</t>
  </si>
  <si>
    <t>SUPORTE DO ESTABILIZADOR TRASEIRO MBB 0979320037</t>
  </si>
  <si>
    <t>SUPORTE DE PLASTICO/FERRO SPLIT</t>
  </si>
  <si>
    <t>SUPORTE DE FIXAO ANTENA CISCO AIR-AP-BRACKET-1/2</t>
  </si>
  <si>
    <t>SUPORTE BICO INJETOR SPRINTER 313 311 413</t>
  </si>
  <si>
    <t>SUPORTE ALTERNADOR MOTOR ISF 3.8 4CIL EURO V-2P0903251</t>
  </si>
  <si>
    <t>SUPORTE ALMA PARA-CHOQUE DIANTEIRO ACCELO 815 915 1016 1316</t>
  </si>
  <si>
    <t>SUPORTE -R3052</t>
  </si>
  <si>
    <t>SUPORTE (LE) (COD. VO21669547)</t>
  </si>
  <si>
    <t>SUPORTE (LD) (COD. VO21669545)</t>
  </si>
  <si>
    <t>SULFATO DE ALUMÍNIO NAHERA 1KG</t>
  </si>
  <si>
    <t>DIRETORIA</t>
  </si>
  <si>
    <t xml:space="preserve">SUBSTRATO 25 KG FROR </t>
  </si>
  <si>
    <t>STRIPTIZI REMOVEDOR GEL MARCA MONTANA</t>
  </si>
  <si>
    <t>START GRILL 4X5L</t>
  </si>
  <si>
    <t>DESOSSA</t>
  </si>
  <si>
    <t>STARCLOR 3.6KG</t>
  </si>
  <si>
    <t>SPRAY/AEROSSOL REVESTIMENTO DE ZINCO VINCIZING 600 (ONU 1950)</t>
  </si>
  <si>
    <t xml:space="preserve">SPRAY PRIMER RAP.CINZA COLORGIN </t>
  </si>
  <si>
    <t xml:space="preserve">SPRAY PRETO FOSCO ALTA TEMPERATURA COLORGIN	</t>
  </si>
  <si>
    <t>SPRAY CINZA CLARO S/FOSCO 225ML CROWN LAZZURIL</t>
  </si>
  <si>
    <t>MANUTENÇAO EMPILHADEIRA</t>
  </si>
  <si>
    <t>SPRAY BEGE BRILHANTE 225ML CROWN LAZZURIL</t>
  </si>
  <si>
    <t>SPRAY ALTA TEMPRATURA 600 ALUMINIO MAZA</t>
  </si>
  <si>
    <t>SPLIT AGRATTO LIV TOP HW 30K 220/1F INV R32</t>
  </si>
  <si>
    <t>SORO FISIOLOGICO</t>
  </si>
  <si>
    <t xml:space="preserve">soquete sextavado impactor extra longo 24mm -1/2 tony ref 443524m </t>
  </si>
  <si>
    <t>SOQUETE SEXTAVADO 3/8CPOL ENCAIXE 1/2</t>
  </si>
  <si>
    <t>SOQUETE SEXTAVADO 1/2 SATA 21MM</t>
  </si>
  <si>
    <t>SOQUETE SEXT MAN LONGO 1/2X27X75</t>
  </si>
  <si>
    <t>SOQUETE PLAFONIER DE LAMPADA LED</t>
  </si>
  <si>
    <t xml:space="preserve">SOQUETE MULTIDENTADA CURTO 16 X 55MM </t>
  </si>
  <si>
    <t xml:space="preserve">SOQUETE LONGO 1/2 X 3/8 SATA </t>
  </si>
  <si>
    <t xml:space="preserve">SOQUETE LONGO 1/2 X 2/8 SATA </t>
  </si>
  <si>
    <t xml:space="preserve">SOQUETE LANTERNA ACCELO </t>
  </si>
  <si>
    <t>SOQUETE ESTRIADO LONGO ENCAIXE 1/2 10MM</t>
  </si>
  <si>
    <t>SOQUETE ESTRIADO 10MM ENCAIXE 1/2</t>
  </si>
  <si>
    <t xml:space="preserve">SOQUETE ARANHA 2 POLOS </t>
  </si>
  <si>
    <t xml:space="preserve">SOQUETE ARANHA 1 POLO </t>
  </si>
  <si>
    <t>SOLVENTE VINCISOLV P/PU 5L (ONU 1263)</t>
  </si>
  <si>
    <t xml:space="preserve">SOLVENTE VINCISOLV P/LIMPEZA 5L (ONU 1263)	</t>
  </si>
  <si>
    <t>SOLVENTE VINCISOLV P/EPOXI 5L (ONU 1263)</t>
  </si>
  <si>
    <t xml:space="preserve">SOLDA UNIAO 50MM </t>
  </si>
  <si>
    <t>SOLDA UNIAO 40MM TIGRE</t>
  </si>
  <si>
    <t>SOLDA UNIAO 32MM TIGRE</t>
  </si>
  <si>
    <t>SOLDA UNIAO 25MM MARCA TIGRE</t>
  </si>
  <si>
    <t>SOLDA TUBO 6M 25 MARCA TIGRE</t>
  </si>
  <si>
    <t>SOLDA TE REDUÇÃO 40x25 MARCA TIGRE</t>
  </si>
  <si>
    <t>SOLDA TE REDUCAO 32X25 TIGRE</t>
  </si>
  <si>
    <t>SOLDA TE B,LATAO 25X3/4 TIGRE</t>
  </si>
  <si>
    <t xml:space="preserve">SOLDA TE 32MM </t>
  </si>
  <si>
    <t>SOLDA TE 25MM TIGRE</t>
  </si>
  <si>
    <t>SOLDA LUVA 32MM MARCA TIGRE</t>
  </si>
  <si>
    <t>SOLDA LUVA 25MM MARCA TIGRE</t>
  </si>
  <si>
    <t>SOLDA JOLHO 90 40MM TIGRE</t>
  </si>
  <si>
    <t>SOLDA JOELHO 90 SR 25X3/4 TIGRE</t>
  </si>
  <si>
    <t xml:space="preserve">SOLDA JOELHO 90 BL 25X1/2 </t>
  </si>
  <si>
    <t>SOLDA JOELHO 90 40MM TIGRE</t>
  </si>
  <si>
    <t>SOLDA JOELHO 90 32X3/4</t>
  </si>
  <si>
    <t>SOLDA JOELHO 90 25MM TIGRE</t>
  </si>
  <si>
    <t>SOLDA JOELHO 90 20MM TIGRE</t>
  </si>
  <si>
    <t>SOLDA JOELHO 25 X 1/2 TIGRE</t>
  </si>
  <si>
    <t>SOLDA GRADE DO RALO LAVADOR</t>
  </si>
  <si>
    <t>SERVIÇO</t>
  </si>
  <si>
    <t>SOLDA FOSCOPER</t>
  </si>
  <si>
    <t>G</t>
  </si>
  <si>
    <t>SOLDA FLUXO ALUMINIO ZINCO</t>
  </si>
  <si>
    <t>SOLDA CURVA 90 25MM MARCA TIGRE</t>
  </si>
  <si>
    <t>SOLDA CURVA 90 20MM MARCA TIGRE</t>
  </si>
  <si>
    <t>SOLDA BUCHA RED.CURTA 32X25</t>
  </si>
  <si>
    <t>SOLDA ALUMINIO REFRIGERAÇÃO</t>
  </si>
  <si>
    <t>SOLDA ADAPTADOR CURTO 32X1 TIGRE</t>
  </si>
  <si>
    <t>SOLDA ADAPTADA CX D'ÁGUA 32 TIGRE</t>
  </si>
  <si>
    <t>SOLDA ADAPTADA CX D'ÁGUA 20 TIGRE</t>
  </si>
  <si>
    <t>SOLDA ADAPTADA CURTO 40x1.1/4 TIGRE</t>
  </si>
  <si>
    <t xml:space="preserve">SOLDA ADAPTADA CURTO 25x3/4 TIGRE	</t>
  </si>
  <si>
    <t xml:space="preserve">SOLDA ADAPT. CURTO 50X1 . 1/2 </t>
  </si>
  <si>
    <t>SOFT WORK N° 38 ANTIDERRAPANTE</t>
  </si>
  <si>
    <t>SODA CAUSTICA PT 400G</t>
  </si>
  <si>
    <t>SODA CAUSTICA 1KL</t>
  </si>
  <si>
    <t xml:space="preserve">SMARTPHONE SANSUNG GALAXY A03 </t>
  </si>
  <si>
    <t>SMARTPHONE SAMSUNG GALAXY S21 FE 5G Preto 128GB 6.4'' 6GB RAM</t>
  </si>
  <si>
    <t xml:space="preserve">SMART TV 55 SEMP </t>
  </si>
  <si>
    <t>SMART MOTO E13 64GB VERDE</t>
  </si>
  <si>
    <t>SKYMIX BRANCO PURO PU 340 GL610PU3400114</t>
  </si>
  <si>
    <t>SKY VERNIZ FOSCO PU SK28 C/CATALISADOR 1/4</t>
  </si>
  <si>
    <t>SKY VERMELHO BARROCO PER FIAT 01-2130311901011/4</t>
  </si>
  <si>
    <t>SKY THINNER PU P/POLIESTER</t>
  </si>
  <si>
    <t>SKY PU BRANCO GEADA VW</t>
  </si>
  <si>
    <t>SKY PU BRANCO CRISTAL ll VW 99</t>
  </si>
  <si>
    <t xml:space="preserve">SKY PRIMER PU CINZA </t>
  </si>
  <si>
    <t>SKY GL 3,600 PU A VERMELHO CEREJA SCANIA</t>
  </si>
  <si>
    <t xml:space="preserve">SKY COPO FORD 450ML </t>
  </si>
  <si>
    <t>SKY COPO FORD 1500ML</t>
  </si>
  <si>
    <t>SKY CINZA ALEUTA VW A DILUIDO</t>
  </si>
  <si>
    <t>SKY CATALISADOR P/ESMALTE PU 450ML</t>
  </si>
  <si>
    <t xml:space="preserve">SKY CATALISADOR P/ESMALTE PU 225 ML </t>
  </si>
  <si>
    <t>SKY CATALISADOR P/ ESMALTE PU GL630000940118</t>
  </si>
  <si>
    <t>SKY BP PRETO NINJA LISA VW 95</t>
  </si>
  <si>
    <t>SKY ALUMÍNIO PARA RODAS LACA 1/4 MARCA SKYLACK</t>
  </si>
  <si>
    <t>SKY 3,600 GL LN A CINZA ALEUTA VW 1981 CONCENTRADO</t>
  </si>
  <si>
    <t>SKY -3600 GL 9147 PU A BRANCO SPRINTER</t>
  </si>
  <si>
    <t>SINALEIRO GIRATORIO VERMELHO 220VCA LT1103 JNG</t>
  </si>
  <si>
    <t xml:space="preserve">SILICONE SPRAY </t>
  </si>
  <si>
    <t>SILICONE PU CINZA TEKBOND</t>
  </si>
  <si>
    <t xml:space="preserve">SILICONE GREY 999 </t>
  </si>
  <si>
    <t>SIKA IGOL S PRIMER LT 18L</t>
  </si>
  <si>
    <t>SIKA FLEX SELA PLUS 250ML/400G</t>
  </si>
  <si>
    <t xml:space="preserve">SIKA FLEX 300ML CINZA </t>
  </si>
  <si>
    <t>SIKA FLEX 300ML BRANCO</t>
  </si>
  <si>
    <t>SIFÃO SANFONADO UNIVERSAL AMANCO</t>
  </si>
  <si>
    <t>SIFÃO SANFONADO DUPLO</t>
  </si>
  <si>
    <t>SH QUALIFOOD VERDE 5L</t>
  </si>
  <si>
    <t>SH 7000 DETERGENTE AUTOMOTIVO 20L</t>
  </si>
  <si>
    <t xml:space="preserve">SH 6000 QUALIFOOD </t>
  </si>
  <si>
    <t>SEVEN SANT BAC SANITIZANTE FLVS 5L</t>
  </si>
  <si>
    <t>SEVEN SANIT BAC SANITIZANTE DETERGENTE 5 LITROS</t>
  </si>
  <si>
    <t>SEVEN SANIT BAC FLVS 5L</t>
  </si>
  <si>
    <t>SEVEN DETERGENTE ACIDO CHX 50LTS LAVA ROUPA</t>
  </si>
  <si>
    <t>SEVEN AMACIANTE EL PASSO 50LTS</t>
  </si>
  <si>
    <t>SERVO EMBREAGEM 23B 721257</t>
  </si>
  <si>
    <t>SERVO DE EMBREAGEM VOLVO 260</t>
  </si>
  <si>
    <t xml:space="preserve">SERVO DE EMBREAGEM CAIXA SR 1900 </t>
  </si>
  <si>
    <t>SERVO DE EMBREAGEM -DELIVER</t>
  </si>
  <si>
    <t>SERVIÇO DE LIMPEZA DE CARBURADOR</t>
  </si>
  <si>
    <t>SERVIÇO DE BORNE</t>
  </si>
  <si>
    <t>SERVIÇO CÓPIA DE CHAVE</t>
  </si>
  <si>
    <t>SERVIÇO CONFECÇÃO DE 1 BORRACHA PARA CARIMBO</t>
  </si>
  <si>
    <t>SERVICO DESMONTAGEM E MONTAGEM PNEU</t>
  </si>
  <si>
    <t xml:space="preserve">SERROTE DE PODA CABO DE MADEIRA </t>
  </si>
  <si>
    <t>SERRA TICO TICO C/5 STARRETT</t>
  </si>
  <si>
    <t>SERRA STARRETT BIMETAL 18 DENTES</t>
  </si>
  <si>
    <t xml:space="preserve">SERRA MANUAL STARRET </t>
  </si>
  <si>
    <t xml:space="preserve">SERRA COPO 33MM </t>
  </si>
  <si>
    <t xml:space="preserve">SERRA COPO 24MM </t>
  </si>
  <si>
    <t>SERINGA DESCARTAVEL</t>
  </si>
  <si>
    <t>SERINGA 10ML</t>
  </si>
  <si>
    <t xml:space="preserve">SENSOR VELOCIMETRO </t>
  </si>
  <si>
    <t xml:space="preserve">SENSOR VELOCIDADE 34MM </t>
  </si>
  <si>
    <t>SENSOR UMIDADE FILTRO AR</t>
  </si>
  <si>
    <t>SENSOR TEMPERATURA AGUA SPRINTER</t>
  </si>
  <si>
    <t>SENSOR TEMPERATURA - VM 260/310 (20529455)</t>
  </si>
  <si>
    <t xml:space="preserve">SENSOR PRESSÃO VALVULA PROTETORA 7729 </t>
  </si>
  <si>
    <t>SENSOR PRESSÃO OLEO MOTOR 7722</t>
  </si>
  <si>
    <t>SENSOR NOX VW 11.180</t>
  </si>
  <si>
    <t>SENSOR NOX OMD2P096261B</t>
  </si>
  <si>
    <t>SENSOR NOX ARLA VW CONST/FORD CARGO 12</t>
  </si>
  <si>
    <t>SENSOR NOX ARLA 24V (COD. 0091533628)</t>
  </si>
  <si>
    <t xml:space="preserve">SENSOR NIVEL DE OLEO MOTOR -904/926 </t>
  </si>
  <si>
    <t xml:space="preserve">SENSOR FILTRO RACOR C/CHICOTE </t>
  </si>
  <si>
    <t>SENSOR DO TACOMETRO S/N 22/11 23/20 22/11 819 37651 SEM GTIN VOLVO</t>
  </si>
  <si>
    <t>SENSOR DE VELOCIDADE 20MM (PINO REDONDO)</t>
  </si>
  <si>
    <t>SENSOR DE TEMPERATURA SENDES 3058</t>
  </si>
  <si>
    <t>SENSOR DE TEMPERATURA CUMMINS (14MM) CONSTELATION</t>
  </si>
  <si>
    <t>SENSOR DE ROTAÇAO ACCELO</t>
  </si>
  <si>
    <t>SENSOR DE RE ACCELO 1016</t>
  </si>
  <si>
    <t>SENSOR DE PRESSAO DO COLETOR MAP MTE - THOMPSON</t>
  </si>
  <si>
    <t>SENSOR 23B 927753</t>
  </si>
  <si>
    <t>SENSOR (COD. 2566453.000)</t>
  </si>
  <si>
    <t xml:space="preserve">SEM FIM CAIXA DE DIREÃO </t>
  </si>
  <si>
    <t>SELO REPARADO</t>
  </si>
  <si>
    <t>MANUTENÇÃO BALANÇAS</t>
  </si>
  <si>
    <t>SELO P/CVC PALIO /CORSA/CELTA/TM16(MATHE)</t>
  </si>
  <si>
    <t>SELO EXPANSAO CABEÇOTE 13/16MOTOR 4BT 6T 015864</t>
  </si>
  <si>
    <t>SELO DO CARTE DE OLEO VEDAÇAO</t>
  </si>
  <si>
    <t>SELO COMANDO MOTOR B 055039</t>
  </si>
  <si>
    <t>SEKO-BOMBA KOMPACT AML 200(COMODATO)</t>
  </si>
  <si>
    <t>SCS PLAST TR PR LISO NAT 43X55</t>
  </si>
  <si>
    <t xml:space="preserve">SCS PLAST TR PR LISO NAT 43 X 63 </t>
  </si>
  <si>
    <t xml:space="preserve">SCS PLAST TR PR LISO NAT 37.0 X 53.0  </t>
  </si>
  <si>
    <t>SCS PLAST TR PR LISO NAT 15.0X24.(G)493662</t>
  </si>
  <si>
    <t>SCS PLAST TR PR LISO 46 x 75</t>
  </si>
  <si>
    <t>SCS PLAST TR PR LISO 43 x 70</t>
  </si>
  <si>
    <t>SCS PLAST TR PR LISO 40 x 60</t>
  </si>
  <si>
    <t>SCS PLAST TR PR LISO 31 x 55</t>
  </si>
  <si>
    <t>SCS PLAST TR PR LISO 24 x 44</t>
  </si>
  <si>
    <t>SCS PLAST TR PR LISO 22 x 40</t>
  </si>
  <si>
    <t>SCS PLAST TR PR LISO 20 x 35</t>
  </si>
  <si>
    <t>SCS PLAST TR PR LISO 20 x 30</t>
  </si>
  <si>
    <t>INDÚSTRIA</t>
  </si>
  <si>
    <t>SCS PLAST TR LISO NAT 24.0 X 75.0</t>
  </si>
  <si>
    <t xml:space="preserve">SCS PLAST TR LISO 20 X 51.0 </t>
  </si>
  <si>
    <t>SCS PLAST TR 46 X 91 L:669421</t>
  </si>
  <si>
    <t>SCS PLAST LISO NAT 22X35</t>
  </si>
  <si>
    <t>SCS PLAST LISO NAT 20X51</t>
  </si>
  <si>
    <t>SCS PLAST BM 100 40 x 50</t>
  </si>
  <si>
    <t>SCS PLAST BM 100 34 x 60</t>
  </si>
  <si>
    <t>SCS PLAST BM 100 24 x 35</t>
  </si>
  <si>
    <t>SCS PLAST BM 100 20.00X35 L 508647</t>
  </si>
  <si>
    <t>SCS PLAST BM 100 14.00X30.00 L 508648</t>
  </si>
  <si>
    <t>SAPATO SOFTWORKS BRANCO N39</t>
  </si>
  <si>
    <t>SAPATO SOFTWORKS BRANCO N 40</t>
  </si>
  <si>
    <t>SAPATO SOFT WORK 37 BRANCO</t>
  </si>
  <si>
    <t>SAPATO SOCIAL BRANCO EVA (36) SOFT WORK</t>
  </si>
  <si>
    <t>SAPATO BRANCO BB80 Nº 34</t>
  </si>
  <si>
    <t>SAPATA INT QUAD PVC 30X30</t>
  </si>
  <si>
    <t>SAPATA DE FREIO SPRINTER</t>
  </si>
  <si>
    <t>SAMSUNG GALAXY S24 FE 128 GB</t>
  </si>
  <si>
    <t>SAMSUNG GALAXY A06 128GB AZUL</t>
  </si>
  <si>
    <t>SALVA VIDA 8MM ALUMINIO MANG AR COND</t>
  </si>
  <si>
    <t>SALVA VIDA 12MM ALUMINIO(CON AR)</t>
  </si>
  <si>
    <t>SALVA VIDA 10MM ALUMINIO(CON AR)</t>
  </si>
  <si>
    <t>SALVA VIDA 08MM ALUMINIO(CON AR)</t>
  </si>
  <si>
    <t>SALVA VIDA 06MM ALUMINIO(CON AR)</t>
  </si>
  <si>
    <t>SAL ROSA REFINADO 1 KG</t>
  </si>
  <si>
    <t>SAL DE PARRILHA ARGENTINO 500G</t>
  </si>
  <si>
    <t xml:space="preserve">SAGA VALVULAS </t>
  </si>
  <si>
    <t>SACOLA COLORIDA KG</t>
  </si>
  <si>
    <t>Kg</t>
  </si>
  <si>
    <t>SACOLA CINZA 40X50 C/5KG</t>
  </si>
  <si>
    <t>SACOLA 25X35 C/100 FLXBAG</t>
  </si>
  <si>
    <t>SACOLA 100% ALGODÃO</t>
  </si>
  <si>
    <t>SACO PLÁSTICO PEBD/PE 50x70</t>
  </si>
  <si>
    <t>SACO PLÁSTICO PEBD/PE 40x60</t>
  </si>
  <si>
    <t>SACO DE TERRA ADUBADA GR 20KL</t>
  </si>
  <si>
    <t>SACO DE LIXO 250L LEVE C/100</t>
  </si>
  <si>
    <t>SACO DE LIXO 240L PESADO</t>
  </si>
  <si>
    <t>SACHO CORAÇÃO C/CABO</t>
  </si>
  <si>
    <t>SACHO 2 PONTAS 60CM TRAMONTINA</t>
  </si>
  <si>
    <t>SACHE DE SAL C/2000</t>
  </si>
  <si>
    <t>SACA PARAFUSO 05 PÇS LOTUS</t>
  </si>
  <si>
    <t>SABONETE SEM AROMA  5LT</t>
  </si>
  <si>
    <t>RÓTULO - PICANHA 'B' BOIBOM</t>
  </si>
  <si>
    <t>RÓTULO - OSSOBUCO CONGELADO BOIBOM DIA A DIA</t>
  </si>
  <si>
    <t>RÓTULO - MUSCULO RESFRIADO BOIBOM BOM DIA A DIA</t>
  </si>
  <si>
    <t>RÓTULO - LAGARTO RESFRIADO BOIBOM DIA A DIA</t>
  </si>
  <si>
    <t>RÓTULO - FRALDA RESFRIADO BOIBOM GRILL</t>
  </si>
  <si>
    <t>RÓTULO - FILE MIGNON 4/5 BOIBOM</t>
  </si>
  <si>
    <t xml:space="preserve">RÓTULO - COXÃO DURO RESFRIADO BOIBOM DIA A DIA </t>
  </si>
  <si>
    <t xml:space="preserve">RÓTULO - COXAO MOLE RESFRIADO BOIBOM DIA A DIA	</t>
  </si>
  <si>
    <t>RÓTULO - COSTELA MINGA CONGELADO BOIBOM GRILL</t>
  </si>
  <si>
    <t>RÓTULO - COSTELA MINGA CONGELADO BOIBOM DIA A DIA</t>
  </si>
  <si>
    <t>RÓTULO - COSTELA JANELA CONGELADO BOIBOM GRILL</t>
  </si>
  <si>
    <t>RÓTULO - COSTELA JANELA CONGELADO BOIBOM DIA A DIA</t>
  </si>
  <si>
    <t>RÓTULO - CONTRA FILE RESFRIADO BOIBOM GRILL</t>
  </si>
  <si>
    <t>RÓTULO - CONTRA FILE RESFRIADO BOIBOM DIA A DIA</t>
  </si>
  <si>
    <t>RÓTULO - CAPA DE FILE RESFRIADO BOIBOM DIA A DIA</t>
  </si>
  <si>
    <t>RÓTULO - BIFE DO VAZIO RESFRIADO BOIBOM DIA A DIA</t>
  </si>
  <si>
    <t>RÓTULO - BIFE DO VAZIO CONGELADO BOIBOM DIA A DIA</t>
  </si>
  <si>
    <t>RÓTULO - BIFE BORBOLETA RESFRIADO BOIBOM GRILL</t>
  </si>
  <si>
    <t>RÓTULO - BIFE ANCHO RESFRIADO BOIBOM GRILL</t>
  </si>
  <si>
    <t>RÓTULO - BANANINHA RESFRIADO BOIBOM GRILL</t>
  </si>
  <si>
    <t>RÓTULO - BANANINHA CONGELADA BOIBOM GRILL</t>
  </si>
  <si>
    <t xml:space="preserve">RÓTULO - ASSADO DE TIRAS CONGELADO BOIBOM GRILL </t>
  </si>
  <si>
    <t>RÓTULO - ALCATRA C/ MAMINHA RESFRIADO BOIBOM DIA A DIA</t>
  </si>
  <si>
    <t xml:space="preserve">RÓTOLO - PICANHA RESFRIADO BOIBOM DIA A DIA </t>
  </si>
  <si>
    <t>RUCULA</t>
  </si>
  <si>
    <t>RPW REVITALIZADOR P/PLASTICO/BORRACHA 680G</t>
  </si>
  <si>
    <t>ROUNDUP ORIGINAL MAIS 20LT (D.A)</t>
  </si>
  <si>
    <t>ROTULO PRETO -BOIBOM PICANHA RESFRIADA</t>
  </si>
  <si>
    <t>ROTULO MEDALHAO DE FRANGO COM BACON</t>
  </si>
  <si>
    <t>ROTULO BOIBOM DIA A DIA FILE MIGNON RESFRIADO</t>
  </si>
  <si>
    <t>ROTULO -CORTE BOVINO ShOUder STEAK CONGELADO -033316</t>
  </si>
  <si>
    <t>Cx</t>
  </si>
  <si>
    <t xml:space="preserve">ROTULO -CORTE BOVINO RIBEYE BONE IN CONGELADO -033314 </t>
  </si>
  <si>
    <t>ROTULO -CORTE BOVINO PRIME RIB CONGELADO -033315</t>
  </si>
  <si>
    <t>ROTULO -CORTE BOVINO  TOMAhaWK 033313</t>
  </si>
  <si>
    <t>ROTULO - CUPIM CONGELADO BOIBOM GRILL</t>
  </si>
  <si>
    <t>ROTULO - CORTE BOVINO  T-BONE CONGELADO 033307</t>
  </si>
  <si>
    <t>Rotulo - Boibom Premium Picanha Resfriada</t>
  </si>
  <si>
    <t>ROST OFF MECHANIC 600ML/400G</t>
  </si>
  <si>
    <t>ROST OFF MECHANIC 300ML /200G</t>
  </si>
  <si>
    <t>ROSCA TE 1/2</t>
  </si>
  <si>
    <t>ROSCA PLUG 1/2</t>
  </si>
  <si>
    <t>ROSCA NIPEL 3/4 TIGRE</t>
  </si>
  <si>
    <t>ROSCA NIPEL 1/2</t>
  </si>
  <si>
    <t>ROSCA ESPIGÃO MACHO 3/4 x 3/4 LATÃO</t>
  </si>
  <si>
    <t>ROSCA BUCHA X1 . 1/2 20022680</t>
  </si>
  <si>
    <t>ROLO TIRA BOLHA</t>
  </si>
  <si>
    <t>ROLO INVERSOR A 9062006970</t>
  </si>
  <si>
    <t xml:space="preserve">ROLO FIO DE CORTE PARA ROCADEIRA </t>
  </si>
  <si>
    <t>ROLO ESTANHO 1,0MM 40X60 CAR 500G VONDER</t>
  </si>
  <si>
    <t>ROLO DE VELUDO EPOXI 23CM MARCA ATLAS</t>
  </si>
  <si>
    <t>ROLO DE PINTURA (PELE) 15CM ATLAS</t>
  </si>
  <si>
    <t>ROLO DE NYLON STIHL 312 M x 3,0 MM</t>
  </si>
  <si>
    <t>ROLO DE NYLON 312 M x 3,0 MM</t>
  </si>
  <si>
    <t>ROLO DE LA EXTRA 23CM ATLAS</t>
  </si>
  <si>
    <t>ROLO DE LA 23CM ATLAS</t>
  </si>
  <si>
    <t>ROLO DE ETIQUETA 60X30</t>
  </si>
  <si>
    <t xml:space="preserve">ROLETE SAPATA DE FREIO -DELIVERY </t>
  </si>
  <si>
    <t>ROLETE 40T 513 BICOLOR COLORPRINT</t>
  </si>
  <si>
    <t xml:space="preserve">ROLDANA GUIA SUPERIOR EIXO ROSCA ROLAMENTO AL </t>
  </si>
  <si>
    <t>ROLDANA EXCENTRICA DE NYLON P/ VIDRO 8MM</t>
  </si>
  <si>
    <t>ROLDANA CANTONEIRA 2" CX ABERTA ZINCADA AL.</t>
  </si>
  <si>
    <t>ROLDAENA ACELERADOR DOIS CABOS TWISTER/CB300</t>
  </si>
  <si>
    <t>ROLD CG V 76 X 19 C/BUCHA</t>
  </si>
  <si>
    <t>ROLAMNTO VOLANTE DO MOTOR 20X52X15MM</t>
  </si>
  <si>
    <t>ROLAMENTO VOLANTE MOTOR</t>
  </si>
  <si>
    <t>ROLAMENTO UNIVERSAL 6304 (VOLANTE ACCELO) CAIXA MARCHA MARCA EATON (MB 1016)</t>
  </si>
  <si>
    <t>ROLAMENTO TI99-904A1</t>
  </si>
  <si>
    <t xml:space="preserve">ROLAMENTO RODA TRASEIRA DUPLO - NOVO DELIVERY </t>
  </si>
  <si>
    <t>ROLAMENTO RODA DIANTEIRA 534565</t>
  </si>
  <si>
    <t>ROLAMENTO RODA DIANT SPRINTER</t>
  </si>
  <si>
    <t>ROLAMENTO POLIA TENSORA-OM 904/906 30BD40</t>
  </si>
  <si>
    <t>ROLAMENTO INTERNO RODA TRZ ACCELO 33116</t>
  </si>
  <si>
    <t>ROLAMENTO INTERNO RODA TRASEIRA 33113</t>
  </si>
  <si>
    <t>ROLAMENTO HK2016</t>
  </si>
  <si>
    <t>ROLAMENTO GAIOLA MACHA E RE CAMBIOS 2RO311213</t>
  </si>
  <si>
    <t>ROLAMENTO GAIOLA 2E3 2RO311229</t>
  </si>
  <si>
    <t>ROLAMENTO EXTERNO RODA TRASEIRA 33116 A</t>
  </si>
  <si>
    <t>ROLAMENTO EXTERNO RODA ACCELO 915 802794(33207)</t>
  </si>
  <si>
    <t>ROLAMENTO EIXO MARCA PARALELA (MB 1016)</t>
  </si>
  <si>
    <t xml:space="preserve">ROLAMENTO DIRECIONAL </t>
  </si>
  <si>
    <t>ROLAMENTO DE RODA VKHB4110</t>
  </si>
  <si>
    <t>ROLAMENTO DE ESFERA</t>
  </si>
  <si>
    <t>ROLAMENTO CAIXA DE MARCHA MB 802048/11 (802703)</t>
  </si>
  <si>
    <t>ROLAMENTO BMB 6202 SKF</t>
  </si>
  <si>
    <t>ROLAMENTO A27196 R1D</t>
  </si>
  <si>
    <t xml:space="preserve">ROLAMENTO 6302 SCUD </t>
  </si>
  <si>
    <t xml:space="preserve">ROLAMENTO 6301 SCUD </t>
  </si>
  <si>
    <t>ROLAMENTO 629</t>
  </si>
  <si>
    <t xml:space="preserve">ROLAMENTO 6205 ZZ TIMKEM </t>
  </si>
  <si>
    <t>ROLAMENTO 6204 2Z</t>
  </si>
  <si>
    <t>ROLAMENTO 6203</t>
  </si>
  <si>
    <t>ROLAMENTO 6202 SCUD</t>
  </si>
  <si>
    <t>ROLAMENTO 6201 (128736)</t>
  </si>
  <si>
    <t>ROLAMENTO 6201</t>
  </si>
  <si>
    <t>ROLAMENTO 6007</t>
  </si>
  <si>
    <t>ROLAMENTO 6004ZE MARCA NACHI</t>
  </si>
  <si>
    <t>ROLAMENTO 6003</t>
  </si>
  <si>
    <t>ROLAMENTO 6.304 - DIVERSOS /3534</t>
  </si>
  <si>
    <t>ROLAMENTO 6.203 DIVERSOS 3518</t>
  </si>
  <si>
    <t>ROLAMENTO 6.003 DIVERSOS 3503</t>
  </si>
  <si>
    <t>ROLAMENTO 4T-A6075/A6157</t>
  </si>
  <si>
    <t>ROLAMENTO 395/394 R2F</t>
  </si>
  <si>
    <t>ROLAMENTO 2RD398042 25877/821 802732</t>
  </si>
  <si>
    <t>ROLAMENTO 2R0 105276B</t>
  </si>
  <si>
    <t>ROLAMENTO 2002 DIVERSOS/ 3502</t>
  </si>
  <si>
    <t>ROLAMENTO 12770 14770</t>
  </si>
  <si>
    <t>ROLAMENTO - 50MM / 2005</t>
  </si>
  <si>
    <t>ROLAMENTO  6157 COMPLETO CAPA +CONE</t>
  </si>
  <si>
    <t>RODOPIA</t>
  </si>
  <si>
    <t>RODO PARA LIMPEZA VIDROS 35 CM</t>
  </si>
  <si>
    <t>RODO DRY 65CM ENCAIXE EURO</t>
  </si>
  <si>
    <t>RODO DRY 65 CM INTEIRO</t>
  </si>
  <si>
    <t>RODO DRY 45CM ENCAIXE EURO</t>
  </si>
  <si>
    <t>RODO DRY 45 CM INTEIRO</t>
  </si>
  <si>
    <t xml:space="preserve">RODO 60CM </t>
  </si>
  <si>
    <t>RODO 50CM</t>
  </si>
  <si>
    <t>RODO 40CM</t>
  </si>
  <si>
    <t>RODO  DE 1MM</t>
  </si>
  <si>
    <t>RODIZIO PJ MOVEL PINO 11 50MM</t>
  </si>
  <si>
    <t>RODIZIO PJ MOVEL PINO 10 50MM</t>
  </si>
  <si>
    <t>RODIZIO GIRATORIO ESPIGA PRETO 2'50(RODINHAS)</t>
  </si>
  <si>
    <t>RODA VW 11.180</t>
  </si>
  <si>
    <t>RODA MB FORD CARGO VW 10F 7.5 X 22 S/CAMARA CAMARA (275) DISCO</t>
  </si>
  <si>
    <t>RODA DIANTEIRA COMPLETA RAIADA HONDA CG TITAN 150 FAN ROLAMENTO +LONA</t>
  </si>
  <si>
    <t xml:space="preserve">RODA DIANTEIRA (MB 815/1016) MARCA MERCEDES BENZ </t>
  </si>
  <si>
    <t>RODA DE TRAÇÃOPT 250X210X100 C/8 FUROS</t>
  </si>
  <si>
    <t>RODA DE ALUMINIO CAMINHÃO 295 8,25X22,5 AUTOBRILHO F.QUADRADO</t>
  </si>
  <si>
    <t>RODA 23B/601027/AXD6</t>
  </si>
  <si>
    <t>RODA 17,5 POL 6 FUROS AÇO</t>
  </si>
  <si>
    <t>ROD COLSON PU GMS 42 PF R S/F</t>
  </si>
  <si>
    <t>ROCHA S451F FERROLHO FG UNICO</t>
  </si>
  <si>
    <t>ROALMENTO DE AGULHA 5 MACHA CAMBIOS 2RO311648</t>
  </si>
  <si>
    <t>REVESTIMENTO RODA DE CARGA RR5000 80MM 150X100X100</t>
  </si>
  <si>
    <t>REVESTIMENTO RODA DE CARGA RR5000 150x120x100</t>
  </si>
  <si>
    <t>REVESTIMENTO RODA DE CARGA PATOLADA CROW 150x120x103</t>
  </si>
  <si>
    <t>REVESTIMENTO RODA DE CARGA ERX 85x61x160 C/ROLAMENTO</t>
  </si>
  <si>
    <t>REVESTIMENTO RODA DE CARGA 85X62X95 ROL.6205 S/CAPA</t>
  </si>
  <si>
    <t>REVESTIMENTO DO PARA CHOQUE A910885810000499K83</t>
  </si>
  <si>
    <t>REVESTIMENTO A9017270128</t>
  </si>
  <si>
    <t>REV. RODA DE TRAÇAO RR500 330X245X138</t>
  </si>
  <si>
    <t>REV RODA DE APOIO RR5000 215X185 X 70 C/ 8 FUROS</t>
  </si>
  <si>
    <t>REV RODA DE APOIO 127X110X60</t>
  </si>
  <si>
    <t>REV 20X20 QUARTER CORAL CX 1,4M N/C</t>
  </si>
  <si>
    <t>RETENTOR VOLVO</t>
  </si>
  <si>
    <t xml:space="preserve">RETENTOR TRZ VIRABREQUIM 904/906/457 </t>
  </si>
  <si>
    <t>RETENTOR TRASEIRO VIBRAQUIM MB ELRING 0259975047</t>
  </si>
  <si>
    <t>RETENTOR TRASEIRO DO VIRABREQUIM</t>
  </si>
  <si>
    <t>RETENTOR RODA TRZ 07735 SABO</t>
  </si>
  <si>
    <t>RETENTOR RODA TRASEIRA 02713</t>
  </si>
  <si>
    <t>RETENTOR RODA DIANT SPRINTER</t>
  </si>
  <si>
    <t>RETENTOR M/A/16 T12525275</t>
  </si>
  <si>
    <t>RETENTOR F20</t>
  </si>
  <si>
    <t>RETENTOR EIXO PILOTO - S5.42 08312</t>
  </si>
  <si>
    <t>RETENTOR DO PINHÃO DO DIFERENCIAL 02686</t>
  </si>
  <si>
    <t>RETENTOR DISTRIBUIÇAO -CUMMINS ISB/4075</t>
  </si>
  <si>
    <t>RETENTOR DIANTEIRO CAMBIOS 2RO311189</t>
  </si>
  <si>
    <t xml:space="preserve">RETENTOR DE ÓLEO (COD. 5259499)	</t>
  </si>
  <si>
    <t>RETENTOR DE VEDAÇAO A0249978047</t>
  </si>
  <si>
    <t>RETENTOR CARCAÇA VOLANTE MOTOR CUMMINS</t>
  </si>
  <si>
    <t>RETENTOR 8398</t>
  </si>
  <si>
    <t>RETENTOR 50X65X8MM 2R0311281B</t>
  </si>
  <si>
    <t>RETENTOR 35 X 25 X 10</t>
  </si>
  <si>
    <t xml:space="preserve">RETENTOR 20.0X30.0X07.O-00505 </t>
  </si>
  <si>
    <t>RETENTOR 1783</t>
  </si>
  <si>
    <t>RETENTOR (COD. 5338295)</t>
  </si>
  <si>
    <t>RETENTOR (COD. 4938765)</t>
  </si>
  <si>
    <t>RETENTOR (COD. 2429537.000)</t>
  </si>
  <si>
    <t>RETENTO CUBO T RVVW 4140 /5140/9170/11180/DELIVERY 70X99X13</t>
  </si>
  <si>
    <t>RESPIRADOR WORKER 2 FILTROS</t>
  </si>
  <si>
    <t xml:space="preserve">RESPIRADOR PFF2 PRO AGRO C/VALVULA </t>
  </si>
  <si>
    <t>RESISTENCIA P/FRITADEIRA AGUA E OLEO 5000 WATTS 220V</t>
  </si>
  <si>
    <t>RESISTENCIA 127 V/550W</t>
  </si>
  <si>
    <t>RESISTENCIA 055A 220V 5500W MD/J3/T43 LORENZETTI</t>
  </si>
  <si>
    <t>RESISTENCIA</t>
  </si>
  <si>
    <t xml:space="preserve">RESERVATORIO DIR HIDRAULICA - ACCELO </t>
  </si>
  <si>
    <t>RESERVATORIO DE AGUA TANQUE DE EXPANSÃO -DELIVERY</t>
  </si>
  <si>
    <t>RESERVATORIO ARLA 23B/131877 H</t>
  </si>
  <si>
    <t xml:space="preserve">RES.ROSCA 1 1/4 U2 8.2X140MM 1000W 220V </t>
  </si>
  <si>
    <t>REPOSIÇAO VALVULA OMPLETA S-5U4604</t>
  </si>
  <si>
    <t>REPOLHO ROXO</t>
  </si>
  <si>
    <t>REPOLHO BRANCO</t>
  </si>
  <si>
    <t>REPARO VALV. DESCARGA - KNORR 6724</t>
  </si>
  <si>
    <t>REPARO P/MANGUEIRA DE FREIO</t>
  </si>
  <si>
    <t>REPARO LEVANTE MF 2710889 H23</t>
  </si>
  <si>
    <t>REPARO DA BOIA DE ALTO PRESAO DO PREDIO</t>
  </si>
  <si>
    <t>REPARO CONEXAO ENCAIXE - 22M</t>
  </si>
  <si>
    <t>REPARO CAÇAMBA TRAZ MF 750 III</t>
  </si>
  <si>
    <t>RENOV GEL TP CX 12/500ML</t>
  </si>
  <si>
    <t>REMOVEDOR PASTOSO MAZA</t>
  </si>
  <si>
    <t>REMOVEDOR EM NYLON 115X22MM</t>
  </si>
  <si>
    <t xml:space="preserve">RELOGIO DE MESA </t>
  </si>
  <si>
    <t xml:space="preserve">RELE PISCA TITAN 125/XLR 125 AUTO </t>
  </si>
  <si>
    <t>RELE PISCA BIZ 100 SERVITEC</t>
  </si>
  <si>
    <t>RELE LIMPADOR PARABRISA DNI0824</t>
  </si>
  <si>
    <t>RELE FOTOCELULA P/BASE</t>
  </si>
  <si>
    <t>RELE FALTA SEQ FASE RMW17 220-240V</t>
  </si>
  <si>
    <t>RELE FALTA DE FASE JPND 220V</t>
  </si>
  <si>
    <t>RELE DUPLO 12 V</t>
  </si>
  <si>
    <t xml:space="preserve">RELE AUXILIAR DNI 0212 </t>
  </si>
  <si>
    <t>RELE AUXILIAR 29MT 24V</t>
  </si>
  <si>
    <t>RELE AUX 12V 0102 - 4 SAIDAS</t>
  </si>
  <si>
    <t>RELAÇAO TITAN 150</t>
  </si>
  <si>
    <t>REJUNTE QZT FLEX BRANCO 5KG</t>
  </si>
  <si>
    <t xml:space="preserve">REGULADOR SIGMA 1/2 GRANDE MARCA LUBRIFIL </t>
  </si>
  <si>
    <t>REGULADOR PRESSAO ARGONIO</t>
  </si>
  <si>
    <t xml:space="preserve">REGISTRO ESFERA UNIAO 32MM TIGRE </t>
  </si>
  <si>
    <t>REGISTRO ESFERA SOLDA 60MM</t>
  </si>
  <si>
    <t xml:space="preserve">REGISTRO ESFERA S/UNIAO 32MM MARCA TIGRE </t>
  </si>
  <si>
    <t>REGISTRO ESFERA S/UNIAO 25MM MARCA TIGRE</t>
  </si>
  <si>
    <t>REGISTRO ESFERA 3/4 MARCA DOCOL</t>
  </si>
  <si>
    <t>REGADOR 14L</t>
  </si>
  <si>
    <t>REGADOR 10L</t>
  </si>
  <si>
    <t xml:space="preserve">REG. SIGMA PRESSAO C/MANO 1/4 </t>
  </si>
  <si>
    <t>REG .SIGMA LUBRIFIFIL GR INDUSTRIAL</t>
  </si>
  <si>
    <t>REFLETOR SUPERLED SLIM 30W 3000K  BIVOLT PRETO</t>
  </si>
  <si>
    <t>REFLETOR LED TR SLIM 100W 6500K</t>
  </si>
  <si>
    <t>REFLETOR LED 500W 6500K BIVOLT</t>
  </si>
  <si>
    <t>REFLETOR LED 400W 6500K</t>
  </si>
  <si>
    <t>REFLETO LED SLIM 150W 3000K</t>
  </si>
  <si>
    <t>REFIL RUZISEAL 100MM S/CX</t>
  </si>
  <si>
    <t>REFIL PURIFICADOR CARBON BLOCK 5 ACQUABIOS</t>
  </si>
  <si>
    <t>REFIL PLANETA FIT 200 FIT ESP 109</t>
  </si>
  <si>
    <t>REFIL PARA CARIMBO</t>
  </si>
  <si>
    <t>REFIL P/PURIFICADOR AP 200 3M AQUALAR</t>
  </si>
  <si>
    <t>REFIL GÁS P/MAÇARICO 400G ANDFER</t>
  </si>
  <si>
    <t>REFIL ALCOOL CENTURY SPRAY 600ML</t>
  </si>
  <si>
    <t>REFIL</t>
  </si>
  <si>
    <t>REDUÇAO TE ESGOTO 100X50</t>
  </si>
  <si>
    <t>REDUTORAS 22X11</t>
  </si>
  <si>
    <t>REDONDO 3/8 ASTM A-36</t>
  </si>
  <si>
    <t>REDONDO 1/2 A-36</t>
  </si>
  <si>
    <t>REBITE W-510 (25 PÇS)</t>
  </si>
  <si>
    <t>REBITE W-416 AL</t>
  </si>
  <si>
    <t>REBITE W 622</t>
  </si>
  <si>
    <t>REBITE REPUXO 516</t>
  </si>
  <si>
    <t>REBITE RECARTILHADO C/ROSCA INTERNA M8</t>
  </si>
  <si>
    <t>REBITE RECARTILHADO C/ROSCA INTERNA M5</t>
  </si>
  <si>
    <t>REBITE RECARTILHADO C/ROSCA INTERNA M4</t>
  </si>
  <si>
    <t>REBITE REBITAR W 625 AL FCP 2,00</t>
  </si>
  <si>
    <t xml:space="preserve">REBITE REBIPAR W540 </t>
  </si>
  <si>
    <t>REBITE CARTELA W-535 (25 PÇS)</t>
  </si>
  <si>
    <t>REBITE CARTELA W-525 (50 PÇS)</t>
  </si>
  <si>
    <t>REBITE C/ROSCA INTERNA M6</t>
  </si>
  <si>
    <t xml:space="preserve">REBITE ALUM 4,8X16 REPUXO </t>
  </si>
  <si>
    <t>REBITE A522/685</t>
  </si>
  <si>
    <t>REBITE A-625/8100 100PÇS</t>
  </si>
  <si>
    <t xml:space="preserve">REBITE A-619 100PÇS </t>
  </si>
  <si>
    <t>REBITE A-516/665 BRI. (100 PÇS)</t>
  </si>
  <si>
    <t>REBITE A-425/5100 BRI. 100PÇ</t>
  </si>
  <si>
    <t>REBITE A-416/565 BRI. (100 PÇS)</t>
  </si>
  <si>
    <t>REBITE A-412/550 BRANCO 100PÇ</t>
  </si>
  <si>
    <t>REBITE A-410/540 BRA. 100 PÇS</t>
  </si>
  <si>
    <t>REBITE A-325/4100</t>
  </si>
  <si>
    <t>REBITE 6X3/4X1.1/4MM GRAO 60 C/B 1/2,5/8,3/4" B. CORTE</t>
  </si>
  <si>
    <t>REBITE 6X3/4X1.1/4MM GRAO 36 C/B 1/2,5/8,3/4" B.CORTE</t>
  </si>
  <si>
    <t>REBITE 319/47</t>
  </si>
  <si>
    <t>REBITE 10x14 ALUMINIO MACIÇO VM FH 440</t>
  </si>
  <si>
    <t xml:space="preserve">REATOR ECP ELETRONICO 2X20W BIVOL </t>
  </si>
  <si>
    <t>RALO SIFONADO 250 X 250 MM</t>
  </si>
  <si>
    <t xml:space="preserve">RADIOS 12KM 777S KIT DE 2 </t>
  </si>
  <si>
    <t>RADIADOR SAVEIRO</t>
  </si>
  <si>
    <t>RADIADOR DE OLEO SPRINTER</t>
  </si>
  <si>
    <t>RADIADOR 23B/ 121251/D</t>
  </si>
  <si>
    <t>RACK PADRAO 19 60X 470 PRETO VISOR</t>
  </si>
  <si>
    <t xml:space="preserve">RABICHO FLEX TRANÇADO40CM LOREN </t>
  </si>
  <si>
    <t>QZT REJ. FLEX BRANCO 1K</t>
  </si>
  <si>
    <t>QZT ARG PORCEL. E . PISO/PISO EXT BRANO ARDOSIA 20KG</t>
  </si>
  <si>
    <t>QUIABO CX 10 KG</t>
  </si>
  <si>
    <t xml:space="preserve">QUEROSENE GL 5L </t>
  </si>
  <si>
    <t>QUEROSENE 900ML</t>
  </si>
  <si>
    <t>QUENTINHA PLÁSTICO C/100 UND MARCA ISOBRAS</t>
  </si>
  <si>
    <t>QUENTINHA MANUAL 9 C/100</t>
  </si>
  <si>
    <t>QUENTINHA GRANDE</t>
  </si>
  <si>
    <t>QUEBRA SOL VOLVO VM</t>
  </si>
  <si>
    <t>QUALITRONIX TEMPORIZADOR FOTOCELULA QR50M</t>
  </si>
  <si>
    <t>QUALITRONIX RELE FOTOCELULA CORUJITO QR51</t>
  </si>
  <si>
    <t>QUALITRONIX RELE FOTOCELULA BASE QR54</t>
  </si>
  <si>
    <t>QUALITRONIX BASE P/RELE FOTOCELULA QB1</t>
  </si>
  <si>
    <t>QUADRO SOB. 12/16DJ C/BAR BRANCO TIGRE</t>
  </si>
  <si>
    <t>QUADRO MULTIUSO OFICIO CRISTAL R QMOF</t>
  </si>
  <si>
    <t>QUADRO MULTIUSO A4 CRISTAL 0534</t>
  </si>
  <si>
    <t>QUADRO DE CHAVES ALUMINIO PRETO 40 CHAVES</t>
  </si>
  <si>
    <t>QUADRADO 1/2 ASTM A-36 VL BASE</t>
  </si>
  <si>
    <t xml:space="preserve">PÁ JARDINAGEM </t>
  </si>
  <si>
    <t xml:space="preserve">PÁ DE LIXO </t>
  </si>
  <si>
    <t>PÁ COLETORA POP COMPLETA</t>
  </si>
  <si>
    <t>PW 390 RELE</t>
  </si>
  <si>
    <t>PUXADOR ALÇA GRANDE COR BRANCO</t>
  </si>
  <si>
    <t>PULVERIZADOR LATERAL MANUAL GP500</t>
  </si>
  <si>
    <t>PULVERIZADOR 2,0 LTS F88</t>
  </si>
  <si>
    <t>PULVENIZADOR COMPRESSAO PREVIA PCP 6P GUARANY</t>
  </si>
  <si>
    <t>PU BÁU BRANCO 400G</t>
  </si>
  <si>
    <t>PU BRANCO SPRINTER 9147 MBB 97 1/4 6100511601D4</t>
  </si>
  <si>
    <t>PU A BRANCO GEADA VW 1995 3,600</t>
  </si>
  <si>
    <t>PT 500 C/TAMPA ISOBRAS</t>
  </si>
  <si>
    <t>PROTEÇA SEM GTIN VO21708611</t>
  </si>
  <si>
    <t>PROTETOR SOLAR SUNLAU FPS 60 1L RES4H AGUA</t>
  </si>
  <si>
    <t xml:space="preserve">PROTETOR FACIAL ACRILICO </t>
  </si>
  <si>
    <t>PROTETOR DE POLO DE BATERIA 220ML</t>
  </si>
  <si>
    <t>PROTETOR DE CANTO COM 1 METRO</t>
  </si>
  <si>
    <t>PROLONGADOR TELESCOPICO 3M 1700 MARCA ATLAS</t>
  </si>
  <si>
    <t>PROLONGADOR RETO LONGO RODOAR</t>
  </si>
  <si>
    <t>PROJETOR LED 200W 6500K PT BIV</t>
  </si>
  <si>
    <t>PROJETOR LED 100W 5700K 220V</t>
  </si>
  <si>
    <t>PRIMER PU CINZA 7;1 C/CATALIZADOR 1/4 SKY</t>
  </si>
  <si>
    <t>PRIME DISJUNTOR DIN C 2 X 40A</t>
  </si>
  <si>
    <t>PRIME DISJUNTOR DIN C 1X20A</t>
  </si>
  <si>
    <t>PRESSOSTATO 125/175 P/ COMPRESSOR</t>
  </si>
  <si>
    <t xml:space="preserve">PRESILHAS RAPIDAS </t>
  </si>
  <si>
    <t xml:space="preserve">PRESILHA TRILHO BANCO LAT S/TRAVA </t>
  </si>
  <si>
    <t xml:space="preserve">PRESILHA TRILHO BANCO LAT C/TRAVA </t>
  </si>
  <si>
    <t>PRESILHA SUPORTE VARETA</t>
  </si>
  <si>
    <t>PRESILHA RAPIDA</t>
  </si>
  <si>
    <t xml:space="preserve">PRESILHA PLACA DIANTEIRA/TRASEIRA UNIVERSAL C/10 </t>
  </si>
  <si>
    <t xml:space="preserve">PRESILHA FRONT TRILHO BCO </t>
  </si>
  <si>
    <t>PREPARAÇÃO 4L (COD. 2154245.000)</t>
  </si>
  <si>
    <t>PRENSA 30T MPH 30 MARCON</t>
  </si>
  <si>
    <t>PRENDEDOR DE METAL 41MM BAZZER BINDER</t>
  </si>
  <si>
    <t>PREND F.C. S/LAMPADA C/PINO 127V 5 METROS 00666</t>
  </si>
  <si>
    <t xml:space="preserve">PREGO GALVANIZADO </t>
  </si>
  <si>
    <t>PREGO C/CABEÇA 17X27 DURABEM</t>
  </si>
  <si>
    <t>PREGO 15X15 1KG</t>
  </si>
  <si>
    <t>PRE FILTRO DE COMBUSTIVEL A4702290</t>
  </si>
  <si>
    <t>PRATO FUNDO MELAMINA</t>
  </si>
  <si>
    <t>PRATO DESCARTÁVEL 15CM BRANCO C/10 UND</t>
  </si>
  <si>
    <t>PRATO DA MOLA DA CUICA</t>
  </si>
  <si>
    <t>PRATELEIRA MULTIUSO 80X30CM BRANCO</t>
  </si>
  <si>
    <t xml:space="preserve">PRATA ONIX MET 164 TOYOTA BL 0,9L </t>
  </si>
  <si>
    <t>PRANCHETA OFICIO</t>
  </si>
  <si>
    <t>PRANCHETA DURATEX C/PREDEN.METAL</t>
  </si>
  <si>
    <t>PRANCHETA ACRILICA CRISTAL</t>
  </si>
  <si>
    <t>POTICHE BICO DE JACA (POTE DE VIDRO COM TAMPA)</t>
  </si>
  <si>
    <t>POTENCIOMETRO 36301129</t>
  </si>
  <si>
    <t>POTE P180 COPAZA C/100</t>
  </si>
  <si>
    <t>POTE DESCARTÁVEL 100ML C/100 UND</t>
  </si>
  <si>
    <t>POTE 1,2LT</t>
  </si>
  <si>
    <t>PORTINHOLA DE VENTILACAO DO TETO</t>
  </si>
  <si>
    <t>PORTA SANFONADA 72CM</t>
  </si>
  <si>
    <t>PORTA FUSIVEL LAMINA</t>
  </si>
  <si>
    <t xml:space="preserve">PORTA ELETROUDO (E)1000A (WPS0399)DELTA PLUS </t>
  </si>
  <si>
    <t>PORTA ELETROUDO (D) 600A DELTA PLUS AL. FCP 2,00: VL FCP 0,63</t>
  </si>
  <si>
    <t>DEPARTAMENTO PESSOAL</t>
  </si>
  <si>
    <t>PORTA COPO DESCARTAVEL</t>
  </si>
  <si>
    <t>PORTA CANETA/CLIPS</t>
  </si>
  <si>
    <t>MATERIAL DE ESCRITÓRIO</t>
  </si>
  <si>
    <t>PORCA TRAVANTE UNC 5 / 16</t>
  </si>
  <si>
    <t>PORCA TRAVANTE UNC 1/2 ZB</t>
  </si>
  <si>
    <t>PORCA TRAVANTE 1/4 INOX</t>
  </si>
  <si>
    <t>PORCA TRAVA SEM GTIN VO990978</t>
  </si>
  <si>
    <t>PORCA SEXTAVADA UNC 1/4 ZB</t>
  </si>
  <si>
    <t>PORCA SEXTAVADA MA INOX 65 8.8</t>
  </si>
  <si>
    <t>PORCA SEXTAVADA MA INOX 05x0,80</t>
  </si>
  <si>
    <t>PORCA SEXT.UNC 5/16 ZB</t>
  </si>
  <si>
    <t>PORCA SEXT.UNC 3/16 ZB</t>
  </si>
  <si>
    <t>PORCA SEXT.MA 14 BC</t>
  </si>
  <si>
    <t>PORCA SEXT ZB TRAV MA 8.8</t>
  </si>
  <si>
    <t>PORCA SEXT UNF 5/8 G-5</t>
  </si>
  <si>
    <t xml:space="preserve">PORCA SEXT UNC 5/8 ZB </t>
  </si>
  <si>
    <t>PORCA SEXT RODOAR 8X6</t>
  </si>
  <si>
    <t xml:space="preserve">PORCA SEXT MB 12 X 50 </t>
  </si>
  <si>
    <t xml:space="preserve">PORCA SEXT MB 12 BC </t>
  </si>
  <si>
    <t>PORCA SEXT MA INOX 08X1,25 C/02</t>
  </si>
  <si>
    <t>PORCA SEXT MA 18 BC</t>
  </si>
  <si>
    <t>PORCA SEXT MA 06 BC</t>
  </si>
  <si>
    <t>PORCA SEXT AÇO MA 14 BIC</t>
  </si>
  <si>
    <t>PORCA SEXT 5MM 8.8 MA</t>
  </si>
  <si>
    <t xml:space="preserve">PORCA SEXT .UNC 3/8 ZB </t>
  </si>
  <si>
    <t>PORCA SEM GTIM VO945894</t>
  </si>
  <si>
    <t>PORCA ROSCA GROSSA 5/16 MARCA PARALELA</t>
  </si>
  <si>
    <t xml:space="preserve">PORCA RODA CROMADA UNIVERSAL </t>
  </si>
  <si>
    <t>PORCA RODA 18MM - CH 27/OSCILANTE</t>
  </si>
  <si>
    <t>PORCA RAPIDA PARALAMA BRASILIA</t>
  </si>
  <si>
    <t>PORCA PONTACARCAÇA 1113 /ACCELO</t>
  </si>
  <si>
    <t>PORCA MOLA DO RODOAR</t>
  </si>
  <si>
    <t xml:space="preserve">PORCA DA LAMINA </t>
  </si>
  <si>
    <t>PORCA CARDAN 709/914</t>
  </si>
  <si>
    <t>PORCA BORBOLETA UNC 1/4</t>
  </si>
  <si>
    <t>PORCA BAIXA 3/8 UNF 6000911</t>
  </si>
  <si>
    <t>PORCA AUTO TRAVANTE UNC INOX 5 16</t>
  </si>
  <si>
    <t>PORCA AUTO TRAVANTE MA INOX 08</t>
  </si>
  <si>
    <t>PORCA AUTO TRAVANTE MA 10</t>
  </si>
  <si>
    <t xml:space="preserve">PORCA AUTO TRAVANTE 3/8 </t>
  </si>
  <si>
    <t>PORCA AUTO TRAVANTE 12</t>
  </si>
  <si>
    <t xml:space="preserve">PORCA AUTO TRAVANTE </t>
  </si>
  <si>
    <t>PORCA ALTA AUTOTRAVANTE NYLON 5/8 600978</t>
  </si>
  <si>
    <t>PORCA A.TRAVANTE UNC 5/8 ZB</t>
  </si>
  <si>
    <t>PORCA A.TRAVANTE MA 14</t>
  </si>
  <si>
    <t>PORCA A.TRAVANTE MA 06</t>
  </si>
  <si>
    <t>PORCA 7/8 NF DUPLA GR8  (VM FH440)</t>
  </si>
  <si>
    <t>PORCA 5/8 DUPLA MARCA PARALELA (ACCELO 1016)</t>
  </si>
  <si>
    <t>PORCA 377765 ORIG G20</t>
  </si>
  <si>
    <t>PORCA 3/8</t>
  </si>
  <si>
    <t xml:space="preserve">PORCA 16MM - R FINA </t>
  </si>
  <si>
    <t>PORCA 14MM R.GROSSA</t>
  </si>
  <si>
    <t>PORCA 14MM AUTO TRAVANTE</t>
  </si>
  <si>
    <t>PORCA 14MM</t>
  </si>
  <si>
    <t>PORCA 12MM R. FINA</t>
  </si>
  <si>
    <t>PORCA 10MM - TODOS</t>
  </si>
  <si>
    <t>PONTEIRA TERMINAL DE DIREÇÃO 335454</t>
  </si>
  <si>
    <t>PONTEIRA PEDAL DA EMBREAGEM 8002102062005</t>
  </si>
  <si>
    <t>PONTEIRA PARACHOQUE TRASEIRO SPRINTER C/SUPORTE (1997 a 2011) LE MARCA PARALELA</t>
  </si>
  <si>
    <t>PONTEIRA PARACHOQUE TRASEIRO SPRINTER C/SUPORTE (1997 a 2011) LD MARCA PARALELA</t>
  </si>
  <si>
    <t xml:space="preserve">PONTEIRA INTERNA PLASTICO QUADRADO </t>
  </si>
  <si>
    <t>PONTEIRA DIRECAO LADO ESQUERDO (N5249) ACCELO MB815</t>
  </si>
  <si>
    <t>PONTEIRA DIRECAO LADO DIREITO (N5248) ACCELO MB815</t>
  </si>
  <si>
    <t>POLO MOTORISTA XGG</t>
  </si>
  <si>
    <t>POLIA TENSORA-4897031</t>
  </si>
  <si>
    <t xml:space="preserve">POLIA TENSIONADORA </t>
  </si>
  <si>
    <t>POLIA CONSTELLATION 8PK CM VW MARCA PARALELA (VW 11.180)</t>
  </si>
  <si>
    <t>PO SEXT AT MA 12MM</t>
  </si>
  <si>
    <t>PO NY 10MM 8.8 MA</t>
  </si>
  <si>
    <t>PO DE CAFE MELITA</t>
  </si>
  <si>
    <t>PNEU PRETINHO 500ML</t>
  </si>
  <si>
    <t>PNEU 80/100 S/CAMARA</t>
  </si>
  <si>
    <t>PNEU 8.3/8-24 TT CGG R-1 NY 4</t>
  </si>
  <si>
    <t>PNEU 6.50-10 10PR TTF JH800 FORKLIFT GRI PEER (PNEU+CAM+PROT) EMPILHADEIRA</t>
  </si>
  <si>
    <t xml:space="preserve">PNEU 295/80R22.5 154/149L R269Z BRIDGESTONE </t>
  </si>
  <si>
    <t>PNEU 295/80R 22.5 18L R269 MARCA BRIDGESTONE (LISO)</t>
  </si>
  <si>
    <t>ALMOXARIFADO 3- PNEUS</t>
  </si>
  <si>
    <t>PNEU 295/80R 22.5 18L M736 MARCA BRIDGESTONE (BORRACHUDO)</t>
  </si>
  <si>
    <t xml:space="preserve">PNEU 250X4 </t>
  </si>
  <si>
    <t>PLUG ROSCAVEL 1/2</t>
  </si>
  <si>
    <t>PLUG RCA GOLDE 58MM</t>
  </si>
  <si>
    <t>PLUG MG FEMEA 2P+T 20A PT</t>
  </si>
  <si>
    <t xml:space="preserve">PLUG MG FEMEA 2P 10A  BR </t>
  </si>
  <si>
    <t>PLUG MACHO LONGITUDINAL 2P+T20</t>
  </si>
  <si>
    <t>PLUG MACHO INDUSTRIAL 32A 3P +T+N38</t>
  </si>
  <si>
    <t>PLUG MACHO INDUSTRIAL 32A 2P+T VM 38</t>
  </si>
  <si>
    <t>PLUG MACHO INDUST 32A 3P+N+T 6H</t>
  </si>
  <si>
    <t xml:space="preserve">PLUG MACHO INDUST 16A 3P+T+N 380V 9H </t>
  </si>
  <si>
    <t>PLUG MACHO INDUST 16A 3P+T 220V</t>
  </si>
  <si>
    <t>PLUG MACHO 3P 20A</t>
  </si>
  <si>
    <t xml:space="preserve">PLUG MACHO 2P+T 20A </t>
  </si>
  <si>
    <t>PLUG ILUMI MACHO 2P + T10A</t>
  </si>
  <si>
    <t>PLUG ILUMI FEMEA 2P + T20A</t>
  </si>
  <si>
    <t>PLUG ILUMI FEMEA 2P + T10A</t>
  </si>
  <si>
    <t>PLUG FERRO</t>
  </si>
  <si>
    <t>PLUG FEMEA GIGANTE 2P+T 20A CINZA</t>
  </si>
  <si>
    <t>PLUG FEMEA 3P 20A MARCA TRAMONTINA</t>
  </si>
  <si>
    <t>PLUG CONECTOR MACHO 8 VIAS LINHA DEUTSCH</t>
  </si>
  <si>
    <t>PLUG CONECTOR FEMEA 8 VIAS</t>
  </si>
  <si>
    <t>PLUG 3PT 16A 220V IP44 MARCA WEG</t>
  </si>
  <si>
    <t>PLUG 3P MACHO 10A</t>
  </si>
  <si>
    <t>PLUG 3/4 KRONA</t>
  </si>
  <si>
    <t>PLUG 1/2 KRONA ROSCA</t>
  </si>
  <si>
    <t>PLATO 23B 141025</t>
  </si>
  <si>
    <t>PLASTICO PARA PLASTIFICAÇAO 220X307 A4</t>
  </si>
  <si>
    <t xml:space="preserve">PLANTA PINGO DE OURO </t>
  </si>
  <si>
    <t>PLANTA PERIQUITAO</t>
  </si>
  <si>
    <t>PLANTA ONZE HORAS DOBRADA SORTIDA</t>
  </si>
  <si>
    <t>PLANTA LEOCOPHILLM</t>
  </si>
  <si>
    <t>PLANTA LANTANA COMUM</t>
  </si>
  <si>
    <t>PLANTA IXORA MIDI</t>
  </si>
  <si>
    <t>PLANTA HIBISCO PT 17</t>
  </si>
  <si>
    <t>PLANTA ALAMANDA AMARELA</t>
  </si>
  <si>
    <t>PLAINA MANUAL PROFISSIONAL</t>
  </si>
  <si>
    <t>PLAFONIER COM SOQUETE PORCELANA E27</t>
  </si>
  <si>
    <t>PLACA TRAMONTINA ARIA 4X2 2P</t>
  </si>
  <si>
    <t xml:space="preserve">PLACA TRAMONTINA ARIA 4X2 1P </t>
  </si>
  <si>
    <t>PLACA CONECTOR CARGA PARA MOTO G20</t>
  </si>
  <si>
    <t>PIVO SUSPENCAO 503055 -SPRINTER MB</t>
  </si>
  <si>
    <t xml:space="preserve">PISTOLA DE AR PULVERIZADOR </t>
  </si>
  <si>
    <t>PISTOLA CHIAPERINI HVLP 600ML</t>
  </si>
  <si>
    <t>PISTOLA APLICADORA DE SILICONE TUBULAR DE ALUMINIO</t>
  </si>
  <si>
    <t>PISTAO DIRETOR /SECRETARIA CLASSE 3 PRETO</t>
  </si>
  <si>
    <t>PISTAO - PA9198</t>
  </si>
  <si>
    <t>PISO EMBORRACHADO RIPADO 3MMX1M X1M BANCADA</t>
  </si>
  <si>
    <t>PINO UNIFORT TRAVA R.2,5X50</t>
  </si>
  <si>
    <t>PINO UNIFORT ELASTICO 5 X 40</t>
  </si>
  <si>
    <t xml:space="preserve">PINO UNIFORT ELASTICO 4 X 60 </t>
  </si>
  <si>
    <t>PINO TUBULAR SEM GTIN VO951955</t>
  </si>
  <si>
    <t>PINO MACHO GIGANTE 3P 10A BR</t>
  </si>
  <si>
    <t>PINO MACHO 2P GR PRENSA 10A BR</t>
  </si>
  <si>
    <t>PINO GARFO EMBREAGEM 1418/0500  /5923</t>
  </si>
  <si>
    <t>PINO ENGATE 1/4x1/4'' MACHO 5PÇS MARCA WORKER</t>
  </si>
  <si>
    <t>PINO ELASTICO GARFO FSO4505</t>
  </si>
  <si>
    <t>PINO DE ENGANTE 1/4 ROSCA MACHO</t>
  </si>
  <si>
    <t>PINO DE CENTRO 3/8 X8 CB 8000717</t>
  </si>
  <si>
    <t>PINO CONECTOR 1/4 ROSCA MACHO 1/4</t>
  </si>
  <si>
    <t>PINO CONECTOR 1/4  X ESC MANG.5/16</t>
  </si>
  <si>
    <t>PINO CENTRO 3/8 X 4 CB 8.8</t>
  </si>
  <si>
    <t>PINO ANCORA C/ROSCA 1/4x30x2</t>
  </si>
  <si>
    <t>PINCEL ACHATADO SINTÉTICO - AT951/8 ATLAS</t>
  </si>
  <si>
    <t>PINCEL ACHATADO SINTÉTICO - AT951/18 ATLAS</t>
  </si>
  <si>
    <t>PIMENTAO VERMELHO</t>
  </si>
  <si>
    <t>PIMENTAO VERDE</t>
  </si>
  <si>
    <t>PIMENTAO AMARELO</t>
  </si>
  <si>
    <t xml:space="preserve">PILHA EVEREADY PEQUENA ALCALINA GOLD </t>
  </si>
  <si>
    <t xml:space="preserve">PILHA EVEREADY PALITO ALC GOLD AA </t>
  </si>
  <si>
    <t>PILHA CR2032 RAYOVAC</t>
  </si>
  <si>
    <t xml:space="preserve">PILHA ALCALINA PEQUENA AA </t>
  </si>
  <si>
    <t>PILHA ALCALINA 23A</t>
  </si>
  <si>
    <t>PF MQ FE PA PH ZN 7985 4X18MM</t>
  </si>
  <si>
    <t>PEROXIDO HIDROGENIO 5LT</t>
  </si>
  <si>
    <t>PERNEIRA DE PROTEÇÃO</t>
  </si>
  <si>
    <t>PERIQUITO VERMELHO</t>
  </si>
  <si>
    <t>PERFIL75X40 SIMPLES</t>
  </si>
  <si>
    <t>PERFIL QUADRO TRAS INOX LAT 2X75X263</t>
  </si>
  <si>
    <t>PERFIL DE ALUMINIO COM 6METROS</t>
  </si>
  <si>
    <t>PERFIL CR-257 (U 8MM) BRANCO</t>
  </si>
  <si>
    <t>PERFIL ALUMINIO PROTEÇÃO LATERAL N-4010 CBA (CURVADO)</t>
  </si>
  <si>
    <t>PERFIL ALUMINIO PROTEÇÃO LATERAL ARREMA N-4010 CBA (RETO)</t>
  </si>
  <si>
    <t>PERFIL ALUMINIO PROTEÇÃO LATERAL 32x100x6000</t>
  </si>
  <si>
    <t>PERFIL ALUMINIO PROT LAT 32X100X6000 6005 T5</t>
  </si>
  <si>
    <t>PERFIL ACABAMENTO PROTETOR LATERAL (RETO 100MM)</t>
  </si>
  <si>
    <t>PERFIL ACABAMENTO PROTETOR LATERAL (CURVO 100MM)</t>
  </si>
  <si>
    <t>PEPINO COMUM</t>
  </si>
  <si>
    <t>PENTE DE BARRAMENTO 3P63A 22,5CM JNG</t>
  </si>
  <si>
    <t>PENTE DE BARRAMENTO 3P/63A 1MTJNG</t>
  </si>
  <si>
    <t>PENEIRA DE AREIA 55 ARO DE PLASTICO</t>
  </si>
  <si>
    <t>PENDENTE LUZ C/ PUGUE 5M GAMBIARRA</t>
  </si>
  <si>
    <t>PENDAL 200MM</t>
  </si>
  <si>
    <t>PEND FC S/LAMPADA C/PINO 127V SVANESS GAMBIARRA</t>
  </si>
  <si>
    <t>PEN DRIVER 8GB</t>
  </si>
  <si>
    <t>PELICULA 3DG24-04</t>
  </si>
  <si>
    <t xml:space="preserve">PELICULA 3D A03 CORE </t>
  </si>
  <si>
    <t>PEGADOR UNIVERSAL INOX 29CM</t>
  </si>
  <si>
    <t>PEDRA DE AFIAR 108 -CARBURUNDUM</t>
  </si>
  <si>
    <t>PEDRA DE AFIAR 08</t>
  </si>
  <si>
    <t>PEDRA BRANCO N:2 15KG</t>
  </si>
  <si>
    <t>PEDESTAL EM PVC P/CORRENTE 93</t>
  </si>
  <si>
    <t>PAU BRASIL</t>
  </si>
  <si>
    <t>PATIM TITAN2000/150KS  DIANT/TRAS/BROS125/CG83TODAY (MOTO)</t>
  </si>
  <si>
    <t>PASTILHA SANITÁRIA SANY CIT</t>
  </si>
  <si>
    <t xml:space="preserve">PASTILHA SANITÁRIA LAVANDA </t>
  </si>
  <si>
    <t xml:space="preserve">PASTILHA SANITÁRIA INSPIRA </t>
  </si>
  <si>
    <t>PASTILHA DIANT TITAN 150 09/ FAZER 250</t>
  </si>
  <si>
    <t>PASTILHA DAS EXTREMIDADES DO FEIXE</t>
  </si>
  <si>
    <t>PASTILHA (BUCHA) ANTI RUIDO MARCA PARALELA (SPRINTER CDI 313)</t>
  </si>
  <si>
    <t>PASTA SANFONADA 1/31 A/Z</t>
  </si>
  <si>
    <t>PASTA ROSA500GR</t>
  </si>
  <si>
    <t>PASTA REGISTRADORA A/Z OFICIO LONBO LARGO PRETO</t>
  </si>
  <si>
    <t>PASTA CELAST.POLIP. OFICIO - SUPER LINE20MM TRANSP</t>
  </si>
  <si>
    <t xml:space="preserve">PASTA CATALOGO C/50 PLASTICO </t>
  </si>
  <si>
    <t>PASTA ABA ELASTICO 4CM</t>
  </si>
  <si>
    <t>PARRAFUSO CAB. SENT.M16X1,5X60 N910105016005</t>
  </si>
  <si>
    <t>PARALAMA TRASEIRO LE RTM VW</t>
  </si>
  <si>
    <t>PARALAMA MENOR HC HORNBURG 808215000</t>
  </si>
  <si>
    <t>PARALAMA 23B/821306/9B9/</t>
  </si>
  <si>
    <t>PARAFUSOFLANGEADO</t>
  </si>
  <si>
    <t>PARAFUSO SX MA 8.8 ET 16X100</t>
  </si>
  <si>
    <t>PARAFUSO SEXT.UNC INOX 1/4x5/8</t>
  </si>
  <si>
    <t>PARAFUSO SEXT.MA 8.8 14x50</t>
  </si>
  <si>
    <t>PARAFUSO SEXT.MA 14X50 8.8</t>
  </si>
  <si>
    <t>PARAFUSO SEXT.INOX 08x40</t>
  </si>
  <si>
    <t>PARAFUSO SEXT.INOX 08x20</t>
  </si>
  <si>
    <t>PARAFUSO SEXT.8.8 16X90</t>
  </si>
  <si>
    <t>PARAFUSO SEXT. R.SOB.ZB.ZB 5/16 X 140</t>
  </si>
  <si>
    <t xml:space="preserve">PARAFUSO SEXT. R.SOB.ZB 5/16 X 100 </t>
  </si>
  <si>
    <t>PARAFUSO SEXT ZB MA 8X25</t>
  </si>
  <si>
    <t>PARAFUSO SEXT ZB FLAN FEND ATARR 6,3X25</t>
  </si>
  <si>
    <t>PARAFUSO SEXT UNC 1/4X1 1/2 ZB</t>
  </si>
  <si>
    <t>PARAFUSO SEXT SOBERBA ZB 5/16 X 50</t>
  </si>
  <si>
    <t>PARAFUSO SEXT MA 14X50 8.8</t>
  </si>
  <si>
    <t>PARAFUSO SEXT MA 12X90 8.8</t>
  </si>
  <si>
    <t>PARAFUSO SEXT MA 12X80 8.8</t>
  </si>
  <si>
    <t>PARAFUSO SEXT MA 10X25 8.8</t>
  </si>
  <si>
    <t>PARAFUSO SEXT MA 06 X 16</t>
  </si>
  <si>
    <t>PARAFUSO SEXT 8.8 MB 18X4</t>
  </si>
  <si>
    <t>PARAFUSO SEXT 8.8 MB 14X120</t>
  </si>
  <si>
    <t>PARAFUSO SEXT 8.8 16X80</t>
  </si>
  <si>
    <t>PARAFUSO SEXT 8.8 12X70</t>
  </si>
  <si>
    <t>PARAFUSO SEXT 5/8 X 2.1/2 UNF 7000753</t>
  </si>
  <si>
    <t>PARAFUSO SEXT 14X65 8.8</t>
  </si>
  <si>
    <t>PARAFUSO SEXT 12X100 8.8</t>
  </si>
  <si>
    <t>PARAFUSO SEXT .MA 06X30 8.8</t>
  </si>
  <si>
    <t xml:space="preserve">PARAFUSO SEXT  10 X 50  </t>
  </si>
  <si>
    <t>PARAFUSO SEM GTIN 1</t>
  </si>
  <si>
    <t>PARAFUSO SEM GTIN</t>
  </si>
  <si>
    <t>PARAFUSO ROSCADO MAQ. CH. INOX 5/32x7/8</t>
  </si>
  <si>
    <t>PARAFUSO ROSCA MÁQUNA LIMAO 3/16 X 2 ZB</t>
  </si>
  <si>
    <t xml:space="preserve">PARAFUSO RODA TRASEIRA 3412644 FRENTE 37 </t>
  </si>
  <si>
    <t>PARAFUSO PERFURANTE 4,2 X 25</t>
  </si>
  <si>
    <t>PARAFUSO PAN. INOX 5X25</t>
  </si>
  <si>
    <t>PARAFUSO P/VASO LATAO B8 70MM</t>
  </si>
  <si>
    <t>PARAFUSO P/VASO INOX B10 80MM</t>
  </si>
  <si>
    <t xml:space="preserve">PARAFUSO P.AA CH .FH 1X8 (4,2X25) 100PÇ </t>
  </si>
  <si>
    <t>Vol</t>
  </si>
  <si>
    <t>PARAFUSO OCO 16MM</t>
  </si>
  <si>
    <t>PARAFUSO OCO 14MM</t>
  </si>
  <si>
    <t>PARAFUSO OCO 12MM</t>
  </si>
  <si>
    <t xml:space="preserve">PARAFUSO MDF 5,0X40 100 PÇS </t>
  </si>
  <si>
    <t>PARAFUSO MDF 4,5X45 100 PÇS</t>
  </si>
  <si>
    <t>PARAFUSO MDF 4,0 x 35 (100 PEÇAS)</t>
  </si>
  <si>
    <t>PARAFUSO INOX 5X25</t>
  </si>
  <si>
    <t>PARAFUSO INOX 3X30</t>
  </si>
  <si>
    <t>PARAFUSO FRANCES 5/16X1 1/2</t>
  </si>
  <si>
    <t>PARAFUSO FRANCES 5/16 X1 3/4</t>
  </si>
  <si>
    <t>PARAFUSO FRANCES 3/8X1 1/2</t>
  </si>
  <si>
    <t>PARAFUSO FLANGEADO SEM GTIN VO984735</t>
  </si>
  <si>
    <t>PARAFUSO FLANGEADO SEM GTIN VO984725</t>
  </si>
  <si>
    <t>PARAFUSO FLANGEADO PARA BROCA 4,2 X 19</t>
  </si>
  <si>
    <t xml:space="preserve">PARAFUSO FLANGEADO PARA BROCA 4,2 X 13 </t>
  </si>
  <si>
    <t xml:space="preserve">PARAFUSO FLANGEADO 4,2 X 19 </t>
  </si>
  <si>
    <t>PARAFUSO FL PH 4,2x25</t>
  </si>
  <si>
    <t>PARAFUSO FL PH 4,2x16</t>
  </si>
  <si>
    <t>PARAFUSO FERRO ROSCA GROSSA 5/16X1.1/2</t>
  </si>
  <si>
    <t xml:space="preserve">PARAFUSO ESTOJO </t>
  </si>
  <si>
    <t>PARAFUSO ENCOLHER CUICA</t>
  </si>
  <si>
    <t>PARAFUSO DE FECHAMENTO C4</t>
  </si>
  <si>
    <t xml:space="preserve">PARAFUSO DA CUICA 2 PONTAS </t>
  </si>
  <si>
    <t xml:space="preserve">PARAFUSO CRUZETA 10 X 20MM </t>
  </si>
  <si>
    <t>PARAFUSO COLETOR ESCAPE MBB OM904/OM906/OM926/OM924</t>
  </si>
  <si>
    <t>PARAFUSO CH ALLEN INOX 8X25</t>
  </si>
  <si>
    <t xml:space="preserve">PARAFUSO CARRO SAVEIRO </t>
  </si>
  <si>
    <t>PARAFUSO CABEÇOTE M16X144MM OM904 OM904/OM906/OM924/OM926</t>
  </si>
  <si>
    <t>PARAFUSO BRAÇO DIREÇÃO 16X145 - 1113</t>
  </si>
  <si>
    <t>PARAFUSO AÇO 16MM</t>
  </si>
  <si>
    <t>PARAFUSO AUTOBROCANTE SEXT 12X7/8</t>
  </si>
  <si>
    <t>PARAFUSO AUTOBROCANTE SEXT 12X1 1/2</t>
  </si>
  <si>
    <t>PARAFUSO AUTO PERFURANTE PANELA 4,2 X 22</t>
  </si>
  <si>
    <t>PARAFUSO AUTO PERFURANTE CHATA 4,2X32</t>
  </si>
  <si>
    <t>PARAFUSO AUTO BROCANTE ZINC. 14x14x1.1/12</t>
  </si>
  <si>
    <t>PARAFUSO AUTO BROCANTE 14x1 1/2</t>
  </si>
  <si>
    <t>PARAFUSO AUTO BROCANTE 12X2 ZB 100PÇS</t>
  </si>
  <si>
    <t>PARAFUSO AUTO BROCANTE 12X1 ZB 100 PÇS</t>
  </si>
  <si>
    <t>PARAFUSO AUTO BROC. 12X12X1.1/2 C/100 PÇS</t>
  </si>
  <si>
    <t>PARAFUSO AUTO BROC 12X12X1'</t>
  </si>
  <si>
    <t>PARAFUSO ATT PAN 3.5 x 9.5 PH INOX</t>
  </si>
  <si>
    <t xml:space="preserve">PARAFUSO ALLEN INOX 8 X 16 </t>
  </si>
  <si>
    <t>PARAFUSO ALLEN INOX 5 X 35</t>
  </si>
  <si>
    <t>PARAFUSO ALLEN C/C10X160 8.8</t>
  </si>
  <si>
    <t>PARAFUSO ALLEN C/C 8x25 8.8</t>
  </si>
  <si>
    <t xml:space="preserve">PARAFUSO ALLEN C/C 16x50 8.8	</t>
  </si>
  <si>
    <t xml:space="preserve">PARAFUSO ALLEN C/C 14x70 8.8	</t>
  </si>
  <si>
    <t>PARAFUSO ALLEN C/C 10X70 8.8</t>
  </si>
  <si>
    <t>PARAFUSO ALLEN 6 X 20 C/02</t>
  </si>
  <si>
    <t xml:space="preserve">PARAFUSO ALLEN 6 X 16 </t>
  </si>
  <si>
    <t>PARAFUSO ALLEN 5X40 INOX</t>
  </si>
  <si>
    <t>PARAFUSO ACOPLAMENTO VW SEDAN(BUGRE)</t>
  </si>
  <si>
    <t>PARAFUSO AA.CH.FG 1 3/4X10</t>
  </si>
  <si>
    <t>PARAFUSO 8X16 CAB CHATA PH BC</t>
  </si>
  <si>
    <t>PARAFUSO 7/8 X 8</t>
  </si>
  <si>
    <t>PARAFUSO 6,2X18 PARACHOQUE COROLLA</t>
  </si>
  <si>
    <t>PARAFUSO 5/8X3 MARCA PARALELA</t>
  </si>
  <si>
    <t>PARAFUSO 5/8 ET 7X16 ZB</t>
  </si>
  <si>
    <t>PARAFUSO 3/8X4 RP UNC</t>
  </si>
  <si>
    <t>PARAFUSO 3/8X3 UNC MARCA PARALELA</t>
  </si>
  <si>
    <t>PARAFUSO 16X120</t>
  </si>
  <si>
    <t xml:space="preserve">PARAFUSO 16X 120 </t>
  </si>
  <si>
    <t>PARAFUSO 14X45 - R.GROSSA</t>
  </si>
  <si>
    <t xml:space="preserve">PARAFUSO 14X45 - R. FINA </t>
  </si>
  <si>
    <t>PARACHOQUE VW DEIVERY 23B/807071-A</t>
  </si>
  <si>
    <t>PARACHOQUE TRATOR</t>
  </si>
  <si>
    <t>PARACHOQUE TRASEIRO SPRINTER CENTRAL CDI DEGRAU 95/11</t>
  </si>
  <si>
    <t>PARACHOQUE TRASEIRO (SPRINTER 1997/2012) MARCA MERCEDES BENZ</t>
  </si>
  <si>
    <t>PARACHOQUE DIANTEIRO VERSÃO ABERTO E FECHADO 11180</t>
  </si>
  <si>
    <t>PARACHOQUE COMPLETO A9798807070 7G99</t>
  </si>
  <si>
    <t>PARACETAMOL 750Mg</t>
  </si>
  <si>
    <t>PARABOLD COMPLETO 1/4x2</t>
  </si>
  <si>
    <t>PARABARRO DIANTEIRO COROLLA 2003 A 2088 LE MARCA PARALELA</t>
  </si>
  <si>
    <t>PARABARRO DIANTEIRO COROLLA 2003 A 2088 LD MARCA PARALELA</t>
  </si>
  <si>
    <t>PARA-CHOQUE INTERIÇO MB ACCELO 715 815 915</t>
  </si>
  <si>
    <t>PAR FAROL DE LED REDONDO MENOR</t>
  </si>
  <si>
    <t>PAR DE FAROL DE MILHA 4974</t>
  </si>
  <si>
    <t>PAR DE FAROL 4975</t>
  </si>
  <si>
    <t>PAQUEDAS   AJUSTAVEL</t>
  </si>
  <si>
    <t>PAPEL TOALHA SOTREC 6539562.000</t>
  </si>
  <si>
    <t>PAPEL OPALINE 180G 50F</t>
  </si>
  <si>
    <t>PAPEL MASCARAMENTO 90CM</t>
  </si>
  <si>
    <t>PAPEL MASCARAMENTO 45CM</t>
  </si>
  <si>
    <t>PAPEL GLOSSY ADESIVO 135G/M PCT C/10KIT</t>
  </si>
  <si>
    <t>PAPEL GLOSSY 180GR A4 PCT C/50</t>
  </si>
  <si>
    <t>PAPEL FILIPAPER DIPLOMATA 180GRS</t>
  </si>
  <si>
    <t>PAPEL CAI (COD. 6052193.000)</t>
  </si>
  <si>
    <t>PANO PEGA PO</t>
  </si>
  <si>
    <t>PALMITO PICADO PUPUNHA REALEZA/FINO FT</t>
  </si>
  <si>
    <t>PALMILHAS ORTOPEDICAS FLEX</t>
  </si>
  <si>
    <t xml:space="preserve">PALLET </t>
  </si>
  <si>
    <t xml:space="preserve">PALITO MELLO EMBALADO </t>
  </si>
  <si>
    <t>PALITO DE DENTE NATURAL CX</t>
  </si>
  <si>
    <t>PALITO BAMBU CX</t>
  </si>
  <si>
    <t>PALHETA LIMPADOR SAVEIRO PAR</t>
  </si>
  <si>
    <t xml:space="preserve">PALHETA LIMPADOR MB ACCELO MARCA DYNA </t>
  </si>
  <si>
    <t>PAINEL LED REDONDO SOBREPOR 24W 6500K</t>
  </si>
  <si>
    <t xml:space="preserve">PAINEL DO RODOAR SLIM </t>
  </si>
  <si>
    <t>PACOTE DE PREGO 17x27</t>
  </si>
  <si>
    <t>PACOTE DE PREGO 17X21</t>
  </si>
  <si>
    <t>PA SX INOX 504 10X25</t>
  </si>
  <si>
    <t>PA QUADRADA COM CABO</t>
  </si>
  <si>
    <t>PA CH FE AA ZB 3,9X22</t>
  </si>
  <si>
    <t>PA ALLEN CL SI 8.8 10X50</t>
  </si>
  <si>
    <t xml:space="preserve">P/E 3/4 TIGRE CONDULETE TOP LUVA LISA </t>
  </si>
  <si>
    <t>P.SEXTUNC INOX 3/8 X 1 1/2</t>
  </si>
  <si>
    <t>P.SEXT.UNC INOX 1/4 X 1/2 C/02PÇ</t>
  </si>
  <si>
    <t>P.SEXT.UNC 5/16 X 5/8 ZB</t>
  </si>
  <si>
    <t>P.SEXT.UNC 3/8X 2 1/2 ZB</t>
  </si>
  <si>
    <t>P.SEXT.UNC 3/8X 1 1/4 ZB</t>
  </si>
  <si>
    <t>P.SEXT.MB 14X50 8.8</t>
  </si>
  <si>
    <t>P.SEXT.MA 06X25 8.8</t>
  </si>
  <si>
    <t>P.SEXT.MA 06X16 8.8</t>
  </si>
  <si>
    <t>P.SEXT.MA 06 X 40 8.8</t>
  </si>
  <si>
    <t>P.SEXT.MA 06 X 20 8.8</t>
  </si>
  <si>
    <t>P.SEXT.G-5 UNC 9/16X2 1/2</t>
  </si>
  <si>
    <t>P.SEXT.G-5 UNC 3/4 X 4</t>
  </si>
  <si>
    <t>P.SEXT. R. SOB. ZB 5/16 X100</t>
  </si>
  <si>
    <t>P.SEXT. MA 14X60 8.8</t>
  </si>
  <si>
    <t>P.SEXT UNC 5/8 X 2 1/2 ZB</t>
  </si>
  <si>
    <t xml:space="preserve">P.SEXT UNC 1/2 X 2 1 1/2 ZB </t>
  </si>
  <si>
    <t>P.SEXT MB 18X100 8.8</t>
  </si>
  <si>
    <t>P.SEXT MB 14X100 8.8</t>
  </si>
  <si>
    <t xml:space="preserve">P.SEXT MB 12X50 </t>
  </si>
  <si>
    <t>P.SEXT INOX 08X80</t>
  </si>
  <si>
    <t>P.SEXT G-5 5/8</t>
  </si>
  <si>
    <t xml:space="preserve">P.SEXT 5/16 X 65 </t>
  </si>
  <si>
    <t>P.SENT INC INOX 1/4X4 C/02</t>
  </si>
  <si>
    <t>P.R.ME.CH.INOX 5X40 C02 PÇS</t>
  </si>
  <si>
    <t>P.R.ME.CH.INOX 5X30 C/02 PÇS</t>
  </si>
  <si>
    <t>P.R.ME.CH.INOX 5X25 C/02 PÇS</t>
  </si>
  <si>
    <t>P.MDF 6,0X70</t>
  </si>
  <si>
    <t>P.MDF 5,0X70</t>
  </si>
  <si>
    <t>P.MDF 4,5X70</t>
  </si>
  <si>
    <t>P.MDF 4,5X50 100PÇS 1461</t>
  </si>
  <si>
    <t>P.MDF 4,5X50</t>
  </si>
  <si>
    <t>P.MDF 4,0 X 35 100PÇS 1448</t>
  </si>
  <si>
    <t>P.MDF 4,0 X 35 100 PÇS</t>
  </si>
  <si>
    <t>P.MDF 3,5X40</t>
  </si>
  <si>
    <t>P.FRANCES 5/16X3</t>
  </si>
  <si>
    <t>P.ALLEN MB 18X80</t>
  </si>
  <si>
    <t>P.ALLEN MA 18X80</t>
  </si>
  <si>
    <t>P.ALLEN C/C 8X90 8.8</t>
  </si>
  <si>
    <t>P.ALLEN C/C 8X80 8.8</t>
  </si>
  <si>
    <t>P.ALLEN C/C 8X100 8.8</t>
  </si>
  <si>
    <t>P.ALLEN C/C 10X140.8.8</t>
  </si>
  <si>
    <t>P.ALLEN 6X25 INOX C/02 PÇS</t>
  </si>
  <si>
    <t>P.AA.CH.INOX PH 1 1/2 X 7</t>
  </si>
  <si>
    <t xml:space="preserve">P.AA.CH.INOX PH 1 1/2 X 10 </t>
  </si>
  <si>
    <t>P.AA.CH.FG 2X14</t>
  </si>
  <si>
    <t>P.AA.CH.FG 2X12</t>
  </si>
  <si>
    <t>P.AA.CH.FG 2 X 10</t>
  </si>
  <si>
    <t>P.AA.CH.FG 13/4X14</t>
  </si>
  <si>
    <t>P.AA.CH.FG 1 3/4X12</t>
  </si>
  <si>
    <t>P.AA.CH.FG 1 3/4X10(4,8X45)</t>
  </si>
  <si>
    <t>P.AA.CH.FG 1 1/2X8</t>
  </si>
  <si>
    <t>P.A.PERFURANTE PANELA 4,2X32 10</t>
  </si>
  <si>
    <t>P.A. PERFURANTE PANELA 4,2X19 10</t>
  </si>
  <si>
    <t xml:space="preserve">P. SEXT. UNC INOX 1/4 X 3/4 </t>
  </si>
  <si>
    <t>P. FLANGEADO P.BROCA 4,2X13EMB.</t>
  </si>
  <si>
    <t>P. FLANGEADO P. BROCA 4,2 X 19 EMB</t>
  </si>
  <si>
    <t>P. ALLEN 5X50</t>
  </si>
  <si>
    <t>OXY BLUE HP GL 5L MARCA MERCOTECH</t>
  </si>
  <si>
    <t>OVO BRANCO CARTELA C/30 UNIDADES</t>
  </si>
  <si>
    <t xml:space="preserve">ORLUCE LUM LED EMB </t>
  </si>
  <si>
    <t>ORING UNIFORT MM 19 24,90 X 3,53</t>
  </si>
  <si>
    <t>ORING UNIFORT MM 16 20,20 X3,50</t>
  </si>
  <si>
    <t>ORING N° 7</t>
  </si>
  <si>
    <t>ORING DE VEDAÇÃO MARCA PARALELA</t>
  </si>
  <si>
    <t>ORING DE BORRACHA NITRIL 9/16 x 3/32</t>
  </si>
  <si>
    <t>ORING DE BORRACHA NITRIL 7/8 x 1/8</t>
  </si>
  <si>
    <t>ORING DE BORRACHA NITRIL 7/16 x 3/32</t>
  </si>
  <si>
    <t>ORING DE BORRACHA NITRIL 7,5 x 2 MM</t>
  </si>
  <si>
    <t>ORING DE BORRACHA NITRIL 7,0 x 2,3 MM</t>
  </si>
  <si>
    <t>ORING DE BORRACHA NITRIL 6,0 x 2,5 MM</t>
  </si>
  <si>
    <t>ORING DE BORRACHA NITRIL 6,0 x 2,0 MM</t>
  </si>
  <si>
    <t>ORING DE BORRACHA NITRIL 5/8 x 3/32</t>
  </si>
  <si>
    <t>ORING DE BORRACHA NITRIL 5/32 x 1/16</t>
  </si>
  <si>
    <t>ORING DE BORRACHA NITRIL 5/16 x 1/16</t>
  </si>
  <si>
    <t>ORING DE BORRACHA NITRIL 5,8 x 1,9 MM</t>
  </si>
  <si>
    <t>ORING DE BORRACHA NITRIL 5,0 x 2,0 MM</t>
  </si>
  <si>
    <t>ORING DE BORRACHA NITRIL 3/8 x 3/32</t>
  </si>
  <si>
    <t>ORING DE BORRACHA NITRIL 3/8 x 1/16</t>
  </si>
  <si>
    <t>ORING DE BORRACHA NITRIL 3/4 x 3/32</t>
  </si>
  <si>
    <t>ORING DE BORRACHA NITRIL 3/4 x 1/8</t>
  </si>
  <si>
    <t>ORING DE BORRACHA NITRIL 3/16 x 1/16</t>
  </si>
  <si>
    <t>ORING DE BORRACHA NITRIL 15/16 x 1/8</t>
  </si>
  <si>
    <t>ORING DE BORRACHA NITRIL 14,0 x 2,6 MM</t>
  </si>
  <si>
    <t>ORING DE BORRACHA NITRIL 12,0 x 2,5 MM</t>
  </si>
  <si>
    <t>ORING DE BORRACHA NITRIL 11,0 x 2,6 MM</t>
  </si>
  <si>
    <t>ORING DE BORRACHA NITRIL 10,5 x 2,5 MM</t>
  </si>
  <si>
    <t>ORING DE BORRACHA NITRIL 10,0 x 2,0 MM</t>
  </si>
  <si>
    <t>ORING DE BORRACHA NITRIL 1/8 x 1/16</t>
  </si>
  <si>
    <t>ORING DE BORRACHA NITRIL 1/4 x 1/16</t>
  </si>
  <si>
    <t>ORING DE BORRACHA NITRIL 1/2 x 3/32</t>
  </si>
  <si>
    <t>ORING 30x30 MARCA PARALELA</t>
  </si>
  <si>
    <t>ORIFICIO N4</t>
  </si>
  <si>
    <t>ORIFICIO N 02 DANFOSS</t>
  </si>
  <si>
    <t>ORGANIZADOR WORKER PEQUENO</t>
  </si>
  <si>
    <t>ORGANIZADOR DE DOCUMENTO - TRIPLO COR CRISTAL</t>
  </si>
  <si>
    <t xml:space="preserve">ORGANIZADOR DE CHAVES </t>
  </si>
  <si>
    <t>ONZE HORAS COMUM</t>
  </si>
  <si>
    <t>OLHAL 16MM</t>
  </si>
  <si>
    <t>OLHAL 14MM</t>
  </si>
  <si>
    <t xml:space="preserve">OLHAL 12MM </t>
  </si>
  <si>
    <t>OLEO RIMULA RT4 X 15W40 GRANEL SHEL MOTOR</t>
  </si>
  <si>
    <t xml:space="preserve">OLEO P/REDUTOR ISO VG 220/320 </t>
  </si>
  <si>
    <t>L</t>
  </si>
  <si>
    <t>OLEO P/ COMPRESSOR E SISTEMA HIDRALICOS AW150 IL VONDER</t>
  </si>
  <si>
    <t xml:space="preserve">OLEO MOTOR MARCA REPSOL ELITE 10W40 SAVEIRO </t>
  </si>
  <si>
    <t>OLEO MOTOR 5W30 MARCA PETRONAS (PALIO)</t>
  </si>
  <si>
    <t>OLEO MOTOR 20W50 FLEX OIL</t>
  </si>
  <si>
    <t>OLEO MOBIL SUPER MOTO 4T MX 10W30  AUTHE IBC 1L (MOTO)</t>
  </si>
  <si>
    <t xml:space="preserve">OLEO MOBIL MX SEMISSINTETICO 10W40 </t>
  </si>
  <si>
    <t>OLEO MOBIL DELVAC POWER 20LT</t>
  </si>
  <si>
    <t>OLEO LUBRIFICANTE 2T 500ML STIHL</t>
  </si>
  <si>
    <t>OLEO LUBRAX TECNO 10W40 1LT</t>
  </si>
  <si>
    <t xml:space="preserve">OLEO HIDRAULICO AW 68 1 HIDRAMAX </t>
  </si>
  <si>
    <t>OLEO DE SOJA 900ML</t>
  </si>
  <si>
    <t xml:space="preserve">OLEO BOMBA VACUO MONTREAL ISO VG 46 </t>
  </si>
  <si>
    <t>OLEO ANTICOROSIVO SPARY 250ML</t>
  </si>
  <si>
    <t xml:space="preserve">OLEO 2T </t>
  </si>
  <si>
    <t>OBTURADOR BLUKIT UNV P/MEC SAIDA P/CX ACOP BLISTER</t>
  </si>
  <si>
    <t>NUMEROS BORDADOS</t>
  </si>
  <si>
    <t>NPF 8000 20L 1;40 ALCALINO CAUSTICO</t>
  </si>
  <si>
    <t>NOVACOR PISO AZUL 18LT</t>
  </si>
  <si>
    <t>NOVACOR ESMALTE SINTÉTICO BRANCO ALUMÍNIO-31142901GL</t>
  </si>
  <si>
    <t>NOVACOR ESM SINT A/BR PLATINA GL</t>
  </si>
  <si>
    <t>NOVA RODA DE APOIO EGV/L14/L16 150X127X54 ROL.6204</t>
  </si>
  <si>
    <t>NORTON DISCO ICE SOFT 3000</t>
  </si>
  <si>
    <t>NORTON DISCO ICE SOFT 2000</t>
  </si>
  <si>
    <t>NORTON DISCO HOOKIT 80</t>
  </si>
  <si>
    <t>NORTON DISCO HOOKIT 150</t>
  </si>
  <si>
    <t>NIVEL ALUMINIO MAGNETICO 24 IRWIN</t>
  </si>
  <si>
    <t>NIVEL ALUMINIO MAGNETICO 12 IRWIN</t>
  </si>
  <si>
    <t xml:space="preserve">NIVEL ALUMINIO C/MAGNETICA </t>
  </si>
  <si>
    <t>NIPLEL DUPLO 1/2 GALVANIZADO CROMADO</t>
  </si>
  <si>
    <t>NIPLE REDUÇAO AÇO NIQUEL METAL 1/4 x 3/8</t>
  </si>
  <si>
    <t>NIPLE RED.ROSCA MACHO 1/4 X 1/2</t>
  </si>
  <si>
    <t>NIPLE DUPLO FERRO 3/4</t>
  </si>
  <si>
    <t>NIPLE 1/2 ROSCA MACHO ALTA VAZAO</t>
  </si>
  <si>
    <t>NIPLE 1.1/4 GALVANIZADO 150 LBS</t>
  </si>
  <si>
    <t>NIPLE 1.1/2 GALVANIZADO 150 LBS</t>
  </si>
  <si>
    <t>NIPLE 1" GALVANIZADO 150 LBS</t>
  </si>
  <si>
    <t>NIPEL ROSCA 1/2</t>
  </si>
  <si>
    <t>NEOSALDINA 30 CPR</t>
  </si>
  <si>
    <t>NEOCOPAN C/20</t>
  </si>
  <si>
    <t>MÁSCARA RESPIRATÓRIA 1/4 FACIAL MARCA WORKER</t>
  </si>
  <si>
    <t xml:space="preserve">MULTIMETRO DIGITAL </t>
  </si>
  <si>
    <t>MTS MANGUEIRA RODOAR</t>
  </si>
  <si>
    <t>MT512 CONTROLADOR DE TEMPERATURA 12V/24V</t>
  </si>
  <si>
    <t>MOUSE PAD C APOIO DE PUNHO 23X21</t>
  </si>
  <si>
    <t xml:space="preserve">MOTOROLA G56 5G 256GB </t>
  </si>
  <si>
    <t>MOTOROLA G06 128GB AZUL MARINHO</t>
  </si>
  <si>
    <t xml:space="preserve">MOTOR DO LIMPADOR DE PARABRISA </t>
  </si>
  <si>
    <t xml:space="preserve">MOTOR DE CORRENTE CONTINUA DE CARCAÇA FECHADA </t>
  </si>
  <si>
    <t>MOTOR 1/100 127V</t>
  </si>
  <si>
    <t>MOP GIRATORIO</t>
  </si>
  <si>
    <t xml:space="preserve">MONOMETRO AR CONDICIONADO R134 MANGUEIRAS 2,5 </t>
  </si>
  <si>
    <t>MOLHO MOSTARDA 3,3KG</t>
  </si>
  <si>
    <t>MOLHO CATCHUP 3,2 KG</t>
  </si>
  <si>
    <t>MOLHA DEDOS UNIDADE</t>
  </si>
  <si>
    <t>MOLDURA LATERAL MBB DIREITA/ESQUERDA</t>
  </si>
  <si>
    <t xml:space="preserve">MOLDURA GRADE DIANTEIRA L-200 2802221 C/T </t>
  </si>
  <si>
    <t>MOLDURA CAPA DO PUXADOR PORTA DIANTEIRA SPRINTER (LE)</t>
  </si>
  <si>
    <t>MOLA SOPRANO AREA A530 F2 PRATA</t>
  </si>
  <si>
    <t>MOLA SEM GTIN VO20489997</t>
  </si>
  <si>
    <t xml:space="preserve">MOLA RODOAR </t>
  </si>
  <si>
    <t>MOLA PATIM FREIO</t>
  </si>
  <si>
    <t>MOLA P/PORTA 453 AUTOMATICA</t>
  </si>
  <si>
    <t>MOLA N 1001</t>
  </si>
  <si>
    <t>MOLA GAS C/PINO EGU/EGV/ REX/LINDE</t>
  </si>
  <si>
    <t>MOLA GAS</t>
  </si>
  <si>
    <t>MOLA DE TRAÇÃO D3</t>
  </si>
  <si>
    <t>MOLA DE TRAÇAO DA DZ DUPLA CAMARA</t>
  </si>
  <si>
    <t>MOLA DE PROTEÇAO 3/4</t>
  </si>
  <si>
    <t>MOLA DE PROTEÇAO 1"</t>
  </si>
  <si>
    <t>MOLA DA CABINE VM VOLVO</t>
  </si>
  <si>
    <t>MOLA DA CABINE VM</t>
  </si>
  <si>
    <t>MOLA CUICA FREIO 16X24</t>
  </si>
  <si>
    <t>MOLA CUICA 30x30</t>
  </si>
  <si>
    <t>MOLA CONICA 7/8/9</t>
  </si>
  <si>
    <t xml:space="preserve">MOLA COIMBRA 453 OURO 70 KGS </t>
  </si>
  <si>
    <t>MOLA CALOTA DO RODOAR</t>
  </si>
  <si>
    <t>MOLA AEREA A530 F4</t>
  </si>
  <si>
    <t>MOLA A GAS DO CONJUNTO DO ACS 4483277 9549774</t>
  </si>
  <si>
    <t>MOLA 3A TRAS PARABOLICA MB ACCELO MB1900.03P</t>
  </si>
  <si>
    <t>MODULO TRAMONTINA ARIA INT</t>
  </si>
  <si>
    <t>MODIFICAR ITEM</t>
  </si>
  <si>
    <t>MOBIL GREASE MP DRUM 170KL</t>
  </si>
  <si>
    <t xml:space="preserve">MISTURADOR DE TINTA </t>
  </si>
  <si>
    <t>MINI RELE AUXILIAR 24V DNI 0226</t>
  </si>
  <si>
    <t xml:space="preserve">MINI DISJUNTOR 3P 40A MARCA ELGIN	</t>
  </si>
  <si>
    <t>MINI DISJUNTOR 3P 32A MARCA ELGIN</t>
  </si>
  <si>
    <t>MINI DISJUNTOR 3P 25A MARCA ELGIN</t>
  </si>
  <si>
    <t>MINI DISJUNTOR 2P 25A 52A001032025 MARCA ELGIN</t>
  </si>
  <si>
    <t xml:space="preserve">MINI DISJUNTOR 1P 20A MARCA ELGIN	</t>
  </si>
  <si>
    <t>MICROVENTILADOR QUAD.230VCA 150X150</t>
  </si>
  <si>
    <t>MICRO-ONDAS BANCADA ELECTROLUX 3L ME23B</t>
  </si>
  <si>
    <t>MICRO VENT 1/25 BIVOLT</t>
  </si>
  <si>
    <t>MICRO INTERRUPTOR DO SISTEMA MARCA PARALELA</t>
  </si>
  <si>
    <t xml:space="preserve">MICRO DIGITAL </t>
  </si>
  <si>
    <t>MICRO CHAVE INTERRUPTOR P/MICROONDAS 16 AMP 250V</t>
  </si>
  <si>
    <t>MICRO 1/40 ENGIN</t>
  </si>
  <si>
    <t>METRO MADEIRA 2MTS</t>
  </si>
  <si>
    <t>METALON GALVANIZADO 30X50X18</t>
  </si>
  <si>
    <t>MANUNTENÇÃO PALETEIRAS</t>
  </si>
  <si>
    <t xml:space="preserve">METALON 30X30 INOZ 304 CHAPA </t>
  </si>
  <si>
    <t xml:space="preserve">METALATEX SUP. BRANCO ACETINADO-7790006LT	</t>
  </si>
  <si>
    <t xml:space="preserve">METALATEX MASSA CORRIDA </t>
  </si>
  <si>
    <t>METALATEX ESMALTE AB OURO-7315202</t>
  </si>
  <si>
    <t>METALATEX ECO RESINA-7490001GL</t>
  </si>
  <si>
    <t>METALATEX ECO ESMALTE ACETINADO PRETO-7662102</t>
  </si>
  <si>
    <t>METALATEX ECO ESMALTE AB BRANCO -86600001</t>
  </si>
  <si>
    <t>METALATEX ACRIL FSC BRANCO GELO 8230306LT</t>
  </si>
  <si>
    <t>MESA 91x55 RETA DE TRABALHO LINHA PRATA 15MM CINZA CRISTAL</t>
  </si>
  <si>
    <t>MERTHIOLATE 30ML</t>
  </si>
  <si>
    <t>MENETE REMAN ACCELO RECONDICIONADA</t>
  </si>
  <si>
    <t>MELÃO AMARELO CX 13 KG</t>
  </si>
  <si>
    <t>MELANCIA</t>
  </si>
  <si>
    <t>MECANISMO ELEVADOR VIDRO SB/17</t>
  </si>
  <si>
    <t>MAÇÃ GALA CX</t>
  </si>
  <si>
    <t>MAÇANETA LE EXTERNA PORTA SEM CHAVE VOLVO VM</t>
  </si>
  <si>
    <t>MAÇANETA LD EXTERNA PORTA SEM CHAVE VOLVO VM</t>
  </si>
  <si>
    <t>MAÇANETA INTERNA VOLVO VM (LE)  (LD)</t>
  </si>
  <si>
    <t>MAÇANETA INTERNA PORTA TRS SPRINTER</t>
  </si>
  <si>
    <t>MAÇANETA EXTERNA PORTA LE DELIVERY</t>
  </si>
  <si>
    <t>MAÇANETA EXTERNA PORTA LD/LE SPRINTER 50306</t>
  </si>
  <si>
    <t>MAÇANETA EXTERNA PORTA DIANTEIRA/TRASEIRA (SPRINTER)</t>
  </si>
  <si>
    <t>MAÇANETA EXTERNA PORTA ATEGO 97A12 LD</t>
  </si>
  <si>
    <t>MAÇANETA EXTERNA ATEGO 97A12 LE</t>
  </si>
  <si>
    <t>MAÇANETA DE ACIONAMENTO A 9017600061</t>
  </si>
  <si>
    <t>MAÇANETA DA PORTA A 0007601359</t>
  </si>
  <si>
    <t>MAZA SELADORA P/ PLASTICO -1/4 5371</t>
  </si>
  <si>
    <t>MAZA ECO. ESM SINT AB BRANCO GL</t>
  </si>
  <si>
    <t>MAZA DIRETO NA FERRUGEM PRETO</t>
  </si>
  <si>
    <t>MAZA DIRETO NA FERRUGEM OURO LUX 1/4</t>
  </si>
  <si>
    <t>MAZA DIRETO NA FERRUGEM BRILHO PRETO 3,6L</t>
  </si>
  <si>
    <t>MAZA DIRETO NA FERRUGEM BRANCO 1/4</t>
  </si>
  <si>
    <t>MAZA ADESIVO P/ LAMINAÇAO C/ CATALIZADOR 1/4 000450</t>
  </si>
  <si>
    <t>MAXIMOOM BACTERICIDA 4X5L</t>
  </si>
  <si>
    <t>MAXI RUBBER MAXI LIGHT(MASSA POLIESTER)900G</t>
  </si>
  <si>
    <t>MASTER LA 100 20L MARCA MERCOTECH</t>
  </si>
  <si>
    <t>MASSA POLIESTER VAKU LIGHT 750G</t>
  </si>
  <si>
    <t>MASSA P/PEQUENOS REPAROS 180GR</t>
  </si>
  <si>
    <t>MASSA DE POLIR N2</t>
  </si>
  <si>
    <t xml:space="preserve">MASSA DE POLIR AUTOR CORTE </t>
  </si>
  <si>
    <t>MASSA CORRIDA PVA 5,6KG</t>
  </si>
  <si>
    <t>MASCARRA DE SOLDA ESCUREÇ. AUTMO. MOD MSL-500 LYNUSAL FCP 2,00</t>
  </si>
  <si>
    <t>MASCARA WORKER RESP 1/4 FACIAL</t>
  </si>
  <si>
    <t xml:space="preserve">MASCARA TNT BRANCA TRIPLA </t>
  </si>
  <si>
    <t>MASCARA RESPIRATORIA 2 FILTROSCG306 CARBOGRAFITE</t>
  </si>
  <si>
    <t>MASCARA DE FELTRO COM VALVULA AT 2400 ATLAS</t>
  </si>
  <si>
    <t xml:space="preserve">MARTELO UNHA 23MM </t>
  </si>
  <si>
    <t>MARTELO DE UNHA 25MM</t>
  </si>
  <si>
    <t xml:space="preserve">MARTELO CHAPEADOR PENA CRUZADA </t>
  </si>
  <si>
    <t>MARTELETE PERF/ROMP SDS PLUS 800W 220V  + MALET+BROC+ACESS (HR2470X21-220V) = MAKITA (PROMO)</t>
  </si>
  <si>
    <t>MARRETA OITAVADA 1000GR</t>
  </si>
  <si>
    <t>MARCA TEXTO ROSA</t>
  </si>
  <si>
    <t>MARANTA  VARIADA</t>
  </si>
  <si>
    <t>MAQUINA DE VIDRO VOLKS 2000</t>
  </si>
  <si>
    <t>MAQUINA DE VIDRO MB ACCELO MANUAL LE</t>
  </si>
  <si>
    <t>MAQUINA DE VIDRO MB ACCELO MANUAL LD</t>
  </si>
  <si>
    <t xml:space="preserve">MAQUINA DE VIDRO COM MOTOR </t>
  </si>
  <si>
    <t>MAQ VIDRO ELETRC ESQ VW. DELIVERY</t>
  </si>
  <si>
    <t>MAO DE OBRA</t>
  </si>
  <si>
    <t>MANUTENÇAO DE MAQUINAS</t>
  </si>
  <si>
    <t>MANTA VEDA FITA 20X1M ALUMINIO VIAPOL</t>
  </si>
  <si>
    <t>MANTA ACRILICA FIBRATTO BRANCO 18KL RECUBRIPLAST</t>
  </si>
  <si>
    <t>MANQUEIRA P/ ARGONIO</t>
  </si>
  <si>
    <t xml:space="preserve">MANOPLA CIRCUIT </t>
  </si>
  <si>
    <t>MANOPLA CAMBIO VOLVO -VM260 20554339</t>
  </si>
  <si>
    <t>MANOPLA 23B711118/C 82V</t>
  </si>
  <si>
    <t>MANOPLA  MB ACCELO 715 C 815  915 C /TAMPA RE EMBAIXO DA  5  MACHA</t>
  </si>
  <si>
    <t>MANOMETRO RF VERTICAL 200 PSI 1/4</t>
  </si>
  <si>
    <t>manometro horizontal 1/8 150pst</t>
  </si>
  <si>
    <t>MANIVELA VIDRO FUSCA/BRAS/PST/GOL/ZAMACK</t>
  </si>
  <si>
    <t xml:space="preserve">MANIVELA DO VIDRO VOLKS </t>
  </si>
  <si>
    <t>MANIFOLD COM MANGUEIRA 90CM SURYHA</t>
  </si>
  <si>
    <t xml:space="preserve">MANGUIRA ALTA PRESSAO UNIFORTE </t>
  </si>
  <si>
    <t>MANGUEIRA WING 3/8 PT300 PRETA</t>
  </si>
  <si>
    <t>MANGUEIRA TRANÇADA 1/2 275 PSI</t>
  </si>
  <si>
    <t xml:space="preserve">MANGUEIRA SUCCAO AZUL </t>
  </si>
  <si>
    <t>MANGUEIRA RETORNO DE ÓLEO 3/4 C/ 720MM</t>
  </si>
  <si>
    <t>MANGUEIRA RETORNO DE ÓLEO 1'' PRENSADA</t>
  </si>
  <si>
    <t>MANGUEIRA RETOR</t>
  </si>
  <si>
    <t>MANGUEIRA RADIADOR RAMIFICADO ACCELO A9795015582</t>
  </si>
  <si>
    <t>MANGUEIRA PVC AZUL 2" (PIPA DÁGUA)</t>
  </si>
  <si>
    <t>MANGUEIRA PT 300 3/8 C/15 METROS</t>
  </si>
  <si>
    <t>MANGUEIRA PRENSADA AR CONDICIONADO 8MM MARCA PARALELA</t>
  </si>
  <si>
    <t>MANGUEIRA PRENSADA AR CONDICIONADO 10MM</t>
  </si>
  <si>
    <t>MANGUEIRA PRENSADA 1/4'' C/ 1.800M</t>
  </si>
  <si>
    <t>MANGUEIRA PRENSADA 1/4</t>
  </si>
  <si>
    <t>MANGUEIRA NYLON TECALON</t>
  </si>
  <si>
    <t>MANGUEIRA MOLDADA A9795015482</t>
  </si>
  <si>
    <t>MANGUEIRA MAQ LAVAR SAIDA 1,40MT</t>
  </si>
  <si>
    <t xml:space="preserve">MANGUEIRA JARDIM BARIFLEX </t>
  </si>
  <si>
    <t>MANGUEIRA JAMAICA MJ-3380</t>
  </si>
  <si>
    <t>MANGUEIRA INTERCOOLER VW DELIVERY 23B145593A</t>
  </si>
  <si>
    <t>MANGUEIRA FLEXIVEL EMBREAGEM 2.074M - ENGT RAPIDO / 5946</t>
  </si>
  <si>
    <t>MANGUEIRA ESGUICHO</t>
  </si>
  <si>
    <t>MANGUEIRA DO RADIADOR ACCELO A9795015582</t>
  </si>
  <si>
    <t>MANGUEIRA DE RODOAR ROLO</t>
  </si>
  <si>
    <t>MANGUEIRA DE RETORNO OLEO TURBINA ACCELO 915 /715/815/1016</t>
  </si>
  <si>
    <t xml:space="preserve">MANGUEIRA DE NIVEL </t>
  </si>
  <si>
    <t>MANGUEIRA DE LAVA JATO PRENSADA</t>
  </si>
  <si>
    <t>MANGUEIRA DE JARDIM SILIC PREMIUM 12 ROLO 15MM</t>
  </si>
  <si>
    <t xml:space="preserve">MANGUEIRA DE GÁS P45 800MM PIG TAIL </t>
  </si>
  <si>
    <t>MANGUEIRA DE COMBUSTIVEL ORIGINAL STIHL C2</t>
  </si>
  <si>
    <t>MANGUEIRA DE COMBUSTIVEL 1" (LAVADOR)</t>
  </si>
  <si>
    <t>MANGUEIRA CRISTAL 5/8 3MM</t>
  </si>
  <si>
    <t>MANGUEIRA CRISTAL 3/4X2.0MM UNIFORTE</t>
  </si>
  <si>
    <t>MANGUEIRA CRISTAL 3/4 3MM</t>
  </si>
  <si>
    <t>MANGUEIRA CRISTAL 1/2X2.0MM UNIFORTE</t>
  </si>
  <si>
    <t>MANGUEIRA COMPLETA SEM GTIN VO22938295</t>
  </si>
  <si>
    <t>MANGUEIRA COMPLETA 23AX SEM GTIN</t>
  </si>
  <si>
    <t xml:space="preserve">MANGUEIRA COMBUSTIVEL ORIGINAL STIHL C2 </t>
  </si>
  <si>
    <t>MANGUEIRA BASC L2H1 VOLVO L 352 16 20 A</t>
  </si>
  <si>
    <t>MANGUEIRA 23B 145593</t>
  </si>
  <si>
    <t>MANGUEIRA 23B 121101</t>
  </si>
  <si>
    <t>MANGOTE RASPA COM FECHO AL</t>
  </si>
  <si>
    <t>MANGA PALMER</t>
  </si>
  <si>
    <t>MANGA EIXO RODA TRASEIRO ESQUERDO FREELANDER2 2010 -CX13</t>
  </si>
  <si>
    <t>MANG RESERV GOL/SAV/VOY G5 1.0/1.6 10...(FINA)</t>
  </si>
  <si>
    <t>MANETE FREIO TIC TAC</t>
  </si>
  <si>
    <t>MANETE DE FREIO 709/ BICUDA</t>
  </si>
  <si>
    <t>MANDRIL MTX 5/8 CONE B-18</t>
  </si>
  <si>
    <t>MANCHÃO/REMENDO RAC14 FRIO</t>
  </si>
  <si>
    <t>MANCHAO RC 10</t>
  </si>
  <si>
    <t>MANCAL ESTABILIZADOR DT 1725</t>
  </si>
  <si>
    <t xml:space="preserve">MANCAL EMBREG NOVO DELIVERY 23B 141165 </t>
  </si>
  <si>
    <t>MANCAL EMBREAGEM -ACCELO /ATEGO /5909</t>
  </si>
  <si>
    <t>MANCAL ELASTOMERICO / A9043230085</t>
  </si>
  <si>
    <t>MANCAL DE EMBREAGEM 3309 OM 366/CX DE CAMBIO MBB G60-6 SACHS</t>
  </si>
  <si>
    <t>MANCAL DA BIELA METADE SUPERIOR A9260380310</t>
  </si>
  <si>
    <t>MANCAL DA BIELA METADE INFERIOR A9060383211</t>
  </si>
  <si>
    <t>MANCAL BARRA ESTABILIZADORA MBB A97032300217390</t>
  </si>
  <si>
    <t>MALETA PRIMEIROS SOCORROS (M)</t>
  </si>
  <si>
    <t>MALATHION 50% 100ML</t>
  </si>
  <si>
    <t>MALA FERRAMENTA STANDADT 16" IRWIN</t>
  </si>
  <si>
    <t>MAGUEIRA TECALON</t>
  </si>
  <si>
    <t>MADEIRITE PLASTIFICADO 09/10MM 2.20X1.10</t>
  </si>
  <si>
    <t>MADEIRIT PLASTIFICADO 19/20MM</t>
  </si>
  <si>
    <t xml:space="preserve">MACHO MANUAL HSS-M REF 220046 M14 X 2 AMATOOLS ROCAS </t>
  </si>
  <si>
    <t>MACHO AR MB 16X1,0</t>
  </si>
  <si>
    <t>MACARRÃO PENA SÊMOLA MARCA GALO 500G</t>
  </si>
  <si>
    <t>MACARRÃO PARAFUSO SÊMOLA MARCA GALO 500G</t>
  </si>
  <si>
    <t>MACARRÃO ESPAGUETE 8 GALO 500G</t>
  </si>
  <si>
    <t>MACANETA EXTERNA C/CHAVE VOLVO DIREITA 671998</t>
  </si>
  <si>
    <t>MACANETA EXT PORTA C/CHAVE ESQ 671997</t>
  </si>
  <si>
    <t>MACACO SANFONA 800 KG</t>
  </si>
  <si>
    <t>MACACO HIDR MANUAL 2.5 E 5T TIPO UNHA</t>
  </si>
  <si>
    <t>MAC EXT TAMPA CACAMBA C/CHAVE VW</t>
  </si>
  <si>
    <t>M-LUBE GX-A 80W ROSA 200 L</t>
  </si>
  <si>
    <t xml:space="preserve">M-DELVAC M TRANS FLUID 80W 200L </t>
  </si>
  <si>
    <t xml:space="preserve">LUVAWELD GG (10) MARLUVAS </t>
  </si>
  <si>
    <t xml:space="preserve">LUVA VEDADORA DO RODOAR </t>
  </si>
  <si>
    <t>LUVA TRANSIÇAO 22X 3/4</t>
  </si>
  <si>
    <t>LUVA SOLD ROSC C/RED 25X1 1/2</t>
  </si>
  <si>
    <t>LUVA SOLD RED 25X20MM</t>
  </si>
  <si>
    <t>LUVA SOLD 32MM</t>
  </si>
  <si>
    <t>LUVA RASPA PUNHO GRANDEC/REFORÇO 20CM AL</t>
  </si>
  <si>
    <t>LUVA PVC 1/2</t>
  </si>
  <si>
    <t>LUVA LATEX LIGHT</t>
  </si>
  <si>
    <t>LUVA GRAFATEX C/MANTA DUPLA 5CM</t>
  </si>
  <si>
    <t>LUVA ENGATE 5E RE CAMBIOS 2PO 311242</t>
  </si>
  <si>
    <t>LUVA ENGATE 5 E RE CAMBIOS ZF S5 5S</t>
  </si>
  <si>
    <t>LUVA DE REDUÇÃO ROSCA FEMEA 1/4 X 3/8</t>
  </si>
  <si>
    <t>LUVA CPVC 22MM MARCA TIGRE</t>
  </si>
  <si>
    <t>LUVA COMPRESSAO 70MM</t>
  </si>
  <si>
    <t xml:space="preserve">LUVA ANTI-CORTE 4 FIOS DE ACO G </t>
  </si>
  <si>
    <t>LUVA ALTA TEMPERATURA COURO REFORÇADO</t>
  </si>
  <si>
    <t>LUVA 7/8</t>
  </si>
  <si>
    <t>LUVA 1/2 GALVANIZADO</t>
  </si>
  <si>
    <t>LUVA 1.1/8</t>
  </si>
  <si>
    <t>LUSTRA MOVEIS 200ML</t>
  </si>
  <si>
    <t xml:space="preserve">LUMINATTI PAR 30 10W AMBAR BIV </t>
  </si>
  <si>
    <t>LUMINARIA TD 52 BRILHARE 2x36W BIVOLT TRANSP BRANCA</t>
  </si>
  <si>
    <t>LUMINARIA SOBR TD 60 2X28W T5 6400K BIV BR F/L</t>
  </si>
  <si>
    <t>LUMINARIA LED SOB LINEAR 36W BIV 6.5K</t>
  </si>
  <si>
    <t>LUMI FLUOR SOB 2X18W 6500K BIV LED</t>
  </si>
  <si>
    <t>LUBRIMAX 1L OLEO PARA INOX</t>
  </si>
  <si>
    <t>LUBRIFICANTE V1 300ML AEROSOL</t>
  </si>
  <si>
    <t>LUBRAX ATF TA 1L</t>
  </si>
  <si>
    <t>LU VALVULA DO FREIO DE SERVIÇO A 695 431 02 05</t>
  </si>
  <si>
    <t>LU QUADRO DA JANELA LE  COMPLETO A9797200253</t>
  </si>
  <si>
    <t>LU QUADRO DA JANELA DIR COMPLETO A9797200353</t>
  </si>
  <si>
    <t xml:space="preserve">LU PUNHO PARA ALAVANCA DE MUDANÇAS </t>
  </si>
  <si>
    <t>LU DISTRIBUIDOR DE AR A904098137</t>
  </si>
  <si>
    <t>LU CHICOTE</t>
  </si>
  <si>
    <t>LU BOMBA DO OLEO (A 9061800801)</t>
  </si>
  <si>
    <t>LOURO</t>
  </si>
  <si>
    <t>longarina usada</t>
  </si>
  <si>
    <t>LONA FREIO L-734 (MARCA LONAFLEX) VOLVO TR VM FH 440</t>
  </si>
  <si>
    <t>LONA FREIO DFW959 DNA28 MARCA DUROLINE</t>
  </si>
  <si>
    <t xml:space="preserve">LONA DE FREIO STD DNA28 SUPER BASE </t>
  </si>
  <si>
    <t>LOCTITE 277 ORIGINAL</t>
  </si>
  <si>
    <t xml:space="preserve">LIXEIRA/CESTO QUADRADO C/PEDAL COLORIDO 60L </t>
  </si>
  <si>
    <t>LIXEIRA/CESTO QUADRADO C/PEDAL 15L</t>
  </si>
  <si>
    <t xml:space="preserve">LIXEIRA MINAS C/TAMPA </t>
  </si>
  <si>
    <t>LIXEIRA C/ PEDAL E RODAS 100L</t>
  </si>
  <si>
    <t>LIXEIRA AÇO INOX 5L COM CESTO REMOVIVEL</t>
  </si>
  <si>
    <t xml:space="preserve">LIXEIRA 100L QUADRADA C/PEDAL </t>
  </si>
  <si>
    <t>LIXADEIRA PNEUMATICA ORBITAL</t>
  </si>
  <si>
    <t>LIXA SECO 80</t>
  </si>
  <si>
    <t>LIXA SECO 320</t>
  </si>
  <si>
    <t xml:space="preserve">LIXA SECO 150 </t>
  </si>
  <si>
    <t>LIXA DE AGUA 400</t>
  </si>
  <si>
    <t>LIXA DE AGUA 2000</t>
  </si>
  <si>
    <t>LIXA DE AGUA 1500</t>
  </si>
  <si>
    <t>LIXA CORTAG 102X260 VERDE PESADA</t>
  </si>
  <si>
    <t xml:space="preserve">LIXA CORTAG 102X260 BRANCA </t>
  </si>
  <si>
    <t xml:space="preserve">LIVRO REGISTRO DE EMPREGADO </t>
  </si>
  <si>
    <t>LIVRO DE ATAS 200F</t>
  </si>
  <si>
    <t>LIRIO DA PAZ</t>
  </si>
  <si>
    <t>LIQUIDO POLIDOR CORTE FINO 500G</t>
  </si>
  <si>
    <t>LIQUIDO LUSTRADOR 473ML</t>
  </si>
  <si>
    <t>LINGUETA SEM GTIN VO20490001</t>
  </si>
  <si>
    <t>LIMÃO TAHITI</t>
  </si>
  <si>
    <t>LIMÃO</t>
  </si>
  <si>
    <t>LIMPADOR GEL AZULIM 5L</t>
  </si>
  <si>
    <t>LIMPA CONTATO UNIPEGA 300ML</t>
  </si>
  <si>
    <t>LIMPA CONTATO LEVEUSE 300ML</t>
  </si>
  <si>
    <t>LIMPA ALUMINIO ALUMIL PLUS 4X5L VERDE INODORO</t>
  </si>
  <si>
    <t xml:space="preserve">LIMITADOR PORTA DIREITA  -ACCELO </t>
  </si>
  <si>
    <t>LIMITADOR DA PORTA ESQUERDA -ACCELO</t>
  </si>
  <si>
    <t>LIMA P/ ENXADA</t>
  </si>
  <si>
    <t>LIMA 200 X 4,8 MM</t>
  </si>
  <si>
    <t>LIM+ DETERGENTELAVA ROUPAS 50L</t>
  </si>
  <si>
    <t>LIM+ ALVEJANTE CLORORADO 50L</t>
  </si>
  <si>
    <t>LEUCOFILO</t>
  </si>
  <si>
    <t>LEOCOFILUM</t>
  </si>
  <si>
    <t>LENTE TRASEIRA VOLVO</t>
  </si>
  <si>
    <t>LENTE TRASEIRA J-100 (MB) MARCA PARALELA</t>
  </si>
  <si>
    <t>LENTE LANTERNA SETA CARA PRETA</t>
  </si>
  <si>
    <t>LENTE DIANTEIRA BRASILIA(BUGRE)</t>
  </si>
  <si>
    <t>LENCOL DE BORRACHA S/LONA 3MM</t>
  </si>
  <si>
    <t>LEITE DE COCO CHINEZ 200ML</t>
  </si>
  <si>
    <t xml:space="preserve">LD CONJUNTO SUPORTE ESPELHO MB ACCELO 2020 2021 2022 PAR </t>
  </si>
  <si>
    <t>LB CLEANER DESENGRAXANTE 5L</t>
  </si>
  <si>
    <t>LAVADORA EXTREME 2800 220V FW006756 WAP</t>
  </si>
  <si>
    <t>LAVADORA A260 N/SERIE: 30201444</t>
  </si>
  <si>
    <t xml:space="preserve">LAVADOR SANITARIO </t>
  </si>
  <si>
    <t>LAVA E SECA LG WD18BV2S6B 18KG BLACK INOX 220</t>
  </si>
  <si>
    <t>LAV PASTA UMECTANTE 20KG START</t>
  </si>
  <si>
    <t>LAV DETERGENTE EM PO 20KG BALDE</t>
  </si>
  <si>
    <t>LAV AMACIANTE TUFF PROFISSIONAL 50L</t>
  </si>
  <si>
    <t>LAV ALVEJANTE CLORADO EM PO 20KG BALDE</t>
  </si>
  <si>
    <t>LAV ACIDULANTE EM PO 20KG BALDE</t>
  </si>
  <si>
    <t>LAT 6000 QUALIMILK 50L</t>
  </si>
  <si>
    <t>LARANJA SELETA SACO</t>
  </si>
  <si>
    <t>LAPIS DE CERA VERMELHO</t>
  </si>
  <si>
    <t>LAPIS DE CERA BRANCO</t>
  </si>
  <si>
    <t>LANTERNEIRO INOX 1/4</t>
  </si>
  <si>
    <t>LANTERNA TRASEIRA VW N° 211</t>
  </si>
  <si>
    <t xml:space="preserve">LANTERNA TRASEIRA ACCELO/AXOR (LD)-(LE) </t>
  </si>
  <si>
    <t>LANTERNA TRASEIRA 1 POLO 12V</t>
  </si>
  <si>
    <t xml:space="preserve">LANTERNA TIPO CANELA STARFE </t>
  </si>
  <si>
    <t>LANTERNA TETO VOLVO FH NH NI (CENTRAL)</t>
  </si>
  <si>
    <t>LANTERNA TETO CABINE DELIMITADOR</t>
  </si>
  <si>
    <t xml:space="preserve">LANTERNA OVAL LED ELIPSE LARANJA C/SUPORTE </t>
  </si>
  <si>
    <t>LANTERNA LATERAL CRISTAL (MB/SPRINTER)</t>
  </si>
  <si>
    <t xml:space="preserve">LANTERNA LATERAL COM SUPORTE LED 24V VERMELHA MARCA PARALELA </t>
  </si>
  <si>
    <t>LANTERNA LAT VOLVO VM ESTRIBO 474370</t>
  </si>
  <si>
    <t>LANTERNA ELIPSE LED 9198</t>
  </si>
  <si>
    <t>LANTERNA  TRASEIRA VOLVO FH C/CONECTOR</t>
  </si>
  <si>
    <t>LANTERNA  CANOINHA LED</t>
  </si>
  <si>
    <t>LAMPADA SUPERLED ALTA POTENCIA T30W BIV 6500K</t>
  </si>
  <si>
    <t xml:space="preserve">LAMPADA SUPERLED ALTA POTENCIA T20W BIV 6500K </t>
  </si>
  <si>
    <t xml:space="preserve">LAMPADA SUPER LED OUROL 20W BIV 6500K </t>
  </si>
  <si>
    <t xml:space="preserve">LAMPADA PINGO LED 12V </t>
  </si>
  <si>
    <t>LAMPADA LED PINGO T10 24V MARCA GAUSS</t>
  </si>
  <si>
    <t>LAMPADA LED GLOBE 30W 6500K</t>
  </si>
  <si>
    <t>LAMPADA LED 80 12W 6500K</t>
  </si>
  <si>
    <t>LAMPADA LE TKL 90 15W 6500K</t>
  </si>
  <si>
    <t>LAMPADA H7 24V MARCA WURTH</t>
  </si>
  <si>
    <t>LAMPADA H7 12V</t>
  </si>
  <si>
    <t>LAMPADA H4 12V</t>
  </si>
  <si>
    <t>LAMPADA H3 24V SUPER BRANCA</t>
  </si>
  <si>
    <t>LAMPADA H11 12V</t>
  </si>
  <si>
    <t xml:space="preserve">LAMPADA ESMAGADA 12V </t>
  </si>
  <si>
    <t>LAMPADA CAMARAO LED 12V/24V</t>
  </si>
  <si>
    <t>LAMPADA CAMARAO 12V</t>
  </si>
  <si>
    <t>LAMPADA BULBO LED ALTA 30W 6500K</t>
  </si>
  <si>
    <t>LAMPADA BULBO 12W 6500K E 27 BIV OURO</t>
  </si>
  <si>
    <t>LAMPADA AUTOMATIVA P21W 12V 21W</t>
  </si>
  <si>
    <t>LAMPADA AUTOMATIVA 24V 5W</t>
  </si>
  <si>
    <t>LAMPADA 67 LED 24V</t>
  </si>
  <si>
    <t xml:space="preserve">LAMPADA 67 - 24V </t>
  </si>
  <si>
    <t>LAMPADA 21PW 1 POLO 12V LARANJA</t>
  </si>
  <si>
    <t>LAMPADA 1176 12V PINO ENCOTRADO</t>
  </si>
  <si>
    <t>LAMINA RODO TRAS A300</t>
  </si>
  <si>
    <t>LAMINA RODO DIANT A300</t>
  </si>
  <si>
    <t xml:space="preserve">LAMINA ESTILETE LARGO 18MM C/10 </t>
  </si>
  <si>
    <t>LAMINA BARBEAR WILKISON C/20</t>
  </si>
  <si>
    <t>LAMELA -CONJUNTO STRUT-ASSY 3361391</t>
  </si>
  <si>
    <t>LAMEIRA 50X50 COMPLETA</t>
  </si>
  <si>
    <t>LAMBDA MIX GARDEN 25G</t>
  </si>
  <si>
    <t>LACXE BETUME LIQUIDO 1LT</t>
  </si>
  <si>
    <t>KURAMED 50ML</t>
  </si>
  <si>
    <t xml:space="preserve">KPO 400G CINZA </t>
  </si>
  <si>
    <t>KONDOR 30AGE 100AH 6485/6486</t>
  </si>
  <si>
    <t>KIT VISOR DA PORTA SECCIONAL (COMPLETO)</t>
  </si>
  <si>
    <t>KIT TRILHOS LNE38 DE AÇO</t>
  </si>
  <si>
    <t>KIT SUSPENSAO VOLKSWAGEM SAVEIRO 2010/TRASEIRO</t>
  </si>
  <si>
    <t>KIT SUPORTE POLAINA TRAS ESQUERDO/ DIREITO SPR</t>
  </si>
  <si>
    <t>KIT ROLAMENTO TRASEIRO GOL</t>
  </si>
  <si>
    <t>KIT REPARO VOLVO 23828906</t>
  </si>
  <si>
    <t>KIT REPARO PALETEIRA PALETRANS TM 2220/TM 3020</t>
  </si>
  <si>
    <t>KIT REPARO P/MANGUEIRAS MANIFOLD</t>
  </si>
  <si>
    <t>KIT REPARO DA SAPATA SPRINTE</t>
  </si>
  <si>
    <t>KIT REPARO CARBURADOR KITS 12/1</t>
  </si>
  <si>
    <t xml:space="preserve">KIT POLAINA REFLETOR PARACHOQUE SPRINTER 313 413 </t>
  </si>
  <si>
    <t>KIT PLASTICO MOSQUETEIRO</t>
  </si>
  <si>
    <t>KIT PINÇA ENOX</t>
  </si>
  <si>
    <t>KIT NYLON P ROÇADEIRA STHIL/CARRETEL</t>
  </si>
  <si>
    <t xml:space="preserve">KIT JOGO DE PEÇAS DE FILTRO </t>
  </si>
  <si>
    <t>KIT JARDINAGEM 3 PEÇAS</t>
  </si>
  <si>
    <t>KIT FUSÍVEL MINI 120 PEÇAS</t>
  </si>
  <si>
    <t>KIT FIXLOCK</t>
  </si>
  <si>
    <t>KIT FAIXA ADESIVO TRATOR MASSEY 265</t>
  </si>
  <si>
    <t>Kit</t>
  </si>
  <si>
    <t>KIT ESMALTE PU AZUL PISCINA MAZA</t>
  </si>
  <si>
    <t>KIT ENGRENAGENS CORTADORA CBC</t>
  </si>
  <si>
    <t>KIT EMBREAGEM TRATOR AGRALE 4100-MODERNO</t>
  </si>
  <si>
    <t>KIT EMBREAGEM SAC 23025</t>
  </si>
  <si>
    <t>KIT EMBREAGEM SAC 22949</t>
  </si>
  <si>
    <t>KIT EMBREAGEM MB ACCELO 1016</t>
  </si>
  <si>
    <t>KIT EMBREAGEM 362MM CAMBIO MECANICO EATON</t>
  </si>
  <si>
    <t>KIT EMBREAGEM 3400001285 SACHS</t>
  </si>
  <si>
    <t>KIT DIESEL COLETA</t>
  </si>
  <si>
    <t>KIT DE ALGEMA PARAFUSSOS CRUZETA FLANGE</t>
  </si>
  <si>
    <t>KIT COM 02 PÇS - CHAVE MICRO SWITCH NA+NF 15A 1/2HP V-15-1B5 RENEW</t>
  </si>
  <si>
    <t>KIT COLETA 1AM</t>
  </si>
  <si>
    <t>KIT CHURRASCO 2 PEÇAS</t>
  </si>
  <si>
    <t>KIT CENSI REPARO RESISTRO 13X1</t>
  </si>
  <si>
    <t>KIT CALOTA RODA SPRINTER C/ESTRELA MARCA MERCEDES BENZ</t>
  </si>
  <si>
    <t>KIT CABO ENGATE SELEÇÃO COMANDO MARCHAS ACCELO 815</t>
  </si>
  <si>
    <t xml:space="preserve">KIT BANCO PAINEL VELUDO PREMIUM MERCEDES  BENZ  SPRINTER  MOTO/CARONA </t>
  </si>
  <si>
    <t>KIT ASSENTO DIGITADOR S/LAMINA ESPUMA INJETADA COURO ECOLOGICO PRETO</t>
  </si>
  <si>
    <t>KIT ADESIVOS TRATOR AGRALE 4100</t>
  </si>
  <si>
    <t xml:space="preserve">KEM TONE VINIL ACRIL BRANCO GL </t>
  </si>
  <si>
    <t>KELTRINE CASA E JARDIM</t>
  </si>
  <si>
    <t>JUNTA VO21801602</t>
  </si>
  <si>
    <t>JUNTA VALV. TERMOSTATICA - 0M 904 (ALUMINIO) /1061</t>
  </si>
  <si>
    <t>JUNTA UNIVERSAL DE DIRECAO MBB</t>
  </si>
  <si>
    <t>JUNTA TAMPA VALVULA MARCA PARALELA</t>
  </si>
  <si>
    <t>JUNTA TAMPA VALVULA CUMMINS 3.8 2P0103483</t>
  </si>
  <si>
    <t>JUNTA TAMPA DE VALVULA -MWM X10</t>
  </si>
  <si>
    <t>JUNTA TAMPA DE OLEO TERMOSTATICA ACCELO 904</t>
  </si>
  <si>
    <t>JUNTA SEM GTIN 2</t>
  </si>
  <si>
    <t>JUNTA SEM GTIN 1</t>
  </si>
  <si>
    <t>JUNTA SEM GTIN</t>
  </si>
  <si>
    <t>JUNTA RADIADOR OLEO - 904</t>
  </si>
  <si>
    <t>JUNTA METALICA (A 9061410480)</t>
  </si>
  <si>
    <t>JUNTA FILTRO ÓLEO MARCA PARALELA</t>
  </si>
  <si>
    <t>JUNTA FILTRO LUBRIFICANTE - 904</t>
  </si>
  <si>
    <t>JUNTA ESCAPE MARCA PARALELA</t>
  </si>
  <si>
    <t>JUNTA DO MOTOR COMPLETO C/RETENTOR</t>
  </si>
  <si>
    <t>JUNTA DO COLETOR DE ESCAPE SABO 84904</t>
  </si>
  <si>
    <t>JUNTA DO COLETOR DE ESCAPE (A 9261420080)</t>
  </si>
  <si>
    <t>JUNTA DO CARTER MARCA PARALELA</t>
  </si>
  <si>
    <t>JUNTA DO CABEÇOTE (A 9240161120)</t>
  </si>
  <si>
    <t>JUNTA DE METALOPLASTICO DO MOTOR (A 9900160021)</t>
  </si>
  <si>
    <t>JUNTA DE FUSCA</t>
  </si>
  <si>
    <t>JUNTA COMPRESSOR C/20</t>
  </si>
  <si>
    <t>JUNTA COLETOR ESC.MBB OM904/906/924/926</t>
  </si>
  <si>
    <t>JUNTA COLETOR ADM MBB OM904/906/924/926</t>
  </si>
  <si>
    <t>JUNTA CARTER JG 904/924 MARCA PARALELA</t>
  </si>
  <si>
    <t>JUNTA CARTER CUMMINS 3.8 2P0103609A</t>
  </si>
  <si>
    <t>JUNTA CARCAÇA FILTRO DE OLEO</t>
  </si>
  <si>
    <t>JUNTA CABEÇOTE OM 924 METALICA</t>
  </si>
  <si>
    <t>JUNTA CABEÇOTE MOTOR OM924 EURO 3 E 5 106,5MM</t>
  </si>
  <si>
    <t>JUNTA CABEÇOTE MARCA PARALELA</t>
  </si>
  <si>
    <t xml:space="preserve">JUNTA CABECOTE SEM GTIN </t>
  </si>
  <si>
    <t>JUNTA BOMBA D´ÁGUA -OM 904</t>
  </si>
  <si>
    <t>JUNTA BASE TURBINA</t>
  </si>
  <si>
    <t>JUNTA ADMISSA MARCA PARALELA</t>
  </si>
  <si>
    <t>JUNTA 80497</t>
  </si>
  <si>
    <t xml:space="preserve">JOGO VIP BITS 100MM </t>
  </si>
  <si>
    <t>JOGO SOQUETE REDSTRIPE 1/4  3/8  8/1  2/1 - 54 PCS</t>
  </si>
  <si>
    <t>JOGO SOQUETE COM CATRACA 1/2 X 12PCS</t>
  </si>
  <si>
    <t>JOGO SACA PARAFUSO 6PÇS MARCA WORKER</t>
  </si>
  <si>
    <t>JOGO PRESSIONADOR SINCRONIZADOR  CAMBIOS 2RO398101</t>
  </si>
  <si>
    <t>JOGO JUNTA TAMPA DE VALVULA SPRINTER CDI 313</t>
  </si>
  <si>
    <t>JOGO ESPELHO RETRO 20936070</t>
  </si>
  <si>
    <t>JOGO DE SOQUETE SEXT 1 2 10 A 19MM  12PCS GEDORE</t>
  </si>
  <si>
    <t xml:space="preserve">JOGO DE SOQUETE MULTI EXTRATOR 11PCS </t>
  </si>
  <si>
    <t>JOGO DE REPARO CONVERSOR TORQUE</t>
  </si>
  <si>
    <t>JOGO DE PEÇA DO CARBURADOR FS-220 A3</t>
  </si>
  <si>
    <t>JOGO DE CHAVE L TIPO BIELA C/8 PÇS</t>
  </si>
  <si>
    <t>Jg</t>
  </si>
  <si>
    <t>JOGO DE CASQUINHO A9260301440</t>
  </si>
  <si>
    <t>JOGO CHAVE TORX LONGA 10PCS T9 A T50 WORKER</t>
  </si>
  <si>
    <t xml:space="preserve">JOGO CHAVE TORK 09PCS GR </t>
  </si>
  <si>
    <t>JOGO CHAVE HEXAGONAL 1,5 A 10,0MM 9 PEC</t>
  </si>
  <si>
    <t>JOGO BRONZINA (COD. 198115/C)</t>
  </si>
  <si>
    <t xml:space="preserve">JOGO 16 PEÇAS  PARAFUSA C/GUIA MAGNETICA </t>
  </si>
  <si>
    <t>JOELHO CPVC 90 TRANSIÇÃO 22X3/4</t>
  </si>
  <si>
    <t>JNG CONTADOR 220V</t>
  </si>
  <si>
    <t>JNG CHAVE FIM DE CURSO LXK P106</t>
  </si>
  <si>
    <t>JNG BOTOEIRA BMX 101</t>
  </si>
  <si>
    <t>JIBOIA VERDE MUDA</t>
  </si>
  <si>
    <t>JAPONA TERMICA NYLON BRANCA (M)</t>
  </si>
  <si>
    <t>JAPONA TERMICA NYLON BRANCA (GG)</t>
  </si>
  <si>
    <t>JAPONA TERMICA NYLON BRANCA (G)</t>
  </si>
  <si>
    <t>JAPONA TERMICA NYLON BRANCA (EGG)</t>
  </si>
  <si>
    <t>JAPONA TERMICA NYLON AZUL G</t>
  </si>
  <si>
    <t>JAPONA TERMICA NYLON AZUL EGG</t>
  </si>
  <si>
    <t>JAPONA TERMICA NYLON AZUL EEGG</t>
  </si>
  <si>
    <t>JAPONA TERMICA NYLON AZUL (XGG)</t>
  </si>
  <si>
    <t>JAPONA TERMICA NYLON AZUL (PP)</t>
  </si>
  <si>
    <t>JAPONA TERMICA NYLON AZUL (P)</t>
  </si>
  <si>
    <t>JAPONA TERMICA NYLON AZUL (M)</t>
  </si>
  <si>
    <t>JAPONA TERMICA NYLON AZUL (-45) GG</t>
  </si>
  <si>
    <t>JAPONA NYLON AZUL MOTORISTA EEGG</t>
  </si>
  <si>
    <t>JAPONA FRIGORIFICA BRANCA GG</t>
  </si>
  <si>
    <t xml:space="preserve">JAPONA FRIGORIFICA BRANCA G </t>
  </si>
  <si>
    <t xml:space="preserve">JAPI ANEL DE VEDACAO C/GUIA P/VASO </t>
  </si>
  <si>
    <t xml:space="preserve">JALECO DE BRIM ML </t>
  </si>
  <si>
    <t>JALECO BRIM VERDE JARDINAGEM M</t>
  </si>
  <si>
    <t>JALECO BRIM VERDE  JARDINAGEM P</t>
  </si>
  <si>
    <t>JALECO BRIM JARDINAGEM GG</t>
  </si>
  <si>
    <t>JALECO ABERTO OXFORD ,MANGA CURTA -GG</t>
  </si>
  <si>
    <t>IXORA MIDI CX C15</t>
  </si>
  <si>
    <t>IXORA AFRICANA</t>
  </si>
  <si>
    <t>ITAQUA AGUARRAS 1/4</t>
  </si>
  <si>
    <t>ISQUEIRO BIC</t>
  </si>
  <si>
    <t>IRWIN CHAVE PHILLIPS #1 3/16x4 4MM x 100MM</t>
  </si>
  <si>
    <t>IRWIN ALICATE U.G.CORTE DIAG.06''</t>
  </si>
  <si>
    <t>IRRIGA ADAP.INTERNO 1 JAI25</t>
  </si>
  <si>
    <t>INVERSORA DE CORTE A PLASMA 60A POWER</t>
  </si>
  <si>
    <t>INVERSOR 180 AMPERES BV (MÁQUINA DE SOLDA)</t>
  </si>
  <si>
    <t xml:space="preserve">INV DE SOLDA MIG E ELT. SUPER TORKIMETS BV COMPLETA C/1 ARAME 5KG </t>
  </si>
  <si>
    <t>INTERRUPTOR TIC TAC UNIVERSAL CROMADO 915.1007</t>
  </si>
  <si>
    <t>INTERRUPTOR PISCA ALERTA -VW(12V)</t>
  </si>
  <si>
    <t xml:space="preserve">INTERRUPTOR LUZ DE FREIO EMBREAGEM </t>
  </si>
  <si>
    <t>INTERRUPTOR FREIO DIANTEIRO TITAN 150/160</t>
  </si>
  <si>
    <t>INTERRUPTOR FAROL 710</t>
  </si>
  <si>
    <t>INTERRUPTOR ELETRICO 089362</t>
  </si>
  <si>
    <t>INTERRUPTOR DO SENSOR DE PROXIMIDADE RM/CROWN</t>
  </si>
  <si>
    <t>INTERRUPTOR DE PRESSAO A00654510140064</t>
  </si>
  <si>
    <t>INTERRUPTOR DA RE ACCELO 915C</t>
  </si>
  <si>
    <t>INTERRUPTOR DA RE -VW 9.170/11.180</t>
  </si>
  <si>
    <t>interruptor ACIONAMENTO DOS VIDRO A696545000014</t>
  </si>
  <si>
    <t>INTERRUPTOR 3 TECLAS SIMPLES 10A/250V</t>
  </si>
  <si>
    <t xml:space="preserve">INTERRUPTOR 2 TECLAS SIMPLES 10A/250V </t>
  </si>
  <si>
    <t>INTERRUPTOR 1 TECLA SIMPLES 10A/250V</t>
  </si>
  <si>
    <t>INT MODULO SIMPLES 1 SESSAO</t>
  </si>
  <si>
    <t>INSETIMAX-INSETICOM JARDIM 25G</t>
  </si>
  <si>
    <t>INHAME</t>
  </si>
  <si>
    <t xml:space="preserve">INDUZIDO P/ ARRANQUE </t>
  </si>
  <si>
    <t xml:space="preserve">IMPRESSO VALE C/CANHOTO 100FLS </t>
  </si>
  <si>
    <t>IMPRESSO OPER DE CAIXA  DE SAIDA 50FLS</t>
  </si>
  <si>
    <t>IMPRESSO COMERCIAL C/50 FLS AMARELO</t>
  </si>
  <si>
    <t>ILHOS DO CARRETEL A3</t>
  </si>
  <si>
    <t>ILHO PLASTICO</t>
  </si>
  <si>
    <t xml:space="preserve">IBERE MASSA PLASTICA 400G </t>
  </si>
  <si>
    <t>HYDRO RESINA MULTIUSO SOLVENTE INCOLOR 3,6L</t>
  </si>
  <si>
    <t>HYDRO RESINA MULTIUSO ACQUA BRILHO INCOLOR 3,6L</t>
  </si>
  <si>
    <t xml:space="preserve">HTH CLOR IN PASTILHA CISTERNA 10.000L </t>
  </si>
  <si>
    <t>HS 300 C 5L</t>
  </si>
  <si>
    <t>HORTENCIA</t>
  </si>
  <si>
    <t>HIPOCLORITO DE SODIO 4X5L CLORO ATIVO</t>
  </si>
  <si>
    <t xml:space="preserve">HIDROXIDO SODIO 50L </t>
  </si>
  <si>
    <t>HIDROALL CLORO GRANULADO HIDROSAN PENTA 5 EM 1 1KG</t>
  </si>
  <si>
    <t>HF TORNEIRA METAL/JARDIM ESF 1/2 10400</t>
  </si>
  <si>
    <t>HELICE 1/100</t>
  </si>
  <si>
    <t>HASTE 23B/ 837298</t>
  </si>
  <si>
    <t>HASTE 23B 837297</t>
  </si>
  <si>
    <t>HAGA 32021 CADEADO HIGH SECURITY 35  LONGO ZCR BRLIST N/C</t>
  </si>
  <si>
    <t>GÁS R134A FLUIDO TETRAFLUOR ONU315</t>
  </si>
  <si>
    <t>GÁS BOTIJÃO P 45</t>
  </si>
  <si>
    <t>GÁS BOTIJÃO P 20</t>
  </si>
  <si>
    <t>GÁS BOTIJÃO P 13</t>
  </si>
  <si>
    <t>GUIA PASSAFIO PRO 20M PROAQUA</t>
  </si>
  <si>
    <t>GUIA DA PORTA DESLIZANTE A 9077604100</t>
  </si>
  <si>
    <t>GUARNIÇAO DA TAMPA</t>
  </si>
  <si>
    <t>GUARNICAO GUA 006 MACICA P/ TELA MOSQUITEIRO</t>
  </si>
  <si>
    <t>GUARDA PO PURIFIC. AR ACCELO 000460 (FOLE)COD38480</t>
  </si>
  <si>
    <t>GRÃO DE BICO 500 GR</t>
  </si>
  <si>
    <t>GRELHA PARA VALVULA AMERICANA 4 1/2 INOX PREMIOPR 732</t>
  </si>
  <si>
    <t>GRELHA ESGOTO ABRE E FECHA QUAD. PVC 15x15 TIGRE</t>
  </si>
  <si>
    <t>GRELHA ESGOTO ABRE E FECHA QUAD. PVC 10x10 TIGRE</t>
  </si>
  <si>
    <t>GRAXA SPRAY BRANCA</t>
  </si>
  <si>
    <t>GRAXA BRANCA DE CAVIDADE SPRAY 200 ML 150G</t>
  </si>
  <si>
    <t>GRAXA BLUE</t>
  </si>
  <si>
    <t>GRAMA ESMERALDA X14</t>
  </si>
  <si>
    <t>GRAMA AMENDOIM</t>
  </si>
  <si>
    <t>GRAFITE SPRAY 300ML</t>
  </si>
  <si>
    <t xml:space="preserve">GRAFITE PARA LAPISEIRA 0.7 </t>
  </si>
  <si>
    <t>GRADE TRATOR</t>
  </si>
  <si>
    <t>GRADE PCH GOL 12... LD</t>
  </si>
  <si>
    <t>GRADE PCH GOL 12 LE</t>
  </si>
  <si>
    <t>GRADE DIANTEIRA MERCEDES SPRINTER  313 CDI 2003 2004 2005 2006 2007 2008 2009 2010</t>
  </si>
  <si>
    <t>GRADE 23B 853653</t>
  </si>
  <si>
    <t>GONZO 3/8''</t>
  </si>
  <si>
    <t>GONZO 2 C/ABAS BICROMATIZADO</t>
  </si>
  <si>
    <t>GLIFOSATO NORTOX SL IL</t>
  </si>
  <si>
    <t>GL BP A DARK KARMIN PER 3,600 SKY</t>
  </si>
  <si>
    <t>GILLETTE LAMINA PLATINUM INOX</t>
  </si>
  <si>
    <t>GESSO</t>
  </si>
  <si>
    <t>GERDAU PREGO 18X27 CC 1KG</t>
  </si>
  <si>
    <t>GERDAU PREGO 17X27 CC 1KG</t>
  </si>
  <si>
    <t>GELATINA 1KG SABOR UVA</t>
  </si>
  <si>
    <t>GELATINA 1KG SABOR MORANGO</t>
  </si>
  <si>
    <t>GAZANEA PRATA CX</t>
  </si>
  <si>
    <t>GAXETA 5159</t>
  </si>
  <si>
    <t>GATILHO PULVERIZADOR C4</t>
  </si>
  <si>
    <t>GATILHO DE ABRIR  CAP0 ACCELO</t>
  </si>
  <si>
    <t>GATILHO ABS P/DUCHA HIGIENICA</t>
  </si>
  <si>
    <t>Gasolina Comum</t>
  </si>
  <si>
    <t>COMBUSTÍVEL</t>
  </si>
  <si>
    <t>GAS R22</t>
  </si>
  <si>
    <t>GAS 410</t>
  </si>
  <si>
    <t>GARRAFA TÉRMICA 5L PRETA</t>
  </si>
  <si>
    <t xml:space="preserve">GARRAFA TÉRMICA 5L </t>
  </si>
  <si>
    <t>GARRAFA TERMICA 500ML</t>
  </si>
  <si>
    <t>GARRAFA TERMICA 1L</t>
  </si>
  <si>
    <t xml:space="preserve">GARRA NEGATIVA ALUMINIO 300A DELTA PLUS </t>
  </si>
  <si>
    <t>GARRA JACARÉ 10A PEQUENO</t>
  </si>
  <si>
    <t xml:space="preserve">GARRA JACARÉ 10A MEDIO </t>
  </si>
  <si>
    <t>GARRA JACARE PARA CABO DE BATERIA 500A</t>
  </si>
  <si>
    <t>GARRA JACARE CLIP 10A PEQUENO VM</t>
  </si>
  <si>
    <t xml:space="preserve">GARRA JACARE CLIP 10A PEQUENO PR </t>
  </si>
  <si>
    <t>GARRA JACARE C/BATERIA 1000 A 2000 AMP1750</t>
  </si>
  <si>
    <t>GARRA JACARE BATERIA 600A PLUS.PAR 30/1</t>
  </si>
  <si>
    <t>GARRA DE MUDANÇA A 0002652423</t>
  </si>
  <si>
    <t>GARFO TRINCHANTE LONGO</t>
  </si>
  <si>
    <t xml:space="preserve">GARFO EFEIÇAO MASTER EXTRA FORTE </t>
  </si>
  <si>
    <t>GARFO DESCARTÁVEL BRANCO C/50 UND</t>
  </si>
  <si>
    <t>GARFO DE MESA BAHIA</t>
  </si>
  <si>
    <t>GARFO DE EMBREAGEM COMPLETO</t>
  </si>
  <si>
    <t>GARFO DE  EMBREAGEM ROLAMENTO DE MOTOR</t>
  </si>
  <si>
    <t>GARFO DA EMBREAGEM 4100 7106003050000</t>
  </si>
  <si>
    <t xml:space="preserve">GANCHO OLDIE CROMADO MEDIO </t>
  </si>
  <si>
    <t>GANCHEIRA PARA PÁ</t>
  </si>
  <si>
    <t>GALÃO 20LTS MOBIL 15W40</t>
  </si>
  <si>
    <t>GALVITE FUNDO ESPECIAL 900ML</t>
  </si>
  <si>
    <t>GALVANIZADO UNIÃO ASS.PLANO 3/4</t>
  </si>
  <si>
    <t>GALVANIZADO TEE 3/4</t>
  </si>
  <si>
    <t>GALVANIZADO NIPLE 3/4</t>
  </si>
  <si>
    <t>GALVANIZADO NIPEL DUPLO 3/4</t>
  </si>
  <si>
    <t>GALVANIZADO LUVA 3/4</t>
  </si>
  <si>
    <t>GALVANIZADO FERRO UNIÃO 3/4 ASS.</t>
  </si>
  <si>
    <t>GALVANIZADO CURVA FÊMEA 3/4</t>
  </si>
  <si>
    <t>GALVANIZADO COTOVELO 90° x 3/4</t>
  </si>
  <si>
    <t>GALVANIZADO COTOVELO 45° x 3/4</t>
  </si>
  <si>
    <t xml:space="preserve">GALVANIZADO BUJÃO 3/4 </t>
  </si>
  <si>
    <t>GALVANIZADO BUCHA REDUÇÃO 3/4 x 1/2</t>
  </si>
  <si>
    <t>GALVANIZADO BUCHA REDUÇÃO 1 x 3/4</t>
  </si>
  <si>
    <t>GALVANIZADO ARAME BWG 16</t>
  </si>
  <si>
    <t>GALVANIZADO ARAME 16 ROLINHOS (1 KG)</t>
  </si>
  <si>
    <t>GALV.UNIAO ASS.PLANO 1.1/2</t>
  </si>
  <si>
    <t>GALV.UNIAO ASS.BRONZ 1.1/4</t>
  </si>
  <si>
    <t>GALV.UNIAO ASS.BRONZ 1</t>
  </si>
  <si>
    <t xml:space="preserve">GAB EXP VERTICAL 450LT </t>
  </si>
  <si>
    <t xml:space="preserve">FX 4000 ATIVADO 20LT </t>
  </si>
  <si>
    <t>FUSÍVEL ENCAIXE LAMINA 20A</t>
  </si>
  <si>
    <t xml:space="preserve">FUSÍVEL ENCAIXE LAMINA 15A </t>
  </si>
  <si>
    <t xml:space="preserve">FUSÍVEL ENCAIXE LAMINA 10A </t>
  </si>
  <si>
    <t xml:space="preserve">FUSÍVEL 300 AMP </t>
  </si>
  <si>
    <t>FUSIVEL PEQ 08A 1023</t>
  </si>
  <si>
    <t>FUSIVEL MINI 5 AMP</t>
  </si>
  <si>
    <t>FUSIVEL ENCAIXE 5A MINI</t>
  </si>
  <si>
    <t>FUSIVEL ENCAIXE 20A MINI</t>
  </si>
  <si>
    <t>FUSIVEL ENCAIXE 15A MINI</t>
  </si>
  <si>
    <t>FUSIVEL ENCAIXE 10A MINI</t>
  </si>
  <si>
    <t>FUSIVEL DE VIDRO 1A</t>
  </si>
  <si>
    <t>FUSIVEL DE POTENCIA 800A ANN/CNN 80VDC</t>
  </si>
  <si>
    <t>FUSIVEL DE POTENCIA 500A ANN/CNN 80VDC</t>
  </si>
  <si>
    <t>FUSIVEL 3A PQ</t>
  </si>
  <si>
    <t>FUNIL P/ COMBUSTIVEL PLASTICO</t>
  </si>
  <si>
    <t>FUNIL GIGANTE INDIVIDUAL</t>
  </si>
  <si>
    <t>FUNDO TAMPAO T-60 ART PESADA BOCA DE LOBO</t>
  </si>
  <si>
    <t>FUND TAMPAO FERRO T55 ART LEVE 60CM BOCA DE LOBO</t>
  </si>
  <si>
    <t>FUBÁ 1KG</t>
  </si>
  <si>
    <t>FRISO DE PROTEÇAO A9106901100 9K83</t>
  </si>
  <si>
    <t>FRIGIDEIRA ANT ADERENTE N;26</t>
  </si>
  <si>
    <t>FRASCO C/BICO PUSH PULL AZUL 500ML</t>
  </si>
  <si>
    <t>FRANGE DE SAIDA (YOKE) A9792670145</t>
  </si>
  <si>
    <t>FOTOCELULA DIFUSA CILINDRICA VTE180-2P42447</t>
  </si>
  <si>
    <t>FOTOCELULA 100/240V 1200 DECORLUX</t>
  </si>
  <si>
    <t>FORCADO CURVO 4D C/CABO</t>
  </si>
  <si>
    <t>FONTE P/BALANÇA 7.7V VDC 1A</t>
  </si>
  <si>
    <t>FONTE MCM GARRA CF TV 12.8V 10A</t>
  </si>
  <si>
    <t>FONTE DV 5V 600MA P/BALANÇA PESADORA  DIGITAL UPX EA- 15</t>
  </si>
  <si>
    <t>FOGÃO ESMALTEC IDEAL SUPER 4B F4IAP BIVOLT PRETO</t>
  </si>
  <si>
    <t>FLUIDO TETRAFLUOR R134A ONU 31</t>
  </si>
  <si>
    <t xml:space="preserve">FLUIDO REF R404A HP62 ONU 3337 </t>
  </si>
  <si>
    <t>FLUIDO R410A ONU 3163</t>
  </si>
  <si>
    <t>FLUIDO FREIO DOT4 500 ML</t>
  </si>
  <si>
    <t xml:space="preserve">FLUIDO DICLOROFLUORETANO R141B </t>
  </si>
  <si>
    <t>m3</t>
  </si>
  <si>
    <t>FLUIDO ARLA 20L</t>
  </si>
  <si>
    <t>FLOX ESPUMA (ERVA DOCE) 5L MARCA MERCOTECH</t>
  </si>
  <si>
    <t>FLOCAO MARATA 500G</t>
  </si>
  <si>
    <t xml:space="preserve">FLEXIVEL SERVO EMBREAGEM VOLVO 3020MM  FH/FM/NH/VM </t>
  </si>
  <si>
    <t>FLANGE RODOAR F23</t>
  </si>
  <si>
    <t>FLANGE CAMBIO ACCELO</t>
  </si>
  <si>
    <t>FITA ZEBRADA PRETA E AMARELA 200MTS</t>
  </si>
  <si>
    <t>FITA WORKER ADESIVA 48MMX30M VERMELHA</t>
  </si>
  <si>
    <t>FITA UNIPEGA SOLO 48X14 MTS BRANCA</t>
  </si>
  <si>
    <t>FITA UNIPEGA SOLO 48X14 MTS AMARELA</t>
  </si>
  <si>
    <t>FITA PP BRANCA PP0955 COM 4000M</t>
  </si>
  <si>
    <t>FITA PLAST PVC BRANCA 10M</t>
  </si>
  <si>
    <t>FITA MICROPOROSA 2,5CM X 4,5 CM</t>
  </si>
  <si>
    <t>FITA MICROPOROSA 12CMx45M</t>
  </si>
  <si>
    <t>FITA MICROPOROSA 10CMx45M</t>
  </si>
  <si>
    <t>FITA ISOLANTE LIQUIDA PRETA 50G</t>
  </si>
  <si>
    <t>FITA ISOLANTE 18X10M VERMELHA</t>
  </si>
  <si>
    <t>FITA ISOLANTE 18X10M BRANCA</t>
  </si>
  <si>
    <t>FITA ISOLANTE 18X10M AMARELA</t>
  </si>
  <si>
    <t>FITA DUPLA FACE ACRILICA TRANSPARENTE</t>
  </si>
  <si>
    <t>FITA DUPLA FACE 12MM X 20 MT</t>
  </si>
  <si>
    <t>FITA DUPLA DUPLA FACE 1 5M</t>
  </si>
  <si>
    <t>FITA DE IMPRESSORA CTF</t>
  </si>
  <si>
    <t xml:space="preserve">FITA DE EMPACOTAMENTO TR RL 45MM X 100M </t>
  </si>
  <si>
    <t>FITA DE EMPACOTAMENTO 45X45 TRANSPARENTE</t>
  </si>
  <si>
    <t>FITA DE EMPACOTAMENTO 45x40</t>
  </si>
  <si>
    <t>FITA CREPE 48x50 AUTOMOTIVO VERDE PRO</t>
  </si>
  <si>
    <t>FITA AÇO PERFURADA 17x0 5MMx10M MARCA VONDER</t>
  </si>
  <si>
    <t>FITA ARMALON</t>
  </si>
  <si>
    <t>FITA ALUMINIO AUTO ADESIVA 20CM X10X0, 60MM DRIKO</t>
  </si>
  <si>
    <t xml:space="preserve">FITA ADESIVA P/VEDAÇAO CINZA 04MMX05MTS </t>
  </si>
  <si>
    <t xml:space="preserve">FITA ADESIVA DUPLA FACE 18MM X 20M </t>
  </si>
  <si>
    <t>FIO DE CORTE</t>
  </si>
  <si>
    <t>FIO CABO FLEX 750V 4,00MM VERMELHO</t>
  </si>
  <si>
    <t>FIO CABO FLEX 750V 4,00MM VERDE</t>
  </si>
  <si>
    <t>FIO CABO FLEX 750V 2,50MM VERMELHO</t>
  </si>
  <si>
    <t>FIO CABO FLEX 750V 2,50MM VERDE</t>
  </si>
  <si>
    <t>FIO CABO FLEX 750V 2,50MM PRETO</t>
  </si>
  <si>
    <t>FIO CABO FLEX 750V 2,50MM AZUL</t>
  </si>
  <si>
    <t>FIO CABO FLEX 750V 2,50MM AMARELO</t>
  </si>
  <si>
    <t xml:space="preserve">FIO CABO FLEX 750V 10,00MM PRETO	</t>
  </si>
  <si>
    <t>FIO CABO FLEX 750V 1,5MM BRANCO</t>
  </si>
  <si>
    <t>FIO CABO FLEX 750V 1,5MM AZUL</t>
  </si>
  <si>
    <t>FIO CABO FLEX 750V 1,50MM VERMELHO</t>
  </si>
  <si>
    <t>FIO CABO FLEX 750V 1,50MM PRETO</t>
  </si>
  <si>
    <t>FIO CABO FLEX 750V 1,50MM BRASILEIRINHO VERDE/AMARELO</t>
  </si>
  <si>
    <t>FIO CABO FLEX 750V 1,50MM AMARELO</t>
  </si>
  <si>
    <t xml:space="preserve">FIO CABO FLEX 300V 1,5MM CINZA </t>
  </si>
  <si>
    <t>FIO CABO FLEX 300V 1,5MM AZUL</t>
  </si>
  <si>
    <t>FIO CABO FLEX 300V 1,00MM PRETO</t>
  </si>
  <si>
    <t>FIO CABO FELX 750V 2,50MM BRANCO</t>
  </si>
  <si>
    <t>FIO 10MM AZUL</t>
  </si>
  <si>
    <t>FINCAPINO CALIBRE 22 CVM P5 (C/100)</t>
  </si>
  <si>
    <t>FIM DE CURSO MICRO SWITCH</t>
  </si>
  <si>
    <t xml:space="preserve">FILTRO WORKER QUIMICO VO+GA </t>
  </si>
  <si>
    <t>FILTRO SIGMA REG.AR PEQ 1/4 PROF</t>
  </si>
  <si>
    <t>FILTRO SIGMA REG AR GR 12 PROF FR</t>
  </si>
  <si>
    <t xml:space="preserve">FILTRO SEPARADOR DE AGUA VW MARCA PARKER </t>
  </si>
  <si>
    <t>FILTRO SEPARADOR DE AGUA 9794770015 MARCA MANNFILTER (MB 1016)</t>
  </si>
  <si>
    <t>FILTRO SEDIMENTADOR FSE 4701</t>
  </si>
  <si>
    <t xml:space="preserve">FILTRO SEDIMENTADOR -KC 637/1 </t>
  </si>
  <si>
    <t>FILTRO SEDIMENTADOR - PSD 480/1</t>
  </si>
  <si>
    <t>FILTRO SECADOR REFIL UNIVERSAL P/CONDENSADOR ORIGINAL MAHLE</t>
  </si>
  <si>
    <t xml:space="preserve">FILTRO SECADOR DML 164X1 </t>
  </si>
  <si>
    <t>FILTRO SECADOR APU</t>
  </si>
  <si>
    <t>FILTRO SEC VOLVO NH12/FM12(D/ENGATE)</t>
  </si>
  <si>
    <t xml:space="preserve">FILTRO SEC DML 163FS </t>
  </si>
  <si>
    <t>FILTRO RACOR R120LJ10MAQII</t>
  </si>
  <si>
    <t>FILTRO PSL 560</t>
  </si>
  <si>
    <t>FILTRO OLEO LUBRIFICANTE LF16015 MARCA FLEETGUARD</t>
  </si>
  <si>
    <t>FILTRO OLEO LUBRIFICANTE LF16015 (VW 11.180) MARCA PARALELA</t>
  </si>
  <si>
    <t>FILTRO LURIFICANTE PSL283</t>
  </si>
  <si>
    <t>FILTRO LUBRIFICANTE FCO 0353</t>
  </si>
  <si>
    <t>FILTRO LUBRIFICANTE -SPRINTER OM 651 MANN FILTER</t>
  </si>
  <si>
    <t>FILTRO LUBRIFICANTE - PERKINS Q20B</t>
  </si>
  <si>
    <t>FILTRO FORT COADOR DESCATAVEL PCT/C10</t>
  </si>
  <si>
    <t>FILTRO DO ÓLEO DO MOTOR (COD. 1R1808.000)</t>
  </si>
  <si>
    <t>FILTRO DO OLEO SPRINTER MAN</t>
  </si>
  <si>
    <t>FILTRO DO HIDRAULICO E RESPIRO 143221</t>
  </si>
  <si>
    <t>FILTRO DO COMBUSTÍVEL 23B 127 177 MARCA PARALELA</t>
  </si>
  <si>
    <t>FILTRO DO ARLA 1997 20690</t>
  </si>
  <si>
    <t>FILTRO DO ARLA</t>
  </si>
  <si>
    <t>FILTRO DO AR TRS039</t>
  </si>
  <si>
    <t>FILTRO DISEL PSC 491</t>
  </si>
  <si>
    <t>FILTRO DISEL PCS 882</t>
  </si>
  <si>
    <t>FILTRO DIESEL FOL 417</t>
  </si>
  <si>
    <t>FILTRO DIESEL ACCELO PU 1046X</t>
  </si>
  <si>
    <t>FILTRO DIESEL 1/2 L CAV -D10</t>
  </si>
  <si>
    <t>FILTRO DIESEL - MWM 4.12 AGRALE (VOLVO)</t>
  </si>
  <si>
    <t>FILTRO DE ÓLEO PEL 2003 (MB 815/1016) MARCA TECFIL</t>
  </si>
  <si>
    <t>FILTRO DE OLEO PEL 676</t>
  </si>
  <si>
    <t>FILTRO DE OLEO LUBRIFICANTE PEL311 MARCA TECFIL</t>
  </si>
  <si>
    <t>FILTRO DE OLEO GRANDE</t>
  </si>
  <si>
    <t>FILTRO DE OLEO COMBUSTIVEL (MB 815/1016) MARCA MERCEDES BENZ</t>
  </si>
  <si>
    <t>FILTRO DE OLEO A 9901800010</t>
  </si>
  <si>
    <t>FILTRO DE OLEO 146314</t>
  </si>
  <si>
    <t>FILTRO DE COMBUSTIVEL VW MARCA MAHLE</t>
  </si>
  <si>
    <t>FILTRO DE COMBUSTIVEL BLINDADO PSC881 MARCA TECFIL</t>
  </si>
  <si>
    <t>FILTRO DE COMBUSTIVEL ACCELO KX 67/2D</t>
  </si>
  <si>
    <t>FILTRO DE ARLA PEA 180 TECFIL</t>
  </si>
  <si>
    <t>FILTRO DE AR VW ORIGINAL</t>
  </si>
  <si>
    <t>FILTRO DE AR VOLVO LX1313/2</t>
  </si>
  <si>
    <t>FILTRO DE AR SPRINTER</t>
  </si>
  <si>
    <t>FILTRO DE AR MARCA 0104 (MB 815/1016) MERCEDES BENZ</t>
  </si>
  <si>
    <t>FILTRO DE AR COND ACCELO /1390</t>
  </si>
  <si>
    <t xml:space="preserve">FILTRO DE AR ARS9838 MARCA TECFIL (MB 815/1016) </t>
  </si>
  <si>
    <t>FILTRO DE AR ARL5310 MARCA TECFIL</t>
  </si>
  <si>
    <t>FILTRO DE AR ARL 3751</t>
  </si>
  <si>
    <t>FILTRO DE AR A 9795280006 MARCA MERCEDES BENZ</t>
  </si>
  <si>
    <t>FILTRO COMBUSTIVEL TITAN 150-160/FAN/START150-160/BROS160 BICO FINOO MARCA FILTRAN.</t>
  </si>
  <si>
    <t>FILTRO COMBUSTIVEL SEPARADOR AGUA 23811818</t>
  </si>
  <si>
    <t>FILTRO COMBUSTIVEL PSC75</t>
  </si>
  <si>
    <t>FILTRO COMBUSTIVEL 8834(SAVEIRO)</t>
  </si>
  <si>
    <t>FILTRO CAV LONGO -D10/20</t>
  </si>
  <si>
    <t>FILTRO CAB MB ACCELO C/AR(SK1030)</t>
  </si>
  <si>
    <t xml:space="preserve">FILTRO CAB HILUX </t>
  </si>
  <si>
    <t>FILTRO ART6098</t>
  </si>
  <si>
    <t>FILTRO ARLA VA37493 MARCA PARALELA</t>
  </si>
  <si>
    <t>FILTRO AR TITAN 150 2014 RT</t>
  </si>
  <si>
    <t>FILTRO AR REFIL FAZER 250 2005/15</t>
  </si>
  <si>
    <t>FILTRO ADICIONAL P1</t>
  </si>
  <si>
    <t>FILTRO ADICIONAL D5 MARCA PARALELA</t>
  </si>
  <si>
    <t>FILTRO - PEC 3022</t>
  </si>
  <si>
    <t>FILTRO (COD. 4238521.000)</t>
  </si>
  <si>
    <t>FILTRO (COD. 1R0749.000)</t>
  </si>
  <si>
    <t>FILTRO (7C1571.000)</t>
  </si>
  <si>
    <t>FILME PVC ISOFILME 38X300</t>
  </si>
  <si>
    <t>FILME PVC 38x1000M</t>
  </si>
  <si>
    <t>FIBRA ABRASIVA (ESPONJA) AT95/20</t>
  </si>
  <si>
    <t>FERTILIZANTE NPK 10.10.10 25KG MARCA FERTIPAR</t>
  </si>
  <si>
    <t>FERTAK ABRACADEIRA NYLON BR 3,5X 140MM</t>
  </si>
  <si>
    <t xml:space="preserve">FERRO 06.30MM 1/4X12M GERDAU/ARCELOR </t>
  </si>
  <si>
    <t>FERMENTO EM PÓ ROYAL</t>
  </si>
  <si>
    <t>FENDAPHILLIPS 3/16X5 -SATA</t>
  </si>
  <si>
    <t>FENDA SATA PVC 1/4X6</t>
  </si>
  <si>
    <t>FENDA PHILLIPS 1/4X5 -SAPA</t>
  </si>
  <si>
    <t>FENDA BELZERR 3/16X4 INDUSTRIAL</t>
  </si>
  <si>
    <t>FEIJÃO FRADINHO 500G</t>
  </si>
  <si>
    <t>FEIJÃO 1KG</t>
  </si>
  <si>
    <t xml:space="preserve">FECHO ISERO FIO RED 5 </t>
  </si>
  <si>
    <t xml:space="preserve">FECHO ISERO 06CM </t>
  </si>
  <si>
    <t>FECHO CINTO SEGURANÇA SC TDS BCO AR</t>
  </si>
  <si>
    <t>FECHADURA STAM 605/17 90MM</t>
  </si>
  <si>
    <t>FECHADURA STAM 410 INOX ESCOVADO</t>
  </si>
  <si>
    <t>FECHADURA PORTA ACCELO PORTA LE 50283</t>
  </si>
  <si>
    <t>FECHADURA POPLINE 20X53</t>
  </si>
  <si>
    <t>FECHADURA HELLA WC.MADRI 2002/11 LD</t>
  </si>
  <si>
    <t>FECHADURA A 9017201135</t>
  </si>
  <si>
    <t>FECHADURA 3F ROLETE</t>
  </si>
  <si>
    <t>FECHADURA 23B/837016</t>
  </si>
  <si>
    <t>FECHADURA 23B/837015</t>
  </si>
  <si>
    <t>FAROLMERCEDES A9109062500</t>
  </si>
  <si>
    <t>FAROL TRATOR FORTLUZ</t>
  </si>
  <si>
    <t>FAROL PRINCIPAL VW 11.180 LADO ESQUERDO</t>
  </si>
  <si>
    <t>FAROL PRINCIPAL VW 11.180 LADO DIRETO</t>
  </si>
  <si>
    <t>FAROL PRINCIPAL LE SEM LAMPADA COM REGULAGEM</t>
  </si>
  <si>
    <t>FAROL PRINC VV VM 06 LE 4652</t>
  </si>
  <si>
    <t>FAROL PRINC VV VM 06 LD 1935</t>
  </si>
  <si>
    <t>FAROL MILHA TOYOTA COROLLA 2002 2003 2004 FIELDER 2005 2007 - ESQUERDO</t>
  </si>
  <si>
    <t xml:space="preserve">FAROL MILHA TOYOTA COROLLA 2002 2003 2004 FIELDER 2005 2007 - DIREITO </t>
  </si>
  <si>
    <t>FAROL MILHA PEQ RED</t>
  </si>
  <si>
    <t>FAROL H1/H7 ESQ. - ACCELO 08.../4617-A</t>
  </si>
  <si>
    <t>FAROL H1/H7 DIR. - ACCELO 08.../4617</t>
  </si>
  <si>
    <t xml:space="preserve">FAROL GOL SAVEIRO VOYAGE G6 13 14 15 2016 FOCO SIMPLES LD </t>
  </si>
  <si>
    <t>FAROL GOL SAVEIRO VOUYAGE G6 13 14 15 2016 FOCO SIMPLES LE</t>
  </si>
  <si>
    <t>FAROL DE MILHA MINI - 09 LEDS REDONDO</t>
  </si>
  <si>
    <t>FAROL DE MILHA 3277</t>
  </si>
  <si>
    <t>FAROL COROLLA 2002/2004 MASCARA CROMADA LADO ESQUERDO</t>
  </si>
  <si>
    <t>FAROL COROLLA 2002/2004 MASCARA CROMADA LADO DIREITO</t>
  </si>
  <si>
    <t xml:space="preserve">FAROL AUXILIAR LE SEM LAMPADA COM REGULAGEM </t>
  </si>
  <si>
    <t>FAROL 23B941206/B</t>
  </si>
  <si>
    <t>FAROL 23B941205/B</t>
  </si>
  <si>
    <t>FARMAIODINE 100ML</t>
  </si>
  <si>
    <t>FARINHA MANDIOCA ROSA 1 KG</t>
  </si>
  <si>
    <t>FARINHA DE TRIGO 1 KG</t>
  </si>
  <si>
    <t xml:space="preserve">FAME TOMADA JUNCAO FEMEA 3PT 10A/250V </t>
  </si>
  <si>
    <t>FAME EVIDENCE 2885/3894 PLACA 4X2 1 MODULO HO</t>
  </si>
  <si>
    <t>FACAO PARA MATO</t>
  </si>
  <si>
    <t>FACA PROF MASTER</t>
  </si>
  <si>
    <t>FACA DESOSSAR CABO BRANCO 15CM-M</t>
  </si>
  <si>
    <t>FACA DESOSSA CURVADA 5516-6 AÇO INOX</t>
  </si>
  <si>
    <t>FACA DESOSSA AMARELA 15,2CM</t>
  </si>
  <si>
    <t>FACA DESCARTÁVEL BRANCA C/50 UND</t>
  </si>
  <si>
    <t>FACA DE LEGUMES</t>
  </si>
  <si>
    <t>FACA DE CHURRASCO BAHIA</t>
  </si>
  <si>
    <t xml:space="preserve">FACA CRUZETA N 98 B INOX </t>
  </si>
  <si>
    <t>FACA CARNE BRANCA MUNDIAL 25,4CM</t>
  </si>
  <si>
    <t>FACA CARNE AMARELA MUNDIAL 25,4CM</t>
  </si>
  <si>
    <t>FACA BRANCA MUNDIAL 15,2CM</t>
  </si>
  <si>
    <t xml:space="preserve">EXTRATOR INSTALADOR NUCLEO VALVULAS </t>
  </si>
  <si>
    <t>EXTRATO DE TOMATE 1,02KG</t>
  </si>
  <si>
    <t>EXTINTOR PÓ QUIMICO 6KG</t>
  </si>
  <si>
    <t xml:space="preserve">EXPOSITOR PARA ABRAÇADEIRA </t>
  </si>
  <si>
    <t>EXPOSITOR OFFICE CRISTAL 3054</t>
  </si>
  <si>
    <t>EVEREADY PILHA GOLD PALITO AAA6 C/6</t>
  </si>
  <si>
    <t>EVAP GWH30AGEXH-D3NNA2A/1-G-TOP PLUS GREE</t>
  </si>
  <si>
    <t xml:space="preserve">EVAP DE AR GREE 12000 QF BRANCO 220V </t>
  </si>
  <si>
    <t xml:space="preserve">EVAP AR CONDICIONADO GREE HW INVT 18000 BTUS FRIO BRANCO </t>
  </si>
  <si>
    <t>EVAP 42AFV</t>
  </si>
  <si>
    <t>ETIQUETA PERSONALIZADA - INTERNO BOIBOM</t>
  </si>
  <si>
    <t>ETIQUETA INKJET/LASER A4 362 CX C/1600</t>
  </si>
  <si>
    <t>ET 100X130MM LISA EM BOPP FOSCO- ROLOS C/1000</t>
  </si>
  <si>
    <t>ESTRIBO PORTA (LE) (VW 11.180 DELIVERY)</t>
  </si>
  <si>
    <t>ESTRIBO ESCADA VOLVO VM 2006 ESQUERDO</t>
  </si>
  <si>
    <t xml:space="preserve">ESTRIBO DO DEGRAU  LD VW DELIVER </t>
  </si>
  <si>
    <t xml:space="preserve">ESTRIBO DEGRAU LE VW DELIVERY </t>
  </si>
  <si>
    <t>ESTRIBO ACCELO (LE)</t>
  </si>
  <si>
    <t>ESTRIBO A979881701 7G99</t>
  </si>
  <si>
    <t>ESTRIBO A9015200131</t>
  </si>
  <si>
    <t>ESTRELA MERCEDES A3258880009</t>
  </si>
  <si>
    <t>ESTOPA 800G MARCA PIRAMIDE</t>
  </si>
  <si>
    <t>ESTICADOR DE CORRENTE TITAN/FAN 125/150/160</t>
  </si>
  <si>
    <t>ESTICADOR BESFER ARGO DE SERRA 2</t>
  </si>
  <si>
    <t>ESTANHO DE SOLDA 1,0MM 40G</t>
  </si>
  <si>
    <t>ESTACA DE EUCALIPTO 10 A 12 C/2,50</t>
  </si>
  <si>
    <t>ESQUADRO ALUMINIO P/CARPINTEIRO (MMPOL) 45-600))STANLEY</t>
  </si>
  <si>
    <t>ESQUADRO 12: CABO ALUMINIO (K53M-300-S)STARRETT</t>
  </si>
  <si>
    <t>ESPUMA EXPANSIVA 500ML UNIPEGA</t>
  </si>
  <si>
    <t>ESPONJOSO 5/8</t>
  </si>
  <si>
    <t xml:space="preserve">ESPONJA BUCHABRILHO OURO </t>
  </si>
  <si>
    <t>ESPIGÃO C/CANAL MANG 1/2 X ROSCA MACHO 1/2</t>
  </si>
  <si>
    <t xml:space="preserve">ESPIGAO FIXO 1/4 </t>
  </si>
  <si>
    <t>ESPIGAO 1/4M X 1/4M</t>
  </si>
  <si>
    <t>ESPELHO RETROVISOR VOLVO VM 330 220 270 210 260 LD ER212</t>
  </si>
  <si>
    <t>ESPELHO RETROVISOR VOLVO VM 330 220 270 210 260 ER211 LE</t>
  </si>
  <si>
    <t>ESPELHO RETROVISOR 23B 8574501/D /9B9</t>
  </si>
  <si>
    <t>ESPELHO RETROV. VOLKS DELIVERY MOD NOVO PLANO</t>
  </si>
  <si>
    <t>ESPELHO OMD 23B 857502D9B9</t>
  </si>
  <si>
    <t>ESPELHO DE PAREDE 4x2 1P 3001048</t>
  </si>
  <si>
    <t>ESPELHO DE PAREDE 4x2 1P 3001047</t>
  </si>
  <si>
    <t>ESPELHO COMPLETO C/BIFOCAL CONVEXO LE P/VW DELIVERY 2018</t>
  </si>
  <si>
    <t>ESPELHO COMPLETO C/BIFOCAL CONVEXO LD P/VW DELIVERY 2018</t>
  </si>
  <si>
    <t>ESPELHO COM BASE OMD 23B 857 522 B</t>
  </si>
  <si>
    <t>ESPELHO BIONICO 170MM - C/SUPORTE</t>
  </si>
  <si>
    <t xml:space="preserve">ESPELHO BIONICO </t>
  </si>
  <si>
    <t>ESPATULA PLASTICA POLIPROPILENO 5MM</t>
  </si>
  <si>
    <t>ESPATULA PLASTICA POLIPROPILENO 4MM</t>
  </si>
  <si>
    <t>ESPATULA PLASTICA 4,5 CM</t>
  </si>
  <si>
    <t>ESPATULA PLASTICA 20CM</t>
  </si>
  <si>
    <t>ESPATULA AÇO INOX 10CM</t>
  </si>
  <si>
    <t>ESPATULA AÇO 8CM</t>
  </si>
  <si>
    <t>ESPATULA ATLAS 175/10</t>
  </si>
  <si>
    <t xml:space="preserve">ESPATULA 120MM </t>
  </si>
  <si>
    <t xml:space="preserve">ESPARADRAPO IMPERMEAVEL 10x4 </t>
  </si>
  <si>
    <t>ESPARADRAPO IMPERMEAVEL</t>
  </si>
  <si>
    <t>ESPARADRAPO 25x3</t>
  </si>
  <si>
    <t>ESPARADRAPO 12x45</t>
  </si>
  <si>
    <t>ESPANADOR ELETROSTATICO VERMELHO</t>
  </si>
  <si>
    <t>ESPANADOR ELETROSTATICO VERDE</t>
  </si>
  <si>
    <t>ESPANADOR ELETROSTATICO ROSA</t>
  </si>
  <si>
    <t>ESPANADOR DE PENA 45CM</t>
  </si>
  <si>
    <t>ESPANADOR DE PENA 25CM</t>
  </si>
  <si>
    <t xml:space="preserve">ESPAGUETE CORRUGADO C/CORTE 3/8 </t>
  </si>
  <si>
    <t xml:space="preserve">ESPAGUETE CORRUGADO C/CORTE 3/4 </t>
  </si>
  <si>
    <t>ESPAGUETE CORRUGADO C/CORTE -5/16 (08MM) CONDUITE</t>
  </si>
  <si>
    <t>ESPAGUETE CORRUGADO C/CORTE - 3/16 (05MM) /5774</t>
  </si>
  <si>
    <t>ESMALTE SINTETICO NOVACOR BRILHO AMARELO 900ML</t>
  </si>
  <si>
    <t>ESMALTE SINTETICO NOVACOR BRILHO ALUMINIO 3,6L</t>
  </si>
  <si>
    <t>ESMALTE SINTETICO COR E PROTEÇAO PRETO FOSCO 900ML SUVINIL</t>
  </si>
  <si>
    <t>ESMALTE SINTETICO COR E PROTEÇAO B AGUA BRILHO VERMELHO 900ML</t>
  </si>
  <si>
    <t>ESMALTE SINTETICO BRILHO PRETO900ML</t>
  </si>
  <si>
    <t>ESMALTE SINTETICO BRILHO OURO 225ML</t>
  </si>
  <si>
    <t xml:space="preserve">ESMALTE SINTETICO BRILHO LARANJA 900ML </t>
  </si>
  <si>
    <t>ESMALTE SINTETICO A/BR AZUL DEL REY NOVACOR</t>
  </si>
  <si>
    <t xml:space="preserve">ESMALTE SINTETICO  COR  E PROTEÇAO BRILHO MARROM 900ML </t>
  </si>
  <si>
    <t>ESMALTE SINT FSC BASE AGUA PRETO GL</t>
  </si>
  <si>
    <t>ESGUICHO TRAPP P/MANGUEIRAS C/04P</t>
  </si>
  <si>
    <t xml:space="preserve">ESGUICHO LAVAGEM DE AUTO 1/2 </t>
  </si>
  <si>
    <t xml:space="preserve">ESGUICHO GOL/ FOX/ POLO/ GOLF </t>
  </si>
  <si>
    <t>ESGUICHO COM ENGATE ROSQUEADO E JATO 1/2 MARCA TRAMONTINA</t>
  </si>
  <si>
    <t>ESGUICHO AJUSTAVEL P/MANGUEIRA</t>
  </si>
  <si>
    <t>ESGOTO TUBO 6M 40 TIGRE</t>
  </si>
  <si>
    <t>ESGOTO T 100 x 100 TIGRE</t>
  </si>
  <si>
    <t>ESGOTO LUVA SIMPLES 100 TIGRE</t>
  </si>
  <si>
    <t>ESGOTO JOELHO 90 40 TIGRE</t>
  </si>
  <si>
    <t>ESGOTO JOELHO 90 100 x 050 TIGRE</t>
  </si>
  <si>
    <t>ESGOTO JOELHO 90 100 TIGRE</t>
  </si>
  <si>
    <t>ESGOTO CAP 40MM TIGRE</t>
  </si>
  <si>
    <t>ESCOVÃO LAVA CASA PPO C/C</t>
  </si>
  <si>
    <t>ESCOVA WORKER CIRCULA TOR C 4.1/2X1</t>
  </si>
  <si>
    <t>ESCOVA SANITARIA</t>
  </si>
  <si>
    <t>ESCOVA PARA BANHO</t>
  </si>
  <si>
    <t>ESCOVA MULTIUSO</t>
  </si>
  <si>
    <t>ESCOVA EFEITO AÇO ESCOVADO 21CM ATLAS</t>
  </si>
  <si>
    <t>ESCOVA DISCO LAVAR POLI 20 POL</t>
  </si>
  <si>
    <t>ESCOVA DE CARVÃO ESMERILHADEIRA DWE4020</t>
  </si>
  <si>
    <t>ESCOVA DE CARBONO DO CONJUNTO STILL</t>
  </si>
  <si>
    <t>ESCOVA DE AÇO TRANCADO CIRCULA</t>
  </si>
  <si>
    <t>ESCOVA DE AÇO 3 FILEIRAS CABO PLASTI ROMA</t>
  </si>
  <si>
    <t>EQUALIZADOR PARA CONTROLE DIMENCIONAL DE PNEUMATICOS EQ 100C</t>
  </si>
  <si>
    <t>ENVOLTORIO MOLDURA TRATOR</t>
  </si>
  <si>
    <t xml:space="preserve">ENVELOPE OURO 23X32 CX C/100 </t>
  </si>
  <si>
    <t>ENVELOPE 24X34 KN 80GR C/50UN</t>
  </si>
  <si>
    <t xml:space="preserve">ENO SAL DE FRUTA </t>
  </si>
  <si>
    <t>ENGRENAGEM DA 5a MARCHA (ACCELO 1016)</t>
  </si>
  <si>
    <t>ENGRENAGEM 3°A VELOCIDADE EIXO PRINCIPAL CAIXA MARCHA MARCA EATON (MB 1016)</t>
  </si>
  <si>
    <t>ENGRENAGEM 3o EIXO PRINCIPAL - 3361713</t>
  </si>
  <si>
    <t>ENGRENAGEM 2o EIXO PRINCIPAL - 3361711</t>
  </si>
  <si>
    <t>ENGATE RÁPIDO AR 1/4 X ROSCA FÊMEA 1/4</t>
  </si>
  <si>
    <t>ENGATE RF RAPIDO FE. 1/4x1/4 NPT</t>
  </si>
  <si>
    <t>ENGATE RAPIDO RODOAR</t>
  </si>
  <si>
    <t xml:space="preserve">ENGATE RAPIDO PARA MANGUEIRA DE 1/2 TRAMONTINA </t>
  </si>
  <si>
    <t>ENGATE RAPIDO LATAO 1/4 ESFERA ROSCA FEMEA</t>
  </si>
  <si>
    <t>ENGATE RAPIDO AR 1/4 ROSCA MACHO</t>
  </si>
  <si>
    <t>ENGATE RAPIDO 1/2 ROSCA FEMEA ALTA VAZAO</t>
  </si>
  <si>
    <t>ENGATE P/MANOMETRO DE BAIXA AZUL</t>
  </si>
  <si>
    <t>ENGATE P/MANOMETRO DE ALTA VERMELHO</t>
  </si>
  <si>
    <t>ENGATE FLEXIVEL (RABICHO) 1/2 X 60CM</t>
  </si>
  <si>
    <t>ENGATE FLEXIVEL (RABICHO) 1/2 X 50CM</t>
  </si>
  <si>
    <t>ENGATE FLEXIVEL (RABICHO) 1/2 X 40CM</t>
  </si>
  <si>
    <t>ENGATE FLEX INOX PARA DUCHAS 1,20M</t>
  </si>
  <si>
    <t>ENGATE 3/8</t>
  </si>
  <si>
    <t>ENDURIT A.N COMP C - CINZA CLARO RA REVE-02</t>
  </si>
  <si>
    <t>ENDURIT A.N COMP B REVE-02</t>
  </si>
  <si>
    <t>ENDURIT A.N COMP A REVE-02</t>
  </si>
  <si>
    <t>ENCARDENAÇÕES</t>
  </si>
  <si>
    <t>ENCANAMENTO DO ADITIVO ARLA 32 A6954764301</t>
  </si>
  <si>
    <t>ENCANAMENTO DO ADITIVO A 6954764501</t>
  </si>
  <si>
    <t>ENCADERNAÇAO ATE 51 A 100FLS</t>
  </si>
  <si>
    <t>EMIGRAFIS FOLHA LISA</t>
  </si>
  <si>
    <t>EMENDA PRENSADA MANGUEIRA LAVA JATO</t>
  </si>
  <si>
    <t>EMENDA PRENSADA EM MANGUEIRA DE LAVA JATO 1/2"</t>
  </si>
  <si>
    <t>EMENDA PRENSADA 1/4</t>
  </si>
  <si>
    <t>EMENDA PRENSADA 1/2</t>
  </si>
  <si>
    <t>EMENDA ENGATE RAPIDO PARA RODOAR COMPLETA</t>
  </si>
  <si>
    <t>EMENDA DE MANGUEIRA 3/4 X 3/4</t>
  </si>
  <si>
    <t>EMENDA ALUMINIO 8MM VALVULA DE SERVIÇO R12 C/CLIP RC 450 106</t>
  </si>
  <si>
    <t>EMENDA 10MM ALUMINIO C/VALV R12 450 107</t>
  </si>
  <si>
    <t>EMBRESAGEM VISCOSA - 0M 904/924LA</t>
  </si>
  <si>
    <t>EMBREAGEM VISCOSA DO VENTILADOR 5610 CW</t>
  </si>
  <si>
    <t>EMBREAGEM C/TUBO GUIA 380MM 6381K</t>
  </si>
  <si>
    <t>EMBLEMA VW 23B 853601</t>
  </si>
  <si>
    <t>EMBLEMA SPRINTER CDI 313 C / ESTRELA GRADE SPRINTER 313</t>
  </si>
  <si>
    <t xml:space="preserve">EMBLEMA SPRINT 515/ 211/ 415 PORTA TRASEIRA  12/17 CROMADO </t>
  </si>
  <si>
    <t>EMBLEMA PLASTICO CROMADO MB N'8</t>
  </si>
  <si>
    <t>EMBLEMA PLASTICO CROMADO MB N'5</t>
  </si>
  <si>
    <t>EMBLEMA PLASTICO CROMADO MB N'1</t>
  </si>
  <si>
    <t>EMBLEMA GRADE 313 CDI (SPRINTER) MARCA MERCEDES BENZ</t>
  </si>
  <si>
    <t>EMBLEMA FRONTAL PLASTICO CROMADO MB (ACCELO)</t>
  </si>
  <si>
    <t>EMBLEMA ESTRELA MERCEDES BENZ</t>
  </si>
  <si>
    <t>EMBLEMA CROMADO N/6</t>
  </si>
  <si>
    <t>EMBLEMA CROMADO N/ 0</t>
  </si>
  <si>
    <t>EMBLEMA CAPO SPRINTER</t>
  </si>
  <si>
    <t>EMBLEMA CAPO MB AXOR 1620 1938</t>
  </si>
  <si>
    <t>ELO CORRENTE 3/8 MS-210/250</t>
  </si>
  <si>
    <t>ELO CORRENTE 26RS</t>
  </si>
  <si>
    <t>ELO CORRENTE 26 RS</t>
  </si>
  <si>
    <t>ELITE TOALHA DE PAP BOBINA PLUS F. SIMPLES 6X200</t>
  </si>
  <si>
    <t>ELEVADO VIDRO DELIVERY LD 4402 LD</t>
  </si>
  <si>
    <t>ELETROLDO 6013 2,50MM 1/2 KILO</t>
  </si>
  <si>
    <t xml:space="preserve">ELETRODO DE PH P/LIQUIDOS </t>
  </si>
  <si>
    <t>ELETRODO DE INOX2MM</t>
  </si>
  <si>
    <t>ELETRODO CORTE PLASMA P80 PRO</t>
  </si>
  <si>
    <t>ELETRODO ALUMINIO 2,5MM</t>
  </si>
  <si>
    <t>ELETRODO 3.25MM E-6013</t>
  </si>
  <si>
    <t>ELETRODO 3,5MM ALUMINIO</t>
  </si>
  <si>
    <t>ELETRODO 2,50MM E- 6013 GERDAU</t>
  </si>
  <si>
    <t>ELETRODO 2,50MM 308L/308L</t>
  </si>
  <si>
    <t>ELETRODO 2,00MM 30BL/387L</t>
  </si>
  <si>
    <t>ELETRO VENT. UNIV. 11P 24V ''ASPIRANTE''</t>
  </si>
  <si>
    <t>ELETRO VENT. 10P 24V SOPRANTE  BP12/C 57S</t>
  </si>
  <si>
    <t>ELETRO VENT 11P 24V ASPIRANTE P/ALTO EV.AS.VA 03-BP70/1137A 24V</t>
  </si>
  <si>
    <t>ELETRO VENT 10P 12V SOPRANTE</t>
  </si>
  <si>
    <t xml:space="preserve">ELETRO SPAL EV.AS </t>
  </si>
  <si>
    <t>ELEMENTO FILTRANTE FF5706 MARCA FLEETGUARD</t>
  </si>
  <si>
    <t>ELEMENTO FILTRANTE COMPRESSOR</t>
  </si>
  <si>
    <t>ELEMENTO DANFOSS 48F SUCCAO TELA FILTRO</t>
  </si>
  <si>
    <t>ELEMENTO DANFOSS 48DC DN C GAX</t>
  </si>
  <si>
    <t>ELEMENTO DANFOSS 48DA C/GAX AC IDES</t>
  </si>
  <si>
    <t>ELASTICO 25GRS AMARELO</t>
  </si>
  <si>
    <t>EIXO SEM GTIN VO21383604</t>
  </si>
  <si>
    <t>EIXO SEM GTIN VO20490003</t>
  </si>
  <si>
    <t>EIXO PRINCIPAL FS4505HD ACCELO 3361707</t>
  </si>
  <si>
    <t>EIXO PRINCIPAL CAMBIOS ZF 2R0311461</t>
  </si>
  <si>
    <t>EIXO PILOTO 3363746 EATON</t>
  </si>
  <si>
    <t>EIXO GARFO DA EMBREAGEM ANTIGO 4100 8002102047006</t>
  </si>
  <si>
    <t>EIXO DE MUDANÇA - AÇO A 0002646918</t>
  </si>
  <si>
    <t>EIXO DE COMANDO</t>
  </si>
  <si>
    <t>EIXO CARDAN PARA ROÇADEIRA FS 220</t>
  </si>
  <si>
    <t>EIXO B5</t>
  </si>
  <si>
    <t>DURIN MANGUEIRA JARDIM SILIC PREMIUM</t>
  </si>
  <si>
    <t>DUREPOX 100G</t>
  </si>
  <si>
    <t>DUCHA GAT. BR COM CRIVO</t>
  </si>
  <si>
    <t>DOBRADIÇA ALUMINIO 50X40</t>
  </si>
  <si>
    <t xml:space="preserve">DOBRADIÇA 3X3 S/A PINO BOLA </t>
  </si>
  <si>
    <t>DOBRADIÇA 21 ST 2</t>
  </si>
  <si>
    <t>DOBRADIÇA 2" FERRO</t>
  </si>
  <si>
    <t xml:space="preserve">DOB ISERO 3 X 2 </t>
  </si>
  <si>
    <t>DML 002  DISCO TACOGRAFO</t>
  </si>
  <si>
    <t>DML 001 DISCO TACOGRAFO</t>
  </si>
  <si>
    <t>DISPOSITIVO PARA ENROLA CINTAS</t>
  </si>
  <si>
    <t>DISPENSER P/COPO DESCARTAVEL</t>
  </si>
  <si>
    <t>DISJUNTOR SCH.K32A3C16 K32A 3P 16A C</t>
  </si>
  <si>
    <t>DISJUNTOR SCH.EZ9F33150 1P 50A CURVA C 3000A</t>
  </si>
  <si>
    <t>DISJUNTOR SCH.EZ9F33125 1P 25A CURVA C 3000A</t>
  </si>
  <si>
    <t>DISJUNTOR MINI C 2X40A SIEMENS</t>
  </si>
  <si>
    <t>DISJUNTOR DIN WEG 2X16A CURVA C</t>
  </si>
  <si>
    <t>DISJUNTOR DIN 3X10AC</t>
  </si>
  <si>
    <t>DISJUNTOR C50 2P 50A CURVA C 300A</t>
  </si>
  <si>
    <t>DISJUNTOR 2P 25A CURVA C - 5KA 230V - 3KA 400V</t>
  </si>
  <si>
    <t>DISJUNTOR 1P 20A CURVA C 3000A</t>
  </si>
  <si>
    <t xml:space="preserve">DISCO SOLIDO INTERNO WESLE350R DIGITAL WD GREEN SN </t>
  </si>
  <si>
    <t>DISCO REMOVEDOR  FLAP 125MM</t>
  </si>
  <si>
    <t>DISCO REMOVEDOR  FLAP 115MM</t>
  </si>
  <si>
    <t>DISCO PRE-CORTADOR INOX N.98</t>
  </si>
  <si>
    <t xml:space="preserve">DISCO N98 CORTADOR </t>
  </si>
  <si>
    <t>DISCO LIXA HOOKIT PAPEL 6F 150</t>
  </si>
  <si>
    <t>DISCO INOX HG-8098 FURO 5 0 MM CAF</t>
  </si>
  <si>
    <t>DISCO INOX HG- 8090-S FURO 5,0 MM CAF</t>
  </si>
  <si>
    <t>DISCO HOOKIT 400</t>
  </si>
  <si>
    <t xml:space="preserve">DISCO HOOKIT 320 </t>
  </si>
  <si>
    <t>DISCO HOOKIT 1200</t>
  </si>
  <si>
    <t>DISCO HF471C</t>
  </si>
  <si>
    <t>DISCO FLAP G40 115MM ATLAS</t>
  </si>
  <si>
    <t xml:space="preserve">DISCO FLAP CORTAG 4 1/2 X 80 </t>
  </si>
  <si>
    <t>DISCO FLAP CORTAG 4 1/2 X 120</t>
  </si>
  <si>
    <t>DISCO FLAP 4 1/2X60 CORTAG</t>
  </si>
  <si>
    <t xml:space="preserve">DISCO FLAP 4 1/2X40 CORTAG </t>
  </si>
  <si>
    <t>DISCO FLAP 115M G80 WURTH</t>
  </si>
  <si>
    <t>DISCO FLAP 115M G60 WURTH</t>
  </si>
  <si>
    <t>DISCO FLAP 115M G40 WURTH</t>
  </si>
  <si>
    <t>DISCO EMBR 23A 141031A</t>
  </si>
  <si>
    <t>DISCO DESBASTE FERRO 115X6, 4X22.23MM</t>
  </si>
  <si>
    <t xml:space="preserve">DISCO DE VIDEA 41/2MM X 20MM </t>
  </si>
  <si>
    <t>DISCO DE PORCELANATO TURBO BRANCO MARCA CORTAG</t>
  </si>
  <si>
    <t>DISCO DE LIMPEZA STRIP DISC 4.1/2 FURO 7/8</t>
  </si>
  <si>
    <t xml:space="preserve">DISCO DE CORTE PARA MOEDO DE CARNE </t>
  </si>
  <si>
    <t>DISCO DE CORTE INOX 115x1 0x22 MARCA GUEPAR</t>
  </si>
  <si>
    <t>DISCO DE CORTE FERRO 12X1/8 (300MM X 3,2MM X 25.4MM)</t>
  </si>
  <si>
    <t>DISCO DE CORTE ABRASIVO METAL 12X3.2MMX1 {DAC300-35X}</t>
  </si>
  <si>
    <t>DISCO CORTE PREMIUM CUT 115X1,0X22,2</t>
  </si>
  <si>
    <t>DISCO CORT DIAMANT FLEX 4</t>
  </si>
  <si>
    <t xml:space="preserve">DIRETO  NA FERRUGEM CINZA GL </t>
  </si>
  <si>
    <t>DIPLADENA PT15</t>
  </si>
  <si>
    <t>DIMER QD34 UNIV EMB MODULAR</t>
  </si>
  <si>
    <t xml:space="preserve">DIFUSOR DE GAS P/ TOCHA MIG /MAG 15AK </t>
  </si>
  <si>
    <t>DIAFRAGMA N° 7</t>
  </si>
  <si>
    <t>DIAFRAGMA N° 24</t>
  </si>
  <si>
    <t>DIAFRAGMA CUICA 30 FURADO</t>
  </si>
  <si>
    <t>DIAFRAGMA 7</t>
  </si>
  <si>
    <t>DIAFRAGMA 6/12</t>
  </si>
  <si>
    <t>DIAFRAGMA 30</t>
  </si>
  <si>
    <t>DIAFRAGMA 20</t>
  </si>
  <si>
    <t>DIAFRAGMA 16</t>
  </si>
  <si>
    <t>DIABO VERDE</t>
  </si>
  <si>
    <t>DETERSOFTFRESH C 5L</t>
  </si>
  <si>
    <t>DETERGENTE GREASE  5LITRO</t>
  </si>
  <si>
    <t>DETERGENTE DESENGORDURATE 5VLITROS SEVEN FREE</t>
  </si>
  <si>
    <t>DETERFRESH C 5L</t>
  </si>
  <si>
    <t>DET SUPER GEL 5L MARCA MERCOTECH</t>
  </si>
  <si>
    <t>DESINGRIPANTE SPRAY 300ML</t>
  </si>
  <si>
    <t>DESINFETANTE CIF HORTIFRUTI 4.76L</t>
  </si>
  <si>
    <t xml:space="preserve">DESINFETANTE ALTA DILUIÇAO MIRAX 5 LITROS FLORAL </t>
  </si>
  <si>
    <t xml:space="preserve">DESENTUPIDOR PIA SANFONADO </t>
  </si>
  <si>
    <t>DESENGRIPANTE AMARELINHO 300ML</t>
  </si>
  <si>
    <t xml:space="preserve">DESENGRAXANTE WURTH	</t>
  </si>
  <si>
    <t>DESENGORDURANTE ULTRA BRANQUEADO CIF 5L</t>
  </si>
  <si>
    <t>DESENGORDURANTE CIF 5L</t>
  </si>
  <si>
    <t xml:space="preserve">DESCUPINIZAÇAO </t>
  </si>
  <si>
    <t>DESCASCADOR</t>
  </si>
  <si>
    <t>DESCARTE DE ABSORVENTE COM 25 UND TRILHA</t>
  </si>
  <si>
    <t>DESCARBONIZANTE PRO-300ML</t>
  </si>
  <si>
    <t>DEGRAU VOLKS 23B 854749 9B9 LE</t>
  </si>
  <si>
    <t xml:space="preserve">DEFLETOR LE ACCELO </t>
  </si>
  <si>
    <t>DEFLETOR LD 4392 23B 853118</t>
  </si>
  <si>
    <t>DEFLETOR LATERAL MBB DIREITA/ESQUERDA</t>
  </si>
  <si>
    <t>DEFLETOR EXTERNO LE 11180 VW</t>
  </si>
  <si>
    <t>DEFLETOR DE AR DO RA 26218102</t>
  </si>
  <si>
    <t>CÓPIA DUPLICADA</t>
  </si>
  <si>
    <t>CZ 3/4 TIGRE CONDULETE TOP TUBO</t>
  </si>
  <si>
    <t>CX CV 25KG TAMPA</t>
  </si>
  <si>
    <t>CX CV 25KG FUNDO</t>
  </si>
  <si>
    <t>CX CV 15KG TAMPA</t>
  </si>
  <si>
    <t>CX CV 15KG FUNDO</t>
  </si>
  <si>
    <t>CURVA SOLDAVEL 90 25MM</t>
  </si>
  <si>
    <t xml:space="preserve">CURVA ELETRODUTO 90G 2 1/2''	</t>
  </si>
  <si>
    <t>CURVA DO CAMINHAO</t>
  </si>
  <si>
    <t>CURVA CPVC 90 22MM MARCA TIGRE</t>
  </si>
  <si>
    <t>CURVA 90 MACHO X FEMEA 3/4</t>
  </si>
  <si>
    <t>CURVA 7/8</t>
  </si>
  <si>
    <t>CURATIVO CARE BEGE 40UN</t>
  </si>
  <si>
    <t>CURAT BEM BASICO</t>
  </si>
  <si>
    <t>CUPRO DIMY 300GRS</t>
  </si>
  <si>
    <t>CUICA FREIO MASTER TRAS. 43-9673</t>
  </si>
  <si>
    <t>CUICA DE FREIO REMANO</t>
  </si>
  <si>
    <t>CUICA DE FREIO BLINDADA</t>
  </si>
  <si>
    <t>CUICA BLIDADA REMAN</t>
  </si>
  <si>
    <t>CUICA 2V361532E</t>
  </si>
  <si>
    <t>CUICA 24X20 ACCELO</t>
  </si>
  <si>
    <t>CUICA 16x24 120MM/ ROSCA 22</t>
  </si>
  <si>
    <t>CUICA 16/24 76MM</t>
  </si>
  <si>
    <t>CUBO SINCRONIZADOR3 E 4 MARCHAS CAMBIOS ZF</t>
  </si>
  <si>
    <t>CUBO SINCRONIZADOR 1/2 MARCHAS CAMBIOS ZF</t>
  </si>
  <si>
    <t>CUBO SICRONIZADOR 1/2 MACHAS CAMBIOS 2RO311244A</t>
  </si>
  <si>
    <t xml:space="preserve">CUBO RODA TRAS TITAN 150 DIAFRAG </t>
  </si>
  <si>
    <t xml:space="preserve">CUBO DE RODA TRZ ACCELO 815/915/1016 </t>
  </si>
  <si>
    <t>CUBO DE RODA</t>
  </si>
  <si>
    <t>CRUZETA TRANSMISSAO ACCELO 815 9MB97902ESO28661</t>
  </si>
  <si>
    <t>CRUZETA FERRO</t>
  </si>
  <si>
    <t>CRUZETA DUPLA INOX CAF 98</t>
  </si>
  <si>
    <t xml:space="preserve">CRUZETA DUPLA INOX B 82 ACABADA </t>
  </si>
  <si>
    <t>CRUZETA DUPLA BOCA INOX CAF</t>
  </si>
  <si>
    <t>CRUZETA CARDAN MERITOR</t>
  </si>
  <si>
    <t>CROTON HIBRIDO PETRA</t>
  </si>
  <si>
    <t>CROTON BRASILEIRINHO</t>
  </si>
  <si>
    <t>CRAVO DA INDIA MIX KG</t>
  </si>
  <si>
    <t>CRAVINA CX</t>
  </si>
  <si>
    <t>CPVC UNIAO 22 MARCA TIGRE</t>
  </si>
  <si>
    <t>CPVC TUBO 3M 22 MARCA TIGRE</t>
  </si>
  <si>
    <t>CPVC TE 22 MARCA TIGRE</t>
  </si>
  <si>
    <t>CPVC JOELHO 90 TRANSIÇÃO 22x1 MARCA TIGRE</t>
  </si>
  <si>
    <t>CPVC JOELHO 90 22 MARCA TIGRE</t>
  </si>
  <si>
    <t>CPVC CONECTOR RM 22x3/4 MARCA TIGRE</t>
  </si>
  <si>
    <t>CPVC ADESIVO AQUATHERM 850G MARCA TIGRE</t>
  </si>
  <si>
    <t>COXIM TRASEIRO MOTOR R-2232</t>
  </si>
  <si>
    <t>COXIM TRASEIRO DO MOTOR A 9792420013</t>
  </si>
  <si>
    <t>COXIM SUSPENSÃO CAMBIO ACCELO MARCA SUPORTE REI</t>
  </si>
  <si>
    <t>COXIM SUSPENSAO CABINE 23B 8993972412</t>
  </si>
  <si>
    <t>COXIM SUP DO AMORTECEDOR SPRINTER</t>
  </si>
  <si>
    <t xml:space="preserve">COXIM DO MOTOR MAIOR SPRINTER </t>
  </si>
  <si>
    <t>COXIM DINTEIRO MOTOR R-2231</t>
  </si>
  <si>
    <t>COXIM DA SUSPENSÃO DO CAMBIO MARCA SUPORTE REI</t>
  </si>
  <si>
    <t xml:space="preserve">COXIM CABINE (COD. 1192)	</t>
  </si>
  <si>
    <t>COXIM 23B/899541-A</t>
  </si>
  <si>
    <t>COUVE</t>
  </si>
  <si>
    <t>COTOVELO SEM GTIN V060115913</t>
  </si>
  <si>
    <t>COTOVELO RESPIRO OLEO - OM 904/926 LA</t>
  </si>
  <si>
    <t xml:space="preserve">COTOVELO CILINDRICO EMBREAGEM </t>
  </si>
  <si>
    <t>COTOVELO 90X1/2 GALVANIZADO</t>
  </si>
  <si>
    <t>COTOVELO 20X12CM DXN11041</t>
  </si>
  <si>
    <t>CORTINA VOLVO</t>
  </si>
  <si>
    <t xml:space="preserve">CORTINA PVC </t>
  </si>
  <si>
    <t xml:space="preserve">CORTE DE CHAPA 10 TIRAS DE 100MMX2000MM </t>
  </si>
  <si>
    <t>CORTAG 63041 CORDA TROPICAL BRANCA 5MM</t>
  </si>
  <si>
    <t xml:space="preserve">CORTAG 61417 SERRA COPO DIAMANTADA ALVENARIA 35MM </t>
  </si>
  <si>
    <t>CORRENTE DE PLASTICO 10MM AMA/PRETO</t>
  </si>
  <si>
    <t>CORRENTE DE AÇO SOLDADA 04MM 5/32 38M</t>
  </si>
  <si>
    <t>CORRENTE 3,0MM-1/8 73,5</t>
  </si>
  <si>
    <t>CORREIA- 6PK2325 K060915</t>
  </si>
  <si>
    <t>CORREIA V-NERVURAD</t>
  </si>
  <si>
    <t>CORREIA TRAPEZOIDAL VENTILADOR 903137C</t>
  </si>
  <si>
    <t>CORREIA TRAPEZOIDAL RANHURADA 1620</t>
  </si>
  <si>
    <t>CORREIA PLANA 2,5LONAS</t>
  </si>
  <si>
    <t>CORREIA INDUSTRIAL MULTI V - A46</t>
  </si>
  <si>
    <t>CORREIA INDUSTRIAL MULTI V - A45</t>
  </si>
  <si>
    <t>CORREIA INDUSTRIAL MULTI V - A40</t>
  </si>
  <si>
    <t>CORREIA EM V A-40</t>
  </si>
  <si>
    <t>CORREIA BOMBA DE AGUA VW</t>
  </si>
  <si>
    <t>CORREIA B 41 TRANSPOWER IMP</t>
  </si>
  <si>
    <t>CORREIA AVX 13X 1345</t>
  </si>
  <si>
    <t xml:space="preserve">CORREIA AVX 13 X 1345 </t>
  </si>
  <si>
    <t>CORREIA ALTERNADOR 8PK 2160 /7193</t>
  </si>
  <si>
    <t>CORREIA ALTERNADOR 8PK 2002</t>
  </si>
  <si>
    <t>CORREIA A-53 VONDER</t>
  </si>
  <si>
    <t>CORREIA A-46</t>
  </si>
  <si>
    <t>CORREIA A-44</t>
  </si>
  <si>
    <t>CORREIA A-42</t>
  </si>
  <si>
    <t xml:space="preserve">CORREIA A-41 </t>
  </si>
  <si>
    <t>CORREIA A-39</t>
  </si>
  <si>
    <t>CORREIA A-038 MARCA PARALELA (MB 815)</t>
  </si>
  <si>
    <t>CORREIA 9PK 2160 7193</t>
  </si>
  <si>
    <t>CORREIA 8PK 1610</t>
  </si>
  <si>
    <t>CORREIA 8PK 1376</t>
  </si>
  <si>
    <t>CORREIA 8PK 1370</t>
  </si>
  <si>
    <t>CORREIA 8PK 1330</t>
  </si>
  <si>
    <t>CORREIA 6PK1200SF ESLAST</t>
  </si>
  <si>
    <t>CORREIA 6PK 2265</t>
  </si>
  <si>
    <t>CORREIA 6PK 2175</t>
  </si>
  <si>
    <t>CORREIA 13X 1375</t>
  </si>
  <si>
    <t>CORREIA 13 X 1300 7116</t>
  </si>
  <si>
    <t>CORREIA 10X0915 (BUGRE)</t>
  </si>
  <si>
    <t>CORREIA - 20524X19XS</t>
  </si>
  <si>
    <t>CORPO DE ACOPLAMENTO S5420</t>
  </si>
  <si>
    <t>CORNETA BUZINA ELETRICA CONJ C/3</t>
  </si>
  <si>
    <t>CORFIO CABO PP PRETO 2x2,5MM METRO</t>
  </si>
  <si>
    <t>CORDAO DE ARRANQUE D2</t>
  </si>
  <si>
    <t>CORDA TROPICAL COLORIDA 4MM</t>
  </si>
  <si>
    <t>CORDA TROPICAL BRANCA 4MM</t>
  </si>
  <si>
    <t>CORDA COLORIDA 4MM</t>
  </si>
  <si>
    <t>CORDA 6MM</t>
  </si>
  <si>
    <t>CORDA 3MM</t>
  </si>
  <si>
    <t>CORDA 14MM CORES</t>
  </si>
  <si>
    <t>CORDA  PP TORCIDA 24MM</t>
  </si>
  <si>
    <t>CORANTE LIQUIDO XADREZ 50ML PRETO</t>
  </si>
  <si>
    <t>CORANTE LIQUIDO XADREZ 50ML MARROM</t>
  </si>
  <si>
    <t>COPO PLAST COPOMAIS 100ML</t>
  </si>
  <si>
    <t>COPO PARA PISTOLA DE GRAVIDADE(PRO-550/530)600ML</t>
  </si>
  <si>
    <t>COPO DO FILTRO (VIDRO) RETRO</t>
  </si>
  <si>
    <t>COPO DE PROTECAO STIHL</t>
  </si>
  <si>
    <t xml:space="preserve">COPIAS DE CHAVE </t>
  </si>
  <si>
    <t xml:space="preserve">CONVERSOR MGBIC GB MM 550MT KGM </t>
  </si>
  <si>
    <t>CONTROLE DE DE TV CR700</t>
  </si>
  <si>
    <t>CONTROLADOR SMART FRIGO</t>
  </si>
  <si>
    <t xml:space="preserve">CONTROLADOR DO VENTILADOR 127V 150W </t>
  </si>
  <si>
    <t>CONTROLADOR DE TEMPERATURA TC 900 EL POWER /07 12/24V</t>
  </si>
  <si>
    <t>CONTROLADOR DE PRESSAO 220V</t>
  </si>
  <si>
    <t>CONTRA PINO TE3 607077</t>
  </si>
  <si>
    <t>CONTETOR 240 LITROS AZUL ROYAL</t>
  </si>
  <si>
    <t xml:space="preserve">CONTATORA 9A 220V </t>
  </si>
  <si>
    <t>CONTATORA 32A 220V 1NA LC1 D3210M</t>
  </si>
  <si>
    <t>CONTAINER 1000 LITROS - AZUL</t>
  </si>
  <si>
    <t>CONTACTOR SW80 24V</t>
  </si>
  <si>
    <t xml:space="preserve">CONTACT COLORIDO </t>
  </si>
  <si>
    <t>CONJUNTO ROTEADOR16DBI</t>
  </si>
  <si>
    <t>CONJUNTO REGULADOR MARCA LUBRIFIL GRANDE 12 IND.</t>
  </si>
  <si>
    <t>CONJUNTO MOLETON HELANCA MARINHO XG</t>
  </si>
  <si>
    <t>CONJUNTO MOLETOM HELANGA MARINHO (XGG)</t>
  </si>
  <si>
    <t>CONJUNTO MOLETOM HELANGA MARINHO (M)</t>
  </si>
  <si>
    <t>CONJUNTO MOLETOM HELANGA MARINHO (GG)</t>
  </si>
  <si>
    <t>CONJUNTO MOLETOM HELANGA MARINHO (G)</t>
  </si>
  <si>
    <t>CONJUNTO MOLETOM HELANCA MARINHO 2G</t>
  </si>
  <si>
    <t>CONJUNTO FIXAÇAO P/CAIXA ACOPLADA KPF ASTRA</t>
  </si>
  <si>
    <t>CONJUNTO FILTRO LUBRIFICANTE ACCELO -OM 904/924</t>
  </si>
  <si>
    <t>CONJUNTO FILTRO DE AR SEM ELEMENTO PLASTICO</t>
  </si>
  <si>
    <t>CONJUNTO DE MOLETOM BRANCO (XG)</t>
  </si>
  <si>
    <t>CONJUNTO DE MOLETOM BRANCO (G)</t>
  </si>
  <si>
    <t>CONJUNTO DE ESCOVA E PARAFUSO - CROWN - PE4500 (125789)</t>
  </si>
  <si>
    <t>CONJUNTO COMPLETO DE ESCOVAS 4PÇS</t>
  </si>
  <si>
    <t>CONFECÇAO DE CARIMBO AUTOMATICO 355</t>
  </si>
  <si>
    <t>CONFECÇAO DE  CARIMBO DE MADEIRA CNPJ</t>
  </si>
  <si>
    <t>CONEXÃO PL-COTOVELO MACHO - NPT TUB ENGATE RAPIDO</t>
  </si>
  <si>
    <t>CONEXOES GIRATORIA</t>
  </si>
  <si>
    <t>CONEXAO VALVULA. DESCARGA CUICA 16X22MM</t>
  </si>
  <si>
    <t>CONEXAO SALVA VIDA ALUMINIO 10MM (C/10 PÇS ESPIGAO)</t>
  </si>
  <si>
    <t>CONEXAO HIDRAULICA PRENSADA MANGUEIRA LAVA JATO 1/2</t>
  </si>
  <si>
    <t>CONECTOR T - LAVADOR PARABRISA</t>
  </si>
  <si>
    <t>CONECTOR T</t>
  </si>
  <si>
    <t>CONECTOR SELADO LANTERNA LATERAL BAU</t>
  </si>
  <si>
    <t>CONECTOR RJ 45 F CAT6 BG KS TL MARCA NEXANS</t>
  </si>
  <si>
    <t>CONECTOR PERFURANTE 16-95MM/4-35</t>
  </si>
  <si>
    <t>CONECTOR PARAF FENDIDO 16MM</t>
  </si>
  <si>
    <t>CONECTOR P/FIO/CABO 25MM</t>
  </si>
  <si>
    <t>CONECTOR P/FIO /CABO 16MM</t>
  </si>
  <si>
    <t>CONECTOR MACHO AQUATHERM 28x1 TIGRE</t>
  </si>
  <si>
    <t>CONECTOR GENERICO JNG</t>
  </si>
  <si>
    <t>CONECTOR ENGATE 1/4 ROSCA MACHO</t>
  </si>
  <si>
    <t xml:space="preserve">CONECTOR ENG LATAO 1/4 ESFERA ROSCA MACHO </t>
  </si>
  <si>
    <t>CONECTOR DE ENGATE RAPIDO</t>
  </si>
  <si>
    <t>CONECTOR DE BATERIA COMPLETO 175A</t>
  </si>
  <si>
    <t>CONECTOR CABO SELETOR DE MARCHA SPRINTER CDI</t>
  </si>
  <si>
    <t>CONECTOR BATERIA 350A COMPLETO</t>
  </si>
  <si>
    <t>CONECTOR 7 VIA LANTERNA ACCELO /ATEGO /4777</t>
  </si>
  <si>
    <t>CONECTOR 23B/121179B/ 5365514</t>
  </si>
  <si>
    <t>CONE PVC LARANJA E BRANCO RIGIDO 75 CM</t>
  </si>
  <si>
    <t>CONE PVC LARANJA E BRANCO RIGIDO 50 CM</t>
  </si>
  <si>
    <t>CONE PVC LARANJA E BRANCO RIGIDO</t>
  </si>
  <si>
    <t>CONE PONTA EIXO PRINCIPAL  CAMBIOS EATONZF EATON 2RO311219A1219A</t>
  </si>
  <si>
    <t xml:space="preserve">CONE FLEXIVEL LARANJA E BRANCO COM REFLETIVO 75CM </t>
  </si>
  <si>
    <t>CONE FLEXIVEL 70 CM  BRANCO/LARAN</t>
  </si>
  <si>
    <t>CONDULETE TUBO ELETRODUTO TOP 3/4 (C/ 3MTS) TIGRE</t>
  </si>
  <si>
    <t>CONDULETE TUBO ELETRODUTO TOP 1 (C/3MTS)</t>
  </si>
  <si>
    <t>CONDULETE TOP TUBO CZ 3/4</t>
  </si>
  <si>
    <t>CONDULETE TOP TAMPA 3 MOD 13/41/2</t>
  </si>
  <si>
    <t>CONDULETE TOP TAMPA 1 MOD 1</t>
  </si>
  <si>
    <t>CONDULETE TOP CX 6 ENTRADAS 1 TIGRE</t>
  </si>
  <si>
    <t>CONDULETE TOP CURVA 1X90</t>
  </si>
  <si>
    <t>CONDULETE TAMPA CEGA 1</t>
  </si>
  <si>
    <t xml:space="preserve">CONDULETE LUVS LISA P/ ELETRT. TOP1 </t>
  </si>
  <si>
    <t>CONDULETE BRAÇADEIRA FECH.TOP 1</t>
  </si>
  <si>
    <t>CONDUITE GUIA POLIAMIDA (INOX/ALUMINIO) MIG 1,0/1,2MM-3MT</t>
  </si>
  <si>
    <t>CONDICIONADOR NATUS FLOREIRA 25KG</t>
  </si>
  <si>
    <t>CONDICIONADOR DE AR SPLIT PISO/TETO PLUS INVERTER 36.000 BTU/H</t>
  </si>
  <si>
    <t>CONDENSADOR VOLVO VM 260/310/350</t>
  </si>
  <si>
    <t xml:space="preserve">CONDENSADOR AR CONDICIONADO DELIVERY </t>
  </si>
  <si>
    <t>CONDENSADO 23B - 820 423</t>
  </si>
  <si>
    <t>COND VW DELIVERY 2017&gt;&gt;</t>
  </si>
  <si>
    <t>COND GWH30AAEXH-D3NNA1A/O-G-TOP PLUS GREE</t>
  </si>
  <si>
    <t>COND DE AR COND GREE 12000 QF BRANCO 220V</t>
  </si>
  <si>
    <t>COND 38TVC</t>
  </si>
  <si>
    <t>CONCHA PARA CEREAIS 1KG</t>
  </si>
  <si>
    <t>CONCHA INOX</t>
  </si>
  <si>
    <t>COMPRESSOR CM MOD 6P UNIV POLIA V 12V 8 OREL(BEHR) MARCA MAGNETI MARELLI</t>
  </si>
  <si>
    <t>COMPRESSOR CM 7H15 8 ORELHA 24V SAIDA VERTICAL (DENSO)</t>
  </si>
  <si>
    <t>COMPRESSOR CM 7H15 8 ORELHA 24V SAIDA ENCAIXE (SANDEN)</t>
  </si>
  <si>
    <t>COMPRESSOR 5H14 2A 12V 4509</t>
  </si>
  <si>
    <t>COMPRESSOR 20/250L APV RCHAVE 5HP</t>
  </si>
  <si>
    <t>COMPRESSOR 10PA15C MB ATRON 2729/2831/4844 2015 11 PK 24V</t>
  </si>
  <si>
    <t>COMPRESSA GAZE C/10</t>
  </si>
  <si>
    <t>COMPLEMENTO PORTA LE 9797287021 7G99</t>
  </si>
  <si>
    <t>COMBO BAL BLUE INOX 30KG 44X60 C/ COL E IMPRE</t>
  </si>
  <si>
    <t>COLUNA DIREÇÃO (ACCELO 1016)</t>
  </si>
  <si>
    <t>COLUNA  DIREÇAO PARCIAL VW DELIVEY 23B422067A</t>
  </si>
  <si>
    <t>COLOSSO PULVERIZADOR CARRAPATO/PULGA 25ML</t>
  </si>
  <si>
    <t>COLORGIN SPRAY PRATA REAL METALICO</t>
  </si>
  <si>
    <t>COLORGIN SPRAY GRAFITE MEDIO P/RODAS</t>
  </si>
  <si>
    <t xml:space="preserve">COLORGIN SPRAY AZUL COLONIAL </t>
  </si>
  <si>
    <t xml:space="preserve">COLORGIN BRANCO FOSCO </t>
  </si>
  <si>
    <t>COLORGIN BRANCO BRASTEMP</t>
  </si>
  <si>
    <t>COLORGIN ALTA TEMPERATURA PRETO</t>
  </si>
  <si>
    <t>COLHER DESCARTÁVEL SOBREMESA C/200 UND</t>
  </si>
  <si>
    <t xml:space="preserve">COLHER DE SORVTE POLIDA </t>
  </si>
  <si>
    <t>COLHER DE PEDREIRO N.07</t>
  </si>
  <si>
    <t>COLETO DE DADOS CN80 KIT C/ 5 CANETAS</t>
  </si>
  <si>
    <t>COLA VULK 1L VIPAL</t>
  </si>
  <si>
    <t>COLA SILICONE MARCA GREY 999 (CINZA)</t>
  </si>
  <si>
    <t>COLA SILICONE BLACK 999 PRETO</t>
  </si>
  <si>
    <t>COLA CONTATOR 200G</t>
  </si>
  <si>
    <t>COLA CISER CIS701 100GRS</t>
  </si>
  <si>
    <t>COLA BRANCA 90GR</t>
  </si>
  <si>
    <t>COLA BASTAO 9GR</t>
  </si>
  <si>
    <t>COLA ALMASUPER 20G</t>
  </si>
  <si>
    <t>COIFA CAMBIO VW SEDAN(BUGRE)</t>
  </si>
  <si>
    <t>COIFA CAMBIO C/ ROL PALIO/UNO 96/ I MARCA PARALELA (PALIO)</t>
  </si>
  <si>
    <t>COIFA AMORTECEDOR SPRINTER</t>
  </si>
  <si>
    <t>COERREIA 6PK725 SAVEIRO</t>
  </si>
  <si>
    <t>COENTRO</t>
  </si>
  <si>
    <t>COBRE 5/8</t>
  </si>
  <si>
    <t>COBERTURA LE 23B 853117</t>
  </si>
  <si>
    <t>COBERTURA DO ESTRIBO LE ACCELO A9797287021</t>
  </si>
  <si>
    <t>COBERTURA A9014270134</t>
  </si>
  <si>
    <t xml:space="preserve">COBERTOR SOLTEIRO SORTIDO </t>
  </si>
  <si>
    <t>COADOR USO GERAL TINTA/PRIMER VERNIZ</t>
  </si>
  <si>
    <t>COADOR DE CAFE</t>
  </si>
  <si>
    <t>CNX RETA 10MM ORING FEMEA ALUMINIO</t>
  </si>
  <si>
    <t>CNX RETA 08MM ORING FEMEA ALUMINIO</t>
  </si>
  <si>
    <t>CNX RETA 06MM ORING FEMEA ALUMINIO</t>
  </si>
  <si>
    <t>CNX 90 12MM ORING FEMEA ALUMINIO</t>
  </si>
  <si>
    <t>CNX 90 10MM ORING FEMEA ALUMINIO</t>
  </si>
  <si>
    <t>CNX 90 08MM ORING FEMEA ALUMINIO</t>
  </si>
  <si>
    <t>CNX 90 06MM ORING FEMEA ALUMINIO</t>
  </si>
  <si>
    <t>CM VW CONSTELATION/DELIVERY POLIA 8PK</t>
  </si>
  <si>
    <t>CM MOD 5H14 8PK 12V</t>
  </si>
  <si>
    <t>CM 7H15 8 ORELHA POLIA V 12V SAIDA ENCAIXE (SANDEN)</t>
  </si>
  <si>
    <t xml:space="preserve">CM 10PA15C PASSANTE CAMINHAO ATRON 8PK 24V </t>
  </si>
  <si>
    <t>CM 10P15 PASSANTE CAMINHAO /L200 8PK 24V(DENSO)</t>
  </si>
  <si>
    <t>CLORO LIQUIDO</t>
  </si>
  <si>
    <t>CLORO GENCO 3x1 10KG (BARRILHA)</t>
  </si>
  <si>
    <t>CLORIN 10.000 20G</t>
  </si>
  <si>
    <t>CLORAX FLV 5L MARCA MERCOTECH</t>
  </si>
  <si>
    <t>CLONDONSETRONA</t>
  </si>
  <si>
    <t>CLIPS AÇO 3/16</t>
  </si>
  <si>
    <t>CLIPS 3/0 CX 50UND GALV 0807-7 BACCHI</t>
  </si>
  <si>
    <t>CLIPE SEM GTIN VO20530606</t>
  </si>
  <si>
    <t>CJT BUGGY 1300/15000/1600/67/92</t>
  </si>
  <si>
    <t>CJ PISTAO COM ANEIS (A 9260302418)</t>
  </si>
  <si>
    <t>CINZA COLIMA CHE9384</t>
  </si>
  <si>
    <t>CINTO PARAQUEDISTA CG 750E CARBOGRAFITE</t>
  </si>
  <si>
    <t>CINTO ERGONOMICO VOLK EEG (11)</t>
  </si>
  <si>
    <t>CINTO DE SUSTENTAÇAO MEGA PLUS/ROSSEL</t>
  </si>
  <si>
    <t xml:space="preserve">CINTA FITA 4X4 REBOQUE GUINCHO 40 TONELADAS X 4 METROS </t>
  </si>
  <si>
    <t>CINTA ERGONOMICA (M)</t>
  </si>
  <si>
    <t>CINTA ERGONOMICA (EG)</t>
  </si>
  <si>
    <t>CINTA DUPLA PARA OMBRO</t>
  </si>
  <si>
    <t>CINTA COM 5,3 METROS DE POLIPROPILENO COM PRESILHA  DE ALUMINIO</t>
  </si>
  <si>
    <t>CINTA ABDOMINAL/LOMBAR RETA (M)</t>
  </si>
  <si>
    <t>CINTA ABDOMINAL/LOMBAR RETA (GG)</t>
  </si>
  <si>
    <t>CIMENTO MIZU CPIII 40 RS 50KG</t>
  </si>
  <si>
    <t>CIMENTO ENSACADO 7KG</t>
  </si>
  <si>
    <t>CIMENTO CPIII 40 RS 50KG MARCA MIZU</t>
  </si>
  <si>
    <t>CIMENTO CPIII 32 RS 50KG</t>
  </si>
  <si>
    <t>CIMENTO CPII ULTRA FORTE 50KG MARCA MAUÁ</t>
  </si>
  <si>
    <t>CILINDRO TRANSM</t>
  </si>
  <si>
    <t>CILINDRO STAM 401 BR 31129</t>
  </si>
  <si>
    <t xml:space="preserve">CILINDRO OXIGÊNIO INDUSTRIAL 10m³	</t>
  </si>
  <si>
    <t>CILINDRO NITROGÊNIO 10m³</t>
  </si>
  <si>
    <t>CILINDRO MESTRE EMBREAGEM 709/912</t>
  </si>
  <si>
    <t>CILINDRO MESTRE DE EMBREAGEM DELIVERY 11.180 C-2654</t>
  </si>
  <si>
    <t>CILINDRO MESTRE DE EMBFREAGEM 915C / 3048</t>
  </si>
  <si>
    <t>CILINDRO MESTRE 96965130</t>
  </si>
  <si>
    <t>CILINDRO MESTRE  EMBREAGEM -VM 260/310 /3075</t>
  </si>
  <si>
    <t>CILINDRO MAÇANETA PORTA 6707600205 MB</t>
  </si>
  <si>
    <t>CILINDRO GAS MAPP PRO 400GR</t>
  </si>
  <si>
    <t>CILINDRO FREIO MOTOR ACCELO 915C 3049/</t>
  </si>
  <si>
    <t>CILINDRO DE EMBREAGEM VOLVO 260</t>
  </si>
  <si>
    <t>cilindro da pestana 147</t>
  </si>
  <si>
    <t>CILINDRO C/CHAVE DIANTEIRA VOLVO VM 718852</t>
  </si>
  <si>
    <t>CILINDRO AUXILIAR EMBREAGEM 1418</t>
  </si>
  <si>
    <t>CILINDRO AUX EMBREAGEM -NOVO DELIVERY 3078</t>
  </si>
  <si>
    <t>CILINDRO ARGONICO 10M INDUSTRIAL</t>
  </si>
  <si>
    <t xml:space="preserve">CILINDRO ACETILENO </t>
  </si>
  <si>
    <t>CHUVEIRO DUCHA BANHO ULTRA 127V 5500W LORENZETTI</t>
  </si>
  <si>
    <t xml:space="preserve">CHUVEIRO 220V 6800W </t>
  </si>
  <si>
    <t>CHUPETA DA TORNEIRA VENANCIO</t>
  </si>
  <si>
    <t xml:space="preserve">CHUMBO </t>
  </si>
  <si>
    <t>CHUMBADOR CBE 1/2X95MM C/PRIS.1</t>
  </si>
  <si>
    <t>CHUCHU</t>
  </si>
  <si>
    <t>CHICOTE SMART FRIGO LINHA FLEX</t>
  </si>
  <si>
    <t>CHEIRO VERDE</t>
  </si>
  <si>
    <t>CHAVE TRAMONTINA FIXA 14X15</t>
  </si>
  <si>
    <t>CHAVE TRAMONTINA COMB. 22M</t>
  </si>
  <si>
    <t>CHAVE SEXTAVADA DE 95MM VW</t>
  </si>
  <si>
    <t>CHAVE SETA ACCELO/SPRINTER 4566</t>
  </si>
  <si>
    <t>CHAVE SACA FILTRO</t>
  </si>
  <si>
    <t xml:space="preserve">CHAVE PHILLPS 1/4X4 SATA </t>
  </si>
  <si>
    <t>CHAVE PHILLIPS 1/4X5</t>
  </si>
  <si>
    <t>CHAVE PHILLIPS 1/4 X6 SATA 271259</t>
  </si>
  <si>
    <t>CHAVE PARAFUSADEIRA DE IMPACTO PNEUM FG3320U FORTG PRO</t>
  </si>
  <si>
    <t>CHAVE MULTI DENTADA M8 HOMOCINETICA WORKER</t>
  </si>
  <si>
    <t>CHAVE MULTI DENTADA M12 WORKER</t>
  </si>
  <si>
    <t>CHAVE MULTI DENTADA M10 MORKER</t>
  </si>
  <si>
    <t>CHAVE MULTI DENTADA 6MM WORKER</t>
  </si>
  <si>
    <t>CHAVE MULTI DENTADA 5MM WORKER</t>
  </si>
  <si>
    <t xml:space="preserve">CHAVE MICRO SWITCH NORMAL 16A </t>
  </si>
  <si>
    <t xml:space="preserve">CHAVE MANDRIL 13MM </t>
  </si>
  <si>
    <t>CHAVE MAKITA MANDRIL 1/2</t>
  </si>
  <si>
    <t xml:space="preserve">CHAVE MAG 5CV 12-18A 220V </t>
  </si>
  <si>
    <t>CHAVE LOTUS COMB CATRACA 13</t>
  </si>
  <si>
    <t>CHAVE LOTUS COMB CATRACA 10</t>
  </si>
  <si>
    <t>CHAVE LOTUS CANHAO 08X125MM</t>
  </si>
  <si>
    <t xml:space="preserve">CHAVE LOTUS BIELA LONGA GALV 23MM </t>
  </si>
  <si>
    <t>CHAVE LOTUS BIELA LONGA GALV 20MM</t>
  </si>
  <si>
    <t>CHAVE LOTUS BIELA 24MM C/FURO</t>
  </si>
  <si>
    <t>CHAVE LOTUS BIELA 22MM C/FURO</t>
  </si>
  <si>
    <t>CHAVE LOTUS BIELA 21MM C/FURO</t>
  </si>
  <si>
    <t xml:space="preserve">CHAVE LIGA/DESLIGA </t>
  </si>
  <si>
    <t>CHAVE KRESS IMPACTO 3/4 20V 1700N</t>
  </si>
  <si>
    <t>CHAVE INGLESA AJUSTAVEL 15</t>
  </si>
  <si>
    <t>CHAVE FIM DE CURSO PLASTICO PISTAO(PINO) NA =2NF</t>
  </si>
  <si>
    <t>CHAVE FENDA 5/16 X 10 SLB X 250 CRV MTX</t>
  </si>
  <si>
    <t>CHAVE FENDA 3/16X4</t>
  </si>
  <si>
    <t xml:space="preserve">CHAVE FENDA 1/8 </t>
  </si>
  <si>
    <t>CHAVE FENDA 1/4 X 4 SL6 X 100</t>
  </si>
  <si>
    <t>CHAVE ESTRELA 2-12X13 GEDORE</t>
  </si>
  <si>
    <t>CHAVE ESTRELA 10X11MM STELS</t>
  </si>
  <si>
    <t>CHAVE DE VELA COM TORX A2</t>
  </si>
  <si>
    <t>CHAVE DE IGNIÇAO UNIVERSAL 2773</t>
  </si>
  <si>
    <t>CHAVE DE FENDA SATA PVC 1/4 X6</t>
  </si>
  <si>
    <t>CHAVE DE FENDA SATA PVC 1/4 5X</t>
  </si>
  <si>
    <t>CHAVE COMBINADA COM CATRACA</t>
  </si>
  <si>
    <t>CHAVE COMBINADA C/CATRACA 18MM</t>
  </si>
  <si>
    <t>CHAVE COMBINADA C/CATRACA 12MM CR MTX</t>
  </si>
  <si>
    <t>CHAVE COMBINADA 8MM</t>
  </si>
  <si>
    <t>CHAVE COMBINADA 6A 17MM 7PCS -MAYLE 53295</t>
  </si>
  <si>
    <t>CHAVE COMBINADA 38MM MARCA WORKER</t>
  </si>
  <si>
    <t>CHAVE COMBINADA 32MM</t>
  </si>
  <si>
    <t>CHAVE COMBINADA 28MM STANLEY</t>
  </si>
  <si>
    <t>CHAVE COMBINADA 26MM STELS</t>
  </si>
  <si>
    <t>CHAVE COMBINADA 25MM STELS</t>
  </si>
  <si>
    <t>CHAVE COMBINADA 24</t>
  </si>
  <si>
    <t>CHAVE COMBINADA 23MM STELS</t>
  </si>
  <si>
    <t xml:space="preserve">CHAVE COMBINADA 21MM STELS </t>
  </si>
  <si>
    <t>CHAVE COMBINADA 20MM GEDORE 969518</t>
  </si>
  <si>
    <t xml:space="preserve">CHAVE COMBINADA 1B -24 GEDORE </t>
  </si>
  <si>
    <t>CHAVE COMBINADA 19MM GEDORE RED</t>
  </si>
  <si>
    <t>CHAVE COMBINADA 18MM GEDORE RED</t>
  </si>
  <si>
    <t>CHAVE COMBINADA 17</t>
  </si>
  <si>
    <t>CHAVE COMBINADA 16MM GEDORE RED 969397</t>
  </si>
  <si>
    <t>CHAVE COMBINADA 15MM GEDORE RED 969362</t>
  </si>
  <si>
    <t>CHAVE COMBINADA 14MM</t>
  </si>
  <si>
    <t>CHAVE COMBINADA 13MM GEDORE RED</t>
  </si>
  <si>
    <t xml:space="preserve">CHAVE COMBINADA 12MM </t>
  </si>
  <si>
    <t>CHAVE COMBINADA 11MM</t>
  </si>
  <si>
    <t xml:space="preserve">CHAVE COMBINADA 10MM STELS </t>
  </si>
  <si>
    <t>CHAVE COMBINADA 10MM GEDORE</t>
  </si>
  <si>
    <t>CHAVE COMBINADA 09MM GEDORE</t>
  </si>
  <si>
    <t xml:space="preserve">CHAVE COMBINADA 07MM </t>
  </si>
  <si>
    <t>CHAVE COMB C/CATRACA 15MM CR MTX PROF</t>
  </si>
  <si>
    <t>CHAVE CATRACA PNEUMATICA</t>
  </si>
  <si>
    <t>CHAVE CANHAO CRV 25MM 9 120/12</t>
  </si>
  <si>
    <t>CHAVE CANHAO 8X 125MM NOLL</t>
  </si>
  <si>
    <t>CHAVE CANHAO 11X 125MM NOLL</t>
  </si>
  <si>
    <t>CHAVE CANHAO 06X125MM</t>
  </si>
  <si>
    <t>CHAVE BIELA 13MM GEDORE</t>
  </si>
  <si>
    <t>CHAVE BIELA 08MM GEDORE</t>
  </si>
  <si>
    <t xml:space="preserve">CHAVE AMATOOLS RODA 17 X 19 X 21 </t>
  </si>
  <si>
    <t>CHAVE ALLEN 14MM</t>
  </si>
  <si>
    <t>CHAPA PRETA 3/16(2X1)</t>
  </si>
  <si>
    <t>CHAPA PRETA 1/8 2X1 (3,00MM)</t>
  </si>
  <si>
    <t>CHAPA GALVANIZADA 22 2X1.0 (0,80MM)</t>
  </si>
  <si>
    <t>CHAPA EXPANDIDA 6,3 2X1 (50X100)</t>
  </si>
  <si>
    <t>CESTO P/LIXO ARAMADO PRETO</t>
  </si>
  <si>
    <t>CENOURA</t>
  </si>
  <si>
    <t xml:space="preserve">CELULA DE CARGA TL-30/100KG </t>
  </si>
  <si>
    <t>CEBOLINHA SERVO PEDAL</t>
  </si>
  <si>
    <t>CEBOLA ROXA</t>
  </si>
  <si>
    <t>CEBOLA</t>
  </si>
  <si>
    <t>CATRACA PARA CARGA</t>
  </si>
  <si>
    <t>CATRACA AUT.DT DIR. (24E) - VOLKS</t>
  </si>
  <si>
    <t>CATRACA AUT.DT (LE) 24E -VOLKS</t>
  </si>
  <si>
    <t>CATRACA AUT. TRZ D/E ACCELO/VW 9.150</t>
  </si>
  <si>
    <t>CATRACA AUT TRZ D/E (24) VOLKS / VOLARE</t>
  </si>
  <si>
    <t>CATRACA 23B 6098531 REGULADOR</t>
  </si>
  <si>
    <t>CATALISADOR PARA PU ACRÍLICO (ONU 1263)</t>
  </si>
  <si>
    <t>CASQUILHO MOVEL - BB467 025</t>
  </si>
  <si>
    <t>CASQUILHO FIXO - BC852 STD</t>
  </si>
  <si>
    <t>CASQUILHO FIXO - BC661 050</t>
  </si>
  <si>
    <t>CASQUILHO (COD. 2P0 198115)</t>
  </si>
  <si>
    <t>CASCA PINUS</t>
  </si>
  <si>
    <t>CASCA DE PINUS MEDIA POLIDIA 40 LT</t>
  </si>
  <si>
    <t>CARVÃO RIO VERMELHO 10KG</t>
  </si>
  <si>
    <t>CARVÃO 445</t>
  </si>
  <si>
    <t>CARVAO 20KG</t>
  </si>
  <si>
    <t>CARTÂO MICRO SD 32GB 16TBW P/ SEG</t>
  </si>
  <si>
    <t>CARTUCHO QUIMICO RC 203 CARBOGRAFITE</t>
  </si>
  <si>
    <t>CARTELA PARAFUSO FIXER CHA 4.0 x 35 (25 PÇS)</t>
  </si>
  <si>
    <t>CARTELA PARAFUSO FIXER CHA 4.0 x 30 (50 PÇS)</t>
  </si>
  <si>
    <t>CARTA COMERCIAL REG</t>
  </si>
  <si>
    <t>CARRO C/3 PRATELEIRA</t>
  </si>
  <si>
    <t>CARRINHO DE CARGA EM ALUMINIO CAP;90KG</t>
  </si>
  <si>
    <t>CARREGADOR KRESS 28V 2.0 A 6.0 AH</t>
  </si>
  <si>
    <t>CARIMBO AUTOMATICO 302</t>
  </si>
  <si>
    <t>CARGA PARA NK117AZ</t>
  </si>
  <si>
    <t>CARGA PARA NK115</t>
  </si>
  <si>
    <t>CARGA PARA CANETA1005</t>
  </si>
  <si>
    <t>CARECA P.V PREMIUM BRANCO</t>
  </si>
  <si>
    <t>CARDAN RENAN C/FRANGE RETIFICADO ACCELO</t>
  </si>
  <si>
    <t>CARCACA DO MANCAL A9902400800</t>
  </si>
  <si>
    <t>CARBURADOR VW SEDAN 1500/1600(BUGRE)</t>
  </si>
  <si>
    <t>CARBURADOR FS 160/220</t>
  </si>
  <si>
    <t>CARBURADOR  B3</t>
  </si>
  <si>
    <t>CAPUZ TIPO NINJA PV BRANCO</t>
  </si>
  <si>
    <t>CAPUZ TERMICO</t>
  </si>
  <si>
    <t>CAPACITOR PERMANENTE 30MF 250V</t>
  </si>
  <si>
    <t xml:space="preserve">CAPACITOR 8 440V </t>
  </si>
  <si>
    <t>CAPACITOR 45 UF</t>
  </si>
  <si>
    <t>CAPACITOR 40</t>
  </si>
  <si>
    <t xml:space="preserve">CAPACITOR 10 440V </t>
  </si>
  <si>
    <t>CAPA VOLANTE VW</t>
  </si>
  <si>
    <t>CAPA PORCA CROMADA N/19</t>
  </si>
  <si>
    <t>CAPA PORCA CROMADA BELGA 33</t>
  </si>
  <si>
    <t xml:space="preserve">CAPA PORCA CROMADA 27 BELGA </t>
  </si>
  <si>
    <t>CAPA PORCA CROMADA 27</t>
  </si>
  <si>
    <t>CAPA PORCA 24</t>
  </si>
  <si>
    <t>CAPA P/PORCA 19</t>
  </si>
  <si>
    <t>CAPA DE CHUVA PVC AMARELA (GG)</t>
  </si>
  <si>
    <t xml:space="preserve">CAPA DE CAMA PELUCIA CHINIL VOLVO </t>
  </si>
  <si>
    <t>CAPA DE BANCO VELUDO PREMIUM MERCEDES SPRINTER  MOTO/ CARONA</t>
  </si>
  <si>
    <t>CAPA DE BANCO SAVEIRO</t>
  </si>
  <si>
    <t>CAPA DE BANCO CHINIL PELUCIA LOGO VOLVO VM</t>
  </si>
  <si>
    <t>CAPA DE BANCO CHINIL COM EMBLEMA MERCEDES BENZ SPRINTER</t>
  </si>
  <si>
    <t>CAPA BANCO SAVEIRO</t>
  </si>
  <si>
    <t>CAPA BANCO DUPLO E INDIVIDUAL EM PELUCIA (VW 11.180 DELIVERY)</t>
  </si>
  <si>
    <t>CAP FERRO 1/2</t>
  </si>
  <si>
    <t>CANTONEIRA BRANCO 25CM</t>
  </si>
  <si>
    <t xml:space="preserve">CANTONEIRA BALS MAX 15X30 </t>
  </si>
  <si>
    <t>CANTONEIRA 5/8 X 1/8 A 36 6M</t>
  </si>
  <si>
    <t>CANTONEIRA 3X1/4 ASTM A-36</t>
  </si>
  <si>
    <t>CANTONEIRA 2X3/16</t>
  </si>
  <si>
    <t>CANTONEIRA 2X1/4 ASTM A-36</t>
  </si>
  <si>
    <t>CANTONEIRA 1X3/16 ASTM A-36</t>
  </si>
  <si>
    <t xml:space="preserve">CANTONEIRA 1X1/8 ASTM A-36 </t>
  </si>
  <si>
    <t>CANTONEIRA 1.1/4X3/16 ASTM A-36</t>
  </si>
  <si>
    <t>CANTONEIRA 1.1/2X3/16 ASTM A-36</t>
  </si>
  <si>
    <t>CANTONEIRA 1 1/2X1/8 A36 6M</t>
  </si>
  <si>
    <t>CANO LUBRIF TUBIRNA AO FILTRO OM 904</t>
  </si>
  <si>
    <t>CANO DE RODOAR GRANDE</t>
  </si>
  <si>
    <t>CANO CURTO RODOAR</t>
  </si>
  <si>
    <t>CANEXAO SERVO EMBREAGEM /2382</t>
  </si>
  <si>
    <t>CANETA MARCADOR PONTA DUPLA</t>
  </si>
  <si>
    <t>CANETA FIXA CORRENTE POLIDA</t>
  </si>
  <si>
    <t>CANETA ESFEROGRAFICA 1.0MM CRISTAL</t>
  </si>
  <si>
    <t>CANETA DE POLARIDADE 12V E 24V -COM VOLTIMETRO</t>
  </si>
  <si>
    <t>CANETA CD DUO MARKER</t>
  </si>
  <si>
    <t>CANETA BALCÃO</t>
  </si>
  <si>
    <t>CANELA EM PAU 6CM KG</t>
  </si>
  <si>
    <t xml:space="preserve">CANECAO INDUSTRIAL </t>
  </si>
  <si>
    <t>CANECA 8MM ALUMINIO NORMAL(CON AR)</t>
  </si>
  <si>
    <t>CANECA 12MM ALUMINIO NORMAL(CON AR)</t>
  </si>
  <si>
    <t>CANECA 10MM ALUMINIO NORMAL(CON AR)</t>
  </si>
  <si>
    <t>CANECA 06MM ALUMINIO NORMAL(CON AR)</t>
  </si>
  <si>
    <t xml:space="preserve">CANALETA VIDRO PORCA </t>
  </si>
  <si>
    <t>CANALETA P/SUPERF 20X12MM</t>
  </si>
  <si>
    <t>CANALETA DIANTEIRA ESQ 23B/837439-C GUARNIÇAO</t>
  </si>
  <si>
    <t>CANALETA DIANTEIRA DIR 23B/837440-C GUARNIÇAO</t>
  </si>
  <si>
    <t>CAMISA TÉRMICA COM PROTEÇÃO SOLAR UV 50 DRY FIT VERDE (P)</t>
  </si>
  <si>
    <t>CAMISA TÉRMICA COM PROTEÇÃO SOLAR UV 50 DRY FIT VERDE (M)</t>
  </si>
  <si>
    <t>CAMISA TÉRMICA COM PROTEÇÃO SOLAR UV 50 DRY FIT VERDE (GG)</t>
  </si>
  <si>
    <t>CAMISA POLO XG PRETA</t>
  </si>
  <si>
    <t>CAMISA POLO SIPA</t>
  </si>
  <si>
    <t>CAMISA POLO PRETA SIPAT MASCULINO (M)</t>
  </si>
  <si>
    <t>CAMISA POLO PRETA SIPAT MASCULINO (GG)</t>
  </si>
  <si>
    <t>CAMISA POLO PRETA SIPAT MASCULINO (G)</t>
  </si>
  <si>
    <t>CAMISA POLO PRETA SIPAT FEMININO (M)</t>
  </si>
  <si>
    <t>CAMISA POLO PRETA SIPAT FEMININO (GG)</t>
  </si>
  <si>
    <t>CAMISA POLO PRETA G</t>
  </si>
  <si>
    <t xml:space="preserve">CAMISA POLO PRETA 2G </t>
  </si>
  <si>
    <t>CAMISA POLO PRETA -G</t>
  </si>
  <si>
    <t>CAMISA POLO GRAFITE FEMININA- M</t>
  </si>
  <si>
    <t>CAMISA POLO GRAFITE FEMININA G</t>
  </si>
  <si>
    <t>CAMISA POLO GG PRETA</t>
  </si>
  <si>
    <t>CAMISA POLO FEMININA VERMELHA P</t>
  </si>
  <si>
    <t>CAMISA POLO FEMININA BRANCA P</t>
  </si>
  <si>
    <t>CAMISA POLO FEMININA BRANCA M</t>
  </si>
  <si>
    <t>CAMISA POLO FEMININA AZUL P</t>
  </si>
  <si>
    <t>CAMISA POLO FEMININA AZUL G</t>
  </si>
  <si>
    <t>CAMISA PLASTICA TRANSPARENTE COM CAPUZ</t>
  </si>
  <si>
    <t>CAMISA GG DE MANGA CINZA</t>
  </si>
  <si>
    <t xml:space="preserve">CAMISA DE MANGA XG CINZA </t>
  </si>
  <si>
    <t>CAMISA DE MANGA XG - BRANCA</t>
  </si>
  <si>
    <t>CAMISA DE MANGA VERDE (XG)</t>
  </si>
  <si>
    <t>CAMISA DE MANGA VERDE (M)</t>
  </si>
  <si>
    <t>CAMISA DE MANGA VERDE (GG)</t>
  </si>
  <si>
    <t>CAMISA DE MANGA VERDE (G)</t>
  </si>
  <si>
    <t xml:space="preserve">CAMISA DE MANGA SIPA </t>
  </si>
  <si>
    <t>CAMISA DE MANGA M-BRANCA</t>
  </si>
  <si>
    <t>CAMISA DE MANGA M CINZA</t>
  </si>
  <si>
    <t>CAMISA DE MANGA GG -BRANCA</t>
  </si>
  <si>
    <t>CAMISA DE MANGA G CINZA</t>
  </si>
  <si>
    <t>CAMISA DE MANGA 2G - BRANCA</t>
  </si>
  <si>
    <t>CAMISA CARECA PREMIUM AZUL MARINHO (P)</t>
  </si>
  <si>
    <t>CAMISA CARECA PREMIUM AZUL MARINHO (M)</t>
  </si>
  <si>
    <t>CAMISA CARECA P.V. PREMIUM CINZA (XGG)</t>
  </si>
  <si>
    <t>CAMISA CARECA P.V. PREMIUM CINZA (M)</t>
  </si>
  <si>
    <t>CAMISA CARECA P.V. PREMIUM CINZA (G)</t>
  </si>
  <si>
    <t>CAMISA CARECA P.V. PREMIUM BRANCO (XGG)</t>
  </si>
  <si>
    <t>CAMISA CARECA P.V. PREMIUM BRANCO (M)</t>
  </si>
  <si>
    <t>CAMISA CARECA P.V. PREMIUM BRANCO (GG)</t>
  </si>
  <si>
    <t>CAMISA CARECA P.V. PREMIUM BRANCO (G)</t>
  </si>
  <si>
    <t>CAMISA CARECA P.V PREMIUM BRANCO (P)</t>
  </si>
  <si>
    <t>CAMISA BRANCA CARECA SIPAT MASCULINO (GG)</t>
  </si>
  <si>
    <t>CAMISA BRANCA CARECA SIPAT MASCULINO (G)</t>
  </si>
  <si>
    <t>CAMERA TV IP BULLET VIPC 1230 B G2</t>
  </si>
  <si>
    <t>CAMERA TRASEIRA REDMI NOTE 12S ORIGINAL</t>
  </si>
  <si>
    <t>CAMERA DE VIDEO WI FI FULL HD IM5 SC</t>
  </si>
  <si>
    <t>CAMERA DE TV IP BULLET VIP 1130 B 64</t>
  </si>
  <si>
    <t>CAMERA BULLET VIP 3230 B SL G3</t>
  </si>
  <si>
    <t>CAMARA VG 18 VULCAN BOR</t>
  </si>
  <si>
    <t>CAMARA DE AR 400x8 MARCA IMPORTADA</t>
  </si>
  <si>
    <t>CAMARA DE AR 350x4 MARCA IMPORTADA</t>
  </si>
  <si>
    <t>CAMARA DE AR 350x4 MARCA BUFALLO</t>
  </si>
  <si>
    <t>CAMARA DE AR 325X8 IMPORTADA</t>
  </si>
  <si>
    <t xml:space="preserve">CAMARA DE AR 325 X 8 </t>
  </si>
  <si>
    <t>CAMARA DE AR 250X4 IMPORTADA</t>
  </si>
  <si>
    <t xml:space="preserve">CAMARA AR MOTO N° 18 </t>
  </si>
  <si>
    <t>CAMARA 2 75/300- 18 VEROCITY</t>
  </si>
  <si>
    <t>CALÇO DE BORRACHA G6</t>
  </si>
  <si>
    <t>CALÇA VERDE JARDINAGEM G</t>
  </si>
  <si>
    <t xml:space="preserve">CALÇA TERMICA NYLON AZUL GG </t>
  </si>
  <si>
    <t>CALÇA TERMICA NYLON AZUL G</t>
  </si>
  <si>
    <t>CALÇA TERMICA NYLON AZUL (-45) GG</t>
  </si>
  <si>
    <t>CALÇA TERMICA NYLON AZUL (-45) G</t>
  </si>
  <si>
    <t>CALÇA DE MOTORISTA AZUL ROYAL (GG)</t>
  </si>
  <si>
    <t>CALÇA DE MOTORISTA AZUL ROYAL (G)</t>
  </si>
  <si>
    <t>CALÇA BRIM XG</t>
  </si>
  <si>
    <t>CALÇA BRIM VERDE JARDINAGEM XG</t>
  </si>
  <si>
    <t>CALÇA BRIM VERDE JARDINAGEM M</t>
  </si>
  <si>
    <t>CALÇA BRIM VERDE JARDINAGEM GG</t>
  </si>
  <si>
    <t>CALÇA BRIM VERDE  JARDINAGEM P</t>
  </si>
  <si>
    <t>CALÇA BRIM ROYAL -(M)</t>
  </si>
  <si>
    <t>CALÇA BRIM ROYAL - (GG)</t>
  </si>
  <si>
    <t>CALÇA BRIM ROYAL - (G)</t>
  </si>
  <si>
    <t>CALÇA BRIM ROYAL - (2G)</t>
  </si>
  <si>
    <t xml:space="preserve">CALÇA BRIM ELÁSTICO AZUL ROYAL </t>
  </si>
  <si>
    <t>CALÇA BRIM BRANCA</t>
  </si>
  <si>
    <t>CALÇA BRIM AZUL ROYAL (P)</t>
  </si>
  <si>
    <t>CALÇA BRIM AZUL COBALTO (M)</t>
  </si>
  <si>
    <t>CALÇA BRIM AZUL COBALTO (G)</t>
  </si>
  <si>
    <t>CALÇA BRANCA XGG</t>
  </si>
  <si>
    <t>CALÇA BRANCA XG</t>
  </si>
  <si>
    <t>CALÇA BRANCA P</t>
  </si>
  <si>
    <t xml:space="preserve">CALÇA BRANCA GG </t>
  </si>
  <si>
    <t>CALÇA BRANCA G</t>
  </si>
  <si>
    <t>CALÇA BRANCA 3G</t>
  </si>
  <si>
    <t>CALÇA  BRANCA 2G</t>
  </si>
  <si>
    <t>CALOTA GRAXA CUPO RODA DIANTEIRA</t>
  </si>
  <si>
    <t>CALOTA FERRO BRANCA CENTRO RODA KOMBI</t>
  </si>
  <si>
    <t>CALOTA DO RODOAR (LE)</t>
  </si>
  <si>
    <t>CALOTA DO  RODOAR (LD)</t>
  </si>
  <si>
    <t xml:space="preserve">CALIBRE LOTUS FOLGA 26 LAMINAS </t>
  </si>
  <si>
    <t>CALIBRADOR RF INFLADOR ANALOGICO</t>
  </si>
  <si>
    <t>CALIBRADOR BICO DUPLO LONGO 1295 TSL</t>
  </si>
  <si>
    <t xml:space="preserve">CALHA MB ACCELO 2013 C/REBAIXO GRANDE EM L}FUME ACRILICO </t>
  </si>
  <si>
    <t>CALCÁRIO DOLOMITICO</t>
  </si>
  <si>
    <t>CALCULADOR DUPLO VISOR</t>
  </si>
  <si>
    <t>CAIXAS ORGANIZADORA</t>
  </si>
  <si>
    <t>CAIXA PRESTO FERRAMENTAS</t>
  </si>
  <si>
    <t xml:space="preserve">CAIXA MANCAL ACCELO </t>
  </si>
  <si>
    <t>CAIXA FRIGARIFICA COM TAMPA 45L</t>
  </si>
  <si>
    <t xml:space="preserve">CAIXA FERRAMENTA METAL O7 GAVETAS </t>
  </si>
  <si>
    <t xml:space="preserve">CAIXA EMPILHAVEL 24,5L C/TAMPA </t>
  </si>
  <si>
    <t>CAIXA DIRECAO BOSCH DELIVERY 23B422063B</t>
  </si>
  <si>
    <t>CAIXA DE PESCA BRANCA</t>
  </si>
  <si>
    <t>CAIXA DE FUSIVEL DE VIDRO</t>
  </si>
  <si>
    <t>CAIXA DE FERRAMENTA MANUAL -66 PEÇAS</t>
  </si>
  <si>
    <t>CAIXA 24,5 L</t>
  </si>
  <si>
    <t>CAFETEIRA ELETRICA OSTER OCAF600 127V</t>
  </si>
  <si>
    <t>CAFE PÓ EXTRA FORTE 500 GR</t>
  </si>
  <si>
    <t>CADEIRA UNIVERSITARIA SECRETARIA 3030 PANCHETA LATERAL TECIDO CINZA MESCLADO</t>
  </si>
  <si>
    <t>CADEIRA LONGARINA 3 LUGARES A/E VERMELHO/PRETO</t>
  </si>
  <si>
    <t>CADEIRA GAMER HUSKY TEMPEST 700 ATE 145KG</t>
  </si>
  <si>
    <t>CADEIRA EXECUTTIVA EM TECIDO PRETO</t>
  </si>
  <si>
    <t>CADEIRA EXECUTIVA REVESTIDA EM CORINO PRETO</t>
  </si>
  <si>
    <t>CADEIRA EXECUTIVA GIRATORIA PRETO</t>
  </si>
  <si>
    <t>CADEADO PILLER 20MM</t>
  </si>
  <si>
    <t>CADEADO 45MM LATAO - PADO</t>
  </si>
  <si>
    <t>CADEADO 40MM</t>
  </si>
  <si>
    <t xml:space="preserve">CADEADO 3F 45MM </t>
  </si>
  <si>
    <t>CADEADO 3F 30MM HASTE LONGA</t>
  </si>
  <si>
    <t>CADEADO 35MM</t>
  </si>
  <si>
    <t>CADEADO 30MM</t>
  </si>
  <si>
    <t>CADEADO 20MM</t>
  </si>
  <si>
    <t>CABO VELOCIMETRO VW SEDAN(BUGRE)</t>
  </si>
  <si>
    <t>CABO VELA STV25 GOL POWER/GOLF 16/ MARCA PARALELA (SAVEIRO)</t>
  </si>
  <si>
    <t>CABO VARAL AÇO 10MTS</t>
  </si>
  <si>
    <t>CABO U/UTP 4PX23AWG CAT6 ESS6+ MARCA NEXANS</t>
  </si>
  <si>
    <t>CABO TRATOMETRO</t>
  </si>
  <si>
    <t xml:space="preserve">CABO T MTX 1/2 250MM </t>
  </si>
  <si>
    <t>CABO PP7X100MM ROLO C/30METROS</t>
  </si>
  <si>
    <t xml:space="preserve">CABO PP 3X2,5MM </t>
  </si>
  <si>
    <t>CABO PORTA CORRER SPRINTER LD/LE</t>
  </si>
  <si>
    <t>CABO PARALELO 300V 2.50MM BRANCO</t>
  </si>
  <si>
    <t xml:space="preserve">CABO P/ MACHADO </t>
  </si>
  <si>
    <t xml:space="preserve">CABO MANGA 8 VIAS 26AWG PRETO SEM BLINDAGEM </t>
  </si>
  <si>
    <t>CABO LIMIT AÇO TAMPA CAÇAMBA VW SAVEIRO  MARCA UNIVERSAL</t>
  </si>
  <si>
    <t>CABO FREIO LE</t>
  </si>
  <si>
    <t>CABO FREIO LD</t>
  </si>
  <si>
    <t>CABO FREIO  DE MAO SPRINTER 127075</t>
  </si>
  <si>
    <t>CABO FLEX 750V 6,0MM PRETO</t>
  </si>
  <si>
    <t>CABO FLEX 750V 4,00 MM</t>
  </si>
  <si>
    <t xml:space="preserve">CABO FLEX 750V 2,50MM AZUL PÇ </t>
  </si>
  <si>
    <t>CABO FLEX 6.00 MM 750V AZUL</t>
  </si>
  <si>
    <t>CABO FLEX 6.00 MM 750 V VERMELHO</t>
  </si>
  <si>
    <t xml:space="preserve">CABO FLEX 25MM 750V PRETO METRO </t>
  </si>
  <si>
    <t>CABO FIO BOBINA PP 4x2,5 METRO</t>
  </si>
  <si>
    <t>CABO ENGATE/SELEÇÃO CAMBIO (VW 11.180)</t>
  </si>
  <si>
    <t xml:space="preserve">CABO ENGATE/SELEÇAO CAMBIO -ACCELO1016 </t>
  </si>
  <si>
    <t>CABO DO CAPO SPRINTER</t>
  </si>
  <si>
    <t>CABO DO ACELERADOR DA RETROESCAVADEIRA</t>
  </si>
  <si>
    <t>CABO DE VELA VW SEDAN 1500/1600(BUGRE)</t>
  </si>
  <si>
    <t>CABO DE VELA VW POWER TDS</t>
  </si>
  <si>
    <t>CABO DE FORÇA SOQUETE 1/2</t>
  </si>
  <si>
    <t>CABO DE FOICE 1MT</t>
  </si>
  <si>
    <t>CABO DE COMANDO 23B/711267-H</t>
  </si>
  <si>
    <t>CABO DE COMANDO 23B/711266-H</t>
  </si>
  <si>
    <t>CABO DE CHUPETA P/VEICULOS LEVES</t>
  </si>
  <si>
    <t xml:space="preserve">CABO DE AÇO GALV 1/8 </t>
  </si>
  <si>
    <t>CABO DE AÇO A 9017600904</t>
  </si>
  <si>
    <t>CABO DE AÇO A 9017600804</t>
  </si>
  <si>
    <t>CABO DE AÇO 1/4 C/02 PÇS 10330</t>
  </si>
  <si>
    <t>CABO DE ARÇO GALAVANIZADO 5/32 4,00MM 6X7</t>
  </si>
  <si>
    <t>CABO DE ACELERADOR PARA FS 160/220 MEGA PLUS</t>
  </si>
  <si>
    <t xml:space="preserve">CABO COMAN </t>
  </si>
  <si>
    <t>CABO CARREGADOR TURBO TIPO C XIAOMI POCO X3 POCO M3</t>
  </si>
  <si>
    <t>CABO CARREGADOR PARA IPHONE</t>
  </si>
  <si>
    <t>CABO AÇO GALVANIZADO AF 3/32(ST)</t>
  </si>
  <si>
    <t xml:space="preserve">CABO AÇO 6X7 1/16 REV PVC 100M 16MM </t>
  </si>
  <si>
    <t>CABO ALUMINIO ROSCA ACME 22 MM x 140 M FOSCO</t>
  </si>
  <si>
    <t>CABO ACELERADOR B TIT150-FAN150</t>
  </si>
  <si>
    <t>CABO ACELERADOR A TIT150-FAN150</t>
  </si>
  <si>
    <t>CABO ABERTURA DA PORTA TRASEIRA SPRINTER</t>
  </si>
  <si>
    <t>CABO ABERTURA CAPO / 906510</t>
  </si>
  <si>
    <t>CABO 197437 CAB 3</t>
  </si>
  <si>
    <t>CABO (3800MM)DE COMANDO DA FECHADURA  DA PORTA VOLVO DIR/LE VOLVO VM</t>
  </si>
  <si>
    <t xml:space="preserve">CABINHO FOX 0,75MM </t>
  </si>
  <si>
    <t xml:space="preserve">CABINHO FLEX PC 2.50 MM 750V </t>
  </si>
  <si>
    <t>CABINHO FLEX 70,00MM 1 KV</t>
  </si>
  <si>
    <t>CABINHO FLEX 2.50 MM 750V METRO VM</t>
  </si>
  <si>
    <t>CABINHO FLEX 2.50 MM 750V METRO PT</t>
  </si>
  <si>
    <t>CABINHO FLEX 2.50 MM 750V METRO AZ</t>
  </si>
  <si>
    <t>CABINHO FLEX 2.50 MM 750V METRO AM</t>
  </si>
  <si>
    <t>CABINHO FLEX 1600MM 750V PT</t>
  </si>
  <si>
    <t>CABINHO FLEX 10.00 MM 750V METRO VM</t>
  </si>
  <si>
    <t>CABINHO FLEX 10.00 MM 750V METRO AZ</t>
  </si>
  <si>
    <t xml:space="preserve">CABIDE CRIATIVA </t>
  </si>
  <si>
    <t>CABIDE CLASSIC MEDIO O.VELHO</t>
  </si>
  <si>
    <t>CABEÇOTE FILTRO C/VALVULA -14UNS</t>
  </si>
  <si>
    <t>CABEÇOTE DE ASPIRAÇAO A3</t>
  </si>
  <si>
    <t>CABECOTE DE ASPIRACAO D5</t>
  </si>
  <si>
    <t>BUSCOFEM 400MG</t>
  </si>
  <si>
    <t>BUCHADA EMBREAGEM 4100 8002102050000</t>
  </si>
  <si>
    <t>BUCHA ZAMAC PRENSAL 2 1/2''</t>
  </si>
  <si>
    <t>BUCHA SILENC. MOLA TRAS. MB ACCELO 1000384</t>
  </si>
  <si>
    <t>BUCHA SILENC. MOLA TRAS. MB ACCELO</t>
  </si>
  <si>
    <t>BUCHA REDUÇÃO ROSCA MACHO 1/2 x FEMEA AC</t>
  </si>
  <si>
    <t>BUCHA REDUÇÃO AQUATHERM 28 x 22MM TIGRE</t>
  </si>
  <si>
    <t>BUCHA RED CURTA SOLD 25X20MM</t>
  </si>
  <si>
    <t>BUCHA PARALAMA P/ TOYOTA</t>
  </si>
  <si>
    <t>BUCHA NYLON INTERNA TRAS MB 709 1000228</t>
  </si>
  <si>
    <t>BUCHA MOLA DIANT E TRAS 1000205</t>
  </si>
  <si>
    <t>BUCHA ESTABILIZADORA DT - ATEGO (32.5MM)</t>
  </si>
  <si>
    <t>BUCHA ESTABILIZADORA D/T - ATEGO</t>
  </si>
  <si>
    <t>BUCHA ESTABILIZADORA D/T - 710/915</t>
  </si>
  <si>
    <t>BUCHA ESTABILIZADOR SPRINTER</t>
  </si>
  <si>
    <t>BUCHA ESTABILIZADOR DIANTEIRA /TRASEIRA R-3263</t>
  </si>
  <si>
    <t>BUCHA ESPANCADORA ROLAMENTO 3MACHA CAMBIOS 2R0311511B</t>
  </si>
  <si>
    <t>BUCHA ELETRODUTO 3''</t>
  </si>
  <si>
    <t>BUCHA DO ESTABILIZADOR SPRINTER</t>
  </si>
  <si>
    <t>BUCHA DO ESTABILIZADOR DIANTEIRO - 415534 MARCA PARALELA</t>
  </si>
  <si>
    <t>BUCHA DO EIXO COMANDO DE VALVULAS (A 9060511050)</t>
  </si>
  <si>
    <t>BUCHA DO EIXO COMANDO DE VALVULAS (A 9060510950)</t>
  </si>
  <si>
    <t xml:space="preserve">BUCHA COXIM DIANTEIRO DA CABINE VOLVO VM A PARTIR </t>
  </si>
  <si>
    <t xml:space="preserve">BUCHA COROA TITAN 150 KIT </t>
  </si>
  <si>
    <t>BUCHA COROA TITAN 150</t>
  </si>
  <si>
    <t>BUCHA BARRA ESTABILIZADOR DIANTEIRA MARCA PARALELA (MB1016)</t>
  </si>
  <si>
    <t>BUCHA BARRA ESTABILIZADOR ACCELO 2227 MARCA PARALELA (MB 815)</t>
  </si>
  <si>
    <t>BUCHA BANDEJA SPRINTER</t>
  </si>
  <si>
    <t xml:space="preserve">BUCHA BALANÇASPRINTER </t>
  </si>
  <si>
    <t xml:space="preserve">BUCHA BALANÇA TITAN 125/150 </t>
  </si>
  <si>
    <t>BUCHA 23B 511473</t>
  </si>
  <si>
    <t>BUCHA 23B 511-213 (B/B/20)</t>
  </si>
  <si>
    <t>BUCHA 23B 411 346 (H/D/52)</t>
  </si>
  <si>
    <t>BUCHA 10 U-BS SC</t>
  </si>
  <si>
    <t>BUCHA 10 C/ PARAF. SEXT 1/4X60 2 PC</t>
  </si>
  <si>
    <t>BUCHA 08 U-BS</t>
  </si>
  <si>
    <t>BUCHA 06</t>
  </si>
  <si>
    <t>BROXARETANGULAR  18X8CM ATLAS</t>
  </si>
  <si>
    <t xml:space="preserve">BROMELIA IMPERIAL </t>
  </si>
  <si>
    <t>BROCA VIDEA CONCRETO 10MM</t>
  </si>
  <si>
    <t>BROCA VIDEA 13X260MM</t>
  </si>
  <si>
    <t>BROCA TW LITIO 3/8 x 133 40591</t>
  </si>
  <si>
    <t>BROCA SDS P/CONCRETO 19MMX2</t>
  </si>
  <si>
    <t>BROCA PARA CONCRETO 8X120MM</t>
  </si>
  <si>
    <t>BROCA PARA CONCRETO 7MMX100MM</t>
  </si>
  <si>
    <t>BROCA PARA CONCRETO 6.0X100MM</t>
  </si>
  <si>
    <t>BROCA IRWIN AR 1/4 IW1461</t>
  </si>
  <si>
    <t>BROCA DE RAPIDO 07,938MM 5/16</t>
  </si>
  <si>
    <t>BROCA DE AÇO RÁPIDO 2,5MM</t>
  </si>
  <si>
    <t>BROCA DE AÇO RAPIDO 7,50MM</t>
  </si>
  <si>
    <t>BROCA DE AÇO RAPIDO 5,50MM</t>
  </si>
  <si>
    <t>BROCA DE AÇO RAPIDO 3,50MM</t>
  </si>
  <si>
    <t>BROCA DE AÇO RAPIDO 16MM</t>
  </si>
  <si>
    <t xml:space="preserve">BROCA DE ACO RAPIDO 8,0 MM </t>
  </si>
  <si>
    <t>BROCA DE ACO RAPIDA 4.0 MM</t>
  </si>
  <si>
    <t>BROCA AÇO RÁPIDO 9/64</t>
  </si>
  <si>
    <t>BROCA AÇO RÁPIDO 8MM</t>
  </si>
  <si>
    <t>BROCA AÇO RÁPIDO 7MM</t>
  </si>
  <si>
    <t>BROCA AÇO RÁPIDO 6MM</t>
  </si>
  <si>
    <t>BROCA AÇO RÁPIDO 5MM</t>
  </si>
  <si>
    <t>BROCA AÇO RÁPIDO 5/32</t>
  </si>
  <si>
    <t xml:space="preserve">BROCA AÇO RÁPIDO 4MM	</t>
  </si>
  <si>
    <t xml:space="preserve">BROCA AÇO RÁPIDO 3MM	</t>
  </si>
  <si>
    <t>BROCA AÇO RÁPIDO 3/16</t>
  </si>
  <si>
    <t>BROCA AÇO RÁPIDO 2MM</t>
  </si>
  <si>
    <t>BROCA AÇO RÁPIDO 15/64</t>
  </si>
  <si>
    <t>BROCA AÇO RÁPIDO 10MM</t>
  </si>
  <si>
    <t>BROCA AÇO RÁPIDO 1/8</t>
  </si>
  <si>
    <t>BROCA AÇO RÁPIDO 1/4 (6,35MM)</t>
  </si>
  <si>
    <t xml:space="preserve">BROCA AÇO RAPIDO 8,5MM </t>
  </si>
  <si>
    <t>BROCA AÇO RAPIDO 8,334MM 21/64</t>
  </si>
  <si>
    <t>BROCA AÇO RAPIDO 7/64</t>
  </si>
  <si>
    <t>BROCA AÇO RAPIDO 7/16</t>
  </si>
  <si>
    <t>BROCA AÇO RAPIDO 6,50MM</t>
  </si>
  <si>
    <t>BROCA AÇO RAPIDO 5/16</t>
  </si>
  <si>
    <t>BROCA AÇO RAPIDO 4.50MM</t>
  </si>
  <si>
    <t>BROCA AÇO RAPIDO 4.1MM</t>
  </si>
  <si>
    <t>BROCA AÇO RAPIDO 3/8</t>
  </si>
  <si>
    <t>BROCA AÇO RAPIDO 3/32</t>
  </si>
  <si>
    <t>BROCA AÇO RAPIDO 19/64</t>
  </si>
  <si>
    <t>BROCA AÇO RAPIDO 11,00MM</t>
  </si>
  <si>
    <t>BROCA AÇO RAPIDO 10.0MM</t>
  </si>
  <si>
    <t>BROCA AÇO RAPIDO 1/16</t>
  </si>
  <si>
    <t>BROCA AÇO RAPIDO 01,00MM</t>
  </si>
  <si>
    <t>BROCA ACÇO RAPIDO 3,50MM</t>
  </si>
  <si>
    <t xml:space="preserve">BROCA ACO RAPIDO 9.52MM 3/8 </t>
  </si>
  <si>
    <t xml:space="preserve">BROCA ACO RAPIDO 5/64 X50MM </t>
  </si>
  <si>
    <t>BROCA ACO RAPIDO 5.556 7/32 IRWIN</t>
  </si>
  <si>
    <t>BROCA ACO RAPIDO 0556MM 7/32 STANLEY</t>
  </si>
  <si>
    <t>BROCA ACO RAPIDO 05,00MM</t>
  </si>
  <si>
    <t>BROCA ACO RAPIDO 02.00MM X 49MM</t>
  </si>
  <si>
    <t>BRITA CORRIDA</t>
  </si>
  <si>
    <t>Ton</t>
  </si>
  <si>
    <t>BRAÇO RETROVISOR VOLKS</t>
  </si>
  <si>
    <t>BRAÇO RETROVISOR (LE) ACCELO</t>
  </si>
  <si>
    <t>BRAÇO ESPELHO RETROVISOR (LD) ACCELO</t>
  </si>
  <si>
    <t>BRAÇADEIRA 20890616</t>
  </si>
  <si>
    <t>BRACOIL LUBRIFICANTE CARRETILHAS BB 50 L</t>
  </si>
  <si>
    <t>BRACO CHUVEIRO LORENZETTI</t>
  </si>
  <si>
    <t>BRACADEIRA / 9013230288</t>
  </si>
  <si>
    <t>BOTÃO LIGA/DESLIGA</t>
  </si>
  <si>
    <t>BOTINA NOBUCK VELCRO 37</t>
  </si>
  <si>
    <t>BOTIJÃO TERMICO 6L WECK</t>
  </si>
  <si>
    <t>BOTIJÃO TERMICO 4L WECK</t>
  </si>
  <si>
    <t xml:space="preserve">BOTIJAO TERMICO GARRAFAO 9L GRANDE INVICTA COR - AZUL </t>
  </si>
  <si>
    <t>BOTAO VIDRO SIMPLES</t>
  </si>
  <si>
    <t>BOTAO PULSADOR MONOBL.VD</t>
  </si>
  <si>
    <t>BOTAO FRANÇES PLASTICO CROMADO</t>
  </si>
  <si>
    <t>BOTAO DE ACIONAMENTO P/TAMPA CX ACOPLADA</t>
  </si>
  <si>
    <t xml:space="preserve">BOTA WORKS BABUCH </t>
  </si>
  <si>
    <t>BOTA SOFRT 45 PRETA</t>
  </si>
  <si>
    <t>BOTA PVC COM FORRO N° 45</t>
  </si>
  <si>
    <t>BOTA PVC COM FORRO N° 44</t>
  </si>
  <si>
    <t>BOTA PVC COM FORRO N° 43</t>
  </si>
  <si>
    <t>BOTA PVC COM FORRO N° 42</t>
  </si>
  <si>
    <t>BOTA PVC COM FORRO N° 41</t>
  </si>
  <si>
    <t>BOTA PVC COM FORRO N° 40</t>
  </si>
  <si>
    <t>BOTA PVC BRANCA N/42</t>
  </si>
  <si>
    <t>BOTA PVC BRANCA N/41</t>
  </si>
  <si>
    <t xml:space="preserve">BOTA N°45 FRIGORÍFICA BRANCA MICROFIBRA	</t>
  </si>
  <si>
    <t>BOTA N°44 FRIGORÍFICA BRANCA MICROFIBRA</t>
  </si>
  <si>
    <t>BOTA N°43 FRIGORÍFICA BRANCA MICROFIBRA</t>
  </si>
  <si>
    <t xml:space="preserve">BOTA N°40 FRIGORÍFICA BRANCA MICROFIBRA </t>
  </si>
  <si>
    <t>BOTA N°38 FRIGORÍFICA BRANCA MICROFIBRA</t>
  </si>
  <si>
    <t>BOTA N°36 FRIGORÍFICA BRANCA MICROFIBRA</t>
  </si>
  <si>
    <t>BOTA NOBUCK PRETA N/43</t>
  </si>
  <si>
    <t>BOTA NOBUCK PRETA N/42</t>
  </si>
  <si>
    <t>BOTA NOBUCK PRETA N/41</t>
  </si>
  <si>
    <t>BOTA NOBUCK PRETA N/40</t>
  </si>
  <si>
    <t>BOTA MARLUVA  39</t>
  </si>
  <si>
    <t>BOTA FRIGORIFICA N/42</t>
  </si>
  <si>
    <t>BOTA FRIGORIFICA N/39</t>
  </si>
  <si>
    <t>BOTA FRIGORIFICA N/37</t>
  </si>
  <si>
    <t>BOTA DE PVC BRANCA N/40</t>
  </si>
  <si>
    <t>BOTA DE PVC BRANCA N/39</t>
  </si>
  <si>
    <t>BOTA DE PVC BRANCA N/38</t>
  </si>
  <si>
    <t>BOTA DE COURO TERMICA BRACOL Nº46</t>
  </si>
  <si>
    <t>BOTA DE COURO PRETA N/46</t>
  </si>
  <si>
    <t>BOTA DE COURO Nº46 TERMICA BRANCOL</t>
  </si>
  <si>
    <t>BOTA DE COURO Nº43 TERMICA BRANCOL</t>
  </si>
  <si>
    <t>BOTA DE COURO Nº42 TERMICA BRANCOL</t>
  </si>
  <si>
    <t xml:space="preserve">BOTA DE COURO Nº40 TERMICA BRABCOL </t>
  </si>
  <si>
    <t>BOTA DE COURO N/45</t>
  </si>
  <si>
    <t>BOTA DE COURO N/44</t>
  </si>
  <si>
    <t>BOTA DE COURO N/43</t>
  </si>
  <si>
    <t>BOTA DE COURO N/39</t>
  </si>
  <si>
    <t>BOTA DE COURO N/38</t>
  </si>
  <si>
    <t xml:space="preserve">BOTA BRANCA C/CURTO C/F VULCABRAS 44-5 </t>
  </si>
  <si>
    <t>BOTA BRACA SOFRT BRANCA 46</t>
  </si>
  <si>
    <t>BOTA ACQUA SOFT PRETA N°46 SEM BIQUEIRA</t>
  </si>
  <si>
    <t>BOTA ACQUA SOFT PRETA N°42 SEM BIQUEIRA</t>
  </si>
  <si>
    <t xml:space="preserve">BORRIFADOR PULVERIZADOR 780ML </t>
  </si>
  <si>
    <t>BORRIFADOR C/ GATILHO 500ML</t>
  </si>
  <si>
    <t>BORRACHA PORTA SPRINTER</t>
  </si>
  <si>
    <t xml:space="preserve">BORRACHA DE PORTA TRASEIRA SPRINTER </t>
  </si>
  <si>
    <t xml:space="preserve">BORRACHA DE CONTRA APOIO </t>
  </si>
  <si>
    <t xml:space="preserve">BORRACHA COURO COBRA </t>
  </si>
  <si>
    <t xml:space="preserve">BORRACHA BRANCA COM CAPA </t>
  </si>
  <si>
    <t>BORDADO COSTAS</t>
  </si>
  <si>
    <t>BORDADO</t>
  </si>
  <si>
    <t>BOMBA PRESSURIZADORA BFL 120-220V</t>
  </si>
  <si>
    <t>BOMBA DÁGUA CUMMINS BUB 0731</t>
  </si>
  <si>
    <t>BOMBA DIREÇAO HIDRAULICA ACCELO</t>
  </si>
  <si>
    <t>BOMBA DE OLEO 10215</t>
  </si>
  <si>
    <t>BOMBA CENTRIF CAM W14 2,0CV T 220/380V IR3 DANCOR</t>
  </si>
  <si>
    <t>BOMBA AUTOASPIRANTE 1/2CV DANKOR</t>
  </si>
  <si>
    <t>BOLA DO CAMBIO ACCELO</t>
  </si>
  <si>
    <t>BOINA DUPLA FACE PRETA</t>
  </si>
  <si>
    <t>BOINA DUPLA FACE CORTE LÃ BRANCA</t>
  </si>
  <si>
    <t xml:space="preserve">BOINA DUPLA FACE 8" BRANCO </t>
  </si>
  <si>
    <t>BOIBOM GRILL PICANHA CONGELADA</t>
  </si>
  <si>
    <t>BOIBOM DIA A DIA PICANHA CONGELADA</t>
  </si>
  <si>
    <t>BOIA VAZAO TOTAL 3/4</t>
  </si>
  <si>
    <t>BOIA TANQUE COMBUSTIVEL IVECO</t>
  </si>
  <si>
    <t>BOIA PESCADOR TANQUE VOLVO VM FM FMX COM 58CM (ORIGINAL )</t>
  </si>
  <si>
    <t>BOIA DO TANQUE TSA ; T-070010</t>
  </si>
  <si>
    <t>BOGNA EXTENSOR P/TORNEIRA 1/2 LONGA</t>
  </si>
  <si>
    <t>BOCAL P/ TOCHA MIG/ MAG 15AK 12MM X</t>
  </si>
  <si>
    <t>BOCAL LOUÇA EMBUTIR 250V 4A 401450</t>
  </si>
  <si>
    <t>BOCAL LOUCA EMBUT PORCELANA</t>
  </si>
  <si>
    <t>BOCAL LAMP 1570</t>
  </si>
  <si>
    <t>BOCAL DE PORCELANA E27 4A/250V MT 2233</t>
  </si>
  <si>
    <t>BOCAL CERAMICO P80</t>
  </si>
  <si>
    <t>BOBINA TRANSPARENTE 35x50</t>
  </si>
  <si>
    <t>BOBINA SELTEC TM15 /TM16 24V 1Y</t>
  </si>
  <si>
    <t xml:space="preserve">BOBINA PICOTADA AS TRANSP 35X50 KG FLE X BAG </t>
  </si>
  <si>
    <t>BOBINA PICOTADA 40X60</t>
  </si>
  <si>
    <t>BOBINA PICOTADA 30X40</t>
  </si>
  <si>
    <t xml:space="preserve">BOBINA PICOTADA 25X35 </t>
  </si>
  <si>
    <t>BOBINA PICOTADA 20X35 KG</t>
  </si>
  <si>
    <t>BOBINA ELÉTRICA SOLENOIDE CILÍNDRICO METÁLICO 220V</t>
  </si>
  <si>
    <t>BOBINA CABO PARAL 300V 1,00MM MARROM</t>
  </si>
  <si>
    <t>BOBINA -U2003</t>
  </si>
  <si>
    <t>BLUSA POLO VERMELHA MASCULINA (M)</t>
  </si>
  <si>
    <t>BLUSA POLO VERMELHA MASCULINA (GG)</t>
  </si>
  <si>
    <t xml:space="preserve">BLUSA POLO VERMELHA MASCULINA (G)	</t>
  </si>
  <si>
    <t xml:space="preserve">BLUSA POLO MOTORISTA AZUL CELESTE (XG)	</t>
  </si>
  <si>
    <t>BLUSA POLO MOTORISTA AZUL CELESTE (GG)</t>
  </si>
  <si>
    <t>BLUSA POLO MOTORISTA AZUL CELESTE (G)</t>
  </si>
  <si>
    <t>BLUSA POLO MOTORISTA (5G)</t>
  </si>
  <si>
    <t>BLUSA POLO GRAFITE VENDEDOR (M)</t>
  </si>
  <si>
    <t>BLUSA POLO GRAFITE VENDEDOR (GG)</t>
  </si>
  <si>
    <t>BLUSA POLO GRAFITE VENDEDOR (G)</t>
  </si>
  <si>
    <t>BLUSA POLO BRANCA MASCULINA (XGG)</t>
  </si>
  <si>
    <t>BLUSA POLO BRANCA MASCULINA (M)</t>
  </si>
  <si>
    <t>BLUSA POLO BRANCA MASCULINA (GG)</t>
  </si>
  <si>
    <t>BLUSA POLO AZUL MASCULINA (XGG)</t>
  </si>
  <si>
    <t>BLUSA POLO AZUL MASCULINA (M)</t>
  </si>
  <si>
    <t>BLUSA POLO AZUL MASCULINA (GG)</t>
  </si>
  <si>
    <t>BLUSA POLO AZUL MASCULINA (G)</t>
  </si>
  <si>
    <t>BLUSA MOTORISAT CELESTE P</t>
  </si>
  <si>
    <t>BLUSA MOLETOM MARINHO HELANG GG</t>
  </si>
  <si>
    <t>BLUSA MOLETOM M HELANG MARINHO XGG</t>
  </si>
  <si>
    <t>BLUSA MOLETOM HELANG MARINHO G</t>
  </si>
  <si>
    <t xml:space="preserve">BLUKIT SIFAO EXT UNIV BR </t>
  </si>
  <si>
    <t>BLUKIT MECANISMO DE ENT UNV P/CX ACOPL.BX E ALTA PRESSAO</t>
  </si>
  <si>
    <t>BLOCO PARA CAIXA ACOPLADA LAVANDA SANY</t>
  </si>
  <si>
    <t>BLOCO P/CAIXA ACOPLADA MIX PINHO SANY</t>
  </si>
  <si>
    <t>BLOCO DE REQUISIÇAO DE MATERIAIS</t>
  </si>
  <si>
    <t>BLEND SPRAY BLACK 500ML ESTETICA</t>
  </si>
  <si>
    <t>BLACK OX HIGH TEMP SILICONE</t>
  </si>
  <si>
    <t>BIELETA DIANTEIRA LADO DIREITO BTC02104 (Sprinter 313 CDI)</t>
  </si>
  <si>
    <t>BICO UNIVERSAL</t>
  </si>
  <si>
    <t>BICO SOPRO C/GATILHO PARA LIMPEZA</t>
  </si>
  <si>
    <t>BICO PULVERIAZADOR  CURTO</t>
  </si>
  <si>
    <t xml:space="preserve">BICO P/PNEU SEM CAMARA </t>
  </si>
  <si>
    <t>BICO P/MAÇARICO</t>
  </si>
  <si>
    <t>BICO P/ ENCHER PNEUS C/TRAVA 5/16</t>
  </si>
  <si>
    <t>BICO INJETOR A00086045470064</t>
  </si>
  <si>
    <t>BICO EUROPEU PNEU S/RETENÇAO SCHWEE</t>
  </si>
  <si>
    <t>BICO ENCHER PNEU</t>
  </si>
  <si>
    <t>BICO DOSADOR PARA AZEITE</t>
  </si>
  <si>
    <t>BICO DE TORNEIRA UNIRVESAL 1/2 E 3/4</t>
  </si>
  <si>
    <t>BICO DE CONTATO 0,8MM</t>
  </si>
  <si>
    <t>BICO DE ABASTECIMENTO  P/ MANGUEIRA</t>
  </si>
  <si>
    <t>BICO CORTE PLAS P80 15 PRO</t>
  </si>
  <si>
    <t>BICO CONTATO 15AK M6X250.9 MM</t>
  </si>
  <si>
    <t>BICO CAMINHÃO VALVULA TR543C</t>
  </si>
  <si>
    <t>BICO 2437010081 - 0445110189390 BOSCH</t>
  </si>
  <si>
    <t>BICABORNATO DE SODIO</t>
  </si>
  <si>
    <t>BETERRABA</t>
  </si>
  <si>
    <t>BENJAMIM MG 03 SAIDAS</t>
  </si>
  <si>
    <t>BELMA SOLIDER TORNEIRA BOIA  VAZAO</t>
  </si>
  <si>
    <t>BEGONIA REX POTE 14</t>
  </si>
  <si>
    <t>BB86-MARINHO-46</t>
  </si>
  <si>
    <t>BATIDA DE PEDRA</t>
  </si>
  <si>
    <t>bateria zetta 150E</t>
  </si>
  <si>
    <t xml:space="preserve">BATERIA VRLA 12V 7AH XB 1270 </t>
  </si>
  <si>
    <t>BATERIA SELADA VRLA 12V 7AH F187 UP</t>
  </si>
  <si>
    <t>BATERIA SELADA 12V 7A MARCA MOURA</t>
  </si>
  <si>
    <t>BATERIA RTX6L-BS MARCA RAIOM</t>
  </si>
  <si>
    <t>BATERIA POWER WE100LE</t>
  </si>
  <si>
    <t xml:space="preserve">BATERIA OMEGA ISO </t>
  </si>
  <si>
    <t>BATERIA MTX354 24V 7-441URF1225PTST</t>
  </si>
  <si>
    <t xml:space="preserve">BATERIA MTGE324 24V 7-385 URF0198KAIC </t>
  </si>
  <si>
    <t>BATERIA MOURA M60GD</t>
  </si>
  <si>
    <t>BATERIA MOURA M100HE</t>
  </si>
  <si>
    <t>BATERIA MOURA M 150 BD</t>
  </si>
  <si>
    <t>BATERIA KRESS LITION 20V 6.0AM KA</t>
  </si>
  <si>
    <t xml:space="preserve">BATERIA JUPITER JJ105FE </t>
  </si>
  <si>
    <t>BATERIA HELIAR HNP60</t>
  </si>
  <si>
    <t>BATERIA HELIAR H150TD</t>
  </si>
  <si>
    <t>BATERIA HELIAR H100LE</t>
  </si>
  <si>
    <t xml:space="preserve">BATERIA GOLDE EVEREADY </t>
  </si>
  <si>
    <t>BATERIA EXTRANGER BR110MS</t>
  </si>
  <si>
    <t>BATERIA ENERGIZER CR2032 3V</t>
  </si>
  <si>
    <t>BATERIA CR11220</t>
  </si>
  <si>
    <t>BATERIA BOTAO LR44</t>
  </si>
  <si>
    <t>BATERIA 9V</t>
  </si>
  <si>
    <t>BATERIA 6V 390 AH TRACIONARIA (TUDOR TT40HGCE)</t>
  </si>
  <si>
    <t>BATERIA 12V FX 55D</t>
  </si>
  <si>
    <t>BATERIA 100 AM POWER</t>
  </si>
  <si>
    <t>BATERIA (PP)</t>
  </si>
  <si>
    <t>BATENTE PARA TRILHO R1 AL</t>
  </si>
  <si>
    <t xml:space="preserve">BATENTE MOLA DIANTEIRO - 712C/ACCELO </t>
  </si>
  <si>
    <t>BATENTE 4991</t>
  </si>
  <si>
    <t>BATENTE 23B/837311</t>
  </si>
  <si>
    <t>BATENTE - KSC01205S</t>
  </si>
  <si>
    <t>BATENTE - BR10104401487</t>
  </si>
  <si>
    <t>BATATA PALHA 1KG</t>
  </si>
  <si>
    <t>BATATA INGLESA SACO 25KG</t>
  </si>
  <si>
    <t>BATATA INGLESA</t>
  </si>
  <si>
    <t>BATATA DOCE</t>
  </si>
  <si>
    <t>BARRO 20KG</t>
  </si>
  <si>
    <t xml:space="preserve">BARRA ROSQUEDA 1/2 </t>
  </si>
  <si>
    <t>BARRA ROSQUEADA 3/16 FG</t>
  </si>
  <si>
    <t>BARRA ROSCADA 5MM ZB</t>
  </si>
  <si>
    <t>BARRA ESTABILIZADORA TRAZEIRA ACELLO</t>
  </si>
  <si>
    <t>BARRA DIRECAO LATERAL - ZL1136 (MB 1016)</t>
  </si>
  <si>
    <t>BARRA DE TORÇAO A9793170265</t>
  </si>
  <si>
    <t xml:space="preserve">BARRA DE SELAGEM  </t>
  </si>
  <si>
    <t xml:space="preserve">BARRA CURTA DIREÇAO VOLVO 260 </t>
  </si>
  <si>
    <t>BARRA CURTA DA DIREÇAO VW</t>
  </si>
  <si>
    <t>BARRA CHATA 3/8 X 1/8 A36M 6M</t>
  </si>
  <si>
    <t>BARRA CHATA 3/4X3/16 ASTM A-36</t>
  </si>
  <si>
    <t>BARRA CHATA 1.1/4X3/16 A-36</t>
  </si>
  <si>
    <t>BARRA CHATA 1.1/2X1/8 ASTM A-36 VL</t>
  </si>
  <si>
    <t>BARRA CHATA 1 X 1/4 ASTM A-36</t>
  </si>
  <si>
    <t>BARRA A 9013200089 MERCEDES</t>
  </si>
  <si>
    <t>BARBANTE 1.800KG ROLO</t>
  </si>
  <si>
    <t>BANDEJA 7L PLASVALE</t>
  </si>
  <si>
    <t>BANDEIRA OFICIAL DO BRASIL 3,15 X 4,50</t>
  </si>
  <si>
    <t>BANDA BRANCA ARO 15</t>
  </si>
  <si>
    <t>BAND AID TRANSPARENTE C/40</t>
  </si>
  <si>
    <t>BANANA TERRA</t>
  </si>
  <si>
    <t>BANANA PRATA CX 20KG</t>
  </si>
  <si>
    <t xml:space="preserve">BANANA NANICA CX 20KG	</t>
  </si>
  <si>
    <t>BALDE PLÁSTICO 20 LT</t>
  </si>
  <si>
    <t>BALDE PLASTICO P/OBRA REFORCADO</t>
  </si>
  <si>
    <t>BALDE PLASTICO P/CONCRETO 12L</t>
  </si>
  <si>
    <t>BALDE PLASTICO P/CONCRETO 10L</t>
  </si>
  <si>
    <t>BALDE DE ÓLEO 68 20 LT</t>
  </si>
  <si>
    <t>BALDE DE ÓLEO 10W30</t>
  </si>
  <si>
    <t>BALDE DE GELO C/ PEGADOR 1,3LTS HERCULES</t>
  </si>
  <si>
    <t>BALDE 16LTS</t>
  </si>
  <si>
    <t>BALANÇA COMP UPX MODELO WIND D3</t>
  </si>
  <si>
    <t>BALACLAVA PV BRANCA</t>
  </si>
  <si>
    <t>B-733 DESENGRAXANTE 50 L</t>
  </si>
  <si>
    <t>AÇUCAR REFINADO 1KG</t>
  </si>
  <si>
    <t>AVENTAL PLASTICO BRANCO 0.70X1.45X002 AVE00073</t>
  </si>
  <si>
    <t xml:space="preserve">AVENTAL DE RASPA 1.20X0.60 AL </t>
  </si>
  <si>
    <t>AVENTAL DE RASPA 1.00 X 0.60 M</t>
  </si>
  <si>
    <t>AUTOTRANSFORMADOR 1500V VIVOLT</t>
  </si>
  <si>
    <t>AUTOJET PL 2CV</t>
  </si>
  <si>
    <t>AUTO TRANSFORMADOR 500VA</t>
  </si>
  <si>
    <t>AUT FLANELA AMARELA 60X40 S/COSTURA ESTETICA</t>
  </si>
  <si>
    <t>ATLAS TRINCHA 2¨-395/5</t>
  </si>
  <si>
    <t>ATLAS TRINCHA 2 1/2¨-395/6</t>
  </si>
  <si>
    <t>ATLAS TRINCHA 1 1/2-395/4</t>
  </si>
  <si>
    <t xml:space="preserve">ATLAS TRENA PROFISSIONAL 8M </t>
  </si>
  <si>
    <t>ATLAS ROLO DE LA ATI-GOTA</t>
  </si>
  <si>
    <t>ATLAS ROLO DE LA 1000</t>
  </si>
  <si>
    <t xml:space="preserve">ATLAS PR6804 PULVERIZADOR </t>
  </si>
  <si>
    <t>ATLAS PALHA DE ACO</t>
  </si>
  <si>
    <t xml:space="preserve">ATLAS GARFO GAIOLA </t>
  </si>
  <si>
    <t>ATLAS GARFO BUCHA 23CM SR</t>
  </si>
  <si>
    <t>ATLAS ESPATULA PLASTICA 152/3</t>
  </si>
  <si>
    <t>ATLAS ESPATULA PLASTICA 152/2</t>
  </si>
  <si>
    <t>ATLAS ESPATULA PLASTICA 152/1</t>
  </si>
  <si>
    <t>ATLAS ESPATULA AÇO - 175/8</t>
  </si>
  <si>
    <t>ATLAS ESPATULA AÇO - 175/6</t>
  </si>
  <si>
    <t>ATLAS ESPATULA AÇO - 175/4</t>
  </si>
  <si>
    <t>ATLAS ESPATULA AÇO - 175/12</t>
  </si>
  <si>
    <t>ATLAS BROXA 800/2</t>
  </si>
  <si>
    <t>ATLAS ASSENTO SANIT ALMOFADADO</t>
  </si>
  <si>
    <t>ATADURA CREPOM</t>
  </si>
  <si>
    <t>ATADURA BEM BASICO 20CM</t>
  </si>
  <si>
    <t>ATADURA 15CM</t>
  </si>
  <si>
    <t>ASSOALHO DE GARAPA 1 SECO ESTUFA 10 23PC COMP; 2.100 LARG 0.100</t>
  </si>
  <si>
    <t>m2</t>
  </si>
  <si>
    <t>ASSOALHO DE GARAPA 1 SECO ESTUFA 10 12PC COMP;1.200 LAG; 0.100</t>
  </si>
  <si>
    <t>ASSENTO SANITARIO SIMPLES</t>
  </si>
  <si>
    <t>ARVORE DE COMANDO DAS VALVULAS A9240500201</t>
  </si>
  <si>
    <t>ARRUELA SUPORTE DO FREIO 2RD 607054</t>
  </si>
  <si>
    <t>ARRUELA PRESSAO 16MM</t>
  </si>
  <si>
    <t>ARRUELA PRESSAO 14MM</t>
  </si>
  <si>
    <t>ARRUELA PRESSAO 08 MM</t>
  </si>
  <si>
    <t>ARRUELA LISA ZINCADA MM 10MM C/10 PÇS</t>
  </si>
  <si>
    <t>ARRUELA LISA ZINCADA 9x16</t>
  </si>
  <si>
    <t>ARRUELA LISA ZINCADA 7/8</t>
  </si>
  <si>
    <t>ARRUELA LISA ZINCADA 7/16</t>
  </si>
  <si>
    <t>ARRUELA LISA ZINCADA 5/16</t>
  </si>
  <si>
    <t>ARRUELA LISA ZINCADA 3/8</t>
  </si>
  <si>
    <t>ARRUELA LISA ZINCADA 3/4</t>
  </si>
  <si>
    <t>ARRUELA LISA ZINCADA 18MM</t>
  </si>
  <si>
    <t>ARRUELA LISA ZINCADA 1/2</t>
  </si>
  <si>
    <t>ARRUELA LISA ZB M8</t>
  </si>
  <si>
    <t>ARRUELA LISA ZB 8M</t>
  </si>
  <si>
    <t>ARRUELA LISA ZB 5/8</t>
  </si>
  <si>
    <t>ARRUELA LISA ZB 3/16</t>
  </si>
  <si>
    <t>ARRUELA LISA PESADA ZINCADA 1''</t>
  </si>
  <si>
    <t>ARRUELA LISA PESADA ZINC.5/8</t>
  </si>
  <si>
    <t>ARRUELA LISA INOX 10MM</t>
  </si>
  <si>
    <t>ARRUELA LISA INOX 1/4</t>
  </si>
  <si>
    <t>ARRUELA LISA INOX 1/2</t>
  </si>
  <si>
    <t>ARRUELA LISA 5/32</t>
  </si>
  <si>
    <t>ARRUELA LISA 5/16</t>
  </si>
  <si>
    <t>ARRUELA LISA 3/8 MARCA PARALELA</t>
  </si>
  <si>
    <t xml:space="preserve">ARRUELA LISA 16MM </t>
  </si>
  <si>
    <t>ARRUELA LISA 1/4</t>
  </si>
  <si>
    <t xml:space="preserve">ARRUELA LISA - 14MM </t>
  </si>
  <si>
    <t xml:space="preserve">ARRUELA LANT.5X8 </t>
  </si>
  <si>
    <t>ARRUELA ENCOSTO</t>
  </si>
  <si>
    <t>ARRUELA ELETRODUTO 3''</t>
  </si>
  <si>
    <t xml:space="preserve">ARRUELA ELETRODUTO 2 1/2''	</t>
  </si>
  <si>
    <t>ARRUELA DE PRESSAO SEM GTIN VO984049</t>
  </si>
  <si>
    <t>ARRUELA DE PRESSAO 20MM</t>
  </si>
  <si>
    <t>ARRUELA DE ALUMINIO 16MM</t>
  </si>
  <si>
    <t>ARRUELA DE ALUMINIO 14MM</t>
  </si>
  <si>
    <t>ARRUELA DE ALUMINIO 12MM</t>
  </si>
  <si>
    <t>ARRUELA DE AJUSTE 2,00MM CAMBIOS</t>
  </si>
  <si>
    <t>ARRUELA ALUMINIO 16MM</t>
  </si>
  <si>
    <t xml:space="preserve">ARRUELA ALUMINIO 12MM </t>
  </si>
  <si>
    <t>ARRUELA 2RD 607053 /A</t>
  </si>
  <si>
    <t>ARRUELA 2R0311280 BG8X7117AA</t>
  </si>
  <si>
    <t>ARROZ PARBOLIZADO 5KG</t>
  </si>
  <si>
    <t>ARREMATE EXTERNO 1.1/4 PRETO AL</t>
  </si>
  <si>
    <t xml:space="preserve">ARREMATE  INTERNO P/METALON 50X30 PRETO AL. FCP 2,00 VL FCP </t>
  </si>
  <si>
    <t>ARREBITE W-508 50 PÇS</t>
  </si>
  <si>
    <t>ARREBITE A-525/6100 100 PÇS</t>
  </si>
  <si>
    <t>ARREBITE A-419/570 100 PEÇAS</t>
  </si>
  <si>
    <t>ARREBITE A-416/565 100 PEÇAS</t>
  </si>
  <si>
    <t>ARREBITE A-312/450 100 PEÇAS</t>
  </si>
  <si>
    <t>ARREBITE A-310/440 100 PEÇAS</t>
  </si>
  <si>
    <t>ARO VENTILADOR (COD. VO22040868)</t>
  </si>
  <si>
    <t>ARO ROLETE 250X350X4</t>
  </si>
  <si>
    <t>ARO DE ALUMINIO 250/350 X 4 BUCHA</t>
  </si>
  <si>
    <t>ARO 350 X 8 ROLETE</t>
  </si>
  <si>
    <t>ARMARIO SEGRETARIA MARANELLO 30MM NOGAL PRETO</t>
  </si>
  <si>
    <t>ARMARIO ORGANIZADOR DE CHAVES EM AÇO P24 CHAVES 87</t>
  </si>
  <si>
    <t xml:space="preserve">ARMARIO DE AÇO COM 02 PORTAS CINZA </t>
  </si>
  <si>
    <t xml:space="preserve">ARMARIO DE AÇO 02 PORTAS C/ MAÇANETA CINZA 190X120 </t>
  </si>
  <si>
    <t>ARL5310 FILTRO SPRINTER 310 312 311</t>
  </si>
  <si>
    <t>ARGILA EXPANDIDA 50LT 3222</t>
  </si>
  <si>
    <t xml:space="preserve">ARGA MASSA QZT ACIII BRANCO </t>
  </si>
  <si>
    <t>AREIA LAVADA METRO</t>
  </si>
  <si>
    <t xml:space="preserve">ARECA </t>
  </si>
  <si>
    <t>ARCONDICIONADO 10000</t>
  </si>
  <si>
    <t>ARCO PARA COADOR DE CAFÉ</t>
  </si>
  <si>
    <t>ARCO DE SERRA 12</t>
  </si>
  <si>
    <t>ARAME TIG INOX</t>
  </si>
  <si>
    <t>ARAME RECOZIDO 18 1KL- 124MM</t>
  </si>
  <si>
    <t>ARALDITE TEK BOND HOBBY 23G 10MIN</t>
  </si>
  <si>
    <t>ARACA</t>
  </si>
  <si>
    <t>AQUATHERM ADESIVO NT 850 G</t>
  </si>
  <si>
    <t>AQUATHERM ADESIVO 175G</t>
  </si>
  <si>
    <t>APOIO A9016800356</t>
  </si>
  <si>
    <t xml:space="preserve">APARELHO DE PRESSÃO DIGITAL PULSO CONTROL </t>
  </si>
  <si>
    <t xml:space="preserve">ANTIMOFO </t>
  </si>
  <si>
    <t>ANTI SEPTICO SPRAY 50ML</t>
  </si>
  <si>
    <t>ANTH VARIADO P-12</t>
  </si>
  <si>
    <t>ANILHA P/TUBO 1/4</t>
  </si>
  <si>
    <t>ANILHA ALUMINIO 08MM</t>
  </si>
  <si>
    <t>ANEL VO 975673</t>
  </si>
  <si>
    <t>ANEL VEDAÇAO TAMPA VALVULA 3.8 2P010487B</t>
  </si>
  <si>
    <t>ANEL TRAVA EXT.58MM - CONTRA EIXO G3.60</t>
  </si>
  <si>
    <t>ANEL TRAVA EXT.35MM -PONTA PINHAO</t>
  </si>
  <si>
    <t>ANEL SICRONIZADOR 1/2 MACHA CAMBIOS 2RO311297</t>
  </si>
  <si>
    <t>ANEL SEGURANÇA AÇO FLEXIVEL EMBREAGEM BR 4893 0002951173</t>
  </si>
  <si>
    <t>ANEL ORING DE VEDACAO - 30X30</t>
  </si>
  <si>
    <t>ANEL ENCOSTO ROLAMENTO PILOTO CAMBIOS</t>
  </si>
  <si>
    <t xml:space="preserve">ANEL ELASTICO EXTERNO </t>
  </si>
  <si>
    <t>ANEL ELAST.INT.EIXO 22,0</t>
  </si>
  <si>
    <t xml:space="preserve">ANEL DE VEDAÇAO COTOVELO TURBINA -45MM </t>
  </si>
  <si>
    <t>ANEL DE SEGURANÇA 16X1 DIN 000471016001</t>
  </si>
  <si>
    <t>ANEL DE PRESSAO A9793560415</t>
  </si>
  <si>
    <t>ANEL DE BORRACHA</t>
  </si>
  <si>
    <t>ANEL DE APOIO A0002648429</t>
  </si>
  <si>
    <t>ANEL D3</t>
  </si>
  <si>
    <t>ANEL CAMBIO FSO 4505A (ACCELO 1016)</t>
  </si>
  <si>
    <t>ANEL 23B959653</t>
  </si>
  <si>
    <t>ANEL -O SEM GTIN VO955990</t>
  </si>
  <si>
    <t>ANCORA FITA PERFURADA DE AÇO 17MMx25M</t>
  </si>
  <si>
    <t>ANCORA FITA PERFURADA DE AÇO 17MMx10M</t>
  </si>
  <si>
    <t>AMPERIMETRO DIGITAL FOXLUX</t>
  </si>
  <si>
    <t>AMORTECEDOR VOLVO 24576792</t>
  </si>
  <si>
    <t xml:space="preserve">AMORTECEDOR TRASEIRO SPRINTER B 48345 B48002M </t>
  </si>
  <si>
    <t>AMORTECEDOR MALA AM-0951 PALIO</t>
  </si>
  <si>
    <t>AMORTECEDOR GB48084</t>
  </si>
  <si>
    <t>AMORTECEDOR DE CABINE TRAS ACCELO</t>
  </si>
  <si>
    <t>AMORTECEDOR CABINE VV VM DIANT</t>
  </si>
  <si>
    <t>AMORTECEDOR CABINE DIANTEIRO MARCA PARALELA (ACCELO)</t>
  </si>
  <si>
    <t>AMORTECEDOR 22W29 REG 2524/2017 SEM GTIN</t>
  </si>
  <si>
    <t>AMORTECEDOR 21W38 SEM GTIN</t>
  </si>
  <si>
    <t>AMORTECEDOR - GP32801</t>
  </si>
  <si>
    <t>AMORTECEDOR - GL 1500M DIANTEIRA SPRINTE</t>
  </si>
  <si>
    <t>AMIDO DE MILHO 1KG</t>
  </si>
  <si>
    <t>ALUMINIO TUBULAR PRETO AL</t>
  </si>
  <si>
    <t xml:space="preserve">ALUMINIO TUBULAR BRANCO </t>
  </si>
  <si>
    <t>ALUMINIO SUPER GRAUDO 900ML</t>
  </si>
  <si>
    <t>ALUMINIO NATURAL</t>
  </si>
  <si>
    <t xml:space="preserve">ALUMINIO ANODIZADO BRILHO </t>
  </si>
  <si>
    <t>ALUMB PLUG 2P+T 20A BR 2734</t>
  </si>
  <si>
    <t>ALUMB PLUG 2P+T 10A BR 2731</t>
  </si>
  <si>
    <t>ALUGUEL DE MAQUINAS DE PERFURAÇAO</t>
  </si>
  <si>
    <t>ALICATE UNIVERSAL 8C/CHAVEDE FENDA</t>
  </si>
  <si>
    <t>ALICATE TELEFONE 6. 1/2 BICO RETO - GEDORE RED</t>
  </si>
  <si>
    <t>ALICATE LOTUS ANEL 7 4</t>
  </si>
  <si>
    <t>ALICATE ELETRICISTA 8: BELZER 219021BBR</t>
  </si>
  <si>
    <t>ALICATE DE PRESSAO 10;GEDORE RED 27210010</t>
  </si>
  <si>
    <t>ALICATE DE CORTE TRAMONTINA 06</t>
  </si>
  <si>
    <t>ALICATE DE BICO 6 1/2 BICO RETO</t>
  </si>
  <si>
    <t>ALICATE CORTE DIAG 6 1/2 GEDORE RED</t>
  </si>
  <si>
    <t>ALICATE CORTE 06 , 10876 - HF</t>
  </si>
  <si>
    <t>ALICATE BOMBA D'ÁGUA 12'18 IRWIN</t>
  </si>
  <si>
    <t>ALICATE  TRAMONTINA PRO MEIA CANA</t>
  </si>
  <si>
    <t>ALHO CX 10KG</t>
  </si>
  <si>
    <t>ALGODAO APOLO 50G</t>
  </si>
  <si>
    <t>ALFINETE CX</t>
  </si>
  <si>
    <t>ALFACE CRESPA</t>
  </si>
  <si>
    <t>ALCOOL 500ML</t>
  </si>
  <si>
    <t>ALAVANCA CAPO SPRINTER</t>
  </si>
  <si>
    <t>ALAVANCA 23B 823594</t>
  </si>
  <si>
    <t>AGRIÃO</t>
  </si>
  <si>
    <t xml:space="preserve">AFIACAO DE CORRENTE </t>
  </si>
  <si>
    <t>ADITIVO RADIADOR ECOLOGICO CONCENTRATO 1LT</t>
  </si>
  <si>
    <t>ADITIVO G411381Q9</t>
  </si>
  <si>
    <t>ADITIVO DE RADIADOR TIRRENO GLOBAL PRONTO USO ROSA 1L MARCA TIRRENO GLOBAL</t>
  </si>
  <si>
    <t>ADESIVOS CHAVEIRO</t>
  </si>
  <si>
    <t xml:space="preserve">ADESIVO VEDA JUNTAS </t>
  </si>
  <si>
    <t xml:space="preserve">ADESIVO TRAVA PARAF.120/10G ALTO TORQUE </t>
  </si>
  <si>
    <t>ADESIVO PARA-BRISAS PLUS 310ML</t>
  </si>
  <si>
    <t>ADESIVO AUTOMOTIVO (MERCEDES BENZ)</t>
  </si>
  <si>
    <t xml:space="preserve">ADERE FITA CREPE USO GERAL 24X50 </t>
  </si>
  <si>
    <t>ADAPTADOR TRAMONTINA JARDIM 1/2</t>
  </si>
  <si>
    <t>ADAPTADOR TOMADA DADINHO 10A</t>
  </si>
  <si>
    <t>ADAPTADOR PLUG P2 STEREO</t>
  </si>
  <si>
    <t>ADAPTADOR P/TORNEIRA 1/2 E 3/4</t>
  </si>
  <si>
    <t>ADAPTADOR P/MANGUEIRA DE FREIO 22MM</t>
  </si>
  <si>
    <t>ADAPTADOR MB NPT X MB JIC</t>
  </si>
  <si>
    <t xml:space="preserve">ADAPTADOR IMPACTO REDUCAO 6/4 </t>
  </si>
  <si>
    <t>ADAPTADOR IMPACTO REDUCAO</t>
  </si>
  <si>
    <t xml:space="preserve">ADAPTADOR IMPACTO 1/2 X 3/4 </t>
  </si>
  <si>
    <t>ADAPTADOR HIDRAULICO SOLD LAVA-JATO</t>
  </si>
  <si>
    <t>ADAPTADOR HDMI PARA VGA SAIDA AUDIO MD9 BT 1 UN</t>
  </si>
  <si>
    <t>ADAPTADOR FEMEA ROSCA DE 3/4 E REDUÇAO DE 1/2</t>
  </si>
  <si>
    <t>ADAPTADOR CUICA ACCELO</t>
  </si>
  <si>
    <t>ADAPTADOR BOB ESPONJA</t>
  </si>
  <si>
    <t>ADAPTADOR 1/4M X 1/4M</t>
  </si>
  <si>
    <t>ADAP SOLD CT SOL/ROSC 20MMX1/2</t>
  </si>
  <si>
    <t>ACOPLAMENTO FEMEA INDUST 32A 3P+T+N</t>
  </si>
  <si>
    <t>ACOPLAMENTO FEMEA INDUST 16A 3P+T+N 380V 9H</t>
  </si>
  <si>
    <t>ACOPLAMENTO FEMEA INDUS 32A 3P</t>
  </si>
  <si>
    <t>ACOPLAMENTO CAMBIO VW TODOS(BUGRE)</t>
  </si>
  <si>
    <t>ACIONAMENTO 23B 837501</t>
  </si>
  <si>
    <t>ACIDO PERACETICO 15% 5L QUALIMILK</t>
  </si>
  <si>
    <t>ACABAMENTO PROTETOR LATERAL (CURVO 100MM)</t>
  </si>
  <si>
    <t>ACABAMENTO INFERIOR PARABRISA MB ACCELO 715 915 1016 (LE)</t>
  </si>
  <si>
    <t>ACABAMENTO INFERIOR PARABRISA MB ACCELO 715 915 1016 (LD)</t>
  </si>
  <si>
    <t>ACABAMENTO INFERIOR (LE) BRAÇO RETROVISOR VOLVO VM</t>
  </si>
  <si>
    <t>ACABAMENTO DA TAMPA DO P/ CHOQUE VOLVO VM APOS 2010 L.E</t>
  </si>
  <si>
    <t xml:space="preserve">ACABAMENTO DA TAMPA DO P CHOQUE VOLVO VM APOS 2010 L D </t>
  </si>
  <si>
    <t>ABÓBORA SERGIPANA</t>
  </si>
  <si>
    <t>ABSORVENT (COD. 3079921.000)</t>
  </si>
  <si>
    <t>ABRAÇADEIRA ROSCA S/FIM BORBO 16-25</t>
  </si>
  <si>
    <t>ABRAÇADEIRA ROSCA S/FIM 9MM 3/8 A 1/2 10-13</t>
  </si>
  <si>
    <t>ABRAÇADEIRA ROSCA /FIM 3/8X5/8 9MM</t>
  </si>
  <si>
    <t>ABRAÇADEIRA REFORÇADA ABRA2E41</t>
  </si>
  <si>
    <t>ABRAÇADEIRA REFORÇADA 2E41</t>
  </si>
  <si>
    <t>ABRAÇADEIRA PLÁSTICA PRETA 4,8MM</t>
  </si>
  <si>
    <t>ABRAÇADEIRA PLÁSTICA PRETA 2,5MM</t>
  </si>
  <si>
    <t>ABRAÇADEIRA PLÁSTICA PRETA 12MM</t>
  </si>
  <si>
    <t>ABRAÇADEIRA PLÁSTICA BRANCA 7,6MM</t>
  </si>
  <si>
    <t>ABRAÇADEIRA PLÁSTICA BRANCA 7,0MM</t>
  </si>
  <si>
    <t>ABRAÇADEIRA PLÁSTICA BRANCA 4,8MM</t>
  </si>
  <si>
    <t>ABRAÇADEIRA PLÁSTICA BRANCA 3,5MM</t>
  </si>
  <si>
    <t>ABRAÇADEIRA PLÁSTICA BRANCA 2,5MM</t>
  </si>
  <si>
    <t>ABRAÇADEIRA P/ MANG 1/2¨X 25 ZINCO</t>
  </si>
  <si>
    <t>ABRAÇADEIRA P/ AGORNIO PEQUENA</t>
  </si>
  <si>
    <t>ABRAÇADEIRA NYLON NAT 6.6 3,6X280</t>
  </si>
  <si>
    <t>ABRAÇADEIRA NYLON 9,0 X 760</t>
  </si>
  <si>
    <t>ABRAÇADEIRA NYLON 7,8X 360</t>
  </si>
  <si>
    <t>ABRAÇADEIRA NYLON 7,8 X 540</t>
  </si>
  <si>
    <t>ABRAÇADEIRA NYLON 7,0X370</t>
  </si>
  <si>
    <t>ABRAÇADEIRA NYLON 6.6 4,8X280</t>
  </si>
  <si>
    <t>ABRAÇADEIRA NYLON 6.6 3,6 X 280MM PRETA</t>
  </si>
  <si>
    <t>ABRAÇADEIRA NYLON 6,5 X 450</t>
  </si>
  <si>
    <t>ABRAÇADEIRA NYLON 4,8X380</t>
  </si>
  <si>
    <t>ABRAÇADEIRA NYLON 4,8X200</t>
  </si>
  <si>
    <t>ABRAÇADEIRA NYLON 4,8 X 280</t>
  </si>
  <si>
    <t>ABRAÇADEIRA NYLON 2,5X140</t>
  </si>
  <si>
    <t>ABRAÇADEIRA NYLON 2,5X100</t>
  </si>
  <si>
    <t xml:space="preserve">ABRAÇADEIRA NYLOM 6.6 BRANCA </t>
  </si>
  <si>
    <t>ABRAÇADEIRA NAYLON 12,7 X 530</t>
  </si>
  <si>
    <t>ABRAÇADEIRA METAL S/FIM 8x12x9MM ZNB</t>
  </si>
  <si>
    <t>ABRAÇADEIRA METAL FLEXIVEL CARBONO 32-44</t>
  </si>
  <si>
    <t>ABRAÇADEIRA METAL FLEXIVEL CARBONO 25-38</t>
  </si>
  <si>
    <t>ABRAÇADEIRA METAL FLEXIVEL CARBONO 22-32</t>
  </si>
  <si>
    <t>ABRAÇADEIRA METAL FLEXIVEL CARBONO 19-27</t>
  </si>
  <si>
    <t>ABRAÇADEIRA METAL 25/38</t>
  </si>
  <si>
    <t>ABRAÇADEIRA METAL 13/19</t>
  </si>
  <si>
    <t>ABRAÇADEIRA METAL 09/13</t>
  </si>
  <si>
    <t>ABRAÇADEIRA INTERCOOLER INOX 77X83</t>
  </si>
  <si>
    <t>ABRAÇADEIRA INOX MARCA FLEXIL</t>
  </si>
  <si>
    <t>ABRAÇADEIRA FLEXIVEL CARBONO 6483</t>
  </si>
  <si>
    <t>ABRAÇADEIRA FLEXIVEL CARBONO 5164</t>
  </si>
  <si>
    <t>ABRAÇADEIRA FLEXIVE CARBONO 4457</t>
  </si>
  <si>
    <t>ABRAÇADEIRA DO INTERCOOLER INOX 74X83</t>
  </si>
  <si>
    <t xml:space="preserve">ABRAÇADEIRA DO INTERCOOLER INOX 68X74 </t>
  </si>
  <si>
    <t>ABRAÇADEIRA DO COROTE 25L</t>
  </si>
  <si>
    <t>ABRAÇADEIRA DESCARGA 110829</t>
  </si>
  <si>
    <t>ABRAÇADEIRA DE NYLON 3,6X200M</t>
  </si>
  <si>
    <t>ABRAÇADEIRA DE METAL 10X13 FG 9MM</t>
  </si>
  <si>
    <t>ABRAÇADEIRA DE FUSCA</t>
  </si>
  <si>
    <t>ABRAÇADEIRA BORBOLETA ZN 1016</t>
  </si>
  <si>
    <t>ABRAÇADEIRA AUT NYLON VIPES 7,2X400 MM</t>
  </si>
  <si>
    <t>ABRAÇADEIRA AUT NYLON VIPES 7,2X250MM</t>
  </si>
  <si>
    <t>ABRAÇADEIRA AUT NYLON 4,8X250MM VIPES</t>
  </si>
  <si>
    <t>ABRAÇADEIRA AUT INOX VIPES 44X57MM</t>
  </si>
  <si>
    <t>ABRAÇADEIRA AUT FINA VIPES INOX 9X13MM</t>
  </si>
  <si>
    <t>ABRAÇADEIRA AUT FINA VIPES INOX 19X27MM</t>
  </si>
  <si>
    <t>ABRAÇADEIRA 76X89 9MM</t>
  </si>
  <si>
    <t>ABRAÇADEIRA 6.6 4,8X360</t>
  </si>
  <si>
    <t>ABRAÇADEIRA 17X22 14MM</t>
  </si>
  <si>
    <t xml:space="preserve">ABRACADEIRA FLEXIL INOX </t>
  </si>
  <si>
    <t>ABRACADEIRA CANELETA 60X70</t>
  </si>
  <si>
    <t>ABRACADEIRA 280X4.8</t>
  </si>
  <si>
    <t xml:space="preserve">ABRACADEIRA 200X3.5 </t>
  </si>
  <si>
    <t>ABRACADEIRA 140X3.5</t>
  </si>
  <si>
    <t>ABRACADEIRA 140X2.5</t>
  </si>
  <si>
    <t>ABRAC.AUT.VIPS FINA. INOX 25X38MM</t>
  </si>
  <si>
    <t>ABRAC.AUT.LARGA VIPES INOX 19X27MM</t>
  </si>
  <si>
    <t>ABRAC.AUT.LARGA 12,5 VIPES IMOX 14X22M</t>
  </si>
  <si>
    <t>ABRAC.AUT.INOX 14.2MM VIPES 32X44-</t>
  </si>
  <si>
    <t>ABRAC.AUT.INOX 14.2MM VIPES 22X32-</t>
  </si>
  <si>
    <t>ABRAC.AUT.INOX 14,2MM VIPES 38X51</t>
  </si>
  <si>
    <t>ABRAC.AUT.INOX 14,2MM VIPES 25X38-</t>
  </si>
  <si>
    <t>ABRAC.AUT.FINA VIPES INOX 14X22MM</t>
  </si>
  <si>
    <t>ABRAC.AUT.FINA VIPES INOX 12X16MM</t>
  </si>
  <si>
    <t>ABRAC.AUT. LARGA 12,5 VIPES INOX 13X19M</t>
  </si>
  <si>
    <t>ABRAC.AUT FINA VIPES INOX 38X51MM</t>
  </si>
  <si>
    <t>ABRAC AUT. FINA VIPES INOX 22X32MM</t>
  </si>
  <si>
    <t>ABRAC AUT NYLON VIPES 4,8X400MM</t>
  </si>
  <si>
    <t>ABRAC AUT FINA VIPES INOX 32X44MM</t>
  </si>
  <si>
    <t>ABERTURA A9017270328</t>
  </si>
  <si>
    <t xml:space="preserve">ABAFADOR PLASTICO 25 DB </t>
  </si>
  <si>
    <t xml:space="preserve">ABACAXI </t>
  </si>
  <si>
    <t xml:space="preserve">A03 CORE COLOR </t>
  </si>
  <si>
    <t>A.VEDACAO ALUM.20 X 26 X 1,5</t>
  </si>
  <si>
    <t>A.LISA ZINCADA MM 10MM C/10PÇS</t>
  </si>
  <si>
    <t>A.LISA ZINCADA 3/8 260/KG ATA1KG</t>
  </si>
  <si>
    <t>A.LISA ZINCADA 1/2 (122/KG) (ATA1KG</t>
  </si>
  <si>
    <t>A.LISA INOX 5/8</t>
  </si>
  <si>
    <t>A.LISA INOX 5/16</t>
  </si>
  <si>
    <t>A.LISA INOX 3/8</t>
  </si>
  <si>
    <t>A.LISA INOX 1/2</t>
  </si>
  <si>
    <t>A.LISA INOX 06MM C/10 PÇS</t>
  </si>
  <si>
    <t>A-124 ARREBITE DE EXPANSÃO</t>
  </si>
  <si>
    <t>A-000 ARREBITE</t>
  </si>
  <si>
    <t>A- 002 PORCA SEXTAVADA</t>
  </si>
  <si>
    <t>9902611 TERMOSTATO TIWA 20/120.C R26H 30A C/BUCHA 3/8¨ MET</t>
  </si>
  <si>
    <t>9881870 LAMPADA PILOTO REDONDA</t>
  </si>
  <si>
    <t>959 ARRUELA LISA 1/2</t>
  </si>
  <si>
    <t xml:space="preserve">87113 LIPA CONTATO ELETRICO </t>
  </si>
  <si>
    <t>7PK2195 CORREIA</t>
  </si>
  <si>
    <t>755214 CHAVE DE FIM DE CURSO METAL PISTÃO C/ROLDANA LXK-102 JNK</t>
  </si>
  <si>
    <t>7091 PARAFUSO BROC FLANGEADO 4,2X25</t>
  </si>
  <si>
    <t>6915 PENDENTE F.C. S/LAMPADA C/PINO 127V 5MTS 00666</t>
  </si>
  <si>
    <t>555.000.CAD.DIR.GOM-COR/PTO</t>
  </si>
  <si>
    <t>555.000.CAD.DIG.FERRO L</t>
  </si>
  <si>
    <t>5430 FUS DE POTENCIA DOURADO 125A</t>
  </si>
  <si>
    <t>5160 REBITE 535</t>
  </si>
  <si>
    <t>447575 ORGANIZADOR DE CHAVES POTE (C20 CHAVEIR)OS SORT.)</t>
  </si>
  <si>
    <t>447571 ARMARIO ORGANIZADOR DE CHAVES EM ALUM P24 CHAVES</t>
  </si>
  <si>
    <t>3 INTERRUP C/PL 4X2 0656 BLANC</t>
  </si>
  <si>
    <t xml:space="preserve">2v3/ 907171A/COVERSOR </t>
  </si>
  <si>
    <t>2S0498625A ROLAMENTO DIANT EXTER 3782/20 802738</t>
  </si>
  <si>
    <t>2RD311879 RETENTOR TRAZ CX 07262BAGGP</t>
  </si>
  <si>
    <t>2RD311189A RETENTOR DIANT CX 7021BRGP</t>
  </si>
  <si>
    <t>2R0311313A LAMELA SINCR 3361391</t>
  </si>
  <si>
    <t>2R0311219A ROLAMENTO ST22455/3342555</t>
  </si>
  <si>
    <t>2PO/906261C SENSOR</t>
  </si>
  <si>
    <t>2851 RETENTOR 45 X 65 X 10</t>
  </si>
  <si>
    <t>2847 PEROX ADVANCEDO 5L BECKER</t>
  </si>
  <si>
    <t>275/80R22,5 STM AGS-121760 PNEU 275/80R2</t>
  </si>
  <si>
    <t>25877/25821 ROLAMENTO RODATRAS EIXO IN 14521</t>
  </si>
  <si>
    <t>2524 RETENTOR 35 X 52 X 10</t>
  </si>
  <si>
    <t>23B/ 601117 TAMPA DO CUBO</t>
  </si>
  <si>
    <t>23B/ 498611 CUBO</t>
  </si>
  <si>
    <t>23B 45828 MANQUEIRA INTERCULE 9170/11180</t>
  </si>
  <si>
    <t>21 KIT ENGRENAGENS ESTEIRAS CBC</t>
  </si>
  <si>
    <t>204 P.SEXT. MA 14X50 8.8</t>
  </si>
  <si>
    <t>200MTS FIO 1 MM</t>
  </si>
  <si>
    <t>1803 FACA CIRCULA LISA CBC 200 E 250 -2MM</t>
  </si>
  <si>
    <t>100 LAT BB 50L MARCA MERCOTECH</t>
  </si>
  <si>
    <t>100 CLORADO 01 5L MARCA MERCOTECH</t>
  </si>
  <si>
    <t xml:space="preserve">1 TOMADA 2P+T 20A N.PADRÃO S/PL </t>
  </si>
  <si>
    <t>1 TOMADA 2P+T 20A N.PADRÃO 1350</t>
  </si>
  <si>
    <t>1 TOMADA 2P+T 10A VERM S/PL</t>
  </si>
  <si>
    <t>055213 GRAFITE SPARY 250ML/ 110GR CHEMICOLOR</t>
  </si>
  <si>
    <t>0460 VARAL DE CHÃO</t>
  </si>
  <si>
    <t>045437 TASCHIBRA LAMP HIGH LED TKL 110 20W 6500K</t>
  </si>
  <si>
    <t>040641  BALDE PLASTICO 12L</t>
  </si>
  <si>
    <t>040329 STECK MINI DIJUNTOR 2P 20A</t>
  </si>
  <si>
    <t>032754 DIAMANTEX 2001 DISCO TURBO 110MM PRETO</t>
  </si>
  <si>
    <t>02A. TRAS MB ACCELO 9 TON E DIANT</t>
  </si>
  <si>
    <t>01a. TRAS MB ACCELO 9 TON E DIANT</t>
  </si>
  <si>
    <t>019522 FAME BLANC 1335 TOM PAD 2PT 10A SB</t>
  </si>
  <si>
    <t>015013 FAME LE 1419 PLUG MACHO 2P 180 10A CZ</t>
  </si>
  <si>
    <t>013583 MANGUEIRA COMB INJEÇÃO 7 MM M149</t>
  </si>
  <si>
    <t>01196 PARAFUSO 6X10</t>
  </si>
  <si>
    <t>01 GALÃO 200ML</t>
  </si>
  <si>
    <t>008148 BROCA A.RAPIDO (A) 5.0MM</t>
  </si>
  <si>
    <t>008146 BROCA A.RAPIDO (A) 4.0MM</t>
  </si>
  <si>
    <t>008142 BROCA A.RAPIDO (A) 3.0MM</t>
  </si>
  <si>
    <t>005470 FAME 1481 PLUG MACHO 3P 90 10A CZ</t>
  </si>
  <si>
    <t xml:space="preserve">004 3725 PORCA EIXO TRASEIRO HONDA </t>
  </si>
  <si>
    <t>003 11442 PA SX AC MB 10.9 14X50 RP</t>
  </si>
  <si>
    <t>002394 JG DE REPARO 058402 H4</t>
  </si>
  <si>
    <t>002 4639 PARAFUSO MAQ CH 8X30</t>
  </si>
  <si>
    <t>002 313 AR LI ZB 1/4</t>
  </si>
  <si>
    <t xml:space="preserve">001 4901 PARAFUSO AA 4,0X19 PANELA </t>
  </si>
  <si>
    <t>001 3753 PORCA AUTO TRAVANTE 8MM S</t>
  </si>
  <si>
    <t xml:space="preserve">001 29759218 EMBLEMA VW </t>
  </si>
  <si>
    <t>Data/Hora</t>
  </si>
  <si>
    <t>Modelo</t>
  </si>
  <si>
    <t>Número</t>
  </si>
  <si>
    <t>Emitente</t>
  </si>
  <si>
    <t>Empresa</t>
  </si>
  <si>
    <t>Valor Total</t>
  </si>
  <si>
    <t>Última Alteração</t>
  </si>
  <si>
    <t>Usuário</t>
  </si>
  <si>
    <t>Registro de Movimentação de Materiais</t>
  </si>
  <si>
    <t>14759</t>
  </si>
  <si>
    <t>MASTER LOAD</t>
  </si>
  <si>
    <t>MAYARA COMERCIO DE GENEROS ALIMENTICIOS LTDA</t>
  </si>
  <si>
    <t>CRISTIANO CRISPIM</t>
  </si>
  <si>
    <t>4452</t>
  </si>
  <si>
    <t>BOIBOM PRIME DISTRIBUIDORA DE GENEROS ALIMENTICIOS LTDA</t>
  </si>
  <si>
    <t>84905</t>
  </si>
  <si>
    <t>ENGELUZ</t>
  </si>
  <si>
    <t>213</t>
  </si>
  <si>
    <t>MULTIMARCAS PEÇAS</t>
  </si>
  <si>
    <t>216</t>
  </si>
  <si>
    <t>HORTO TROPICAL</t>
  </si>
  <si>
    <t>190521</t>
  </si>
  <si>
    <t>JARDIM PARK, O SHOPPING DO SEU JARDIM</t>
  </si>
  <si>
    <t>28751</t>
  </si>
  <si>
    <t>SHOP DAS VANS</t>
  </si>
  <si>
    <t>918899</t>
  </si>
  <si>
    <t>CHICO PARAFUSO</t>
  </si>
  <si>
    <t>9024</t>
  </si>
  <si>
    <t>S-GRAF</t>
  </si>
  <si>
    <t>4314</t>
  </si>
  <si>
    <t>FENIX INDUSTRIA</t>
  </si>
  <si>
    <t>4467</t>
  </si>
  <si>
    <t>1402</t>
  </si>
  <si>
    <t>CHAMA QUENTE</t>
  </si>
  <si>
    <t>170824</t>
  </si>
  <si>
    <t>POSTO G.N.V.</t>
  </si>
  <si>
    <t>242123</t>
  </si>
  <si>
    <t>DAFEL</t>
  </si>
  <si>
    <t>853836</t>
  </si>
  <si>
    <t>JAE</t>
  </si>
  <si>
    <t>51811</t>
  </si>
  <si>
    <t>17098</t>
  </si>
  <si>
    <t>AUTOMOTINTAS</t>
  </si>
  <si>
    <t>439</t>
  </si>
  <si>
    <t>ZE MANE</t>
  </si>
  <si>
    <t>25506</t>
  </si>
  <si>
    <t>GENERIS DIGITAL</t>
  </si>
  <si>
    <t>48702</t>
  </si>
  <si>
    <t>SDE DISTRIBUIDORA</t>
  </si>
  <si>
    <t>1954</t>
  </si>
  <si>
    <t>15326</t>
  </si>
  <si>
    <t>LAGOTINTAS COMERCIO LTDA</t>
  </si>
  <si>
    <t>8952</t>
  </si>
  <si>
    <t>LAGOS REBOBINADOR</t>
  </si>
  <si>
    <t>4477</t>
  </si>
  <si>
    <t>SUMMER UNIFORMES</t>
  </si>
  <si>
    <t>85322</t>
  </si>
  <si>
    <t>80372</t>
  </si>
  <si>
    <t>APS EMBALAGEM</t>
  </si>
  <si>
    <t>12767</t>
  </si>
  <si>
    <t>CLICK STORE</t>
  </si>
  <si>
    <t>31931</t>
  </si>
  <si>
    <t>RCP MANGUEIRAS E PECAS AUTOMOTIVAS</t>
  </si>
  <si>
    <t>919782</t>
  </si>
  <si>
    <t>2347</t>
  </si>
  <si>
    <t>HUMBERTO ARTES GRAFICAS LTDA</t>
  </si>
  <si>
    <t>39601</t>
  </si>
  <si>
    <t>MP7 Comércio de Borrachas</t>
  </si>
  <si>
    <t>15330</t>
  </si>
  <si>
    <t>85323</t>
  </si>
  <si>
    <t>1960</t>
  </si>
  <si>
    <t>48564</t>
  </si>
  <si>
    <t>MORELATE</t>
  </si>
  <si>
    <t>9105</t>
  </si>
  <si>
    <t>CINTIA</t>
  </si>
  <si>
    <t>46362</t>
  </si>
  <si>
    <t>VISSE SHOP</t>
  </si>
  <si>
    <t>55097</t>
  </si>
  <si>
    <t>FERRAGENS BOM CLIMA</t>
  </si>
  <si>
    <t>66292</t>
  </si>
  <si>
    <t>CENTERDIESEL</t>
  </si>
  <si>
    <t>389651</t>
  </si>
  <si>
    <t>TREVAO</t>
  </si>
  <si>
    <t>15337</t>
  </si>
  <si>
    <t>242377</t>
  </si>
  <si>
    <t>216153</t>
  </si>
  <si>
    <t>PROPECAS</t>
  </si>
  <si>
    <t>11336</t>
  </si>
  <si>
    <t>BALFLUX</t>
  </si>
  <si>
    <t>177894</t>
  </si>
  <si>
    <t>DYNAMUS COMERCIO DE AUTO PECAS</t>
  </si>
  <si>
    <t>15338</t>
  </si>
  <si>
    <t>16175</t>
  </si>
  <si>
    <t>ATOMIC PARTS</t>
  </si>
  <si>
    <t>13953</t>
  </si>
  <si>
    <t>EL ON</t>
  </si>
  <si>
    <t>275191</t>
  </si>
  <si>
    <t>DROGARIA SAO CRISTOVAO</t>
  </si>
  <si>
    <t>920518</t>
  </si>
  <si>
    <t>216239</t>
  </si>
  <si>
    <t>15346</t>
  </si>
  <si>
    <t>15341</t>
  </si>
  <si>
    <t>2675402</t>
  </si>
  <si>
    <t>CASA DO PEDREIRO</t>
  </si>
  <si>
    <t>214</t>
  </si>
  <si>
    <t>8258</t>
  </si>
  <si>
    <t>9100</t>
  </si>
  <si>
    <t>3108553</t>
  </si>
  <si>
    <t>PAULO C GALANTE</t>
  </si>
  <si>
    <t>3108558</t>
  </si>
  <si>
    <t>346339</t>
  </si>
  <si>
    <t>MARDISA VEICULOS SA</t>
  </si>
  <si>
    <t>216306</t>
  </si>
  <si>
    <t>1243</t>
  </si>
  <si>
    <t>CASA MIL CABO FRIO</t>
  </si>
  <si>
    <t>6548</t>
  </si>
  <si>
    <t>PEREIRA</t>
  </si>
  <si>
    <t>75828</t>
  </si>
  <si>
    <t>KELU EPI</t>
  </si>
  <si>
    <t>320</t>
  </si>
  <si>
    <t>REFRIGERACAO ADONIS</t>
  </si>
  <si>
    <t>45743</t>
  </si>
  <si>
    <t>SCE</t>
  </si>
  <si>
    <t>2371</t>
  </si>
  <si>
    <t>18325</t>
  </si>
  <si>
    <t>TERMO - CAR AR CONDICIONADO E AQUECEDORES PARA VEICULOS</t>
  </si>
  <si>
    <t>4427</t>
  </si>
  <si>
    <t>216378</t>
  </si>
  <si>
    <t>2676147</t>
  </si>
  <si>
    <t>17187</t>
  </si>
  <si>
    <t>41897</t>
  </si>
  <si>
    <t>RENTALL</t>
  </si>
  <si>
    <t>1554</t>
  </si>
  <si>
    <t>321</t>
  </si>
  <si>
    <t>174256</t>
  </si>
  <si>
    <t>AUTO POSTO MONTEIROS</t>
  </si>
  <si>
    <t>210741</t>
  </si>
  <si>
    <t>DENTAL ODONTO</t>
  </si>
  <si>
    <t>921369</t>
  </si>
  <si>
    <t>216441</t>
  </si>
  <si>
    <t>150215</t>
  </si>
  <si>
    <t>LUMAFER</t>
  </si>
  <si>
    <t>21771</t>
  </si>
  <si>
    <t>ALTA PERFORMANCE PNEU</t>
  </si>
  <si>
    <t>438352</t>
  </si>
  <si>
    <t>SR ARCONDICIONADO AUTOMOTIVO</t>
  </si>
  <si>
    <t>438353</t>
  </si>
  <si>
    <t>216537</t>
  </si>
  <si>
    <t>921798</t>
  </si>
  <si>
    <t>36596</t>
  </si>
  <si>
    <t>M. C. VIEIRA MATERIAL HIDRAULICA</t>
  </si>
  <si>
    <t>452</t>
  </si>
  <si>
    <t>9696</t>
  </si>
  <si>
    <t>LAGOS ATACADINHO</t>
  </si>
  <si>
    <t>242879</t>
  </si>
  <si>
    <t>2677485</t>
  </si>
  <si>
    <t>153656</t>
  </si>
  <si>
    <t>VOKER STYLE</t>
  </si>
  <si>
    <t>216623</t>
  </si>
  <si>
    <t>7012</t>
  </si>
  <si>
    <t>1741</t>
  </si>
  <si>
    <t>1441</t>
  </si>
  <si>
    <t>173723</t>
  </si>
  <si>
    <t>DINAMICA PAPELARIA</t>
  </si>
  <si>
    <t>216709</t>
  </si>
  <si>
    <t>1747</t>
  </si>
  <si>
    <t>158281</t>
  </si>
  <si>
    <t>SG GONCALVES</t>
  </si>
  <si>
    <t>99323</t>
  </si>
  <si>
    <t>EMBAPEL 3</t>
  </si>
  <si>
    <t>1893</t>
  </si>
  <si>
    <t>DESTACK</t>
  </si>
  <si>
    <t>538</t>
  </si>
  <si>
    <t>RESOLVE MAQUINAS</t>
  </si>
  <si>
    <t>228205</t>
  </si>
  <si>
    <t>42326</t>
  </si>
  <si>
    <t>DALEPLAST EMBALAGENS</t>
  </si>
  <si>
    <t>3988</t>
  </si>
  <si>
    <t>HYGITECH</t>
  </si>
  <si>
    <t>84468</t>
  </si>
  <si>
    <t>BAZAR 3 IRMAOS</t>
  </si>
  <si>
    <t>34906</t>
  </si>
  <si>
    <t>ZOOLOJA</t>
  </si>
  <si>
    <t>220</t>
  </si>
  <si>
    <t>49040</t>
  </si>
  <si>
    <t>2601</t>
  </si>
  <si>
    <t>15409</t>
  </si>
  <si>
    <t>38711</t>
  </si>
  <si>
    <t>JOMAGO AUTO PEÇAS</t>
  </si>
  <si>
    <t>1489</t>
  </si>
  <si>
    <t>95754</t>
  </si>
  <si>
    <t>POLIPISO</t>
  </si>
  <si>
    <t>3652398</t>
  </si>
  <si>
    <t>START QUIMICA</t>
  </si>
  <si>
    <t>145308</t>
  </si>
  <si>
    <t>HIGIENIC PRODUTOS</t>
  </si>
  <si>
    <t>19755</t>
  </si>
  <si>
    <t>MAQLAGOS</t>
  </si>
  <si>
    <t>371428</t>
  </si>
  <si>
    <t>FIBROPARTS</t>
  </si>
  <si>
    <t>15413</t>
  </si>
  <si>
    <t>216925</t>
  </si>
  <si>
    <t>228570</t>
  </si>
  <si>
    <t>11280</t>
  </si>
  <si>
    <t>86584</t>
  </si>
  <si>
    <t>923555</t>
  </si>
  <si>
    <t>3261</t>
  </si>
  <si>
    <t>1542</t>
  </si>
  <si>
    <t>3602</t>
  </si>
  <si>
    <t>923958</t>
  </si>
  <si>
    <t>39705</t>
  </si>
  <si>
    <t>TREVISO RIO VEICULOS LTDA</t>
  </si>
  <si>
    <t>3276</t>
  </si>
  <si>
    <t>15128</t>
  </si>
  <si>
    <t>2901</t>
  </si>
  <si>
    <t>42404</t>
  </si>
  <si>
    <t>3293</t>
  </si>
  <si>
    <t>3294</t>
  </si>
  <si>
    <t>14401</t>
  </si>
  <si>
    <t>217031</t>
  </si>
  <si>
    <t>81120</t>
  </si>
  <si>
    <t>178881</t>
  </si>
  <si>
    <t>27158150</t>
  </si>
  <si>
    <t>KABUM</t>
  </si>
  <si>
    <t>58618</t>
  </si>
  <si>
    <t>NET VARIEDADES</t>
  </si>
  <si>
    <t>217241</t>
  </si>
  <si>
    <t>243639</t>
  </si>
  <si>
    <t>49158</t>
  </si>
  <si>
    <t>217207</t>
  </si>
  <si>
    <t>52092</t>
  </si>
  <si>
    <t>1104</t>
  </si>
  <si>
    <t>UNIVERSO DOS FILTROS</t>
  </si>
  <si>
    <t>69254</t>
  </si>
  <si>
    <t>AMIGÃO</t>
  </si>
  <si>
    <t>349513</t>
  </si>
  <si>
    <t>C F COMERCIO DE EMBALAGENS</t>
  </si>
  <si>
    <t>229297</t>
  </si>
  <si>
    <t>217281</t>
  </si>
  <si>
    <t>11774</t>
  </si>
  <si>
    <t>32357</t>
  </si>
  <si>
    <t>DELUZ COMERCIO E DISTRIBUIDORA</t>
  </si>
  <si>
    <t>3118</t>
  </si>
  <si>
    <t>19795</t>
  </si>
  <si>
    <t>229413</t>
  </si>
  <si>
    <t>15465</t>
  </si>
  <si>
    <t>322</t>
  </si>
  <si>
    <t>217377</t>
  </si>
  <si>
    <t>217384</t>
  </si>
  <si>
    <t>7014</t>
  </si>
  <si>
    <t>GOLFINHO MOTOPECAS</t>
  </si>
  <si>
    <t>8634</t>
  </si>
  <si>
    <t>DROGARIA VENANCIO</t>
  </si>
  <si>
    <t>925661</t>
  </si>
  <si>
    <t>2722453</t>
  </si>
  <si>
    <t>CARPEL</t>
  </si>
  <si>
    <t>17413</t>
  </si>
  <si>
    <t>217440</t>
  </si>
  <si>
    <t>161390</t>
  </si>
  <si>
    <t>SHOPPING DAS FERRAMENTAS</t>
  </si>
  <si>
    <t>4937</t>
  </si>
  <si>
    <t>PARAFUSAO</t>
  </si>
  <si>
    <t>217521</t>
  </si>
  <si>
    <t>11358</t>
  </si>
  <si>
    <t>PARANA REFRIGERACAO</t>
  </si>
  <si>
    <t>161420</t>
  </si>
  <si>
    <t>3567</t>
  </si>
  <si>
    <t>BUZIOS BATERIAS</t>
  </si>
  <si>
    <t>373789</t>
  </si>
  <si>
    <t>373791</t>
  </si>
  <si>
    <t>373786</t>
  </si>
  <si>
    <t>193325</t>
  </si>
  <si>
    <t>CBA DIESEL ES</t>
  </si>
  <si>
    <t>483</t>
  </si>
  <si>
    <t>MULTIMARCAS ITABORAI</t>
  </si>
  <si>
    <t>4476</t>
  </si>
  <si>
    <t>323</t>
  </si>
  <si>
    <t>11363</t>
  </si>
  <si>
    <t>197109</t>
  </si>
  <si>
    <t>ARTVAC EMBALAGENS</t>
  </si>
  <si>
    <t>63192</t>
  </si>
  <si>
    <t>BS - BRASIL SAFETY</t>
  </si>
  <si>
    <t>11483</t>
  </si>
  <si>
    <t>2722</t>
  </si>
  <si>
    <t>78057</t>
  </si>
  <si>
    <t>217643</t>
  </si>
  <si>
    <t>217675</t>
  </si>
  <si>
    <t>12349998</t>
  </si>
  <si>
    <t>182708</t>
  </si>
  <si>
    <t>6898</t>
  </si>
  <si>
    <t>6905</t>
  </si>
  <si>
    <t>867896</t>
  </si>
  <si>
    <t>464</t>
  </si>
  <si>
    <t>BATERIAS SAO CRISTOVAO</t>
  </si>
  <si>
    <t>7293</t>
  </si>
  <si>
    <t>PAVILHAO COMERCIO ELETRONICO</t>
  </si>
  <si>
    <t>87656</t>
  </si>
  <si>
    <t>17461</t>
  </si>
  <si>
    <t>4010</t>
  </si>
  <si>
    <t>7301</t>
  </si>
  <si>
    <t>3665921</t>
  </si>
  <si>
    <t>START COMUNICACAO VISUAL</t>
  </si>
  <si>
    <t>250618</t>
  </si>
  <si>
    <t>KARHUB</t>
  </si>
  <si>
    <t>927162</t>
  </si>
  <si>
    <t>217747</t>
  </si>
  <si>
    <t>717</t>
  </si>
  <si>
    <t>TRANSRIO</t>
  </si>
  <si>
    <t>222657</t>
  </si>
  <si>
    <t>UNIVERSO PARTS</t>
  </si>
  <si>
    <t>222661</t>
  </si>
  <si>
    <t>2314</t>
  </si>
  <si>
    <t>ACS COMERCIO</t>
  </si>
  <si>
    <t>40789</t>
  </si>
  <si>
    <t>BANDEMAR</t>
  </si>
  <si>
    <t>39797</t>
  </si>
  <si>
    <t>TREVISO BETIM VEICULOS LTDA</t>
  </si>
  <si>
    <t>42562</t>
  </si>
  <si>
    <t>18789</t>
  </si>
  <si>
    <t>18801</t>
  </si>
  <si>
    <t>222659</t>
  </si>
  <si>
    <t>230416</t>
  </si>
  <si>
    <t>217829</t>
  </si>
  <si>
    <t>11402</t>
  </si>
  <si>
    <t>217804</t>
  </si>
  <si>
    <t>152478</t>
  </si>
  <si>
    <t>TEIXEIRA PINTO</t>
  </si>
  <si>
    <t>84485</t>
  </si>
  <si>
    <t>TORKAIR FERRAMENTAS</t>
  </si>
  <si>
    <t>76573</t>
  </si>
  <si>
    <t>51186</t>
  </si>
  <si>
    <t>COTIA- WURTH DO BRASIL PECAS DE FIXACAO LTDA</t>
  </si>
  <si>
    <t>244287</t>
  </si>
  <si>
    <t>11408</t>
  </si>
  <si>
    <t>59843</t>
  </si>
  <si>
    <t>84665</t>
  </si>
  <si>
    <t>140626</t>
  </si>
  <si>
    <t>36505</t>
  </si>
  <si>
    <t>MAGAZINE GJA</t>
  </si>
  <si>
    <t>19915</t>
  </si>
  <si>
    <t>CAPITAL SUPRIMENTOS</t>
  </si>
  <si>
    <t>7303</t>
  </si>
  <si>
    <t>26267</t>
  </si>
  <si>
    <t>AVANTTE SOLUCOES E LOCACOES</t>
  </si>
  <si>
    <t>925643</t>
  </si>
  <si>
    <t>DUFRIO</t>
  </si>
  <si>
    <t>31697</t>
  </si>
  <si>
    <t>230910</t>
  </si>
  <si>
    <t>928520</t>
  </si>
  <si>
    <t>1437</t>
  </si>
  <si>
    <t>928918</t>
  </si>
  <si>
    <t>84292</t>
  </si>
  <si>
    <t>CACULA</t>
  </si>
  <si>
    <t>218137</t>
  </si>
  <si>
    <t>244522</t>
  </si>
  <si>
    <t>6720</t>
  </si>
  <si>
    <t>ED ARAUJO</t>
  </si>
  <si>
    <t>10534</t>
  </si>
  <si>
    <t>20050</t>
  </si>
  <si>
    <t xml:space="preserve">MAGAZINE LUIZA </t>
  </si>
  <si>
    <t>11445</t>
  </si>
  <si>
    <t>19852</t>
  </si>
  <si>
    <t>22375</t>
  </si>
  <si>
    <t>ANOVA</t>
  </si>
  <si>
    <t>2687249</t>
  </si>
  <si>
    <t>2687244</t>
  </si>
  <si>
    <t>244681</t>
  </si>
  <si>
    <t>5223</t>
  </si>
  <si>
    <t>SMURFIT</t>
  </si>
  <si>
    <t>8265</t>
  </si>
  <si>
    <t>CACA E PESCA</t>
  </si>
  <si>
    <t>1068</t>
  </si>
  <si>
    <t>ADIEL VITORINO</t>
  </si>
  <si>
    <t>474</t>
  </si>
  <si>
    <t>244770</t>
  </si>
  <si>
    <t>244781</t>
  </si>
  <si>
    <t>5251</t>
  </si>
  <si>
    <t>204114</t>
  </si>
  <si>
    <t xml:space="preserve">SALINAS </t>
  </si>
  <si>
    <t>151177</t>
  </si>
  <si>
    <t>106</t>
  </si>
  <si>
    <t>CENTRAL DAS DIVISORIAS</t>
  </si>
  <si>
    <t>325</t>
  </si>
  <si>
    <t>218389</t>
  </si>
  <si>
    <t>2362</t>
  </si>
  <si>
    <t>34227</t>
  </si>
  <si>
    <t>2688013</t>
  </si>
  <si>
    <t>218422</t>
  </si>
  <si>
    <t>15547</t>
  </si>
  <si>
    <t>6802</t>
  </si>
  <si>
    <t>W.G.NETOS</t>
  </si>
  <si>
    <t>88731</t>
  </si>
  <si>
    <t>512</t>
  </si>
  <si>
    <t>31773</t>
  </si>
  <si>
    <t>218577</t>
  </si>
  <si>
    <t>225052</t>
  </si>
  <si>
    <t>19884</t>
  </si>
  <si>
    <t>930843</t>
  </si>
  <si>
    <t>369741</t>
  </si>
  <si>
    <t>1692</t>
  </si>
  <si>
    <t>BRAVO EQUIPAMENTOS</t>
  </si>
  <si>
    <t>76794</t>
  </si>
  <si>
    <t>84527</t>
  </si>
  <si>
    <t>CAMPEA MOTO PECAS E ACESSORIOS</t>
  </si>
  <si>
    <t>549</t>
  </si>
  <si>
    <t>931100</t>
  </si>
  <si>
    <t>44461</t>
  </si>
  <si>
    <t>AMERICANAS</t>
  </si>
  <si>
    <t>178228</t>
  </si>
  <si>
    <t>BAZAR SANTOS &amp; MARINHO</t>
  </si>
  <si>
    <t>349581</t>
  </si>
  <si>
    <t>560</t>
  </si>
  <si>
    <t>232156</t>
  </si>
  <si>
    <t>19892</t>
  </si>
  <si>
    <t>104300</t>
  </si>
  <si>
    <t>MINERAÇÃO LITORÂNEA</t>
  </si>
  <si>
    <t>104294</t>
  </si>
  <si>
    <t>565</t>
  </si>
  <si>
    <t>5408</t>
  </si>
  <si>
    <t>5409</t>
  </si>
  <si>
    <t>11538</t>
  </si>
  <si>
    <t>91066</t>
  </si>
  <si>
    <t>573</t>
  </si>
  <si>
    <t>34773</t>
  </si>
  <si>
    <t>232309</t>
  </si>
  <si>
    <t>931636</t>
  </si>
  <si>
    <t>89310</t>
  </si>
  <si>
    <t>40407</t>
  </si>
  <si>
    <t>TINTAS VINCI</t>
  </si>
  <si>
    <t>226121</t>
  </si>
  <si>
    <t>218900</t>
  </si>
  <si>
    <t>11548</t>
  </si>
  <si>
    <t>2453</t>
  </si>
  <si>
    <t>232583</t>
  </si>
  <si>
    <t>2690962</t>
  </si>
  <si>
    <t>40948</t>
  </si>
  <si>
    <t>11648</t>
  </si>
  <si>
    <t>232742</t>
  </si>
  <si>
    <t>59733</t>
  </si>
  <si>
    <t>RW UNIDOS</t>
  </si>
  <si>
    <t>609</t>
  </si>
  <si>
    <t>15607</t>
  </si>
  <si>
    <t>245520</t>
  </si>
  <si>
    <t>932558</t>
  </si>
  <si>
    <t>878054</t>
  </si>
  <si>
    <t>96380</t>
  </si>
  <si>
    <t>AUTO PECAS MARAN</t>
  </si>
  <si>
    <t>2629</t>
  </si>
  <si>
    <t>192976</t>
  </si>
  <si>
    <t>42856</t>
  </si>
  <si>
    <t>146013</t>
  </si>
  <si>
    <t>932801</t>
  </si>
  <si>
    <t>64963</t>
  </si>
  <si>
    <t>38533</t>
  </si>
  <si>
    <t>19913</t>
  </si>
  <si>
    <t>7224</t>
  </si>
  <si>
    <t>11032026</t>
  </si>
  <si>
    <t>16016</t>
  </si>
  <si>
    <t>232911</t>
  </si>
  <si>
    <t>219224</t>
  </si>
  <si>
    <t>233020</t>
  </si>
  <si>
    <t>3023</t>
  </si>
  <si>
    <t>83213</t>
  </si>
  <si>
    <t>219286</t>
  </si>
  <si>
    <t>11693</t>
  </si>
  <si>
    <t>PRIMU'S</t>
  </si>
  <si>
    <t>35442</t>
  </si>
  <si>
    <t>PAVAO TINTAS</t>
  </si>
  <si>
    <t>52835</t>
  </si>
  <si>
    <t>AMBIENTUDE</t>
  </si>
  <si>
    <t>233176</t>
  </si>
  <si>
    <t>667</t>
  </si>
  <si>
    <t>80759</t>
  </si>
  <si>
    <t>6653</t>
  </si>
  <si>
    <t>CAMINHAO ABOLIÇAO</t>
  </si>
  <si>
    <t>933571</t>
  </si>
  <si>
    <t>219472</t>
  </si>
  <si>
    <t>4622</t>
  </si>
  <si>
    <t>90046</t>
  </si>
  <si>
    <t>15631</t>
  </si>
  <si>
    <t>219561</t>
  </si>
  <si>
    <t>2140</t>
  </si>
  <si>
    <t>MERCELAGOS</t>
  </si>
  <si>
    <t>10415</t>
  </si>
  <si>
    <t>701</t>
  </si>
  <si>
    <t>GGA COMERCIO ONLINE</t>
  </si>
  <si>
    <t>47581</t>
  </si>
  <si>
    <t>DIMAQ</t>
  </si>
  <si>
    <t>951</t>
  </si>
  <si>
    <t>693</t>
  </si>
  <si>
    <t>KAKA CUTELARIA</t>
  </si>
  <si>
    <t>18032026</t>
  </si>
  <si>
    <t>71511</t>
  </si>
  <si>
    <t>SCANSOURCE DO BRASIL</t>
  </si>
  <si>
    <t>6672</t>
  </si>
  <si>
    <t>36053</t>
  </si>
  <si>
    <t>336688</t>
  </si>
  <si>
    <t>444593</t>
  </si>
  <si>
    <t>ELEFANTINHO</t>
  </si>
  <si>
    <t>219681</t>
  </si>
  <si>
    <t>7802</t>
  </si>
  <si>
    <t>ALDEIA PRINT</t>
  </si>
  <si>
    <t>69435</t>
  </si>
  <si>
    <t>LUVITA</t>
  </si>
  <si>
    <t>492</t>
  </si>
  <si>
    <t>DIRCEU</t>
  </si>
  <si>
    <t>15651</t>
  </si>
  <si>
    <t>41414</t>
  </si>
  <si>
    <t>ALDY</t>
  </si>
  <si>
    <t>151102</t>
  </si>
  <si>
    <t>DROGARIA TAMOIO</t>
  </si>
  <si>
    <t>265160</t>
  </si>
  <si>
    <t>219849</t>
  </si>
  <si>
    <t>219845</t>
  </si>
  <si>
    <t>39955</t>
  </si>
  <si>
    <t>55876</t>
  </si>
  <si>
    <t>REZENDE AUTO PECAS</t>
  </si>
  <si>
    <t>47884</t>
  </si>
  <si>
    <t>KL RESISTENCIAS</t>
  </si>
  <si>
    <t>2695285</t>
  </si>
  <si>
    <t>24032026</t>
  </si>
  <si>
    <t>4059</t>
  </si>
  <si>
    <t>907</t>
  </si>
  <si>
    <t>319142</t>
  </si>
  <si>
    <t>CASA DA BORRACHA</t>
  </si>
  <si>
    <t>47442</t>
  </si>
  <si>
    <t>REI DOS ROLAMENTOS</t>
  </si>
  <si>
    <t>935953</t>
  </si>
  <si>
    <t>265317</t>
  </si>
  <si>
    <t>220067</t>
  </si>
  <si>
    <t>935777</t>
  </si>
  <si>
    <t>782</t>
  </si>
  <si>
    <t>5629</t>
  </si>
  <si>
    <t>220037</t>
  </si>
  <si>
    <t>198307</t>
  </si>
  <si>
    <t>111369122</t>
  </si>
  <si>
    <t>EBAZAR</t>
  </si>
  <si>
    <t>3707072</t>
  </si>
  <si>
    <t>15676</t>
  </si>
  <si>
    <t>146242</t>
  </si>
  <si>
    <t>4736</t>
  </si>
  <si>
    <t>SI REFRIGERAÇAO</t>
  </si>
  <si>
    <t>431817</t>
  </si>
  <si>
    <t>RODOLUB</t>
  </si>
  <si>
    <t>265415</t>
  </si>
  <si>
    <t>20506</t>
  </si>
  <si>
    <t>936642</t>
  </si>
  <si>
    <t>1627</t>
  </si>
  <si>
    <t>SOTREQ SA</t>
  </si>
  <si>
    <t>11772</t>
  </si>
  <si>
    <t>11722</t>
  </si>
  <si>
    <t>38660</t>
  </si>
  <si>
    <t>351799</t>
  </si>
  <si>
    <t>351847</t>
  </si>
  <si>
    <t>2436</t>
  </si>
  <si>
    <t>90920</t>
  </si>
  <si>
    <t>15689</t>
  </si>
  <si>
    <t>162876</t>
  </si>
  <si>
    <t>234876</t>
  </si>
  <si>
    <t>10046</t>
  </si>
  <si>
    <t>5</t>
  </si>
  <si>
    <t>11750</t>
  </si>
  <si>
    <t>20558</t>
  </si>
  <si>
    <t>2697877</t>
  </si>
  <si>
    <t>19983</t>
  </si>
  <si>
    <t>54934</t>
  </si>
  <si>
    <t>AUTOMOTIVE PARTS</t>
  </si>
  <si>
    <t>352268</t>
  </si>
  <si>
    <t>220668</t>
  </si>
  <si>
    <t>235234</t>
  </si>
  <si>
    <t>246805</t>
  </si>
  <si>
    <t>339</t>
  </si>
  <si>
    <t>220722</t>
  </si>
  <si>
    <t>128005</t>
  </si>
  <si>
    <t>1280</t>
  </si>
  <si>
    <t>202417</t>
  </si>
  <si>
    <t>41315</t>
  </si>
  <si>
    <t>50942</t>
  </si>
  <si>
    <t>938567</t>
  </si>
  <si>
    <t>8331</t>
  </si>
  <si>
    <t>50251</t>
  </si>
  <si>
    <t>THAYNA OLIVEIRA FIGU</t>
  </si>
  <si>
    <t>390</t>
  </si>
  <si>
    <t>709</t>
  </si>
  <si>
    <t>8042026</t>
  </si>
  <si>
    <t>IMPRIMIX IMPRESSOS E ETIQUETAS</t>
  </si>
  <si>
    <t>84022</t>
  </si>
  <si>
    <t>84024</t>
  </si>
  <si>
    <t>96147</t>
  </si>
  <si>
    <t>EMAAC.E-COM</t>
  </si>
  <si>
    <t>286</t>
  </si>
  <si>
    <t>220898</t>
  </si>
  <si>
    <t>37701</t>
  </si>
  <si>
    <t>38845</t>
  </si>
  <si>
    <t>408</t>
  </si>
  <si>
    <t>2833</t>
  </si>
  <si>
    <t>PRE FOGO</t>
  </si>
  <si>
    <t>80426</t>
  </si>
  <si>
    <t>7882</t>
  </si>
  <si>
    <t>15727</t>
  </si>
  <si>
    <t>91588</t>
  </si>
  <si>
    <t>8014</t>
  </si>
  <si>
    <t>282433</t>
  </si>
  <si>
    <t>SENDAS/ASSAI</t>
  </si>
  <si>
    <t>119411</t>
  </si>
  <si>
    <t>RYNDACK</t>
  </si>
  <si>
    <t>2700390</t>
  </si>
  <si>
    <t>939474</t>
  </si>
  <si>
    <t>220132</t>
  </si>
  <si>
    <t>59</t>
  </si>
  <si>
    <t>938</t>
  </si>
  <si>
    <t>MART AUTO PECAS</t>
  </si>
  <si>
    <t>1267</t>
  </si>
  <si>
    <t>POTENCI AUTOMACAO</t>
  </si>
  <si>
    <t>29612</t>
  </si>
  <si>
    <t>SULCAR DISTRIBUIDORA DE AUTOPECAS</t>
  </si>
  <si>
    <t>4769</t>
  </si>
  <si>
    <t>221127</t>
  </si>
  <si>
    <t>20014</t>
  </si>
  <si>
    <t>458</t>
  </si>
  <si>
    <t>78282</t>
  </si>
  <si>
    <t>LIDER B.H.</t>
  </si>
  <si>
    <t>472</t>
  </si>
  <si>
    <t>5880</t>
  </si>
  <si>
    <t>PARAFUSAO &amp; BAZAR AURORA</t>
  </si>
  <si>
    <t>38195</t>
  </si>
  <si>
    <t>20962</t>
  </si>
  <si>
    <t>43281</t>
  </si>
  <si>
    <t>9027387</t>
  </si>
  <si>
    <t>BAZAR MARTINS E SPENTHOF</t>
  </si>
  <si>
    <t>20025</t>
  </si>
  <si>
    <t>5619</t>
  </si>
  <si>
    <t>MAYAGO AUTO CENTER</t>
  </si>
  <si>
    <t>132</t>
  </si>
  <si>
    <t>AIRTRONIC RJ LTDA</t>
  </si>
  <si>
    <t>21793</t>
  </si>
  <si>
    <t>242</t>
  </si>
  <si>
    <t>20029</t>
  </si>
  <si>
    <t>1690</t>
  </si>
  <si>
    <t>221371</t>
  </si>
  <si>
    <t>236269</t>
  </si>
  <si>
    <t>154572</t>
  </si>
  <si>
    <t>236533</t>
  </si>
  <si>
    <t>893690</t>
  </si>
  <si>
    <t>29613</t>
  </si>
  <si>
    <t>20937</t>
  </si>
  <si>
    <t>39755</t>
  </si>
  <si>
    <t>MAGAZINE</t>
  </si>
  <si>
    <t>2597</t>
  </si>
  <si>
    <t>CRISTAL</t>
  </si>
  <si>
    <t>5934</t>
  </si>
  <si>
    <t>85</t>
  </si>
  <si>
    <t>12951</t>
  </si>
  <si>
    <t>COMERCIAL YASMIN</t>
  </si>
  <si>
    <t>12952</t>
  </si>
  <si>
    <t>221549</t>
  </si>
  <si>
    <t>5704</t>
  </si>
  <si>
    <t>243</t>
  </si>
  <si>
    <t>1201</t>
  </si>
  <si>
    <t>163370</t>
  </si>
  <si>
    <t>221614</t>
  </si>
  <si>
    <t>433890</t>
  </si>
  <si>
    <t>353523</t>
  </si>
  <si>
    <t>221642</t>
  </si>
  <si>
    <t>353458</t>
  </si>
  <si>
    <t>2702943</t>
  </si>
  <si>
    <t>2702941</t>
  </si>
  <si>
    <t>941765</t>
  </si>
  <si>
    <t>1210</t>
  </si>
  <si>
    <t>24042026</t>
  </si>
  <si>
    <t>3721765</t>
  </si>
  <si>
    <t>20253</t>
  </si>
  <si>
    <t>KOPRON</t>
  </si>
  <si>
    <t>8032</t>
  </si>
  <si>
    <t>221791</t>
  </si>
  <si>
    <t>942199</t>
  </si>
  <si>
    <t>221787</t>
  </si>
  <si>
    <t>184</t>
  </si>
  <si>
    <t>PALOMA DA SILVA</t>
  </si>
  <si>
    <t>1</t>
  </si>
  <si>
    <t>6717</t>
  </si>
  <si>
    <t>2729147</t>
  </si>
  <si>
    <t>20057</t>
  </si>
  <si>
    <t>248070</t>
  </si>
  <si>
    <t>161194</t>
  </si>
  <si>
    <t>JULIANO PVC</t>
  </si>
  <si>
    <t>5626</t>
  </si>
  <si>
    <t>290426</t>
  </si>
  <si>
    <t>237516</t>
  </si>
  <si>
    <t>GRUPO ROCHA IMPORTS</t>
  </si>
  <si>
    <t>3111</t>
  </si>
  <si>
    <t>GINKGO</t>
  </si>
  <si>
    <t>78247</t>
  </si>
  <si>
    <t>22135</t>
  </si>
  <si>
    <t>PRIME DISTRIBUIDORA DE PECAS E SUPRIMENTOS</t>
  </si>
  <si>
    <t>222138</t>
  </si>
  <si>
    <t>354198</t>
  </si>
  <si>
    <t>237809</t>
  </si>
  <si>
    <t>93074</t>
  </si>
  <si>
    <t>398643</t>
  </si>
  <si>
    <t>398646</t>
  </si>
  <si>
    <t>398648</t>
  </si>
  <si>
    <t>398650</t>
  </si>
  <si>
    <t>38882</t>
  </si>
  <si>
    <t>11942</t>
  </si>
  <si>
    <t>29</t>
  </si>
  <si>
    <t>TOPA TUDO DOS MINEIROS</t>
  </si>
  <si>
    <t>11951</t>
  </si>
  <si>
    <t>15841</t>
  </si>
  <si>
    <t>222319</t>
  </si>
  <si>
    <t>944166</t>
  </si>
  <si>
    <t>209006</t>
  </si>
  <si>
    <t>78357</t>
  </si>
  <si>
    <t>71</t>
  </si>
  <si>
    <t>IMPERIO DAS EMBALAGENS</t>
  </si>
  <si>
    <t>12633</t>
  </si>
  <si>
    <t>AUTO POSTO RJ-SAO PEDRO LTDA</t>
  </si>
  <si>
    <t>11962</t>
  </si>
  <si>
    <t>238003</t>
  </si>
  <si>
    <t>93228</t>
  </si>
  <si>
    <t>354560</t>
  </si>
  <si>
    <t>15858</t>
  </si>
  <si>
    <t>156868</t>
  </si>
  <si>
    <t>154994</t>
  </si>
  <si>
    <t>222494</t>
  </si>
  <si>
    <t>402046</t>
  </si>
  <si>
    <t>CASA DO CAMINHAO</t>
  </si>
  <si>
    <t>6683</t>
  </si>
  <si>
    <t>8738</t>
  </si>
  <si>
    <t>GRÁFICA LIMA</t>
  </si>
  <si>
    <t>78428</t>
  </si>
  <si>
    <t>222585</t>
  </si>
  <si>
    <t>15865</t>
  </si>
  <si>
    <t>7726</t>
  </si>
  <si>
    <t>1314</t>
  </si>
  <si>
    <t>222663</t>
  </si>
  <si>
    <t>238313</t>
  </si>
  <si>
    <t>19344</t>
  </si>
  <si>
    <t>MINAS CELULARES</t>
  </si>
  <si>
    <t>450861</t>
  </si>
  <si>
    <t>248770</t>
  </si>
  <si>
    <t>57632</t>
  </si>
  <si>
    <t>131502</t>
  </si>
  <si>
    <t>40425</t>
  </si>
  <si>
    <t>248844</t>
  </si>
  <si>
    <t>163888</t>
  </si>
  <si>
    <t>825</t>
  </si>
  <si>
    <t>HOME SERVICE BALANCAS &amp; CIA</t>
  </si>
  <si>
    <t>38901</t>
  </si>
  <si>
    <t>945858</t>
  </si>
  <si>
    <t>2707402</t>
  </si>
  <si>
    <t>20112</t>
  </si>
  <si>
    <t>15898</t>
  </si>
  <si>
    <t>6192</t>
  </si>
  <si>
    <t>93801</t>
  </si>
  <si>
    <t>22204</t>
  </si>
  <si>
    <t>355574</t>
  </si>
  <si>
    <t>POSTO VIA LAGOS</t>
  </si>
  <si>
    <t>8740</t>
  </si>
  <si>
    <t>85790</t>
  </si>
  <si>
    <t>164017</t>
  </si>
  <si>
    <t>904733</t>
  </si>
  <si>
    <t>4045</t>
  </si>
  <si>
    <t>NORIC STEEL EQUIPAMENTOS</t>
  </si>
  <si>
    <t>355386</t>
  </si>
  <si>
    <t>20128</t>
  </si>
  <si>
    <t>749</t>
  </si>
  <si>
    <t>15914</t>
  </si>
  <si>
    <t>223049</t>
  </si>
  <si>
    <t>164006</t>
  </si>
  <si>
    <t>223117</t>
  </si>
  <si>
    <t>222552</t>
  </si>
  <si>
    <t>2708771</t>
  </si>
  <si>
    <t>108116</t>
  </si>
  <si>
    <t>KALUNGA</t>
  </si>
  <si>
    <t>4842</t>
  </si>
  <si>
    <t>249291</t>
  </si>
  <si>
    <t>239029</t>
  </si>
  <si>
    <t>3137</t>
  </si>
  <si>
    <t>RETOQUE TINTAS</t>
  </si>
  <si>
    <t>20143</t>
  </si>
  <si>
    <t>947545</t>
  </si>
  <si>
    <t>209</t>
  </si>
  <si>
    <t>223256</t>
  </si>
  <si>
    <t>2709250</t>
  </si>
  <si>
    <t>260</t>
  </si>
  <si>
    <t>2709847</t>
  </si>
  <si>
    <t>35257</t>
  </si>
  <si>
    <t>DOM ATACADISTA</t>
  </si>
  <si>
    <t>51075</t>
  </si>
  <si>
    <t>2710029</t>
  </si>
  <si>
    <t>29853</t>
  </si>
  <si>
    <t>260562026</t>
  </si>
  <si>
    <t>907684</t>
  </si>
  <si>
    <t>219633</t>
  </si>
  <si>
    <t>3759138</t>
  </si>
  <si>
    <t>2710320</t>
  </si>
  <si>
    <t>436947</t>
  </si>
  <si>
    <t>383015</t>
  </si>
  <si>
    <t>249611</t>
  </si>
  <si>
    <t>948544</t>
  </si>
  <si>
    <t>165</t>
  </si>
  <si>
    <t>23191</t>
  </si>
  <si>
    <t>27052026</t>
  </si>
  <si>
    <t>948918</t>
  </si>
  <si>
    <t>134777</t>
  </si>
  <si>
    <t>ESTACAO DAS LINHAS</t>
  </si>
  <si>
    <t>239623</t>
  </si>
  <si>
    <t>94847</t>
  </si>
  <si>
    <t>1298</t>
  </si>
  <si>
    <t>463256</t>
  </si>
  <si>
    <t>BRN AUTO PARTES</t>
  </si>
  <si>
    <t>326</t>
  </si>
  <si>
    <t>223668</t>
  </si>
  <si>
    <t>2710908</t>
  </si>
  <si>
    <t>331058</t>
  </si>
  <si>
    <t>266630</t>
  </si>
  <si>
    <t>55292</t>
  </si>
  <si>
    <t>249775</t>
  </si>
  <si>
    <t>1062026</t>
  </si>
  <si>
    <t>42057</t>
  </si>
  <si>
    <t>112</t>
  </si>
  <si>
    <t>129</t>
  </si>
  <si>
    <t>239959</t>
  </si>
  <si>
    <t>15991</t>
  </si>
  <si>
    <t>20172</t>
  </si>
  <si>
    <t>252</t>
  </si>
  <si>
    <t>78828</t>
  </si>
  <si>
    <t>3010409</t>
  </si>
  <si>
    <t>42246</t>
  </si>
  <si>
    <t>223919</t>
  </si>
  <si>
    <t>48200</t>
  </si>
  <si>
    <t>143</t>
  </si>
  <si>
    <t>244</t>
  </si>
  <si>
    <t>215696</t>
  </si>
  <si>
    <t>9156</t>
  </si>
  <si>
    <t>22539</t>
  </si>
  <si>
    <t>8062026</t>
  </si>
  <si>
    <t>85838</t>
  </si>
  <si>
    <t>93752</t>
  </si>
  <si>
    <t>AGROPIZA- A FORCA DO INTERIOR</t>
  </si>
  <si>
    <t>69</t>
  </si>
  <si>
    <t>GENESIS ULTRACONGELADOS LTDA</t>
  </si>
  <si>
    <t>211857</t>
  </si>
  <si>
    <t>437705</t>
  </si>
  <si>
    <t>16033</t>
  </si>
  <si>
    <t>1083</t>
  </si>
  <si>
    <t>240963</t>
  </si>
  <si>
    <t>2713471</t>
  </si>
  <si>
    <t>95673</t>
  </si>
  <si>
    <t>1592</t>
  </si>
  <si>
    <t>22067</t>
  </si>
  <si>
    <t>102973</t>
  </si>
  <si>
    <t>LEITURA</t>
  </si>
  <si>
    <t>12158</t>
  </si>
  <si>
    <t>224357</t>
  </si>
  <si>
    <t>267316</t>
  </si>
  <si>
    <t>357323</t>
  </si>
  <si>
    <t>2714017</t>
  </si>
  <si>
    <t>147277</t>
  </si>
  <si>
    <t>78966</t>
  </si>
  <si>
    <t>1135</t>
  </si>
  <si>
    <t>741320</t>
  </si>
  <si>
    <t>LAGOSRIO</t>
  </si>
  <si>
    <t>2119</t>
  </si>
  <si>
    <t>LITORAL ALUMINIO EIRELI</t>
  </si>
  <si>
    <t>372</t>
  </si>
  <si>
    <t>224541</t>
  </si>
  <si>
    <t>2641</t>
  </si>
  <si>
    <t>2714541</t>
  </si>
  <si>
    <t>267474</t>
  </si>
  <si>
    <t>98582</t>
  </si>
  <si>
    <t>15062026</t>
  </si>
  <si>
    <t>224581</t>
  </si>
  <si>
    <t>108469</t>
  </si>
  <si>
    <t>7225</t>
  </si>
  <si>
    <t>2714846</t>
  </si>
  <si>
    <t>39802</t>
  </si>
  <si>
    <t>DOOM ONLINE PECAS</t>
  </si>
  <si>
    <t>39803</t>
  </si>
  <si>
    <t>1271</t>
  </si>
  <si>
    <t>94285</t>
  </si>
  <si>
    <t>5048</t>
  </si>
  <si>
    <t>43696</t>
  </si>
  <si>
    <t>1028</t>
  </si>
  <si>
    <t>224663</t>
  </si>
  <si>
    <t>152466</t>
  </si>
  <si>
    <t>157</t>
  </si>
  <si>
    <t>1043</t>
  </si>
  <si>
    <t>23020</t>
  </si>
  <si>
    <t>22707</t>
  </si>
  <si>
    <t>956009</t>
  </si>
  <si>
    <t>79334</t>
  </si>
  <si>
    <t>241364</t>
  </si>
  <si>
    <t>16093</t>
  </si>
  <si>
    <t>386773</t>
  </si>
  <si>
    <t>104122</t>
  </si>
  <si>
    <t>5924</t>
  </si>
  <si>
    <t>TRATOR LAGOS</t>
  </si>
  <si>
    <t>19833</t>
  </si>
  <si>
    <t>158436</t>
  </si>
  <si>
    <t>AUTO PECAS ABRANTES</t>
  </si>
  <si>
    <t>224915</t>
  </si>
  <si>
    <t>2715965</t>
  </si>
  <si>
    <t>335469</t>
  </si>
  <si>
    <t>12106</t>
  </si>
  <si>
    <t>79443</t>
  </si>
  <si>
    <t>44114</t>
  </si>
  <si>
    <t>22747</t>
  </si>
  <si>
    <t>723</t>
  </si>
  <si>
    <t>1889</t>
  </si>
  <si>
    <t>241649</t>
  </si>
  <si>
    <t>16114</t>
  </si>
  <si>
    <t>421322</t>
  </si>
  <si>
    <t>SUPERMARKET</t>
  </si>
  <si>
    <t>12108</t>
  </si>
  <si>
    <t>358212</t>
  </si>
  <si>
    <t>1897</t>
  </si>
  <si>
    <t>4751</t>
  </si>
  <si>
    <t>38964</t>
  </si>
  <si>
    <t>16128</t>
  </si>
  <si>
    <t>335905</t>
  </si>
  <si>
    <t>694</t>
  </si>
  <si>
    <t>976882</t>
  </si>
  <si>
    <t>RABELLO CASA E CONSTRUCAO</t>
  </si>
  <si>
    <t>79500</t>
  </si>
  <si>
    <t>4759</t>
  </si>
  <si>
    <t>26062026</t>
  </si>
  <si>
    <t>2716637</t>
  </si>
  <si>
    <t>40975</t>
  </si>
  <si>
    <t>884</t>
  </si>
  <si>
    <t>QUALY MOVEIS</t>
  </si>
  <si>
    <t>37647</t>
  </si>
  <si>
    <t>VOLTE CLICK</t>
  </si>
  <si>
    <t>24093</t>
  </si>
  <si>
    <t>87067</t>
  </si>
  <si>
    <t>10100</t>
  </si>
  <si>
    <t>M.M.&amp; PRIMO</t>
  </si>
  <si>
    <t>54581</t>
  </si>
  <si>
    <t>VGA ELETRONICOS E TECNOLOGIA LTDA</t>
  </si>
  <si>
    <t>2716904</t>
  </si>
  <si>
    <t>20230</t>
  </si>
  <si>
    <t>102723</t>
  </si>
  <si>
    <t>DOTREVO</t>
  </si>
  <si>
    <t>19877</t>
  </si>
  <si>
    <t>12247</t>
  </si>
  <si>
    <t>4340477</t>
  </si>
  <si>
    <t xml:space="preserve">NAPOLI </t>
  </si>
  <si>
    <t>225233</t>
  </si>
  <si>
    <t>108633</t>
  </si>
  <si>
    <t>242025</t>
  </si>
  <si>
    <t>25907</t>
  </si>
  <si>
    <t>679</t>
  </si>
  <si>
    <t>16145</t>
  </si>
  <si>
    <t>7089</t>
  </si>
  <si>
    <t>12607</t>
  </si>
  <si>
    <t>16152</t>
  </si>
  <si>
    <t>258</t>
  </si>
  <si>
    <t>TROPICAL PAISAGISMO</t>
  </si>
  <si>
    <t>1351</t>
  </si>
  <si>
    <t>20242</t>
  </si>
  <si>
    <t>2072026</t>
  </si>
  <si>
    <t>45559</t>
  </si>
  <si>
    <t>T I PLACE</t>
  </si>
  <si>
    <t>3555</t>
  </si>
  <si>
    <t>2764</t>
  </si>
  <si>
    <t>1310</t>
  </si>
  <si>
    <t>40735</t>
  </si>
  <si>
    <t>417835</t>
  </si>
  <si>
    <t>2991</t>
  </si>
  <si>
    <t>LOTIS</t>
  </si>
  <si>
    <t>21892</t>
  </si>
  <si>
    <t>3072026</t>
  </si>
  <si>
    <t>328</t>
  </si>
  <si>
    <t>221139</t>
  </si>
  <si>
    <t>2278</t>
  </si>
  <si>
    <t>THE CHARM</t>
  </si>
  <si>
    <t>76</t>
  </si>
  <si>
    <t>97472</t>
  </si>
  <si>
    <t>38980</t>
  </si>
  <si>
    <t>46703</t>
  </si>
  <si>
    <t>30146</t>
  </si>
  <si>
    <t>20254</t>
  </si>
  <si>
    <t>22966</t>
  </si>
  <si>
    <t>5708</t>
  </si>
  <si>
    <t>16196</t>
  </si>
  <si>
    <t>6852</t>
  </si>
  <si>
    <t>6851</t>
  </si>
  <si>
    <t>225743</t>
  </si>
  <si>
    <t>2082</t>
  </si>
  <si>
    <t>359242</t>
  </si>
  <si>
    <t>8909</t>
  </si>
  <si>
    <t>1325</t>
  </si>
  <si>
    <t>302525</t>
  </si>
  <si>
    <t>GUANAPACK</t>
  </si>
  <si>
    <t>5723</t>
  </si>
  <si>
    <t>6890</t>
  </si>
  <si>
    <t>4722</t>
  </si>
  <si>
    <t>22998</t>
  </si>
  <si>
    <t>405898</t>
  </si>
  <si>
    <t>VIPES DO BRASIL</t>
  </si>
  <si>
    <t>375</t>
  </si>
  <si>
    <t>17072026</t>
  </si>
  <si>
    <t>2202</t>
  </si>
  <si>
    <t>13072026</t>
  </si>
  <si>
    <t>45960</t>
  </si>
  <si>
    <t>6950</t>
  </si>
  <si>
    <t>98024</t>
  </si>
  <si>
    <t>21819</t>
  </si>
  <si>
    <t>AAN T COSTA</t>
  </si>
  <si>
    <t>156676</t>
  </si>
  <si>
    <t>2475</t>
  </si>
  <si>
    <t>BRAVE ENGENHARIA</t>
  </si>
  <si>
    <t>2477</t>
  </si>
  <si>
    <t>5150</t>
  </si>
  <si>
    <t>90140</t>
  </si>
  <si>
    <t>108817</t>
  </si>
  <si>
    <t>243074</t>
  </si>
  <si>
    <t>2026</t>
  </si>
  <si>
    <t>98245</t>
  </si>
  <si>
    <t>51819</t>
  </si>
  <si>
    <t>98251</t>
  </si>
  <si>
    <t>15072026</t>
  </si>
  <si>
    <t>2222</t>
  </si>
  <si>
    <t>155578</t>
  </si>
  <si>
    <t>226139</t>
  </si>
  <si>
    <t>12001441</t>
  </si>
  <si>
    <t>ROBSON DA SILVA PINTO</t>
  </si>
  <si>
    <t>13030</t>
  </si>
  <si>
    <t>13019</t>
  </si>
  <si>
    <t>46753</t>
  </si>
  <si>
    <t>98347</t>
  </si>
  <si>
    <t>1318</t>
  </si>
  <si>
    <t>2249</t>
  </si>
  <si>
    <t>243230</t>
  </si>
  <si>
    <t>226269</t>
  </si>
  <si>
    <t>2713</t>
  </si>
  <si>
    <t>2666</t>
  </si>
  <si>
    <t>16266</t>
  </si>
  <si>
    <t>243407</t>
  </si>
  <si>
    <t>8070</t>
  </si>
  <si>
    <t>12200</t>
  </si>
  <si>
    <t>2673</t>
  </si>
  <si>
    <t>98671</t>
  </si>
  <si>
    <t>371664</t>
  </si>
  <si>
    <t>ATACADAO</t>
  </si>
  <si>
    <t>5822</t>
  </si>
  <si>
    <t>DIFERENCIAL DIESEL</t>
  </si>
  <si>
    <t>13438</t>
  </si>
  <si>
    <t>2768</t>
  </si>
  <si>
    <t>2686</t>
  </si>
  <si>
    <t>226505</t>
  </si>
  <si>
    <t>2767</t>
  </si>
  <si>
    <t>23450</t>
  </si>
  <si>
    <t>BRUTO EXPRESS</t>
  </si>
  <si>
    <t>360499</t>
  </si>
  <si>
    <t>269382</t>
  </si>
  <si>
    <t>13712</t>
  </si>
  <si>
    <t>24072026</t>
  </si>
  <si>
    <t>243659</t>
  </si>
  <si>
    <t>108981</t>
  </si>
  <si>
    <t>2722897</t>
  </si>
  <si>
    <t>226792</t>
  </si>
  <si>
    <t>3024</t>
  </si>
  <si>
    <t>20315</t>
  </si>
  <si>
    <t>99205</t>
  </si>
  <si>
    <t>43676</t>
  </si>
  <si>
    <t>HEAD INFORMATICA</t>
  </si>
  <si>
    <t>247477</t>
  </si>
  <si>
    <t>3238</t>
  </si>
  <si>
    <t>360741</t>
  </si>
  <si>
    <t>3814482</t>
  </si>
  <si>
    <t>28072026</t>
  </si>
  <si>
    <t>3245</t>
  </si>
  <si>
    <t>AC SAO PEDRO DA ALDEIA</t>
  </si>
  <si>
    <t>13898</t>
  </si>
  <si>
    <t>243967</t>
  </si>
  <si>
    <t>20321</t>
  </si>
  <si>
    <t>2723232</t>
  </si>
  <si>
    <t>162282</t>
  </si>
  <si>
    <t>SIGNODE</t>
  </si>
  <si>
    <t>3600803</t>
  </si>
  <si>
    <t>13909</t>
  </si>
  <si>
    <t>TDB</t>
  </si>
  <si>
    <t>226952</t>
  </si>
  <si>
    <t>1324</t>
  </si>
  <si>
    <t>52103</t>
  </si>
  <si>
    <t>1141</t>
  </si>
  <si>
    <t>80446</t>
  </si>
  <si>
    <t>23304</t>
  </si>
  <si>
    <t>626</t>
  </si>
  <si>
    <t>3311</t>
  </si>
  <si>
    <t>7216</t>
  </si>
  <si>
    <t>20332</t>
  </si>
  <si>
    <t>39</t>
  </si>
  <si>
    <t>IMAGEM</t>
  </si>
  <si>
    <t>21932</t>
  </si>
  <si>
    <t>244160</t>
  </si>
  <si>
    <t>541</t>
  </si>
  <si>
    <t>GABRIEL</t>
  </si>
  <si>
    <t>31072026</t>
  </si>
  <si>
    <t>80492</t>
  </si>
  <si>
    <t>2016</t>
  </si>
  <si>
    <t>20337</t>
  </si>
  <si>
    <t>207</t>
  </si>
  <si>
    <t>1240</t>
  </si>
  <si>
    <t>HC HORNBURG</t>
  </si>
  <si>
    <t>822972</t>
  </si>
  <si>
    <t>GIGANTEC</t>
  </si>
  <si>
    <t>1327</t>
  </si>
  <si>
    <t>7260</t>
  </si>
  <si>
    <t>2736790</t>
  </si>
  <si>
    <t>1167</t>
  </si>
  <si>
    <t>3466</t>
  </si>
  <si>
    <t>99869</t>
  </si>
  <si>
    <t>2143</t>
  </si>
  <si>
    <t>CARPEL PAPELARIA</t>
  </si>
  <si>
    <t>48</t>
  </si>
  <si>
    <t>227219</t>
  </si>
  <si>
    <t>244491</t>
  </si>
  <si>
    <t>48305</t>
  </si>
  <si>
    <t>7215</t>
  </si>
  <si>
    <t>7862</t>
  </si>
  <si>
    <t>244557</t>
  </si>
  <si>
    <t>508</t>
  </si>
  <si>
    <t>227313</t>
  </si>
  <si>
    <t>94</t>
  </si>
  <si>
    <t>20344</t>
  </si>
  <si>
    <t>16237</t>
  </si>
  <si>
    <t>42012</t>
  </si>
  <si>
    <t>444236</t>
  </si>
  <si>
    <t>2391</t>
  </si>
  <si>
    <t>16380</t>
  </si>
  <si>
    <t>100100</t>
  </si>
  <si>
    <t>100142</t>
  </si>
  <si>
    <t>2969</t>
  </si>
  <si>
    <t>BRUNO MOTOS</t>
  </si>
  <si>
    <t>708</t>
  </si>
  <si>
    <t>427711</t>
  </si>
  <si>
    <t>SINAL VERDE</t>
  </si>
  <si>
    <t>100209</t>
  </si>
  <si>
    <t>1308</t>
  </si>
  <si>
    <t>13398</t>
  </si>
  <si>
    <t>3230</t>
  </si>
  <si>
    <t>RODA VIVA MOTO BIKE</t>
  </si>
  <si>
    <t>23460</t>
  </si>
  <si>
    <t>812</t>
  </si>
  <si>
    <t>NFB MUNDO BARBER</t>
  </si>
  <si>
    <t>1438</t>
  </si>
  <si>
    <t>AS BRITO ELETRONICOS</t>
  </si>
  <si>
    <t>1052</t>
  </si>
  <si>
    <t>FELIPE</t>
  </si>
  <si>
    <t>2971</t>
  </si>
  <si>
    <t>110826</t>
  </si>
  <si>
    <t>768605</t>
  </si>
  <si>
    <t>12302</t>
  </si>
  <si>
    <t>1304</t>
  </si>
  <si>
    <t>23505</t>
  </si>
  <si>
    <t>54545</t>
  </si>
  <si>
    <t>965612</t>
  </si>
  <si>
    <t>3034</t>
  </si>
  <si>
    <t>227853</t>
  </si>
  <si>
    <t>1408</t>
  </si>
  <si>
    <t>2940</t>
  </si>
  <si>
    <t>758505</t>
  </si>
  <si>
    <t>287859</t>
  </si>
  <si>
    <t>ACRE RIO SOLUCOES</t>
  </si>
  <si>
    <t>965295</t>
  </si>
  <si>
    <t>11365</t>
  </si>
  <si>
    <t>3831466</t>
  </si>
  <si>
    <t>15502</t>
  </si>
  <si>
    <t>940197</t>
  </si>
  <si>
    <t>104</t>
  </si>
  <si>
    <t>15307</t>
  </si>
  <si>
    <t>3994</t>
  </si>
  <si>
    <t>2726586</t>
  </si>
  <si>
    <t>227933</t>
  </si>
  <si>
    <t>1331</t>
  </si>
  <si>
    <t>1708</t>
  </si>
  <si>
    <t>15610</t>
  </si>
  <si>
    <t>1808</t>
  </si>
  <si>
    <t>13448</t>
  </si>
  <si>
    <t>3R INFOIMPORT EQUIPAMENTOS DE INFORMATICA LTDA</t>
  </si>
  <si>
    <t>1168</t>
  </si>
  <si>
    <t>12332</t>
  </si>
  <si>
    <t>967004</t>
  </si>
  <si>
    <t>101205</t>
  </si>
  <si>
    <t>211436</t>
  </si>
  <si>
    <t>5328</t>
  </si>
  <si>
    <t>362665</t>
  </si>
  <si>
    <t>23636</t>
  </si>
  <si>
    <t>1188</t>
  </si>
  <si>
    <t>105181</t>
  </si>
  <si>
    <t>228135</t>
  </si>
  <si>
    <t>4321</t>
  </si>
  <si>
    <t>44262</t>
  </si>
  <si>
    <t>REDUX 32</t>
  </si>
  <si>
    <t>967849</t>
  </si>
  <si>
    <t>943486</t>
  </si>
  <si>
    <t>2982</t>
  </si>
  <si>
    <t>224328</t>
  </si>
  <si>
    <t>16391</t>
  </si>
  <si>
    <t>15891</t>
  </si>
  <si>
    <t>2708</t>
  </si>
  <si>
    <t>835</t>
  </si>
  <si>
    <t>1605</t>
  </si>
  <si>
    <t xml:space="preserve"> RAFAEL NICOLAS DOS SANTOS CAMILLO</t>
  </si>
  <si>
    <t>66418</t>
  </si>
  <si>
    <t>ERIKE PECAS</t>
  </si>
  <si>
    <t>908</t>
  </si>
  <si>
    <t>DOGIVAL DE ASSIS OLIVEIRA</t>
  </si>
  <si>
    <t>102160</t>
  </si>
  <si>
    <t>395</t>
  </si>
  <si>
    <t>RODOLFO PAULINO</t>
  </si>
  <si>
    <t>33599</t>
  </si>
  <si>
    <t>14340</t>
  </si>
  <si>
    <t>109</t>
  </si>
  <si>
    <t>839</t>
  </si>
  <si>
    <t>42763</t>
  </si>
  <si>
    <t>903</t>
  </si>
  <si>
    <t>970229</t>
  </si>
  <si>
    <t>23811</t>
  </si>
  <si>
    <t>103</t>
  </si>
  <si>
    <t>291</t>
  </si>
  <si>
    <t>971453</t>
  </si>
  <si>
    <t>3406</t>
  </si>
  <si>
    <t>9092026</t>
  </si>
  <si>
    <t>3618</t>
  </si>
  <si>
    <t>12</t>
  </si>
  <si>
    <t>CAMP POLIURETANO RJ</t>
  </si>
  <si>
    <t>119</t>
  </si>
  <si>
    <t>123</t>
  </si>
  <si>
    <t>886</t>
  </si>
  <si>
    <t>NOVA TANGUA</t>
  </si>
  <si>
    <t>23962</t>
  </si>
  <si>
    <t>19020</t>
  </si>
  <si>
    <t>RICAMAR PNEUS</t>
  </si>
  <si>
    <t>0</t>
  </si>
  <si>
    <t>885</t>
  </si>
  <si>
    <t>9504</t>
  </si>
  <si>
    <t>HISTÓRICO DIÁRIO — INDICADORES DO ESTOQUE (para o gráfico de tendência)</t>
  </si>
  <si>
    <t>VALORES AO VIVO — AGORA (copie pra uma linha nova)</t>
  </si>
  <si>
    <t>Uma linha por MÊS (não por dia). Clicar em 'Salvar snapshot' atualiza a linha do mês atual se já existir; só cria linha nova quando o mês mudar. Valores são fixos (não fórmula) — são a 'foto' daquele mês.</t>
  </si>
  <si>
    <t>Data de hoje</t>
  </si>
  <si>
    <t>Data</t>
  </si>
  <si>
    <t>Total Cadastros</t>
  </si>
  <si>
    <t>Com Saldo</t>
  </si>
  <si>
    <t>Saldo Zerado</t>
  </si>
  <si>
    <t>Saldo Negativo</t>
  </si>
  <si>
    <t>Giro Ativo</t>
  </si>
  <si>
    <t>Itens Curados</t>
  </si>
  <si>
    <t>Obs: Giro Ativo não dá pra calcular ao vivo aqui (depende de somar saídas — pesado pra fórmula). Confira no dashboard e digite na hora de salvar.</t>
  </si>
  <si>
    <t>COMO FUNCIONA O BOTÃO 'SALVAR SNAPSHOT DE HOJE'</t>
  </si>
  <si>
    <t>• Hoje (setembro): você clica em "Salvar snapshot de hoje" → ele pega o valor que está na tela agora (ex: R$ 5.119.194,72) e grava uma linha: 21/09/2026 | R$ 5.119.194,72 | ...</t>
  </si>
  <si>
    <t>• Se você clicar de novo ainda em setembro (ex: quer atualizar depois de corrigir mais itens) → ele não cria uma segunda linha de setembro — encontra que já existe um snapshot desse mês e atualiza essa mesma linha, sem duplicar.</t>
  </si>
  <si>
    <t>• No mês que vem (outubro): você atualiza o Gestran, sobe os dados, clica em "Salvar snapshot de hoje" de novo → como o mês mudou, ele cria uma linha nova: 05/10/2026 | R$ 4.980.000,00 | ...</t>
  </si>
  <si>
    <t>• O gráfico então mostra: uma barra por mês, sempre com o último valor salvo naquele mês — o sistema decide sozinho se atualiza a linha do mês atual ou cria uma nova, sem você precisar gerenciar isso manualmente.</t>
  </si>
</sst>
</file>

<file path=xl/styles.xml><?xml version="1.0" encoding="utf-8"?>
<styleSheet xmlns="http://schemas.openxmlformats.org/spreadsheetml/2006/main">
  <numFmts count="11">
    <numFmt numFmtId="176" formatCode="_-&quot;R$&quot;* #,##0_-;\-&quot;R$&quot;* #,##0_-;_-&quot;R$&quot;* &quot;-&quot;_-;_-@_-"/>
    <numFmt numFmtId="177" formatCode="yyyy\-mm\-dd\ h:mm:ss"/>
    <numFmt numFmtId="178" formatCode="_-* #,##0.00_-;\-* #,##0.00_-;_-* &quot;-&quot;??_-;_-@_-"/>
    <numFmt numFmtId="179" formatCode="_-* #,##0_-;\-* #,##0_-;_-* &quot;-&quot;_-;_-@_-"/>
    <numFmt numFmtId="180" formatCode="_-&quot;R$&quot;* #,##0.00_-;&quot;-R$&quot;* #,##0.00_-;_-&quot;R$&quot;* \-??_-;_-@_-"/>
    <numFmt numFmtId="181" formatCode="m/d/yyyy"/>
    <numFmt numFmtId="182" formatCode="dd/mm/yyyy\ hh:mm"/>
    <numFmt numFmtId="183" formatCode="&quot;R$ &quot;#,##0.00"/>
    <numFmt numFmtId="184" formatCode="0.0"/>
    <numFmt numFmtId="185" formatCode="0.0%"/>
    <numFmt numFmtId="186" formatCode="dd/mm/yyyy;@"/>
  </numFmts>
  <fonts count="59">
    <font>
      <sz val="11"/>
      <color theme="1"/>
      <name val="Calibri"/>
      <charset val="1"/>
    </font>
    <font>
      <b/>
      <sz val="14"/>
      <color rgb="FF1F3864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b/>
      <sz val="10"/>
      <name val="Arial"/>
      <charset val="1"/>
    </font>
    <font>
      <i/>
      <sz val="8"/>
      <color rgb="FF7F7F7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"/>
    </font>
    <font>
      <sz val="10"/>
      <name val="Calibri"/>
      <charset val="1"/>
    </font>
    <font>
      <b/>
      <sz val="14"/>
      <color rgb="FF1F3864"/>
      <name val="Calibri"/>
      <charset val="1"/>
    </font>
    <font>
      <b/>
      <sz val="10"/>
      <name val="Calibri"/>
      <charset val="1"/>
    </font>
    <font>
      <b/>
      <sz val="11"/>
      <name val="Calibri"/>
      <charset val="1"/>
    </font>
    <font>
      <i/>
      <sz val="10"/>
      <color rgb="FF666666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808080"/>
      <name val="Calibri"/>
      <charset val="1"/>
    </font>
    <font>
      <sz val="9"/>
      <name val="Arial"/>
      <charset val="1"/>
    </font>
    <font>
      <sz val="9"/>
      <name val="Calibri"/>
      <charset val="1"/>
    </font>
    <font>
      <b/>
      <sz val="12"/>
      <color rgb="FF1F3864"/>
      <name val="Calibri"/>
      <charset val="1"/>
    </font>
    <font>
      <b/>
      <sz val="16"/>
      <color rgb="FF1F3864"/>
      <name val="Calibri"/>
      <charset val="1"/>
    </font>
    <font>
      <b/>
      <sz val="10"/>
      <color rgb="FF9C0006"/>
      <name val="Calibri"/>
      <charset val="1"/>
    </font>
    <font>
      <i/>
      <sz val="10"/>
      <color rgb="FF7F7F7F"/>
      <name val="Calibri"/>
      <charset val="1"/>
    </font>
    <font>
      <b/>
      <sz val="10"/>
      <color rgb="FF806000"/>
      <name val="Calibri"/>
      <charset val="1"/>
    </font>
    <font>
      <b/>
      <sz val="10"/>
      <color rgb="FFFFFFFF"/>
      <name val="Calibri"/>
      <charset val="1"/>
    </font>
    <font>
      <b/>
      <sz val="14"/>
      <color rgb="FF9C0006"/>
      <name val="Calibri"/>
      <charset val="1"/>
    </font>
    <font>
      <b/>
      <sz val="10"/>
      <color rgb="FF375623"/>
      <name val="Calibri"/>
      <charset val="1"/>
    </font>
    <font>
      <b/>
      <sz val="14"/>
      <color rgb="FF806000"/>
      <name val="Calibri"/>
      <charset val="1"/>
    </font>
    <font>
      <b/>
      <sz val="10"/>
      <color rgb="FFC00000"/>
      <name val="Calibri"/>
      <charset val="1"/>
    </font>
    <font>
      <b/>
      <sz val="14"/>
      <color rgb="FFC00000"/>
      <name val="Calibri"/>
      <charset val="1"/>
    </font>
    <font>
      <b/>
      <sz val="14"/>
      <color rgb="FF375623"/>
      <name val="Calibri"/>
      <charset val="1"/>
    </font>
    <font>
      <b/>
      <i/>
      <sz val="10"/>
      <color rgb="FF1F3864"/>
      <name val="Calibri"/>
      <charset val="1"/>
    </font>
    <font>
      <b/>
      <sz val="20"/>
      <color rgb="FFFFFFFF"/>
      <name val="Calibri"/>
      <charset val="1"/>
    </font>
    <font>
      <b/>
      <sz val="16"/>
      <color rgb="FFFFFFFF"/>
      <name val="Calibri"/>
      <charset val="1"/>
    </font>
    <font>
      <b/>
      <sz val="16"/>
      <color theme="1"/>
      <name val="Calibri"/>
      <charset val="1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2F2F2"/>
        <bgColor rgb="FFE2EFDA"/>
      </patternFill>
    </fill>
    <fill>
      <patternFill patternType="solid">
        <fgColor rgb="FF9C0006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806000"/>
        <bgColor rgb="FF666666"/>
      </patternFill>
    </fill>
    <fill>
      <patternFill patternType="solid">
        <fgColor rgb="FFFFFF00"/>
        <bgColor rgb="FFFFE699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176" fontId="11" fillId="0" borderId="0" applyBorder="0" applyAlignment="0" applyProtection="0"/>
    <xf numFmtId="179" fontId="11" fillId="0" borderId="0" applyBorder="0" applyAlignment="0" applyProtection="0"/>
    <xf numFmtId="0" fontId="43" fillId="15" borderId="0" applyNumberFormat="0" applyBorder="0" applyAlignment="0" applyProtection="0">
      <alignment vertical="center"/>
    </xf>
    <xf numFmtId="9" fontId="11" fillId="0" borderId="0" applyBorder="0" applyAlignment="0" applyProtection="0"/>
    <xf numFmtId="0" fontId="45" fillId="0" borderId="8" applyNumberFormat="0" applyFill="0" applyAlignment="0" applyProtection="0">
      <alignment vertical="center"/>
    </xf>
    <xf numFmtId="0" fontId="46" fillId="17" borderId="9" applyNumberFormat="0" applyAlignment="0" applyProtection="0">
      <alignment vertical="center"/>
    </xf>
    <xf numFmtId="178" fontId="11" fillId="0" borderId="0" applyBorder="0" applyAlignment="0" applyProtection="0"/>
    <xf numFmtId="0" fontId="43" fillId="21" borderId="0" applyNumberFormat="0" applyBorder="0" applyAlignment="0" applyProtection="0">
      <alignment vertical="center"/>
    </xf>
    <xf numFmtId="180" fontId="11" fillId="0" borderId="0"/>
    <xf numFmtId="0" fontId="4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1" fillId="11" borderId="7" applyNumberFormat="0" applyFont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54" fillId="0" borderId="11" applyNumberFormat="0" applyFill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8" fillId="23" borderId="10" applyNumberFormat="0" applyAlignment="0" applyProtection="0">
      <alignment vertical="center"/>
    </xf>
    <xf numFmtId="0" fontId="56" fillId="38" borderId="13" applyNumberFormat="0" applyAlignment="0" applyProtection="0">
      <alignment vertical="center"/>
    </xf>
    <xf numFmtId="0" fontId="58" fillId="38" borderId="10" applyNumberFormat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81" fontId="4" fillId="0" borderId="1" xfId="0" applyNumberFormat="1" applyFont="1" applyBorder="1"/>
    <xf numFmtId="183" fontId="4" fillId="0" borderId="1" xfId="0" applyNumberFormat="1" applyFont="1" applyBorder="1"/>
    <xf numFmtId="0" fontId="4" fillId="0" borderId="1" xfId="0" applyFont="1" applyBorder="1"/>
    <xf numFmtId="0" fontId="4" fillId="3" borderId="1" xfId="0" applyFont="1" applyFill="1" applyBorder="1"/>
    <xf numFmtId="0" fontId="5" fillId="0" borderId="0" xfId="0" applyFont="1" applyBorder="1"/>
    <xf numFmtId="0" fontId="6" fillId="0" borderId="1" xfId="0" applyFont="1" applyBorder="1"/>
    <xf numFmtId="181" fontId="7" fillId="3" borderId="1" xfId="0" applyNumberFormat="1" applyFont="1" applyFill="1" applyBorder="1"/>
    <xf numFmtId="183" fontId="7" fillId="3" borderId="1" xfId="0" applyNumberFormat="1" applyFont="1" applyFill="1" applyBorder="1"/>
    <xf numFmtId="3" fontId="7" fillId="3" borderId="1" xfId="0" applyNumberFormat="1" applyFont="1" applyFill="1" applyBorder="1"/>
    <xf numFmtId="0" fontId="8" fillId="0" borderId="0" xfId="0" applyFont="1" applyBorder="1" applyAlignment="1">
      <alignment vertical="top" wrapText="1"/>
    </xf>
    <xf numFmtId="0" fontId="9" fillId="0" borderId="0" xfId="0" applyFont="1"/>
    <xf numFmtId="0" fontId="4" fillId="0" borderId="0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182" fontId="4" fillId="0" borderId="1" xfId="0" applyNumberFormat="1" applyFont="1" applyBorder="1"/>
    <xf numFmtId="180" fontId="11" fillId="0" borderId="1" xfId="9" applyFont="1" applyBorder="1"/>
    <xf numFmtId="177" fontId="4" fillId="0" borderId="1" xfId="0" applyNumberFormat="1" applyFont="1" applyBorder="1"/>
    <xf numFmtId="0" fontId="12" fillId="2" borderId="2" xfId="0" applyFont="1" applyFill="1" applyBorder="1" applyAlignment="1">
      <alignment horizontal="center" vertical="center" wrapText="1"/>
    </xf>
    <xf numFmtId="0" fontId="13" fillId="0" borderId="2" xfId="0" applyFont="1" applyBorder="1"/>
    <xf numFmtId="182" fontId="13" fillId="0" borderId="2" xfId="0" applyNumberFormat="1" applyFont="1" applyBorder="1"/>
    <xf numFmtId="4" fontId="13" fillId="0" borderId="2" xfId="0" applyNumberFormat="1" applyFont="1" applyBorder="1"/>
    <xf numFmtId="180" fontId="11" fillId="0" borderId="2" xfId="0" applyNumberFormat="1" applyFont="1" applyBorder="1"/>
    <xf numFmtId="0" fontId="14" fillId="0" borderId="0" xfId="0" applyFont="1" applyBorder="1" applyAlignment="1">
      <alignment horizontal="center"/>
    </xf>
    <xf numFmtId="0" fontId="15" fillId="0" borderId="0" xfId="0" applyFont="1"/>
    <xf numFmtId="184" fontId="16" fillId="4" borderId="2" xfId="0" applyNumberFormat="1" applyFont="1" applyFill="1" applyBorder="1"/>
    <xf numFmtId="0" fontId="17" fillId="0" borderId="0" xfId="0" applyFont="1"/>
    <xf numFmtId="0" fontId="18" fillId="0" borderId="0" xfId="0" applyFont="1"/>
    <xf numFmtId="0" fontId="19" fillId="2" borderId="2" xfId="0" applyFont="1" applyFill="1" applyBorder="1" applyAlignment="1">
      <alignment horizontal="center" vertical="center" wrapText="1"/>
    </xf>
    <xf numFmtId="0" fontId="20" fillId="0" borderId="2" xfId="0" applyFont="1" applyBorder="1"/>
    <xf numFmtId="181" fontId="20" fillId="0" borderId="2" xfId="0" applyNumberFormat="1" applyFont="1" applyBorder="1"/>
    <xf numFmtId="0" fontId="21" fillId="3" borderId="1" xfId="0" applyFont="1" applyFill="1" applyBorder="1"/>
    <xf numFmtId="58" fontId="21" fillId="3" borderId="1" xfId="0" applyNumberFormat="1" applyFont="1" applyFill="1" applyBorder="1"/>
    <xf numFmtId="0" fontId="21" fillId="0" borderId="1" xfId="0" applyFont="1" applyBorder="1"/>
    <xf numFmtId="58" fontId="21" fillId="0" borderId="1" xfId="0" applyNumberFormat="1" applyFont="1" applyBorder="1"/>
    <xf numFmtId="0" fontId="22" fillId="0" borderId="2" xfId="0" applyFont="1" applyBorder="1"/>
    <xf numFmtId="181" fontId="22" fillId="0" borderId="2" xfId="0" applyNumberFormat="1" applyFont="1" applyBorder="1"/>
    <xf numFmtId="0" fontId="14" fillId="0" borderId="0" xfId="0" applyFont="1"/>
    <xf numFmtId="0" fontId="16" fillId="0" borderId="0" xfId="0" applyFont="1"/>
    <xf numFmtId="3" fontId="23" fillId="5" borderId="3" xfId="0" applyNumberFormat="1" applyFont="1" applyFill="1" applyBorder="1"/>
    <xf numFmtId="185" fontId="23" fillId="5" borderId="3" xfId="0" applyNumberFormat="1" applyFont="1" applyFill="1" applyBorder="1"/>
    <xf numFmtId="183" fontId="23" fillId="5" borderId="3" xfId="0" applyNumberFormat="1" applyFont="1" applyFill="1" applyBorder="1"/>
    <xf numFmtId="0" fontId="23" fillId="0" borderId="2" xfId="0" applyFont="1" applyBorder="1" applyAlignment="1">
      <alignment horizontal="center"/>
    </xf>
    <xf numFmtId="0" fontId="19" fillId="2" borderId="2" xfId="0" applyFont="1" applyFill="1" applyBorder="1" applyAlignment="1">
      <alignment horizontal="right" vertical="center" wrapText="1"/>
    </xf>
    <xf numFmtId="183" fontId="13" fillId="0" borderId="2" xfId="0" applyNumberFormat="1" applyFont="1" applyBorder="1"/>
    <xf numFmtId="0" fontId="23" fillId="0" borderId="0" xfId="0" applyFont="1"/>
    <xf numFmtId="0" fontId="13" fillId="0" borderId="0" xfId="0" applyFont="1" applyBorder="1" applyAlignment="1">
      <alignment vertical="center" wrapText="1"/>
    </xf>
    <xf numFmtId="0" fontId="24" fillId="0" borderId="0" xfId="0" applyFont="1"/>
    <xf numFmtId="0" fontId="25" fillId="0" borderId="0" xfId="0" applyFont="1" applyBorder="1" applyAlignment="1">
      <alignment horizontal="right"/>
    </xf>
    <xf numFmtId="0" fontId="26" fillId="0" borderId="0" xfId="0" applyFont="1"/>
    <xf numFmtId="0" fontId="27" fillId="0" borderId="0" xfId="0" applyFont="1" applyBorder="1" applyAlignment="1">
      <alignment horizontal="right"/>
    </xf>
    <xf numFmtId="0" fontId="28" fillId="2" borderId="4" xfId="0" applyFont="1" applyFill="1" applyBorder="1" applyAlignment="1">
      <alignment horizontal="center" vertical="center" wrapText="1"/>
    </xf>
    <xf numFmtId="181" fontId="13" fillId="0" borderId="5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181" fontId="13" fillId="3" borderId="5" xfId="0" applyNumberFormat="1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186" fontId="13" fillId="0" borderId="5" xfId="0" applyNumberFormat="1" applyFont="1" applyBorder="1" applyAlignment="1">
      <alignment vertical="center" wrapText="1"/>
    </xf>
    <xf numFmtId="186" fontId="13" fillId="3" borderId="5" xfId="0" applyNumberFormat="1" applyFont="1" applyFill="1" applyBorder="1" applyAlignment="1">
      <alignment vertical="center" wrapText="1"/>
    </xf>
    <xf numFmtId="0" fontId="24" fillId="0" borderId="0" xfId="0" applyFont="1" applyBorder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/>
    <xf numFmtId="0" fontId="30" fillId="0" borderId="0" xfId="0" applyFont="1" applyAlignment="1">
      <alignment horizontal="center" vertical="center"/>
    </xf>
    <xf numFmtId="0" fontId="34" fillId="0" borderId="0" xfId="0" applyFont="1"/>
    <xf numFmtId="0" fontId="35" fillId="0" borderId="0" xfId="0" applyFont="1"/>
    <xf numFmtId="184" fontId="13" fillId="0" borderId="5" xfId="0" applyNumberFormat="1" applyFont="1" applyBorder="1" applyAlignment="1">
      <alignment vertical="center" wrapText="1"/>
    </xf>
    <xf numFmtId="0" fontId="36" fillId="2" borderId="0" xfId="0" applyFont="1" applyFill="1" applyBorder="1" applyAlignment="1">
      <alignment horizontal="left" vertical="center" indent="1"/>
    </xf>
    <xf numFmtId="0" fontId="37" fillId="2" borderId="1" xfId="0" applyFont="1" applyFill="1" applyBorder="1" applyAlignment="1">
      <alignment horizontal="left" vertical="center" indent="2"/>
    </xf>
    <xf numFmtId="0" fontId="26" fillId="0" borderId="0" xfId="0" applyFont="1" applyBorder="1" applyAlignment="1">
      <alignment horizontal="left" vertical="center" indent="2"/>
    </xf>
    <xf numFmtId="0" fontId="37" fillId="6" borderId="1" xfId="0" applyFont="1" applyFill="1" applyBorder="1" applyAlignment="1">
      <alignment horizontal="left" vertical="center" indent="2"/>
    </xf>
    <xf numFmtId="0" fontId="37" fillId="7" borderId="1" xfId="0" applyFont="1" applyFill="1" applyBorder="1" applyAlignment="1">
      <alignment horizontal="left" vertical="center" indent="2"/>
    </xf>
    <xf numFmtId="0" fontId="37" fillId="8" borderId="1" xfId="0" applyFont="1" applyFill="1" applyBorder="1" applyAlignment="1">
      <alignment horizontal="left" vertical="center" indent="2"/>
    </xf>
    <xf numFmtId="0" fontId="38" fillId="9" borderId="1" xfId="0" applyFont="1" applyFill="1" applyBorder="1" applyAlignment="1">
      <alignment horizontal="left" vertical="center" indent="2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dxfs count="18">
    <dxf>
      <fill>
        <patternFill patternType="solid">
          <bgColor rgb="FFBDD7EE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E2D9F3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D6DCE4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2CEEF"/>
        </patternFill>
      </fill>
    </dxf>
    <dxf>
      <fill>
        <patternFill patternType="solid">
          <bgColor rgb="FFFFD9EC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C6E0B4"/>
        </patternFill>
      </fill>
    </dxf>
    <dxf>
      <font>
        <b val="1"/>
        <color rgb="FF9C0006"/>
      </font>
      <fill>
        <patternFill patternType="solid">
          <bgColor rgb="FFF8CBAD"/>
        </patternFill>
      </fill>
    </dxf>
    <dxf>
      <font>
        <b val="1"/>
        <color rgb="FFFFFFFF"/>
      </font>
      <fill>
        <patternFill patternType="solid">
          <bgColor rgb="FF548235"/>
        </patternFill>
      </fill>
    </dxf>
    <dxf>
      <fill>
        <patternFill patternType="solid">
          <bgColor rgb="FFF8CBAD"/>
        </patternFill>
      </fill>
    </dxf>
    <dxf>
      <font>
        <b val="1"/>
        <color rgb="FF375623"/>
      </font>
      <fill>
        <patternFill patternType="solid">
          <bgColor rgb="FFC6E0B4"/>
        </patternFill>
      </fill>
    </dxf>
    <dxf>
      <font>
        <b val="1"/>
        <color rgb="FF806000"/>
      </font>
      <fill>
        <patternFill patternType="solid">
          <bgColor rgb="FFFFE6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6000"/>
      <rgbColor rgb="00800080"/>
      <rgbColor rgb="00008080"/>
      <rgbColor rgb="00BFBFBF"/>
      <rgbColor rgb="00808080"/>
      <rgbColor rgb="00D9D9D9"/>
      <rgbColor rgb="00993366"/>
      <rgbColor rgb="00FFF2CC"/>
      <rgbColor rgb="00DDEBF7"/>
      <rgbColor rgb="00660066"/>
      <rgbColor rgb="00FFD9EC"/>
      <rgbColor rgb="000066CC"/>
      <rgbColor rgb="00BDD7EE"/>
      <rgbColor rgb="00000080"/>
      <rgbColor rgb="00FF00FF"/>
      <rgbColor rgb="00D6DCE4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FE699"/>
      <rgbColor rgb="009DC3E6"/>
      <rgbColor rgb="00F2CEEF"/>
      <rgbColor rgb="00E2D9F3"/>
      <rgbColor rgb="00F8CBAD"/>
      <rgbColor rgb="003366FF"/>
      <rgbColor rgb="00D9E1F2"/>
      <rgbColor rgb="00C6E0B4"/>
      <rgbColor rgb="00FCE4D6"/>
      <rgbColor rgb="00E4DFEC"/>
      <rgbColor rgb="00FF6600"/>
      <rgbColor rgb="00666666"/>
      <rgbColor rgb="007F7F7F"/>
      <rgbColor rgb="001F3864"/>
      <rgbColor rgb="00548235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showGridLines="0" topLeftCell="A18" workbookViewId="0">
      <selection activeCell="J22" sqref="J22"/>
    </sheetView>
  </sheetViews>
  <sheetFormatPr defaultColWidth="8.67619047619048" defaultRowHeight="15" outlineLevelCol="7"/>
  <cols>
    <col min="1" max="6" width="14" customWidth="1"/>
  </cols>
  <sheetData>
    <row r="1" ht="21.75" customHeight="1" spans="1:8">
      <c r="A1" s="70" t="s">
        <v>0</v>
      </c>
      <c r="B1" s="70"/>
      <c r="C1" s="70"/>
      <c r="D1" s="70"/>
      <c r="E1" s="70"/>
      <c r="F1" s="70"/>
      <c r="G1" s="70"/>
      <c r="H1" s="70"/>
    </row>
    <row r="2" ht="21.75" customHeight="1" spans="1:8">
      <c r="A2" s="70"/>
      <c r="B2" s="70"/>
      <c r="C2" s="70"/>
      <c r="D2" s="70"/>
      <c r="E2" s="70"/>
      <c r="F2" s="70"/>
      <c r="G2" s="70"/>
      <c r="H2" s="70"/>
    </row>
    <row r="4" spans="1:1">
      <c r="A4" s="51" t="s">
        <v>1</v>
      </c>
    </row>
    <row r="6" spans="1:6">
      <c r="A6" s="71" t="s">
        <v>2</v>
      </c>
      <c r="B6" s="71"/>
      <c r="C6" s="71"/>
      <c r="D6" s="71"/>
      <c r="E6" s="71"/>
      <c r="F6" s="71"/>
    </row>
    <row r="7" spans="1:6">
      <c r="A7" s="71"/>
      <c r="B7" s="71"/>
      <c r="C7" s="71"/>
      <c r="D7" s="71"/>
      <c r="E7" s="71"/>
      <c r="F7" s="71"/>
    </row>
    <row r="8" spans="1:6">
      <c r="A8" s="71"/>
      <c r="B8" s="71"/>
      <c r="C8" s="71"/>
      <c r="D8" s="71"/>
      <c r="E8" s="71"/>
      <c r="F8" s="71"/>
    </row>
    <row r="9" spans="1:6">
      <c r="A9" s="72" t="s">
        <v>3</v>
      </c>
      <c r="B9" s="72"/>
      <c r="C9" s="72"/>
      <c r="D9" s="72"/>
      <c r="E9" s="72"/>
      <c r="F9" s="72"/>
    </row>
    <row r="11" spans="1:6">
      <c r="A11" s="73" t="s">
        <v>4</v>
      </c>
      <c r="B11" s="73"/>
      <c r="C11" s="73"/>
      <c r="D11" s="73"/>
      <c r="E11" s="73"/>
      <c r="F11" s="73"/>
    </row>
    <row r="12" spans="1:6">
      <c r="A12" s="73"/>
      <c r="B12" s="73"/>
      <c r="C12" s="73"/>
      <c r="D12" s="73"/>
      <c r="E12" s="73"/>
      <c r="F12" s="73"/>
    </row>
    <row r="13" spans="1:6">
      <c r="A13" s="73"/>
      <c r="B13" s="73"/>
      <c r="C13" s="73"/>
      <c r="D13" s="73"/>
      <c r="E13" s="73"/>
      <c r="F13" s="73"/>
    </row>
    <row r="14" spans="1:6">
      <c r="A14" s="72" t="s">
        <v>5</v>
      </c>
      <c r="B14" s="72"/>
      <c r="C14" s="72"/>
      <c r="D14" s="72"/>
      <c r="E14" s="72"/>
      <c r="F14" s="72"/>
    </row>
    <row r="16" spans="1:6">
      <c r="A16" s="74" t="s">
        <v>6</v>
      </c>
      <c r="B16" s="74"/>
      <c r="C16" s="74"/>
      <c r="D16" s="74"/>
      <c r="E16" s="74"/>
      <c r="F16" s="74"/>
    </row>
    <row r="17" spans="1:6">
      <c r="A17" s="74"/>
      <c r="B17" s="74"/>
      <c r="C17" s="74"/>
      <c r="D17" s="74"/>
      <c r="E17" s="74"/>
      <c r="F17" s="74"/>
    </row>
    <row r="18" spans="1:6">
      <c r="A18" s="74"/>
      <c r="B18" s="74"/>
      <c r="C18" s="74"/>
      <c r="D18" s="74"/>
      <c r="E18" s="74"/>
      <c r="F18" s="74"/>
    </row>
    <row r="19" spans="1:6">
      <c r="A19" s="72" t="s">
        <v>7</v>
      </c>
      <c r="B19" s="72"/>
      <c r="C19" s="72"/>
      <c r="D19" s="72"/>
      <c r="E19" s="72"/>
      <c r="F19" s="72"/>
    </row>
    <row r="21" spans="1:6">
      <c r="A21" s="75" t="s">
        <v>8</v>
      </c>
      <c r="B21" s="75"/>
      <c r="C21" s="75"/>
      <c r="D21" s="75"/>
      <c r="E21" s="75"/>
      <c r="F21" s="75"/>
    </row>
    <row r="22" spans="1:6">
      <c r="A22" s="75"/>
      <c r="B22" s="75"/>
      <c r="C22" s="75"/>
      <c r="D22" s="75"/>
      <c r="E22" s="75"/>
      <c r="F22" s="75"/>
    </row>
    <row r="23" spans="1:6">
      <c r="A23" s="75"/>
      <c r="B23" s="75"/>
      <c r="C23" s="75"/>
      <c r="D23" s="75"/>
      <c r="E23" s="75"/>
      <c r="F23" s="75"/>
    </row>
    <row r="24" spans="1:6">
      <c r="A24" s="72" t="s">
        <v>9</v>
      </c>
      <c r="B24" s="72"/>
      <c r="C24" s="72"/>
      <c r="D24" s="72"/>
      <c r="E24" s="72"/>
      <c r="F24" s="72"/>
    </row>
    <row r="25" spans="1:6">
      <c r="A25" s="76" t="s">
        <v>10</v>
      </c>
      <c r="B25" s="76"/>
      <c r="C25" s="76"/>
      <c r="D25" s="76"/>
      <c r="E25" s="76"/>
      <c r="F25" s="76"/>
    </row>
    <row r="26" spans="1:6">
      <c r="A26" s="76"/>
      <c r="B26" s="76"/>
      <c r="C26" s="76"/>
      <c r="D26" s="76"/>
      <c r="E26" s="76"/>
      <c r="F26" s="76"/>
    </row>
    <row r="27" spans="1:6">
      <c r="A27" s="76"/>
      <c r="B27" s="76"/>
      <c r="C27" s="76"/>
      <c r="D27" s="76"/>
      <c r="E27" s="76"/>
      <c r="F27" s="76"/>
    </row>
  </sheetData>
  <mergeCells count="10">
    <mergeCell ref="A9:F9"/>
    <mergeCell ref="A14:F14"/>
    <mergeCell ref="A19:F19"/>
    <mergeCell ref="A24:F24"/>
    <mergeCell ref="A1:H2"/>
    <mergeCell ref="A6:F8"/>
    <mergeCell ref="A11:F13"/>
    <mergeCell ref="A16:F18"/>
    <mergeCell ref="A21:F23"/>
    <mergeCell ref="A25:F27"/>
  </mergeCells>
  <hyperlinks>
    <hyperlink ref="A6" location="'Controle_Estoque'!A1" display="📦 ANALISAR ESTOQUE"/>
    <hyperlink ref="A11" location="'Historico_Pedidos'!A1" display="🛒 ANALISAR COMPRAS"/>
    <hyperlink ref="A16" location="'Base_Gestran'!A1" display="🗄️ BASE GESTRAN"/>
    <hyperlink ref="A21" location="'Analises_Gerais'!A1" display="📊 ANALISAR DADOS"/>
    <hyperlink ref="A25" location="Historico_Saidas!A1" display="HISTÓRICO DE SAÍDA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tabSelected="1" workbookViewId="0">
      <pane ySplit="7" topLeftCell="A12" activePane="bottomLeft" state="frozen"/>
      <selection/>
      <selection pane="bottomLeft" activeCell="C17" sqref="C17"/>
    </sheetView>
  </sheetViews>
  <sheetFormatPr defaultColWidth="8.67619047619048" defaultRowHeight="15"/>
  <cols>
    <col min="1" max="1" width="42" customWidth="1"/>
    <col min="2" max="2" width="26" customWidth="1"/>
    <col min="3" max="3" width="11" customWidth="1"/>
    <col min="4" max="4" width="14" customWidth="1"/>
    <col min="5" max="6" width="11" customWidth="1"/>
    <col min="7" max="7" width="15" customWidth="1"/>
    <col min="8" max="8" width="12" customWidth="1"/>
    <col min="9" max="9" width="40" customWidth="1"/>
  </cols>
  <sheetData>
    <row r="1" ht="24" customHeight="1" spans="1:12">
      <c r="A1" s="63" t="s">
        <v>11</v>
      </c>
      <c r="B1" s="63"/>
      <c r="C1" s="63"/>
      <c r="D1" s="63"/>
      <c r="F1" s="64" t="s">
        <v>12</v>
      </c>
      <c r="H1" s="65">
        <f>COUNTIF(G8:G44,"COMPRAR")</f>
        <v>30</v>
      </c>
      <c r="J1" s="64"/>
      <c r="L1" s="65"/>
    </row>
    <row r="2" ht="25.5" customHeight="1" spans="1:8">
      <c r="A2" s="51" t="s">
        <v>13</v>
      </c>
      <c r="F2" s="66" t="s">
        <v>14</v>
      </c>
      <c r="H2" s="67">
        <f>COUNTIF(G8:G44,"OK")+COUNTIF(G8:G44,"ACIMA DO MÁXIMO")</f>
        <v>7</v>
      </c>
    </row>
    <row r="4" spans="1:1">
      <c r="A4" s="68" t="s">
        <v>15</v>
      </c>
    </row>
    <row r="6" ht="15.75" customHeight="1"/>
    <row r="7" ht="36" customHeight="1" spans="1:9">
      <c r="A7" s="53" t="s">
        <v>16</v>
      </c>
      <c r="B7" s="53" t="s">
        <v>17</v>
      </c>
      <c r="C7" s="53" t="s">
        <v>18</v>
      </c>
      <c r="D7" s="53" t="s">
        <v>19</v>
      </c>
      <c r="E7" s="53" t="s">
        <v>20</v>
      </c>
      <c r="F7" s="53" t="s">
        <v>21</v>
      </c>
      <c r="G7" s="53" t="s">
        <v>22</v>
      </c>
      <c r="H7" s="53" t="s">
        <v>23</v>
      </c>
      <c r="I7" s="53" t="s">
        <v>24</v>
      </c>
    </row>
    <row r="8" ht="23.25" customHeight="1" spans="1:9">
      <c r="A8" s="55" t="s">
        <v>25</v>
      </c>
      <c r="B8" s="55" t="s">
        <v>26</v>
      </c>
      <c r="C8" s="55">
        <f>IF(A8="","",SUMIFS(Base_Gestran!$E$2:$E$5481,Base_Gestran!$A$2:$A$5481,A8,Base_Gestran!$C$2:$C$5481,B8))</f>
        <v>1</v>
      </c>
      <c r="D8" s="69">
        <f>IF(A8="","",IF(SUMIFS(Historico_Saidas!$D$6:$D$5000,Historico_Saidas!$A$6:$A$5000,A8,Historico_Saidas!$B$6:$B$5000,B8)=0,"",SUMIFS(Historico_Saidas!$D$6:$D$5000,Historico_Saidas!$A$6:$A$5000,A8,Historico_Saidas!$B$6:$B$5000,B8)/Historico_Saidas!$G$1))</f>
        <v>2.39395026361952</v>
      </c>
      <c r="E8" s="57">
        <v>1</v>
      </c>
      <c r="F8" s="57">
        <v>3</v>
      </c>
      <c r="G8" s="55" t="str">
        <f t="shared" ref="G8:G67" si="0">IF(OR(A8="",C8="",E8=""),"",IF(C8&lt;=E8,"COMPRAR",IF(C8&gt;F8,"ACIMA DO MÁXIMO","OK")))</f>
        <v>COMPRAR</v>
      </c>
      <c r="H8" s="55">
        <f t="shared" ref="H8:H67" si="1">IF(G8="COMPRAR",MAX(F8-C8,0),0)</f>
        <v>2</v>
      </c>
      <c r="I8" s="55"/>
    </row>
    <row r="9" ht="23.25" customHeight="1" spans="1:9">
      <c r="A9" s="55" t="s">
        <v>27</v>
      </c>
      <c r="B9" s="55" t="s">
        <v>26</v>
      </c>
      <c r="C9" s="55">
        <f>IF(A9="","",SUMIFS(Base_Gestran!$E$2:$E$5481,Base_Gestran!$A$2:$A$5481,A9,Base_Gestran!$C$2:$C$5481,B9))</f>
        <v>8</v>
      </c>
      <c r="D9" s="69">
        <f>IF(A9="","",IF(SUMIFS(Historico_Saidas!$D$6:$D$5000,Historico_Saidas!$A$6:$A$5000,A9,Historico_Saidas!$B$6:$B$5000,B9)=0,"",SUMIFS(Historico_Saidas!$D$6:$D$5000,Historico_Saidas!$A$6:$A$5000,A9,Historico_Saidas!$B$6:$B$5000,B9)/Historico_Saidas!$G$1))</f>
        <v>2.03623355756143</v>
      </c>
      <c r="E9" s="57">
        <v>1</v>
      </c>
      <c r="F9" s="57">
        <v>3</v>
      </c>
      <c r="G9" s="55" t="str">
        <f t="shared" si="0"/>
        <v>ACIMA DO MÁXIMO</v>
      </c>
      <c r="H9" s="55">
        <f t="shared" si="1"/>
        <v>0</v>
      </c>
      <c r="I9" s="55"/>
    </row>
    <row r="10" ht="23.25" customHeight="1" spans="1:9">
      <c r="A10" s="55" t="s">
        <v>28</v>
      </c>
      <c r="B10" s="55" t="s">
        <v>26</v>
      </c>
      <c r="C10" s="55">
        <f>IF(A10="","",SUMIFS(Base_Gestran!$E$2:$E$5481,Base_Gestran!$A$2:$A$5481,A10,Base_Gestran!$C$2:$C$5481,B10))</f>
        <v>1</v>
      </c>
      <c r="D10" s="69">
        <f>IF(A10="","",IF(SUMIFS(Historico_Saidas!$D$6:$D$5000,Historico_Saidas!$A$6:$A$5000,A10,Historico_Saidas!$B$6:$B$5000,B10)=0,"",SUMIFS(Historico_Saidas!$D$6:$D$5000,Historico_Saidas!$A$6:$A$5000,A10,Historico_Saidas!$B$6:$B$5000,B10)/Historico_Saidas!$G$1))</f>
        <v>0.605366733329073</v>
      </c>
      <c r="E10" s="57">
        <v>2</v>
      </c>
      <c r="F10" s="57">
        <v>4</v>
      </c>
      <c r="G10" s="55" t="str">
        <f t="shared" si="0"/>
        <v>COMPRAR</v>
      </c>
      <c r="H10" s="55">
        <f t="shared" si="1"/>
        <v>3</v>
      </c>
      <c r="I10" s="55"/>
    </row>
    <row r="11" ht="23.25" customHeight="1" spans="1:9">
      <c r="A11" s="55" t="s">
        <v>29</v>
      </c>
      <c r="B11" s="55" t="s">
        <v>26</v>
      </c>
      <c r="C11" s="55">
        <f>IF(A11="","",SUMIFS(Base_Gestran!$E$2:$E$5481,Base_Gestran!$A$2:$A$5481,A11,Base_Gestran!$C$2:$C$5481,B11))</f>
        <v>4</v>
      </c>
      <c r="D11" s="69">
        <f>IF(A11="","",IF(SUMIFS(Historico_Saidas!$D$6:$D$5000,Historico_Saidas!$A$6:$A$5000,A11,Historico_Saidas!$B$6:$B$5000,B11)=0,"",SUMIFS(Historico_Saidas!$D$6:$D$5000,Historico_Saidas!$A$6:$A$5000,A11,Historico_Saidas!$B$6:$B$5000,B11)/Historico_Saidas!$G$1))</f>
        <v>0.192616687877432</v>
      </c>
      <c r="E11" s="57">
        <v>1</v>
      </c>
      <c r="F11" s="57">
        <v>2</v>
      </c>
      <c r="G11" s="55" t="str">
        <f t="shared" si="0"/>
        <v>ACIMA DO MÁXIMO</v>
      </c>
      <c r="H11" s="55">
        <f t="shared" si="1"/>
        <v>0</v>
      </c>
      <c r="I11" s="55"/>
    </row>
    <row r="12" ht="23.25" customHeight="1" spans="1:9">
      <c r="A12" s="55" t="s">
        <v>30</v>
      </c>
      <c r="B12" s="55" t="s">
        <v>26</v>
      </c>
      <c r="C12" s="55">
        <f>IF(A12="","",SUMIFS(Base_Gestran!$E$2:$E$5481,Base_Gestran!$A$2:$A$5481,A12,Base_Gestran!$C$2:$C$5481,B12))</f>
        <v>0</v>
      </c>
      <c r="D12" s="69">
        <f>IF(A12="","",IF(SUMIFS(Historico_Saidas!$D$6:$D$5000,Historico_Saidas!$A$6:$A$5000,A12,Historico_Saidas!$B$6:$B$5000,B12)=0,"",SUMIFS(Historico_Saidas!$D$6:$D$5000,Historico_Saidas!$A$6:$A$5000,A12,Historico_Saidas!$B$6:$B$5000,B12)/Historico_Saidas!$G$1))</f>
        <v>0.0825500090903282</v>
      </c>
      <c r="E12" s="57">
        <v>1</v>
      </c>
      <c r="F12" s="57">
        <v>3</v>
      </c>
      <c r="G12" s="55" t="str">
        <f t="shared" si="0"/>
        <v>COMPRAR</v>
      </c>
      <c r="H12" s="55">
        <f t="shared" si="1"/>
        <v>3</v>
      </c>
      <c r="I12" s="55"/>
    </row>
    <row r="13" ht="23.25" customHeight="1" spans="1:9">
      <c r="A13" s="55" t="s">
        <v>31</v>
      </c>
      <c r="B13" s="55" t="s">
        <v>26</v>
      </c>
      <c r="C13" s="55">
        <f>IF(A13="","",SUMIFS(Base_Gestran!$E$2:$E$5481,Base_Gestran!$A$2:$A$5481,A13,Base_Gestran!$C$2:$C$5481,B13))</f>
        <v>1</v>
      </c>
      <c r="D13" s="69">
        <f>IF(A13="","",IF(SUMIFS(Historico_Saidas!$D$6:$D$5000,Historico_Saidas!$A$6:$A$5000,A13,Historico_Saidas!$B$6:$B$5000,B13)=0,"",SUMIFS(Historico_Saidas!$D$6:$D$5000,Historico_Saidas!$A$6:$A$5000,A13,Historico_Saidas!$B$6:$B$5000,B13)/Historico_Saidas!$G$1))</f>
        <v>0.0550333393935521</v>
      </c>
      <c r="E13" s="57">
        <v>1</v>
      </c>
      <c r="F13" s="57">
        <v>1</v>
      </c>
      <c r="G13" s="55" t="str">
        <f t="shared" si="0"/>
        <v>COMPRAR</v>
      </c>
      <c r="H13" s="55">
        <f t="shared" si="1"/>
        <v>0</v>
      </c>
      <c r="I13" s="55" t="s">
        <v>32</v>
      </c>
    </row>
    <row r="14" spans="1:9">
      <c r="A14" s="55" t="s">
        <v>33</v>
      </c>
      <c r="B14" s="55" t="s">
        <v>26</v>
      </c>
      <c r="C14" s="55">
        <f>IF(A14="","",SUMIFS(Base_Gestran!$E$2:$E$5481,Base_Gestran!$A$2:$A$5481,A14,Base_Gestran!$C$2:$C$5481,B14))</f>
        <v>5</v>
      </c>
      <c r="D14" s="69">
        <f>IF(A14="","",IF(SUMIFS(Historico_Saidas!$D$6:$D$5000,Historico_Saidas!$A$6:$A$5000,A14,Historico_Saidas!$B$6:$B$5000,B14)=0,"",SUMIFS(Historico_Saidas!$D$6:$D$5000,Historico_Saidas!$A$6:$A$5000,A14,Historico_Saidas!$B$6:$B$5000,B14)/Historico_Saidas!$G$1))</f>
        <v>0.0275166696967761</v>
      </c>
      <c r="E14" s="57">
        <v>1</v>
      </c>
      <c r="F14" s="57">
        <v>3</v>
      </c>
      <c r="G14" s="55" t="str">
        <f t="shared" si="0"/>
        <v>ACIMA DO MÁXIMO</v>
      </c>
      <c r="H14" s="55">
        <f t="shared" si="1"/>
        <v>0</v>
      </c>
      <c r="I14" s="55"/>
    </row>
    <row r="15" ht="23.25" customHeight="1" spans="1:9">
      <c r="A15" s="55" t="s">
        <v>34</v>
      </c>
      <c r="B15" s="55" t="s">
        <v>35</v>
      </c>
      <c r="C15" s="55">
        <f>IF(A15="","",SUMIFS(Base_Gestran!$E$2:$E$5481,Base_Gestran!$A$2:$A$5481,A15,Base_Gestran!$C$2:$C$5481,B15))</f>
        <v>1</v>
      </c>
      <c r="D15" s="69" t="str">
        <f>IF(A15="","",IF(SUMIFS(Historico_Saidas!$D$6:$D$5000,Historico_Saidas!$A$6:$A$5000,A15,Historico_Saidas!$B$6:$B$5000,B15)=0,"",SUMIFS(Historico_Saidas!$D$6:$D$5000,Historico_Saidas!$A$6:$A$5000,A15,Historico_Saidas!$B$6:$B$5000,B15)/Historico_Saidas!$G$1))</f>
        <v/>
      </c>
      <c r="E15" s="57">
        <v>1</v>
      </c>
      <c r="F15" s="57">
        <v>1</v>
      </c>
      <c r="G15" s="55" t="str">
        <f t="shared" si="0"/>
        <v>COMPRAR</v>
      </c>
      <c r="H15" s="55">
        <f t="shared" si="1"/>
        <v>0</v>
      </c>
      <c r="I15" s="55"/>
    </row>
    <row r="16" ht="23.25" customHeight="1" spans="1:9">
      <c r="A16" s="55" t="s">
        <v>36</v>
      </c>
      <c r="B16" s="55" t="s">
        <v>35</v>
      </c>
      <c r="C16" s="55">
        <f>IF(A16="","",SUMIFS(Base_Gestran!$E$2:$E$5481,Base_Gestran!$A$2:$A$5481,A16,Base_Gestran!$C$2:$C$5481,B16))</f>
        <v>1</v>
      </c>
      <c r="D16" s="69" t="str">
        <f>IF(A16="","",IF(SUMIFS(Historico_Saidas!$D$6:$D$5000,Historico_Saidas!$A$6:$A$5000,A16,Historico_Saidas!$B$6:$B$5000,B16)=0,"",SUMIFS(Historico_Saidas!$D$6:$D$5000,Historico_Saidas!$A$6:$A$5000,A16,Historico_Saidas!$B$6:$B$5000,B16)/Historico_Saidas!$G$1))</f>
        <v/>
      </c>
      <c r="E16" s="57">
        <v>1</v>
      </c>
      <c r="F16" s="57">
        <v>1</v>
      </c>
      <c r="G16" s="55" t="str">
        <f t="shared" si="0"/>
        <v>COMPRAR</v>
      </c>
      <c r="H16" s="55">
        <f t="shared" si="1"/>
        <v>0</v>
      </c>
      <c r="I16" s="55"/>
    </row>
    <row r="17" ht="34.5" customHeight="1" spans="1:9">
      <c r="A17" s="55" t="s">
        <v>37</v>
      </c>
      <c r="B17" s="55" t="s">
        <v>38</v>
      </c>
      <c r="C17" s="55">
        <f>IF(A17="","",SUMIFS(Base_Gestran!$E$2:$E$5481,Base_Gestran!$A$2:$A$5481,A17,Base_Gestran!$C$2:$C$5481,B17))</f>
        <v>794</v>
      </c>
      <c r="D17" s="69">
        <f>IF(A17="","",IF(SUMIFS(Historico_Saidas!$D$6:$D$5000,Historico_Saidas!$A$6:$A$5000,A17,Historico_Saidas!$B$6:$B$5000,B17)=0,"",SUMIFS(Historico_Saidas!$D$6:$D$5000,Historico_Saidas!$A$6:$A$5000,A17,Historico_Saidas!$B$6:$B$5000,B17)/Historico_Saidas!$G$1))</f>
        <v>0.467783384845193</v>
      </c>
      <c r="E17" s="57">
        <v>1</v>
      </c>
      <c r="F17" s="57">
        <v>5</v>
      </c>
      <c r="G17" s="55" t="str">
        <f t="shared" si="0"/>
        <v>ACIMA DO MÁXIMO</v>
      </c>
      <c r="H17" s="55">
        <f t="shared" si="1"/>
        <v>0</v>
      </c>
      <c r="I17" s="55"/>
    </row>
    <row r="18" spans="1:9">
      <c r="A18" s="57" t="s">
        <v>39</v>
      </c>
      <c r="B18" s="57" t="s">
        <v>26</v>
      </c>
      <c r="C18" s="55">
        <f>IF(A18="","",SUMIFS(Base_Gestran!$E$2:$E$5481,Base_Gestran!$A$2:$A$5481,A18,Base_Gestran!$C$2:$C$5481,B18))</f>
        <v>0</v>
      </c>
      <c r="D18" s="69" t="str">
        <f>IF(A18="","",IF(SUMIFS(Historico_Saidas!$D$6:$D$5000,Historico_Saidas!$A$6:$A$5000,A18,Historico_Saidas!$B$6:$B$5000,B18)=0,"",SUMIFS(Historico_Saidas!$D$6:$D$5000,Historico_Saidas!$A$6:$A$5000,A18,Historico_Saidas!$B$6:$B$5000,B18)/Historico_Saidas!$G$1))</f>
        <v/>
      </c>
      <c r="E18" s="57">
        <v>1</v>
      </c>
      <c r="F18" s="57">
        <v>2</v>
      </c>
      <c r="G18" s="55" t="str">
        <f t="shared" si="0"/>
        <v>COMPRAR</v>
      </c>
      <c r="H18" s="55">
        <f t="shared" si="1"/>
        <v>2</v>
      </c>
      <c r="I18" s="55"/>
    </row>
    <row r="19" spans="1:9">
      <c r="A19" s="57" t="s">
        <v>40</v>
      </c>
      <c r="B19" s="57" t="s">
        <v>26</v>
      </c>
      <c r="C19" s="55">
        <f>IF(A19="","",SUMIFS(Base_Gestran!$E$2:$E$5481,Base_Gestran!$A$2:$A$5481,A19,Base_Gestran!$C$2:$C$5481,B19))</f>
        <v>6</v>
      </c>
      <c r="D19" s="69">
        <f>IF(A19="","",IF(SUMIFS(Historico_Saidas!$D$6:$D$5000,Historico_Saidas!$A$6:$A$5000,A19,Historico_Saidas!$B$6:$B$5000,B19)=0,"",SUMIFS(Historico_Saidas!$D$6:$D$5000,Historico_Saidas!$A$6:$A$5000,A19,Historico_Saidas!$B$6:$B$5000,B19)/Historico_Saidas!$G$1))</f>
        <v>4.59528383936161</v>
      </c>
      <c r="E19" s="57">
        <v>2</v>
      </c>
      <c r="F19" s="57">
        <v>4</v>
      </c>
      <c r="G19" s="55" t="str">
        <f t="shared" si="0"/>
        <v>ACIMA DO MÁXIMO</v>
      </c>
      <c r="H19" s="55">
        <f t="shared" si="1"/>
        <v>0</v>
      </c>
      <c r="I19" s="55"/>
    </row>
    <row r="20" ht="23.25" customHeight="1" spans="1:9">
      <c r="A20" s="57" t="s">
        <v>41</v>
      </c>
      <c r="B20" s="57" t="s">
        <v>26</v>
      </c>
      <c r="C20" s="55">
        <f>IF(A20="","",SUMIFS(Base_Gestran!$E$2:$E$5481,Base_Gestran!$A$2:$A$5481,A20,Base_Gestran!$C$2:$C$5481,B20))</f>
        <v>0</v>
      </c>
      <c r="D20" s="69" t="str">
        <f>IF(A20="","",IF(SUMIFS(Historico_Saidas!$D$6:$D$5000,Historico_Saidas!$A$6:$A$5000,A20,Historico_Saidas!$B$6:$B$5000,B20)=0,"",SUMIFS(Historico_Saidas!$D$6:$D$5000,Historico_Saidas!$A$6:$A$5000,A20,Historico_Saidas!$B$6:$B$5000,B20)/Historico_Saidas!$G$1))</f>
        <v/>
      </c>
      <c r="E20" s="57">
        <v>4</v>
      </c>
      <c r="F20" s="57">
        <v>8</v>
      </c>
      <c r="G20" s="55" t="str">
        <f t="shared" si="0"/>
        <v>COMPRAR</v>
      </c>
      <c r="H20" s="55">
        <f t="shared" si="1"/>
        <v>8</v>
      </c>
      <c r="I20" s="55"/>
    </row>
    <row r="21" spans="1:9">
      <c r="A21" s="57" t="s">
        <v>42</v>
      </c>
      <c r="B21" s="57" t="s">
        <v>26</v>
      </c>
      <c r="C21" s="55">
        <f>IF(A21="","",SUMIFS(Base_Gestran!$E$2:$E$5481,Base_Gestran!$A$2:$A$5481,A21,Base_Gestran!$C$2:$C$5481,B21))</f>
        <v>1</v>
      </c>
      <c r="D21" s="69">
        <f>IF(A21="","",IF(SUMIFS(Historico_Saidas!$D$6:$D$5000,Historico_Saidas!$A$6:$A$5000,A21,Historico_Saidas!$B$6:$B$5000,B21)=0,"",SUMIFS(Historico_Saidas!$D$6:$D$5000,Historico_Saidas!$A$6:$A$5000,A21,Historico_Saidas!$B$6:$B$5000,B21)/Historico_Saidas!$G$1))</f>
        <v>0.412750045451641</v>
      </c>
      <c r="E21" s="57">
        <v>5</v>
      </c>
      <c r="F21" s="57">
        <v>9</v>
      </c>
      <c r="G21" s="55" t="str">
        <f t="shared" si="0"/>
        <v>COMPRAR</v>
      </c>
      <c r="H21" s="55">
        <f t="shared" si="1"/>
        <v>8</v>
      </c>
      <c r="I21" s="55"/>
    </row>
    <row r="22" ht="23.25" customHeight="1" spans="1:9">
      <c r="A22" s="57" t="s">
        <v>43</v>
      </c>
      <c r="B22" s="57" t="s">
        <v>26</v>
      </c>
      <c r="C22" s="55">
        <f>IF(A22="","",SUMIFS(Base_Gestran!$E$2:$E$5481,Base_Gestran!$A$2:$A$5481,A22,Base_Gestran!$C$2:$C$5481,B22))</f>
        <v>0</v>
      </c>
      <c r="D22" s="69" t="str">
        <f>IF(A22="","",IF(SUMIFS(Historico_Saidas!$D$6:$D$5000,Historico_Saidas!$A$6:$A$5000,A22,Historico_Saidas!$B$6:$B$5000,B22)=0,"",SUMIFS(Historico_Saidas!$D$6:$D$5000,Historico_Saidas!$A$6:$A$5000,A22,Historico_Saidas!$B$6:$B$5000,B22)/Historico_Saidas!$G$1))</f>
        <v/>
      </c>
      <c r="E22" s="57">
        <v>6</v>
      </c>
      <c r="F22" s="57">
        <v>10</v>
      </c>
      <c r="G22" s="55" t="str">
        <f t="shared" si="0"/>
        <v>COMPRAR</v>
      </c>
      <c r="H22" s="55">
        <f t="shared" si="1"/>
        <v>10</v>
      </c>
      <c r="I22" s="55"/>
    </row>
    <row r="23" spans="1:9">
      <c r="A23" s="57" t="s">
        <v>44</v>
      </c>
      <c r="B23" s="57" t="s">
        <v>26</v>
      </c>
      <c r="C23" s="55">
        <f>IF(A23="","",SUMIFS(Base_Gestran!$E$2:$E$5481,Base_Gestran!$A$2:$A$5481,A23,Base_Gestran!$C$2:$C$5481,B23))</f>
        <v>0</v>
      </c>
      <c r="D23" s="69" t="str">
        <f>IF(A23="","",IF(SUMIFS(Historico_Saidas!$D$6:$D$5000,Historico_Saidas!$A$6:$A$5000,A23,Historico_Saidas!$B$6:$B$5000,B23)=0,"",SUMIFS(Historico_Saidas!$D$6:$D$5000,Historico_Saidas!$A$6:$A$5000,A23,Historico_Saidas!$B$6:$B$5000,B23)/Historico_Saidas!$G$1))</f>
        <v/>
      </c>
      <c r="E23" s="57">
        <v>7</v>
      </c>
      <c r="F23" s="57">
        <v>11</v>
      </c>
      <c r="G23" s="55" t="str">
        <f t="shared" si="0"/>
        <v>COMPRAR</v>
      </c>
      <c r="H23" s="55">
        <f t="shared" si="1"/>
        <v>11</v>
      </c>
      <c r="I23" s="55"/>
    </row>
    <row r="24" ht="23.25" customHeight="1" spans="1:9">
      <c r="A24" s="57" t="s">
        <v>37</v>
      </c>
      <c r="B24" s="57" t="s">
        <v>38</v>
      </c>
      <c r="C24" s="55">
        <f>IF(A24="","",SUMIFS(Base_Gestran!$E$2:$E$5481,Base_Gestran!$A$2:$A$5481,A24,Base_Gestran!$C$2:$C$5481,B24))</f>
        <v>794</v>
      </c>
      <c r="D24" s="69">
        <f>IF(A24="","",IF(SUMIFS(Historico_Saidas!$D$6:$D$5000,Historico_Saidas!$A$6:$A$5000,A24,Historico_Saidas!$B$6:$B$5000,B24)=0,"",SUMIFS(Historico_Saidas!$D$6:$D$5000,Historico_Saidas!$A$6:$A$5000,A24,Historico_Saidas!$B$6:$B$5000,B24)/Historico_Saidas!$G$1))</f>
        <v>0.467783384845193</v>
      </c>
      <c r="E24" s="57">
        <v>8</v>
      </c>
      <c r="F24" s="57">
        <v>12</v>
      </c>
      <c r="G24" s="55" t="str">
        <f t="shared" si="0"/>
        <v>ACIMA DO MÁXIMO</v>
      </c>
      <c r="H24" s="55">
        <f t="shared" si="1"/>
        <v>0</v>
      </c>
      <c r="I24" s="55"/>
    </row>
    <row r="25" ht="23.25" customHeight="1" spans="1:9">
      <c r="A25" s="57" t="s">
        <v>45</v>
      </c>
      <c r="B25" s="57" t="s">
        <v>26</v>
      </c>
      <c r="C25" s="55">
        <f>IF(A25="","",SUMIFS(Base_Gestran!$E$2:$E$5481,Base_Gestran!$A$2:$A$5481,A25,Base_Gestran!$C$2:$C$5481,B25))</f>
        <v>0</v>
      </c>
      <c r="D25" s="69" t="str">
        <f>IF(A25="","",IF(SUMIFS(Historico_Saidas!$D$6:$D$5000,Historico_Saidas!$A$6:$A$5000,A25,Historico_Saidas!$B$6:$B$5000,B25)=0,"",SUMIFS(Historico_Saidas!$D$6:$D$5000,Historico_Saidas!$A$6:$A$5000,A25,Historico_Saidas!$B$6:$B$5000,B25)/Historico_Saidas!$G$1))</f>
        <v/>
      </c>
      <c r="E25" s="57">
        <v>9</v>
      </c>
      <c r="F25" s="57">
        <v>13</v>
      </c>
      <c r="G25" s="55" t="str">
        <f t="shared" si="0"/>
        <v>COMPRAR</v>
      </c>
      <c r="H25" s="55">
        <f t="shared" si="1"/>
        <v>13</v>
      </c>
      <c r="I25" s="55"/>
    </row>
    <row r="26" spans="1:9">
      <c r="A26" s="57" t="s">
        <v>46</v>
      </c>
      <c r="B26" s="57" t="s">
        <v>26</v>
      </c>
      <c r="C26" s="55">
        <f>IF(A26="","",SUMIFS(Base_Gestran!$E$2:$E$5481,Base_Gestran!$A$2:$A$5481,A26,Base_Gestran!$C$2:$C$5481,B26))</f>
        <v>0</v>
      </c>
      <c r="D26" s="69" t="str">
        <f>IF(A26="","",IF(SUMIFS(Historico_Saidas!$D$6:$D$5000,Historico_Saidas!$A$6:$A$5000,A26,Historico_Saidas!$B$6:$B$5000,B26)=0,"",SUMIFS(Historico_Saidas!$D$6:$D$5000,Historico_Saidas!$A$6:$A$5000,A26,Historico_Saidas!$B$6:$B$5000,B26)/Historico_Saidas!$G$1))</f>
        <v/>
      </c>
      <c r="E26" s="57">
        <v>10</v>
      </c>
      <c r="F26" s="57">
        <v>14</v>
      </c>
      <c r="G26" s="55" t="str">
        <f t="shared" si="0"/>
        <v>COMPRAR</v>
      </c>
      <c r="H26" s="55">
        <f t="shared" si="1"/>
        <v>14</v>
      </c>
      <c r="I26" s="55"/>
    </row>
    <row r="27" spans="1:9">
      <c r="A27" s="57" t="s">
        <v>47</v>
      </c>
      <c r="B27" s="57" t="s">
        <v>26</v>
      </c>
      <c r="C27" s="55">
        <f>IF(A27="","",SUMIFS(Base_Gestran!$E$2:$E$5481,Base_Gestran!$A$2:$A$5481,A27,Base_Gestran!$C$2:$C$5481,B27))</f>
        <v>0</v>
      </c>
      <c r="D27" s="69" t="str">
        <f>IF(A27="","",IF(SUMIFS(Historico_Saidas!$D$6:$D$5000,Historico_Saidas!$A$6:$A$5000,A27,Historico_Saidas!$B$6:$B$5000,B27)=0,"",SUMIFS(Historico_Saidas!$D$6:$D$5000,Historico_Saidas!$A$6:$A$5000,A27,Historico_Saidas!$B$6:$B$5000,B27)/Historico_Saidas!$G$1))</f>
        <v/>
      </c>
      <c r="E27" s="57">
        <v>11</v>
      </c>
      <c r="F27" s="57">
        <v>15</v>
      </c>
      <c r="G27" s="55" t="str">
        <f t="shared" si="0"/>
        <v>COMPRAR</v>
      </c>
      <c r="H27" s="55">
        <f t="shared" si="1"/>
        <v>15</v>
      </c>
      <c r="I27" s="55"/>
    </row>
    <row r="28" spans="1:9">
      <c r="A28" s="57" t="s">
        <v>48</v>
      </c>
      <c r="B28" s="57" t="s">
        <v>26</v>
      </c>
      <c r="C28" s="55">
        <f>IF(A28="","",SUMIFS(Base_Gestran!$E$2:$E$5481,Base_Gestran!$A$2:$A$5481,A28,Base_Gestran!$C$2:$C$5481,B28))</f>
        <v>0</v>
      </c>
      <c r="D28" s="69" t="str">
        <f>IF(A28="","",IF(SUMIFS(Historico_Saidas!$D$6:$D$5000,Historico_Saidas!$A$6:$A$5000,A28,Historico_Saidas!$B$6:$B$5000,B28)=0,"",SUMIFS(Historico_Saidas!$D$6:$D$5000,Historico_Saidas!$A$6:$A$5000,A28,Historico_Saidas!$B$6:$B$5000,B28)/Historico_Saidas!$G$1))</f>
        <v/>
      </c>
      <c r="E28" s="57">
        <v>12</v>
      </c>
      <c r="F28" s="57">
        <v>16</v>
      </c>
      <c r="G28" s="55" t="str">
        <f t="shared" si="0"/>
        <v>COMPRAR</v>
      </c>
      <c r="H28" s="55">
        <f t="shared" si="1"/>
        <v>16</v>
      </c>
      <c r="I28" s="55"/>
    </row>
    <row r="29" ht="23.25" customHeight="1" spans="1:9">
      <c r="A29" s="57" t="s">
        <v>49</v>
      </c>
      <c r="B29" s="57" t="s">
        <v>35</v>
      </c>
      <c r="C29" s="55">
        <f>IF(A29="","",SUMIFS(Base_Gestran!$E$2:$E$5481,Base_Gestran!$A$2:$A$5481,A29,Base_Gestran!$C$2:$C$5481,B29))</f>
        <v>4</v>
      </c>
      <c r="D29" s="69">
        <f>IF(A29="","",IF(SUMIFS(Historico_Saidas!$D$6:$D$5000,Historico_Saidas!$A$6:$A$5000,A29,Historico_Saidas!$B$6:$B$5000,B29)=0,"",SUMIFS(Historico_Saidas!$D$6:$D$5000,Historico_Saidas!$A$6:$A$5000,A29,Historico_Saidas!$B$6:$B$5000,B29)/Historico_Saidas!$G$1))</f>
        <v>0.13758334848388</v>
      </c>
      <c r="E29" s="57">
        <v>13</v>
      </c>
      <c r="F29" s="57">
        <v>17</v>
      </c>
      <c r="G29" s="55" t="str">
        <f t="shared" si="0"/>
        <v>COMPRAR</v>
      </c>
      <c r="H29" s="55">
        <f t="shared" si="1"/>
        <v>13</v>
      </c>
      <c r="I29" s="55"/>
    </row>
    <row r="30" spans="1:9">
      <c r="A30" s="57" t="s">
        <v>50</v>
      </c>
      <c r="B30" s="57" t="s">
        <v>51</v>
      </c>
      <c r="C30" s="55">
        <f>IF(A30="","",SUMIFS(Base_Gestran!$E$2:$E$5481,Base_Gestran!$A$2:$A$5481,A30,Base_Gestran!$C$2:$C$5481,B30))</f>
        <v>4</v>
      </c>
      <c r="D30" s="69" t="str">
        <f>IF(A30="","",IF(SUMIFS(Historico_Saidas!$D$6:$D$5000,Historico_Saidas!$A$6:$A$5000,A30,Historico_Saidas!$B$6:$B$5000,B30)=0,"",SUMIFS(Historico_Saidas!$D$6:$D$5000,Historico_Saidas!$A$6:$A$5000,A30,Historico_Saidas!$B$6:$B$5000,B30)/Historico_Saidas!$G$1))</f>
        <v/>
      </c>
      <c r="E30" s="57">
        <v>14</v>
      </c>
      <c r="F30" s="57">
        <v>18</v>
      </c>
      <c r="G30" s="55" t="str">
        <f t="shared" si="0"/>
        <v>COMPRAR</v>
      </c>
      <c r="H30" s="55">
        <f t="shared" si="1"/>
        <v>14</v>
      </c>
      <c r="I30" s="55"/>
    </row>
    <row r="31" spans="1:9">
      <c r="A31" s="57" t="s">
        <v>52</v>
      </c>
      <c r="B31" s="57" t="s">
        <v>51</v>
      </c>
      <c r="C31" s="55">
        <f>IF(A31="","",SUMIFS(Base_Gestran!$E$2:$E$5481,Base_Gestran!$A$2:$A$5481,A31,Base_Gestran!$C$2:$C$5481,B31))</f>
        <v>6</v>
      </c>
      <c r="D31" s="69" t="str">
        <f>IF(A31="","",IF(SUMIFS(Historico_Saidas!$D$6:$D$5000,Historico_Saidas!$A$6:$A$5000,A31,Historico_Saidas!$B$6:$B$5000,B31)=0,"",SUMIFS(Historico_Saidas!$D$6:$D$5000,Historico_Saidas!$A$6:$A$5000,A31,Historico_Saidas!$B$6:$B$5000,B31)/Historico_Saidas!$G$1))</f>
        <v/>
      </c>
      <c r="E31" s="57">
        <v>15</v>
      </c>
      <c r="F31" s="57">
        <v>19</v>
      </c>
      <c r="G31" s="55" t="str">
        <f t="shared" si="0"/>
        <v>COMPRAR</v>
      </c>
      <c r="H31" s="55">
        <f t="shared" si="1"/>
        <v>13</v>
      </c>
      <c r="I31" s="55"/>
    </row>
    <row r="32" spans="1:9">
      <c r="A32" s="57" t="s">
        <v>53</v>
      </c>
      <c r="B32" s="57" t="s">
        <v>51</v>
      </c>
      <c r="C32" s="55">
        <f>IF(A32="","",SUMIFS(Base_Gestran!$E$2:$E$5481,Base_Gestran!$A$2:$A$5481,A32,Base_Gestran!$C$2:$C$5481,B32))</f>
        <v>5</v>
      </c>
      <c r="D32" s="69">
        <f>IF(A32="","",IF(SUMIFS(Historico_Saidas!$D$6:$D$5000,Historico_Saidas!$A$6:$A$5000,A32,Historico_Saidas!$B$6:$B$5000,B32)=0,"",SUMIFS(Historico_Saidas!$D$6:$D$5000,Historico_Saidas!$A$6:$A$5000,A32,Historico_Saidas!$B$6:$B$5000,B32)/Historico_Saidas!$G$1))</f>
        <v>0.0275166696967761</v>
      </c>
      <c r="E32" s="57">
        <v>16</v>
      </c>
      <c r="F32" s="57">
        <v>20</v>
      </c>
      <c r="G32" s="55" t="str">
        <f t="shared" si="0"/>
        <v>COMPRAR</v>
      </c>
      <c r="H32" s="55">
        <f t="shared" si="1"/>
        <v>15</v>
      </c>
      <c r="I32" s="55"/>
    </row>
    <row r="33" spans="1:9">
      <c r="A33" s="57" t="s">
        <v>54</v>
      </c>
      <c r="B33" s="57" t="s">
        <v>51</v>
      </c>
      <c r="C33" s="55">
        <f>IF(A33="","",SUMIFS(Base_Gestran!$E$2:$E$5481,Base_Gestran!$A$2:$A$5481,A33,Base_Gestran!$C$2:$C$5481,B33))</f>
        <v>4</v>
      </c>
      <c r="D33" s="69" t="str">
        <f>IF(A33="","",IF(SUMIFS(Historico_Saidas!$D$6:$D$5000,Historico_Saidas!$A$6:$A$5000,A33,Historico_Saidas!$B$6:$B$5000,B33)=0,"",SUMIFS(Historico_Saidas!$D$6:$D$5000,Historico_Saidas!$A$6:$A$5000,A33,Historico_Saidas!$B$6:$B$5000,B33)/Historico_Saidas!$G$1))</f>
        <v/>
      </c>
      <c r="E33" s="57">
        <v>17</v>
      </c>
      <c r="F33" s="57">
        <v>21</v>
      </c>
      <c r="G33" s="55" t="str">
        <f t="shared" si="0"/>
        <v>COMPRAR</v>
      </c>
      <c r="H33" s="55">
        <f t="shared" si="1"/>
        <v>17</v>
      </c>
      <c r="I33" s="55"/>
    </row>
    <row r="34" spans="1:9">
      <c r="A34" s="57" t="s">
        <v>55</v>
      </c>
      <c r="B34" s="57" t="s">
        <v>26</v>
      </c>
      <c r="C34" s="55">
        <f>IF(A34="","",SUMIFS(Base_Gestran!$E$2:$E$5481,Base_Gestran!$A$2:$A$5481,A34,Base_Gestran!$C$2:$C$5481,B34))</f>
        <v>0</v>
      </c>
      <c r="D34" s="69" t="str">
        <f>IF(A34="","",IF(SUMIFS(Historico_Saidas!$D$6:$D$5000,Historico_Saidas!$A$6:$A$5000,A34,Historico_Saidas!$B$6:$B$5000,B34)=0,"",SUMIFS(Historico_Saidas!$D$6:$D$5000,Historico_Saidas!$A$6:$A$5000,A34,Historico_Saidas!$B$6:$B$5000,B34)/Historico_Saidas!$G$1))</f>
        <v/>
      </c>
      <c r="E34" s="57">
        <v>18</v>
      </c>
      <c r="F34" s="57">
        <v>22</v>
      </c>
      <c r="G34" s="55" t="str">
        <f t="shared" si="0"/>
        <v>COMPRAR</v>
      </c>
      <c r="H34" s="55">
        <f t="shared" si="1"/>
        <v>22</v>
      </c>
      <c r="I34" s="55"/>
    </row>
    <row r="35" spans="1:9">
      <c r="A35" s="57" t="s">
        <v>56</v>
      </c>
      <c r="B35" s="57" t="s">
        <v>26</v>
      </c>
      <c r="C35" s="55">
        <f>IF(A35="","",SUMIFS(Base_Gestran!$E$2:$E$5481,Base_Gestran!$A$2:$A$5481,A35,Base_Gestran!$C$2:$C$5481,B35))</f>
        <v>0</v>
      </c>
      <c r="D35" s="69" t="str">
        <f>IF(A35="","",IF(SUMIFS(Historico_Saidas!$D$6:$D$5000,Historico_Saidas!$A$6:$A$5000,A35,Historico_Saidas!$B$6:$B$5000,B35)=0,"",SUMIFS(Historico_Saidas!$D$6:$D$5000,Historico_Saidas!$A$6:$A$5000,A35,Historico_Saidas!$B$6:$B$5000,B35)/Historico_Saidas!$G$1))</f>
        <v/>
      </c>
      <c r="E35" s="57">
        <v>19</v>
      </c>
      <c r="F35" s="57">
        <v>23</v>
      </c>
      <c r="G35" s="55" t="str">
        <f t="shared" si="0"/>
        <v>COMPRAR</v>
      </c>
      <c r="H35" s="55">
        <f t="shared" si="1"/>
        <v>23</v>
      </c>
      <c r="I35" s="55"/>
    </row>
    <row r="36" spans="1:9">
      <c r="A36" s="57" t="s">
        <v>57</v>
      </c>
      <c r="B36" s="57" t="s">
        <v>26</v>
      </c>
      <c r="C36" s="55">
        <f>IF(A36="","",SUMIFS(Base_Gestran!$E$2:$E$5481,Base_Gestran!$A$2:$A$5481,A36,Base_Gestran!$C$2:$C$5481,B36))</f>
        <v>0</v>
      </c>
      <c r="D36" s="69" t="str">
        <f>IF(A36="","",IF(SUMIFS(Historico_Saidas!$D$6:$D$5000,Historico_Saidas!$A$6:$A$5000,A36,Historico_Saidas!$B$6:$B$5000,B36)=0,"",SUMIFS(Historico_Saidas!$D$6:$D$5000,Historico_Saidas!$A$6:$A$5000,A36,Historico_Saidas!$B$6:$B$5000,B36)/Historico_Saidas!$G$1))</f>
        <v/>
      </c>
      <c r="E36" s="57">
        <v>20</v>
      </c>
      <c r="F36" s="57">
        <v>24</v>
      </c>
      <c r="G36" s="55" t="str">
        <f t="shared" si="0"/>
        <v>COMPRAR</v>
      </c>
      <c r="H36" s="55">
        <f t="shared" si="1"/>
        <v>24</v>
      </c>
      <c r="I36" s="55"/>
    </row>
    <row r="37" spans="1:9">
      <c r="A37" s="57" t="s">
        <v>58</v>
      </c>
      <c r="B37" s="57" t="s">
        <v>26</v>
      </c>
      <c r="C37" s="55">
        <f>IF(A37="","",SUMIFS(Base_Gestran!$E$2:$E$5481,Base_Gestran!$A$2:$A$5481,A37,Base_Gestran!$C$2:$C$5481,B37))</f>
        <v>0</v>
      </c>
      <c r="D37" s="69" t="str">
        <f>IF(A37="","",IF(SUMIFS(Historico_Saidas!$D$6:$D$5000,Historico_Saidas!$A$6:$A$5000,A37,Historico_Saidas!$B$6:$B$5000,B37)=0,"",SUMIFS(Historico_Saidas!$D$6:$D$5000,Historico_Saidas!$A$6:$A$5000,A37,Historico_Saidas!$B$6:$B$5000,B37)/Historico_Saidas!$G$1))</f>
        <v/>
      </c>
      <c r="E37" s="57">
        <v>21</v>
      </c>
      <c r="F37" s="57">
        <v>25</v>
      </c>
      <c r="G37" s="55" t="str">
        <f t="shared" si="0"/>
        <v>COMPRAR</v>
      </c>
      <c r="H37" s="55">
        <f t="shared" si="1"/>
        <v>25</v>
      </c>
      <c r="I37" s="55"/>
    </row>
    <row r="38" spans="1:9">
      <c r="A38" s="57" t="s">
        <v>59</v>
      </c>
      <c r="B38" s="57" t="s">
        <v>26</v>
      </c>
      <c r="C38" s="55">
        <f>IF(A38="","",SUMIFS(Base_Gestran!$E$2:$E$5481,Base_Gestran!$A$2:$A$5481,A38,Base_Gestran!$C$2:$C$5481,B38))</f>
        <v>0</v>
      </c>
      <c r="D38" s="69" t="str">
        <f>IF(A38="","",IF(SUMIFS(Historico_Saidas!$D$6:$D$5000,Historico_Saidas!$A$6:$A$5000,A38,Historico_Saidas!$B$6:$B$5000,B38)=0,"",SUMIFS(Historico_Saidas!$D$6:$D$5000,Historico_Saidas!$A$6:$A$5000,A38,Historico_Saidas!$B$6:$B$5000,B38)/Historico_Saidas!$G$1))</f>
        <v/>
      </c>
      <c r="E38" s="57">
        <v>22</v>
      </c>
      <c r="F38" s="57">
        <v>26</v>
      </c>
      <c r="G38" s="55" t="str">
        <f t="shared" si="0"/>
        <v>COMPRAR</v>
      </c>
      <c r="H38" s="55">
        <f t="shared" si="1"/>
        <v>26</v>
      </c>
      <c r="I38" s="55"/>
    </row>
    <row r="39" spans="1:9">
      <c r="A39" s="57" t="s">
        <v>60</v>
      </c>
      <c r="B39" s="57" t="s">
        <v>26</v>
      </c>
      <c r="C39" s="55">
        <f>IF(A39="","",SUMIFS(Base_Gestran!$E$2:$E$5481,Base_Gestran!$A$2:$A$5481,A39,Base_Gestran!$C$2:$C$5481,B39))</f>
        <v>0</v>
      </c>
      <c r="D39" s="69" t="str">
        <f>IF(A39="","",IF(SUMIFS(Historico_Saidas!$D$6:$D$5000,Historico_Saidas!$A$6:$A$5000,A39,Historico_Saidas!$B$6:$B$5000,B39)=0,"",SUMIFS(Historico_Saidas!$D$6:$D$5000,Historico_Saidas!$A$6:$A$5000,A39,Historico_Saidas!$B$6:$B$5000,B39)/Historico_Saidas!$G$1))</f>
        <v/>
      </c>
      <c r="E39" s="57">
        <v>23</v>
      </c>
      <c r="F39" s="57">
        <v>27</v>
      </c>
      <c r="G39" s="55" t="str">
        <f t="shared" si="0"/>
        <v>COMPRAR</v>
      </c>
      <c r="H39" s="55">
        <f t="shared" si="1"/>
        <v>27</v>
      </c>
      <c r="I39" s="55"/>
    </row>
    <row r="40" ht="23.25" customHeight="1" spans="1:9">
      <c r="A40" s="57" t="s">
        <v>61</v>
      </c>
      <c r="B40" s="57" t="s">
        <v>35</v>
      </c>
      <c r="C40" s="55">
        <f>IF(A40="","",SUMIFS(Base_Gestran!$E$2:$E$5481,Base_Gestran!$A$2:$A$5481,A40,Base_Gestran!$C$2:$C$5481,B40))</f>
        <v>1</v>
      </c>
      <c r="D40" s="69" t="str">
        <f>IF(A40="","",IF(SUMIFS(Historico_Saidas!$D$6:$D$5000,Historico_Saidas!$A$6:$A$5000,A40,Historico_Saidas!$B$6:$B$5000,B40)=0,"",SUMIFS(Historico_Saidas!$D$6:$D$5000,Historico_Saidas!$A$6:$A$5000,A40,Historico_Saidas!$B$6:$B$5000,B40)/Historico_Saidas!$G$1))</f>
        <v/>
      </c>
      <c r="E40" s="57">
        <v>24</v>
      </c>
      <c r="F40" s="57">
        <v>28</v>
      </c>
      <c r="G40" s="55" t="str">
        <f t="shared" si="0"/>
        <v>COMPRAR</v>
      </c>
      <c r="H40" s="55">
        <f t="shared" si="1"/>
        <v>27</v>
      </c>
      <c r="I40" s="55"/>
    </row>
    <row r="41" spans="1:9">
      <c r="A41" s="57" t="s">
        <v>62</v>
      </c>
      <c r="B41" s="57" t="s">
        <v>26</v>
      </c>
      <c r="C41" s="55">
        <f>IF(A41="","",SUMIFS(Base_Gestran!$E$2:$E$5481,Base_Gestran!$A$2:$A$5481,A41,Base_Gestran!$C$2:$C$5481,B41))</f>
        <v>0</v>
      </c>
      <c r="D41" s="69" t="str">
        <f>IF(A41="","",IF(SUMIFS(Historico_Saidas!$D$6:$D$5000,Historico_Saidas!$A$6:$A$5000,A41,Historico_Saidas!$B$6:$B$5000,B41)=0,"",SUMIFS(Historico_Saidas!$D$6:$D$5000,Historico_Saidas!$A$6:$A$5000,A41,Historico_Saidas!$B$6:$B$5000,B41)/Historico_Saidas!$G$1))</f>
        <v/>
      </c>
      <c r="E41" s="57">
        <v>25</v>
      </c>
      <c r="F41" s="57">
        <v>29</v>
      </c>
      <c r="G41" s="55" t="str">
        <f t="shared" si="0"/>
        <v>COMPRAR</v>
      </c>
      <c r="H41" s="55">
        <f t="shared" si="1"/>
        <v>29</v>
      </c>
      <c r="I41" s="55"/>
    </row>
    <row r="42" ht="23.25" customHeight="1" spans="1:9">
      <c r="A42" s="57" t="s">
        <v>37</v>
      </c>
      <c r="B42" s="57" t="s">
        <v>38</v>
      </c>
      <c r="C42" s="55">
        <f>IF(A42="","",SUMIFS(Base_Gestran!$E$2:$E$5481,Base_Gestran!$A$2:$A$5481,A42,Base_Gestran!$C$2:$C$5481,B42))</f>
        <v>794</v>
      </c>
      <c r="D42" s="69">
        <f>IF(A42="","",IF(SUMIFS(Historico_Saidas!$D$6:$D$5000,Historico_Saidas!$A$6:$A$5000,A42,Historico_Saidas!$B$6:$B$5000,B42)=0,"",SUMIFS(Historico_Saidas!$D$6:$D$5000,Historico_Saidas!$A$6:$A$5000,A42,Historico_Saidas!$B$6:$B$5000,B42)/Historico_Saidas!$G$1))</f>
        <v>0.467783384845193</v>
      </c>
      <c r="E42" s="57">
        <v>26</v>
      </c>
      <c r="F42" s="57">
        <v>30</v>
      </c>
      <c r="G42" s="55" t="str">
        <f t="shared" si="0"/>
        <v>ACIMA DO MÁXIMO</v>
      </c>
      <c r="H42" s="55">
        <f t="shared" si="1"/>
        <v>0</v>
      </c>
      <c r="I42" s="55"/>
    </row>
    <row r="43" spans="1:9">
      <c r="A43" s="57" t="s">
        <v>63</v>
      </c>
      <c r="B43" s="57" t="s">
        <v>26</v>
      </c>
      <c r="C43" s="55">
        <f>IF(A43="","",SUMIFS(Base_Gestran!$E$2:$E$5481,Base_Gestran!$A$2:$A$5481,A43,Base_Gestran!$C$2:$C$5481,B43))</f>
        <v>3</v>
      </c>
      <c r="D43" s="69">
        <f>IF(A43="","",IF(SUMIFS(Historico_Saidas!$D$6:$D$5000,Historico_Saidas!$A$6:$A$5000,A43,Historico_Saidas!$B$6:$B$5000,B43)=0,"",SUMIFS(Historico_Saidas!$D$6:$D$5000,Historico_Saidas!$A$6:$A$5000,A43,Historico_Saidas!$B$6:$B$5000,B43)/Historico_Saidas!$G$1))</f>
        <v>0.0275166696967761</v>
      </c>
      <c r="E43" s="57">
        <v>27</v>
      </c>
      <c r="F43" s="57">
        <v>31</v>
      </c>
      <c r="G43" s="55" t="str">
        <f t="shared" si="0"/>
        <v>COMPRAR</v>
      </c>
      <c r="H43" s="55">
        <f t="shared" si="1"/>
        <v>28</v>
      </c>
      <c r="I43" s="55"/>
    </row>
    <row r="44" ht="23.25" customHeight="1" spans="1:9">
      <c r="A44" s="57" t="s">
        <v>31</v>
      </c>
      <c r="B44" s="57" t="s">
        <v>35</v>
      </c>
      <c r="C44" s="55">
        <f>IF(A44="","",SUMIFS(Base_Gestran!$E$2:$E$5481,Base_Gestran!$A$2:$A$5481,A44,Base_Gestran!$C$2:$C$5481,B44))</f>
        <v>1</v>
      </c>
      <c r="D44" s="69" t="str">
        <f>IF(A44="","",IF(SUMIFS(Historico_Saidas!$D$6:$D$5000,Historico_Saidas!$A$6:$A$5000,A44,Historico_Saidas!$B$6:$B$5000,B44)=0,"",SUMIFS(Historico_Saidas!$D$6:$D$5000,Historico_Saidas!$A$6:$A$5000,A44,Historico_Saidas!$B$6:$B$5000,B44)/Historico_Saidas!$G$1))</f>
        <v/>
      </c>
      <c r="E44" s="57">
        <v>28</v>
      </c>
      <c r="F44" s="57">
        <v>32</v>
      </c>
      <c r="G44" s="55" t="str">
        <f t="shared" si="0"/>
        <v>COMPRAR</v>
      </c>
      <c r="H44" s="55">
        <f t="shared" si="1"/>
        <v>31</v>
      </c>
      <c r="I44" s="55"/>
    </row>
    <row r="45" ht="23.25" customHeight="1" spans="1:9">
      <c r="A45" s="57" t="s">
        <v>64</v>
      </c>
      <c r="B45" s="57" t="s">
        <v>26</v>
      </c>
      <c r="C45" s="55">
        <f>IF(A45="","",SUMIFS(Base_Gestran!$E$2:$E$5481,Base_Gestran!$A$2:$A$5481,A45,Base_Gestran!$C$2:$C$5481,B45))</f>
        <v>83</v>
      </c>
      <c r="D45" s="69">
        <f>IF(A45="","",IF(SUMIFS(Historico_Saidas!$D$6:$D$5000,Historico_Saidas!$A$6:$A$5000,A45,Historico_Saidas!$B$6:$B$5000,B45)=0,"",SUMIFS(Historico_Saidas!$D$6:$D$5000,Historico_Saidas!$A$6:$A$5000,A45,Historico_Saidas!$B$6:$B$5000,B45)/Historico_Saidas!$G$1))</f>
        <v>0.110066678787104</v>
      </c>
      <c r="E45" s="57">
        <v>29</v>
      </c>
      <c r="F45" s="57">
        <v>33</v>
      </c>
      <c r="G45" s="55" t="str">
        <f t="shared" si="0"/>
        <v>ACIMA DO MÁXIMO</v>
      </c>
      <c r="H45" s="55">
        <f t="shared" si="1"/>
        <v>0</v>
      </c>
      <c r="I45" s="55"/>
    </row>
    <row r="46" spans="1:9">
      <c r="A46" s="57" t="s">
        <v>65</v>
      </c>
      <c r="B46" s="57" t="s">
        <v>26</v>
      </c>
      <c r="C46" s="55">
        <f>IF(A46="","",SUMIFS(Base_Gestran!$E$2:$E$5481,Base_Gestran!$A$2:$A$5481,A46,Base_Gestran!$C$2:$C$5481,B46))</f>
        <v>1</v>
      </c>
      <c r="D46" s="69" t="str">
        <f>IF(A46="","",IF(SUMIFS(Historico_Saidas!$D$6:$D$5000,Historico_Saidas!$A$6:$A$5000,A46,Historico_Saidas!$B$6:$B$5000,B46)=0,"",SUMIFS(Historico_Saidas!$D$6:$D$5000,Historico_Saidas!$A$6:$A$5000,A46,Historico_Saidas!$B$6:$B$5000,B46)/Historico_Saidas!$G$1))</f>
        <v/>
      </c>
      <c r="E46" s="57">
        <v>30</v>
      </c>
      <c r="F46" s="57">
        <v>34</v>
      </c>
      <c r="G46" s="55" t="str">
        <f t="shared" si="0"/>
        <v>COMPRAR</v>
      </c>
      <c r="H46" s="55">
        <f t="shared" si="1"/>
        <v>33</v>
      </c>
      <c r="I46" s="55"/>
    </row>
    <row r="47" spans="1:9">
      <c r="A47" s="57" t="s">
        <v>66</v>
      </c>
      <c r="B47" s="57" t="s">
        <v>26</v>
      </c>
      <c r="C47" s="55">
        <f>IF(A47="","",SUMIFS(Base_Gestran!$E$2:$E$5481,Base_Gestran!$A$2:$A$5481,A47,Base_Gestran!$C$2:$C$5481,B47))</f>
        <v>0</v>
      </c>
      <c r="D47" s="69">
        <f>IF(A47="","",IF(SUMIFS(Historico_Saidas!$D$6:$D$5000,Historico_Saidas!$A$6:$A$5000,A47,Historico_Saidas!$B$6:$B$5000,B47)=0,"",SUMIFS(Historico_Saidas!$D$6:$D$5000,Historico_Saidas!$A$6:$A$5000,A47,Historico_Saidas!$B$6:$B$5000,B47)/Historico_Saidas!$G$1))</f>
        <v>0.0550333393935521</v>
      </c>
      <c r="E47" s="57">
        <v>31</v>
      </c>
      <c r="F47" s="57">
        <v>35</v>
      </c>
      <c r="G47" s="55" t="str">
        <f t="shared" si="0"/>
        <v>COMPRAR</v>
      </c>
      <c r="H47" s="55">
        <f t="shared" si="1"/>
        <v>35</v>
      </c>
      <c r="I47" s="55"/>
    </row>
    <row r="48" spans="1:9">
      <c r="A48" s="57" t="s">
        <v>67</v>
      </c>
      <c r="B48" s="57" t="s">
        <v>26</v>
      </c>
      <c r="C48" s="55">
        <f>IF(A48="","",SUMIFS(Base_Gestran!$E$2:$E$5481,Base_Gestran!$A$2:$A$5481,A48,Base_Gestran!$C$2:$C$5481,B48))</f>
        <v>5</v>
      </c>
      <c r="D48" s="69">
        <f>IF(A48="","",IF(SUMIFS(Historico_Saidas!$D$6:$D$5000,Historico_Saidas!$A$6:$A$5000,A48,Historico_Saidas!$B$6:$B$5000,B48)=0,"",SUMIFS(Historico_Saidas!$D$6:$D$5000,Historico_Saidas!$A$6:$A$5000,A48,Historico_Saidas!$B$6:$B$5000,B48)/Historico_Saidas!$G$1))</f>
        <v>1.76106686059367</v>
      </c>
      <c r="E48" s="57">
        <v>32</v>
      </c>
      <c r="F48" s="57">
        <v>36</v>
      </c>
      <c r="G48" s="55" t="str">
        <f t="shared" si="0"/>
        <v>COMPRAR</v>
      </c>
      <c r="H48" s="55">
        <f t="shared" si="1"/>
        <v>31</v>
      </c>
      <c r="I48" s="55"/>
    </row>
    <row r="49" spans="1:9">
      <c r="A49" s="57" t="s">
        <v>68</v>
      </c>
      <c r="B49" s="57"/>
      <c r="C49" s="55">
        <f>IF(A49="","",SUMIFS(Base_Gestran!$E$2:$E$5481,Base_Gestran!$A$2:$A$5481,A49,Base_Gestran!$C$2:$C$5481,B49))</f>
        <v>0</v>
      </c>
      <c r="D49" s="69" t="str">
        <f>IF(A49="","",IF(SUMIFS(Historico_Saidas!$D$6:$D$5000,Historico_Saidas!$A$6:$A$5000,A49,Historico_Saidas!$B$6:$B$5000,B49)=0,"",SUMIFS(Historico_Saidas!$D$6:$D$5000,Historico_Saidas!$A$6:$A$5000,A49,Historico_Saidas!$B$6:$B$5000,B49)/Historico_Saidas!$G$1))</f>
        <v/>
      </c>
      <c r="E49" s="57"/>
      <c r="F49" s="57"/>
      <c r="G49" s="55" t="str">
        <f t="shared" si="0"/>
        <v/>
      </c>
      <c r="H49" s="55">
        <f t="shared" si="1"/>
        <v>0</v>
      </c>
      <c r="I49" s="55"/>
    </row>
    <row r="50" spans="1:9">
      <c r="A50" s="57" t="s">
        <v>69</v>
      </c>
      <c r="B50" s="57"/>
      <c r="C50" s="55">
        <f>IF(A50="","",SUMIFS(Base_Gestran!$E$2:$E$5481,Base_Gestran!$A$2:$A$5481,A50,Base_Gestran!$C$2:$C$5481,B50))</f>
        <v>0</v>
      </c>
      <c r="D50" s="69" t="str">
        <f>IF(A50="","",IF(SUMIFS(Historico_Saidas!$D$6:$D$5000,Historico_Saidas!$A$6:$A$5000,A50,Historico_Saidas!$B$6:$B$5000,B50)=0,"",SUMIFS(Historico_Saidas!$D$6:$D$5000,Historico_Saidas!$A$6:$A$5000,A50,Historico_Saidas!$B$6:$B$5000,B50)/Historico_Saidas!$G$1))</f>
        <v/>
      </c>
      <c r="E50" s="57"/>
      <c r="F50" s="57"/>
      <c r="G50" s="55" t="str">
        <f t="shared" si="0"/>
        <v/>
      </c>
      <c r="H50" s="55">
        <f t="shared" si="1"/>
        <v>0</v>
      </c>
      <c r="I50" s="55"/>
    </row>
    <row r="51" spans="1:9">
      <c r="A51" s="57" t="s">
        <v>70</v>
      </c>
      <c r="B51" s="57"/>
      <c r="C51" s="55">
        <f>IF(A51="","",SUMIFS(Base_Gestran!$E$2:$E$5481,Base_Gestran!$A$2:$A$5481,A51,Base_Gestran!$C$2:$C$5481,B51))</f>
        <v>0</v>
      </c>
      <c r="D51" s="69" t="str">
        <f>IF(A51="","",IF(SUMIFS(Historico_Saidas!$D$6:$D$5000,Historico_Saidas!$A$6:$A$5000,A51,Historico_Saidas!$B$6:$B$5000,B51)=0,"",SUMIFS(Historico_Saidas!$D$6:$D$5000,Historico_Saidas!$A$6:$A$5000,A51,Historico_Saidas!$B$6:$B$5000,B51)/Historico_Saidas!$G$1))</f>
        <v/>
      </c>
      <c r="E51" s="57"/>
      <c r="F51" s="57"/>
      <c r="G51" s="55" t="str">
        <f t="shared" si="0"/>
        <v/>
      </c>
      <c r="H51" s="55">
        <f t="shared" si="1"/>
        <v>0</v>
      </c>
      <c r="I51" s="55"/>
    </row>
    <row r="52" spans="1:9">
      <c r="A52" s="57" t="s">
        <v>71</v>
      </c>
      <c r="B52" s="57"/>
      <c r="C52" s="55">
        <f>IF(A52="","",SUMIFS(Base_Gestran!$E$2:$E$5481,Base_Gestran!$A$2:$A$5481,A52,Base_Gestran!$C$2:$C$5481,B52))</f>
        <v>0</v>
      </c>
      <c r="D52" s="69" t="str">
        <f>IF(A52="","",IF(SUMIFS(Historico_Saidas!$D$6:$D$5000,Historico_Saidas!$A$6:$A$5000,A52,Historico_Saidas!$B$6:$B$5000,B52)=0,"",SUMIFS(Historico_Saidas!$D$6:$D$5000,Historico_Saidas!$A$6:$A$5000,A52,Historico_Saidas!$B$6:$B$5000,B52)/Historico_Saidas!$G$1))</f>
        <v/>
      </c>
      <c r="E52" s="57"/>
      <c r="F52" s="57"/>
      <c r="G52" s="55" t="str">
        <f t="shared" si="0"/>
        <v/>
      </c>
      <c r="H52" s="55">
        <f t="shared" si="1"/>
        <v>0</v>
      </c>
      <c r="I52" s="55"/>
    </row>
    <row r="53" spans="1:9">
      <c r="A53" s="57" t="s">
        <v>72</v>
      </c>
      <c r="B53" s="57"/>
      <c r="C53" s="55">
        <f>IF(A53="","",SUMIFS(Base_Gestran!$E$2:$E$5481,Base_Gestran!$A$2:$A$5481,A53,Base_Gestran!$C$2:$C$5481,B53))</f>
        <v>0</v>
      </c>
      <c r="D53" s="69" t="str">
        <f>IF(A53="","",IF(SUMIFS(Historico_Saidas!$D$6:$D$5000,Historico_Saidas!$A$6:$A$5000,A53,Historico_Saidas!$B$6:$B$5000,B53)=0,"",SUMIFS(Historico_Saidas!$D$6:$D$5000,Historico_Saidas!$A$6:$A$5000,A53,Historico_Saidas!$B$6:$B$5000,B53)/Historico_Saidas!$G$1))</f>
        <v/>
      </c>
      <c r="E53" s="57"/>
      <c r="F53" s="57"/>
      <c r="G53" s="55" t="str">
        <f t="shared" si="0"/>
        <v/>
      </c>
      <c r="H53" s="55">
        <f t="shared" si="1"/>
        <v>0</v>
      </c>
      <c r="I53" s="55"/>
    </row>
    <row r="54" spans="1:9">
      <c r="A54" s="57" t="s">
        <v>73</v>
      </c>
      <c r="B54" s="57"/>
      <c r="C54" s="55">
        <f>IF(A54="","",SUMIFS(Base_Gestran!$E$2:$E$5481,Base_Gestran!$A$2:$A$5481,A54,Base_Gestran!$C$2:$C$5481,B54))</f>
        <v>0</v>
      </c>
      <c r="D54" s="69" t="str">
        <f>IF(A54="","",IF(SUMIFS(Historico_Saidas!$D$6:$D$5000,Historico_Saidas!$A$6:$A$5000,A54,Historico_Saidas!$B$6:$B$5000,B54)=0,"",SUMIFS(Historico_Saidas!$D$6:$D$5000,Historico_Saidas!$A$6:$A$5000,A54,Historico_Saidas!$B$6:$B$5000,B54)/Historico_Saidas!$G$1))</f>
        <v/>
      </c>
      <c r="E54" s="57"/>
      <c r="F54" s="57"/>
      <c r="G54" s="55" t="str">
        <f t="shared" si="0"/>
        <v/>
      </c>
      <c r="H54" s="55">
        <f t="shared" si="1"/>
        <v>0</v>
      </c>
      <c r="I54" s="55"/>
    </row>
    <row r="55" spans="1:9">
      <c r="A55" s="57" t="s">
        <v>74</v>
      </c>
      <c r="B55" s="57"/>
      <c r="C55" s="55">
        <f>IF(A55="","",SUMIFS(Base_Gestran!$E$2:$E$5481,Base_Gestran!$A$2:$A$5481,A55,Base_Gestran!$C$2:$C$5481,B55))</f>
        <v>0</v>
      </c>
      <c r="D55" s="69" t="str">
        <f>IF(A55="","",IF(SUMIFS(Historico_Saidas!$D$6:$D$5000,Historico_Saidas!$A$6:$A$5000,A55,Historico_Saidas!$B$6:$B$5000,B55)=0,"",SUMIFS(Historico_Saidas!$D$6:$D$5000,Historico_Saidas!$A$6:$A$5000,A55,Historico_Saidas!$B$6:$B$5000,B55)/Historico_Saidas!$G$1))</f>
        <v/>
      </c>
      <c r="E55" s="57"/>
      <c r="F55" s="57"/>
      <c r="G55" s="55" t="str">
        <f t="shared" si="0"/>
        <v/>
      </c>
      <c r="H55" s="55">
        <f t="shared" si="1"/>
        <v>0</v>
      </c>
      <c r="I55" s="55"/>
    </row>
    <row r="56" spans="1:9">
      <c r="A56" s="57" t="s">
        <v>75</v>
      </c>
      <c r="B56" s="57"/>
      <c r="C56" s="55">
        <f>IF(A56="","",SUMIFS(Base_Gestran!$E$2:$E$5481,Base_Gestran!$A$2:$A$5481,A56,Base_Gestran!$C$2:$C$5481,B56))</f>
        <v>0</v>
      </c>
      <c r="D56" s="69" t="str">
        <f>IF(A56="","",IF(SUMIFS(Historico_Saidas!$D$6:$D$5000,Historico_Saidas!$A$6:$A$5000,A56,Historico_Saidas!$B$6:$B$5000,B56)=0,"",SUMIFS(Historico_Saidas!$D$6:$D$5000,Historico_Saidas!$A$6:$A$5000,A56,Historico_Saidas!$B$6:$B$5000,B56)/Historico_Saidas!$G$1))</f>
        <v/>
      </c>
      <c r="E56" s="57"/>
      <c r="F56" s="57"/>
      <c r="G56" s="55" t="str">
        <f t="shared" si="0"/>
        <v/>
      </c>
      <c r="H56" s="55">
        <f t="shared" si="1"/>
        <v>0</v>
      </c>
      <c r="I56" s="55"/>
    </row>
    <row r="57" spans="1:9">
      <c r="A57" s="57"/>
      <c r="B57" s="57"/>
      <c r="C57" s="55" t="str">
        <f>IF(A57="","",SUMIFS(Base_Gestran!$E$2:$E$5481,Base_Gestran!$A$2:$A$5481,A57,Base_Gestran!$C$2:$C$5481,B57))</f>
        <v/>
      </c>
      <c r="D57" s="69" t="str">
        <f>IF(A57="","",IF(SUMIFS(Historico_Saidas!$D$6:$D$5000,Historico_Saidas!$A$6:$A$5000,A57,Historico_Saidas!$B$6:$B$5000,B57)=0,"",SUMIFS(Historico_Saidas!$D$6:$D$5000,Historico_Saidas!$A$6:$A$5000,A57,Historico_Saidas!$B$6:$B$5000,B57)/Historico_Saidas!$G$1))</f>
        <v/>
      </c>
      <c r="E57" s="57"/>
      <c r="F57" s="57"/>
      <c r="G57" s="55" t="str">
        <f t="shared" si="0"/>
        <v/>
      </c>
      <c r="H57" s="55">
        <f t="shared" si="1"/>
        <v>0</v>
      </c>
      <c r="I57" s="55"/>
    </row>
    <row r="58" spans="1:9">
      <c r="A58" s="57"/>
      <c r="B58" s="57"/>
      <c r="C58" s="55" t="str">
        <f>IF(A58="","",SUMIFS(Base_Gestran!$E$2:$E$5481,Base_Gestran!$A$2:$A$5481,A58,Base_Gestran!$C$2:$C$5481,B58))</f>
        <v/>
      </c>
      <c r="D58" s="69" t="str">
        <f>IF(A58="","",IF(SUMIFS(Historico_Saidas!$D$6:$D$5000,Historico_Saidas!$A$6:$A$5000,A58,Historico_Saidas!$B$6:$B$5000,B58)=0,"",SUMIFS(Historico_Saidas!$D$6:$D$5000,Historico_Saidas!$A$6:$A$5000,A58,Historico_Saidas!$B$6:$B$5000,B58)/Historico_Saidas!$G$1))</f>
        <v/>
      </c>
      <c r="E58" s="57"/>
      <c r="F58" s="57"/>
      <c r="G58" s="55" t="str">
        <f t="shared" si="0"/>
        <v/>
      </c>
      <c r="H58" s="55">
        <f t="shared" si="1"/>
        <v>0</v>
      </c>
      <c r="I58" s="55"/>
    </row>
    <row r="59" spans="1:9">
      <c r="A59" s="57"/>
      <c r="B59" s="57"/>
      <c r="C59" s="55" t="str">
        <f>IF(A59="","",SUMIFS(Base_Gestran!$E$2:$E$5481,Base_Gestran!$A$2:$A$5481,A59,Base_Gestran!$C$2:$C$5481,B59))</f>
        <v/>
      </c>
      <c r="D59" s="69" t="str">
        <f>IF(A59="","",IF(SUMIFS(Historico_Saidas!$D$6:$D$5000,Historico_Saidas!$A$6:$A$5000,A59,Historico_Saidas!$B$6:$B$5000,B59)=0,"",SUMIFS(Historico_Saidas!$D$6:$D$5000,Historico_Saidas!$A$6:$A$5000,A59,Historico_Saidas!$B$6:$B$5000,B59)/Historico_Saidas!$G$1))</f>
        <v/>
      </c>
      <c r="E59" s="57"/>
      <c r="F59" s="57"/>
      <c r="G59" s="55" t="str">
        <f t="shared" si="0"/>
        <v/>
      </c>
      <c r="H59" s="55">
        <f t="shared" si="1"/>
        <v>0</v>
      </c>
      <c r="I59" s="55"/>
    </row>
    <row r="60" spans="1:9">
      <c r="A60" s="57"/>
      <c r="B60" s="57"/>
      <c r="C60" s="55" t="str">
        <f>IF(A60="","",SUMIFS(Base_Gestran!$E$2:$E$5481,Base_Gestran!$A$2:$A$5481,A60,Base_Gestran!$C$2:$C$5481,B60))</f>
        <v/>
      </c>
      <c r="D60" s="69" t="str">
        <f>IF(A60="","",IF(SUMIFS(Historico_Saidas!$D$6:$D$5000,Historico_Saidas!$A$6:$A$5000,A60,Historico_Saidas!$B$6:$B$5000,B60)=0,"",SUMIFS(Historico_Saidas!$D$6:$D$5000,Historico_Saidas!$A$6:$A$5000,A60,Historico_Saidas!$B$6:$B$5000,B60)/Historico_Saidas!$G$1))</f>
        <v/>
      </c>
      <c r="E60" s="57"/>
      <c r="F60" s="57"/>
      <c r="G60" s="55" t="str">
        <f t="shared" si="0"/>
        <v/>
      </c>
      <c r="H60" s="55">
        <f t="shared" si="1"/>
        <v>0</v>
      </c>
      <c r="I60" s="55"/>
    </row>
    <row r="61" spans="1:9">
      <c r="A61" s="57"/>
      <c r="B61" s="57"/>
      <c r="C61" s="55" t="str">
        <f>IF(A61="","",SUMIFS(Base_Gestran!$E$2:$E$5481,Base_Gestran!$A$2:$A$5481,A61,Base_Gestran!$C$2:$C$5481,B61))</f>
        <v/>
      </c>
      <c r="D61" s="69" t="str">
        <f>IF(A61="","",IF(SUMIFS(Historico_Saidas!$D$6:$D$5000,Historico_Saidas!$A$6:$A$5000,A61,Historico_Saidas!$B$6:$B$5000,B61)=0,"",SUMIFS(Historico_Saidas!$D$6:$D$5000,Historico_Saidas!$A$6:$A$5000,A61,Historico_Saidas!$B$6:$B$5000,B61)/Historico_Saidas!$G$1))</f>
        <v/>
      </c>
      <c r="E61" s="57"/>
      <c r="F61" s="57"/>
      <c r="G61" s="55" t="str">
        <f t="shared" si="0"/>
        <v/>
      </c>
      <c r="H61" s="55">
        <f t="shared" si="1"/>
        <v>0</v>
      </c>
      <c r="I61" s="55"/>
    </row>
    <row r="62" spans="1:9">
      <c r="A62" s="57"/>
      <c r="B62" s="57"/>
      <c r="C62" s="55" t="str">
        <f>IF(A62="","",SUMIFS(Base_Gestran!$E$2:$E$5481,Base_Gestran!$A$2:$A$5481,A62,Base_Gestran!$C$2:$C$5481,B62))</f>
        <v/>
      </c>
      <c r="D62" s="69" t="str">
        <f>IF(A62="","",IF(SUMIFS(Historico_Saidas!$D$6:$D$5000,Historico_Saidas!$A$6:$A$5000,A62,Historico_Saidas!$B$6:$B$5000,B62)=0,"",SUMIFS(Historico_Saidas!$D$6:$D$5000,Historico_Saidas!$A$6:$A$5000,A62,Historico_Saidas!$B$6:$B$5000,B62)/Historico_Saidas!$G$1))</f>
        <v/>
      </c>
      <c r="E62" s="57"/>
      <c r="F62" s="57"/>
      <c r="G62" s="55" t="str">
        <f t="shared" si="0"/>
        <v/>
      </c>
      <c r="H62" s="55">
        <f t="shared" si="1"/>
        <v>0</v>
      </c>
      <c r="I62" s="55"/>
    </row>
    <row r="63" spans="1:9">
      <c r="A63" s="57"/>
      <c r="B63" s="57"/>
      <c r="C63" s="55" t="str">
        <f>IF(A63="","",SUMIFS(Base_Gestran!$E$2:$E$5481,Base_Gestran!$A$2:$A$5481,A63,Base_Gestran!$C$2:$C$5481,B63))</f>
        <v/>
      </c>
      <c r="D63" s="69" t="str">
        <f>IF(A63="","",IF(SUMIFS(Historico_Saidas!$D$6:$D$5000,Historico_Saidas!$A$6:$A$5000,A63,Historico_Saidas!$B$6:$B$5000,B63)=0,"",SUMIFS(Historico_Saidas!$D$6:$D$5000,Historico_Saidas!$A$6:$A$5000,A63,Historico_Saidas!$B$6:$B$5000,B63)/Historico_Saidas!$G$1))</f>
        <v/>
      </c>
      <c r="E63" s="57"/>
      <c r="F63" s="57"/>
      <c r="G63" s="55" t="str">
        <f t="shared" si="0"/>
        <v/>
      </c>
      <c r="H63" s="55">
        <f t="shared" si="1"/>
        <v>0</v>
      </c>
      <c r="I63" s="55"/>
    </row>
    <row r="64" spans="1:9">
      <c r="A64" s="57"/>
      <c r="B64" s="57"/>
      <c r="C64" s="55" t="str">
        <f>IF(A64="","",SUMIFS(Base_Gestran!$E$2:$E$5481,Base_Gestran!$A$2:$A$5481,A64,Base_Gestran!$C$2:$C$5481,B64))</f>
        <v/>
      </c>
      <c r="D64" s="69" t="str">
        <f>IF(A64="","",IF(SUMIFS(Historico_Saidas!$D$6:$D$5000,Historico_Saidas!$A$6:$A$5000,A64,Historico_Saidas!$B$6:$B$5000,B64)=0,"",SUMIFS(Historico_Saidas!$D$6:$D$5000,Historico_Saidas!$A$6:$A$5000,A64,Historico_Saidas!$B$6:$B$5000,B64)/Historico_Saidas!$G$1))</f>
        <v/>
      </c>
      <c r="E64" s="57"/>
      <c r="F64" s="57"/>
      <c r="G64" s="55" t="str">
        <f t="shared" si="0"/>
        <v/>
      </c>
      <c r="H64" s="55">
        <f t="shared" si="1"/>
        <v>0</v>
      </c>
      <c r="I64" s="55"/>
    </row>
    <row r="65" spans="1:9">
      <c r="A65" s="57"/>
      <c r="B65" s="57"/>
      <c r="C65" s="55" t="str">
        <f>IF(A65="","",SUMIFS(Base_Gestran!$E$2:$E$5481,Base_Gestran!$A$2:$A$5481,A65,Base_Gestran!$C$2:$C$5481,B65))</f>
        <v/>
      </c>
      <c r="D65" s="69" t="str">
        <f>IF(A65="","",IF(SUMIFS(Historico_Saidas!$D$6:$D$5000,Historico_Saidas!$A$6:$A$5000,A65,Historico_Saidas!$B$6:$B$5000,B65)=0,"",SUMIFS(Historico_Saidas!$D$6:$D$5000,Historico_Saidas!$A$6:$A$5000,A65,Historico_Saidas!$B$6:$B$5000,B65)/Historico_Saidas!$G$1))</f>
        <v/>
      </c>
      <c r="E65" s="57"/>
      <c r="F65" s="57"/>
      <c r="G65" s="55" t="str">
        <f t="shared" si="0"/>
        <v/>
      </c>
      <c r="H65" s="55">
        <f t="shared" si="1"/>
        <v>0</v>
      </c>
      <c r="I65" s="55"/>
    </row>
    <row r="66" spans="1:9">
      <c r="A66" s="57"/>
      <c r="B66" s="57"/>
      <c r="C66" s="55" t="str">
        <f>IF(A66="","",SUMIFS(Base_Gestran!$E$2:$E$5481,Base_Gestran!$A$2:$A$5481,A66,Base_Gestran!$C$2:$C$5481,B66))</f>
        <v/>
      </c>
      <c r="D66" s="69" t="str">
        <f>IF(A66="","",IF(SUMIFS(Historico_Saidas!$D$6:$D$5000,Historico_Saidas!$A$6:$A$5000,A66,Historico_Saidas!$B$6:$B$5000,B66)=0,"",SUMIFS(Historico_Saidas!$D$6:$D$5000,Historico_Saidas!$A$6:$A$5000,A66,Historico_Saidas!$B$6:$B$5000,B66)/Historico_Saidas!$G$1))</f>
        <v/>
      </c>
      <c r="E66" s="57"/>
      <c r="F66" s="57"/>
      <c r="G66" s="55" t="str">
        <f t="shared" si="0"/>
        <v/>
      </c>
      <c r="H66" s="55">
        <f t="shared" si="1"/>
        <v>0</v>
      </c>
      <c r="I66" s="55"/>
    </row>
    <row r="67" spans="1:9">
      <c r="A67" s="57"/>
      <c r="B67" s="57"/>
      <c r="C67" s="55" t="str">
        <f>IF(A67="","",SUMIFS(Base_Gestran!$E$2:$E$5481,Base_Gestran!$A$2:$A$5481,A67,Base_Gestran!$C$2:$C$5481,B67))</f>
        <v/>
      </c>
      <c r="D67" s="69" t="str">
        <f>IF(A67="","",IF(SUMIFS(Historico_Saidas!$D$6:$D$5000,Historico_Saidas!$A$6:$A$5000,A67,Historico_Saidas!$B$6:$B$5000,B67)=0,"",SUMIFS(Historico_Saidas!$D$6:$D$5000,Historico_Saidas!$A$6:$A$5000,A67,Historico_Saidas!$B$6:$B$5000,B67)/Historico_Saidas!$G$1))</f>
        <v/>
      </c>
      <c r="E67" s="57"/>
      <c r="F67" s="57"/>
      <c r="G67" s="55" t="str">
        <f t="shared" si="0"/>
        <v/>
      </c>
      <c r="H67" s="55">
        <f t="shared" si="1"/>
        <v>0</v>
      </c>
      <c r="I67" s="55"/>
    </row>
  </sheetData>
  <autoFilter ref="A7:I67">
    <extLst/>
  </autoFilter>
  <mergeCells count="1">
    <mergeCell ref="A1:D1"/>
  </mergeCells>
  <conditionalFormatting sqref="B8:B67">
    <cfRule type="expression" dxfId="0" priority="5">
      <formula>ISNUMBER(SEARCH("TRANSPORTE",$B8))</formula>
    </cfRule>
    <cfRule type="expression" dxfId="1" priority="6">
      <formula>ISNUMBER(SEARCH("PREDIAL",$B8))</formula>
    </cfRule>
    <cfRule type="expression" dxfId="2" priority="7">
      <formula>ISNUMBER(SEARCH("LIMPEZA",$B8))</formula>
    </cfRule>
    <cfRule type="expression" dxfId="3" priority="8">
      <formula>ISNUMBER(SEARCH("ESCRIT",$B8))</formula>
    </cfRule>
    <cfRule type="expression" dxfId="4" priority="9">
      <formula>ISNUMBER(SEARCH("EPI",$B8))</formula>
    </cfRule>
    <cfRule type="expression" dxfId="5" priority="10">
      <formula>ISNUMBER(SEARCH("LOGÍST",$B8))</formula>
    </cfRule>
    <cfRule type="expression" dxfId="5" priority="11">
      <formula>ISNUMBER(SEARCH("LOGIST",$B8))</formula>
    </cfRule>
    <cfRule type="expression" dxfId="6" priority="12">
      <formula>ISNUMBER(SEARCH("GERAL",$B8))</formula>
    </cfRule>
    <cfRule type="expression" dxfId="7" priority="13">
      <formula>ISNUMBER(SEARCH("PNEU",$B8))</formula>
    </cfRule>
    <cfRule type="expression" dxfId="8" priority="14">
      <formula>ISNUMBER(SEARCH("UNIFORME",$B8))</formula>
    </cfRule>
    <cfRule type="expression" dxfId="9" priority="15">
      <formula>ISNUMBER(SEARCH("JARDIN",$B8))</formula>
    </cfRule>
    <cfRule type="expression" dxfId="10" priority="16">
      <formula>ISNUMBER(SEARCH("INDUSTRIA",$B8))</formula>
    </cfRule>
    <cfRule type="expression" dxfId="10" priority="17">
      <formula>ISNUMBER(SEARCH("INDÚSTRIA",$B8))</formula>
    </cfRule>
  </conditionalFormatting>
  <conditionalFormatting sqref="B8:B44">
    <cfRule type="expression" dxfId="0" priority="21">
      <formula>ISNUMBER(SEARCH("TRANSPORTE",$B8))</formula>
    </cfRule>
    <cfRule type="expression" dxfId="1" priority="22">
      <formula>ISNUMBER(SEARCH("PREDIAL",$B8))</formula>
    </cfRule>
    <cfRule type="expression" dxfId="2" priority="23">
      <formula>ISNUMBER(SEARCH("LIMPEZA",$B8))</formula>
    </cfRule>
    <cfRule type="expression" dxfId="3" priority="24">
      <formula>ISNUMBER(SEARCH("ESCRIT",$B8))</formula>
    </cfRule>
    <cfRule type="expression" dxfId="4" priority="25">
      <formula>ISNUMBER(SEARCH("EPI",$B8))</formula>
    </cfRule>
    <cfRule type="expression" dxfId="5" priority="26">
      <formula>ISNUMBER(SEARCH("LOGÍST",$B8))</formula>
    </cfRule>
    <cfRule type="expression" dxfId="5" priority="27">
      <formula>ISNUMBER(SEARCH("LOGIST",$B8))</formula>
    </cfRule>
    <cfRule type="expression" dxfId="6" priority="28">
      <formula>ISNUMBER(SEARCH("GERAL",$B8))</formula>
    </cfRule>
    <cfRule type="expression" dxfId="7" priority="29">
      <formula>ISNUMBER(SEARCH("PNEU",$B8))</formula>
    </cfRule>
    <cfRule type="expression" dxfId="8" priority="30">
      <formula>ISNUMBER(SEARCH("UNIFORME",$B8))</formula>
    </cfRule>
    <cfRule type="expression" dxfId="9" priority="31">
      <formula>ISNUMBER(SEARCH("JARDIN",$B8))</formula>
    </cfRule>
    <cfRule type="expression" dxfId="10" priority="32">
      <formula>ISNUMBER(SEARCH("INDUSTRIA",$B8))</formula>
    </cfRule>
    <cfRule type="expression" dxfId="10" priority="33">
      <formula>ISNUMBER(SEARCH("INDÚSTRIA",$B8))</formula>
    </cfRule>
    <cfRule type="expression" dxfId="11" priority="34">
      <formula>ISNUMBER(SEARCH("SERVIÇOS",$B8))</formula>
    </cfRule>
    <cfRule type="expression" dxfId="1" priority="35">
      <formula>ISNUMBER(SEARCH("OFICINA",$B8))</formula>
    </cfRule>
  </conditionalFormatting>
  <conditionalFormatting sqref="G8:G67">
    <cfRule type="expression" dxfId="12" priority="2">
      <formula>G8="OK"</formula>
    </cfRule>
    <cfRule type="expression" dxfId="13" priority="3">
      <formula>G8="COMPRAR"</formula>
    </cfRule>
    <cfRule type="expression" dxfId="14" priority="4">
      <formula>G8="ACIMA DO MÁXIMO"</formula>
    </cfRule>
  </conditionalFormatting>
  <conditionalFormatting sqref="G8:G48">
    <cfRule type="expression" dxfId="12" priority="18">
      <formula>G8="OK"</formula>
    </cfRule>
    <cfRule type="expression" dxfId="13" priority="19">
      <formula>G8="COMPRAR"</formula>
    </cfRule>
    <cfRule type="expression" dxfId="14" priority="20">
      <formula>G8="ACIMA DO MÁXIMO"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workbookViewId="0">
      <pane ySplit="4" topLeftCell="A37" activePane="bottomLeft" state="frozen"/>
      <selection/>
      <selection pane="bottomLeft" activeCell="C30" sqref="C30"/>
    </sheetView>
  </sheetViews>
  <sheetFormatPr defaultColWidth="8.67619047619048" defaultRowHeight="15"/>
  <cols>
    <col min="1" max="1" width="12" customWidth="1"/>
    <col min="2" max="2" width="63.2857142857143" customWidth="1"/>
    <col min="3" max="3" width="10" customWidth="1"/>
    <col min="4" max="4" width="12.152380952381" customWidth="1"/>
    <col min="5" max="5" width="37.2857142857143" customWidth="1"/>
    <col min="6" max="6" width="14.4285714285714" customWidth="1"/>
    <col min="7" max="7" width="9.42857142857143" customWidth="1"/>
    <col min="8" max="8" width="21.8380952380952" customWidth="1"/>
    <col min="9" max="9" width="13" customWidth="1"/>
    <col min="10" max="10" width="11.1428571428571" customWidth="1"/>
    <col min="11" max="11" width="30" customWidth="1"/>
    <col min="12" max="12" width="88.7142857142857" customWidth="1"/>
    <col min="13" max="13" width="16" customWidth="1"/>
  </cols>
  <sheetData>
    <row r="1" ht="24" customHeight="1" spans="1:13">
      <c r="A1" s="49" t="s">
        <v>76</v>
      </c>
      <c r="H1" s="50" t="s">
        <v>77</v>
      </c>
      <c r="I1" s="50"/>
      <c r="J1" s="58">
        <f>COUNTIF(I5:I60,"PENDENTE")</f>
        <v>32</v>
      </c>
      <c r="M1" s="59"/>
    </row>
    <row r="2" ht="17.25" customHeight="1" spans="1:10">
      <c r="A2" s="51" t="s">
        <v>78</v>
      </c>
      <c r="H2" s="52" t="s">
        <v>79</v>
      </c>
      <c r="I2" s="52"/>
      <c r="J2" s="60">
        <f>COUNTIF(I5:I60,"SOLICITADO")</f>
        <v>3</v>
      </c>
    </row>
    <row r="3" ht="15.75" customHeight="1" spans="9:10">
      <c r="I3" s="59" t="s">
        <v>80</v>
      </c>
      <c r="J3" s="58">
        <f>COUNTIF(I5:I60,"RECEBIDO")</f>
        <v>3</v>
      </c>
    </row>
    <row r="4" ht="33.75" customHeight="1" spans="1:13">
      <c r="A4" s="53" t="s">
        <v>81</v>
      </c>
      <c r="B4" s="53" t="s">
        <v>82</v>
      </c>
      <c r="C4" s="53" t="s">
        <v>83</v>
      </c>
      <c r="D4" s="53" t="s">
        <v>84</v>
      </c>
      <c r="E4" s="53" t="s">
        <v>85</v>
      </c>
      <c r="F4" s="53" t="s">
        <v>86</v>
      </c>
      <c r="G4" s="53" t="s">
        <v>18</v>
      </c>
      <c r="H4" s="53" t="s">
        <v>87</v>
      </c>
      <c r="I4" s="53" t="s">
        <v>88</v>
      </c>
      <c r="J4" s="53" t="s">
        <v>89</v>
      </c>
      <c r="K4" s="53" t="s">
        <v>24</v>
      </c>
      <c r="L4" s="53" t="s">
        <v>90</v>
      </c>
      <c r="M4" s="5"/>
    </row>
    <row r="5" spans="1:13">
      <c r="A5" s="54">
        <v>46261</v>
      </c>
      <c r="B5" s="55" t="s">
        <v>39</v>
      </c>
      <c r="C5" s="55">
        <v>2</v>
      </c>
      <c r="D5" s="55" t="s">
        <v>91</v>
      </c>
      <c r="E5" s="55" t="str">
        <f>IF(B5="","",IFERROR(INDEX(Base_Gestran!$C$2:$C$5481,MATCH(B5,Base_Gestran!$A$2:$A$5481,0)),"NÃO CADASTRADO"))</f>
        <v>NÃO CADASTRADO</v>
      </c>
      <c r="F5" s="55" t="s">
        <v>92</v>
      </c>
      <c r="G5" s="55">
        <f>IF(B5="","",SUMIFS(Base_Gestran!$E$2:$E$5481,Base_Gestran!$A$2:$A$5481,B5,Base_Gestran!$C$2:$C$5481,E5))</f>
        <v>0</v>
      </c>
      <c r="H5" s="55" t="s">
        <v>93</v>
      </c>
      <c r="I5" s="55" t="s">
        <v>94</v>
      </c>
      <c r="J5" s="61"/>
      <c r="K5" s="55"/>
      <c r="L5" t="str">
        <f>IF(B5="","",B5&amp;"|"&amp;TEXT(A5,"0"))</f>
        <v>SIKAFLEX BRANCO|46261</v>
      </c>
      <c r="M5" s="5"/>
    </row>
    <row r="6" ht="23.25" customHeight="1" spans="1:13">
      <c r="A6" s="54">
        <v>46261</v>
      </c>
      <c r="B6" s="55" t="s">
        <v>41</v>
      </c>
      <c r="C6" s="55">
        <v>2</v>
      </c>
      <c r="D6" s="55" t="s">
        <v>91</v>
      </c>
      <c r="E6" s="55" t="str">
        <f>IF(B6="","",IFERROR(INDEX(Base_Gestran!$C$2:$C$5481,MATCH(B6,Base_Gestran!$A$2:$A$5481,0)),"NÃO CADASTRADO"))</f>
        <v>NÃO CADASTRADO</v>
      </c>
      <c r="F6" s="55" t="s">
        <v>92</v>
      </c>
      <c r="G6" s="55">
        <f>IF(B6="","",SUMIFS(Base_Gestran!$E$2:$E$5481,Base_Gestran!$A$2:$A$5481,B6,Base_Gestran!$C$2:$C$5481,E6))</f>
        <v>0</v>
      </c>
      <c r="H6" s="55" t="s">
        <v>95</v>
      </c>
      <c r="I6" s="55" t="s">
        <v>94</v>
      </c>
      <c r="J6" s="61"/>
      <c r="K6" s="55"/>
      <c r="L6" t="str">
        <f>IF(B6="","",B6&amp;"|"&amp;TEXT(A6,"0"))</f>
        <v>FITA ROTULADOR COMPATIVEL C/ TZE-641 18MM AMARELA Pt-e550wvp|46261</v>
      </c>
      <c r="M6" s="5"/>
    </row>
    <row r="7" ht="23.25" customHeight="1" spans="1:13">
      <c r="A7" s="54">
        <v>46261</v>
      </c>
      <c r="B7" s="55" t="s">
        <v>42</v>
      </c>
      <c r="C7" s="55">
        <v>2</v>
      </c>
      <c r="D7" s="55" t="s">
        <v>91</v>
      </c>
      <c r="E7" s="55" t="str">
        <f>IF(B7="","",IFERROR(INDEX(Base_Gestran!$C$2:$C$5481,MATCH(B7,Base_Gestran!$A$2:$A$5481,0)),"NÃO CADASTRADO"))</f>
        <v>ALMOXARIFADO</v>
      </c>
      <c r="F7" s="55" t="s">
        <v>96</v>
      </c>
      <c r="G7" s="55">
        <f>IF(B7="","",SUMIFS(Base_Gestran!$E$2:$E$5481,Base_Gestran!$A$2:$A$5481,B7,Base_Gestran!$C$2:$C$5481,E7))</f>
        <v>1</v>
      </c>
      <c r="H7" s="55" t="s">
        <v>95</v>
      </c>
      <c r="I7" s="55" t="s">
        <v>94</v>
      </c>
      <c r="J7" s="61"/>
      <c r="K7" s="55"/>
      <c r="L7" t="str">
        <f>IF(B7="","",B7&amp;"|"&amp;TEXT(A7,"0"))</f>
        <v>ANTISSEPTICO BUCAL REFIL 1 LITRO|46261</v>
      </c>
      <c r="M7" s="5"/>
    </row>
    <row r="8" ht="23.25" customHeight="1" spans="1:13">
      <c r="A8" s="54">
        <v>46261</v>
      </c>
      <c r="B8" s="55" t="s">
        <v>43</v>
      </c>
      <c r="C8" s="55">
        <v>10</v>
      </c>
      <c r="D8" s="55" t="s">
        <v>91</v>
      </c>
      <c r="E8" s="55" t="str">
        <f>IF(B8="","",IFERROR(INDEX(Base_Gestran!$C$2:$C$5481,MATCH(B8,Base_Gestran!$A$2:$A$5481,0)),"NÃO CADASTRADO"))</f>
        <v>NÃO CADASTRADO</v>
      </c>
      <c r="F8" s="55" t="s">
        <v>96</v>
      </c>
      <c r="G8" s="55">
        <f>IF(B8="","",SUMIFS(Base_Gestran!$E$2:$E$5481,Base_Gestran!$A$2:$A$5481,B8,Base_Gestran!$C$2:$C$5481,E8))</f>
        <v>0</v>
      </c>
      <c r="H8" s="55" t="s">
        <v>97</v>
      </c>
      <c r="I8" s="55" t="s">
        <v>94</v>
      </c>
      <c r="J8" s="61"/>
      <c r="K8" s="55"/>
      <c r="L8" t="str">
        <f>IF(B8="","",B8&amp;"|"&amp;TEXT(A8,"0"))</f>
        <v>PEDRA PERFUMADA SANÍTARIA (REDE PLÁSTICA) HARPIC |46261</v>
      </c>
      <c r="M8" s="5"/>
    </row>
    <row r="9" ht="23.25" customHeight="1" spans="1:13">
      <c r="A9" s="54">
        <v>46261</v>
      </c>
      <c r="B9" s="55" t="s">
        <v>44</v>
      </c>
      <c r="C9" s="55">
        <v>2</v>
      </c>
      <c r="D9" s="55" t="s">
        <v>98</v>
      </c>
      <c r="E9" s="55" t="str">
        <f>IF(B9="","",IFERROR(INDEX(Base_Gestran!$C$2:$C$5481,MATCH(B9,Base_Gestran!$A$2:$A$5481,0)),"NÃO CADASTRADO"))</f>
        <v>NÃO CADASTRADO</v>
      </c>
      <c r="F9" s="55" t="s">
        <v>96</v>
      </c>
      <c r="G9" s="55">
        <f>IF(B9="","",SUMIFS(Base_Gestran!$E$2:$E$5481,Base_Gestran!$A$2:$A$5481,B9,Base_Gestran!$C$2:$C$5481,E9))</f>
        <v>0</v>
      </c>
      <c r="H9" s="55" t="s">
        <v>97</v>
      </c>
      <c r="I9" s="55" t="s">
        <v>94</v>
      </c>
      <c r="J9" s="61"/>
      <c r="K9" s="55"/>
      <c r="L9" t="str">
        <f>IF(B9="","",B9&amp;"|"&amp;TEXT(A9,"0"))</f>
        <v>PERFEX |46261</v>
      </c>
      <c r="M9" s="5"/>
    </row>
    <row r="10" spans="1:13">
      <c r="A10" s="54">
        <v>46266</v>
      </c>
      <c r="B10" s="55" t="s">
        <v>37</v>
      </c>
      <c r="C10" s="55">
        <v>4</v>
      </c>
      <c r="D10" s="55" t="s">
        <v>99</v>
      </c>
      <c r="E10" s="55" t="str">
        <f>IF(B10="","",IFERROR(INDEX(Base_Gestran!$C$2:$C$5481,MATCH(B10,Base_Gestran!$A$2:$A$5481,0)),"NÃO CADASTRADO"))</f>
        <v>ALMOXARIFADO 5- LIMPEZA</v>
      </c>
      <c r="F10" s="55" t="s">
        <v>100</v>
      </c>
      <c r="G10" s="55">
        <f>IF(B10="","",SUMIFS(Base_Gestran!$E$2:$E$5481,Base_Gestran!$A$2:$A$5481,B10,Base_Gestran!$C$2:$C$5481,E10))</f>
        <v>794</v>
      </c>
      <c r="H10" s="55" t="s">
        <v>101</v>
      </c>
      <c r="I10" s="55" t="s">
        <v>100</v>
      </c>
      <c r="J10" s="61">
        <v>46269</v>
      </c>
      <c r="K10" s="55"/>
      <c r="L10" t="str">
        <f>IF(B10="","",B10&amp;"|"&amp;TEXT(A10,"0"))</f>
        <v>PAPEL HIGIENICO ROLAO 8X300|46266</v>
      </c>
      <c r="M10" s="5"/>
    </row>
    <row r="11" ht="23.25" customHeight="1" spans="1:13">
      <c r="A11" s="54">
        <v>46267</v>
      </c>
      <c r="B11" s="55" t="s">
        <v>45</v>
      </c>
      <c r="C11" s="55">
        <v>5</v>
      </c>
      <c r="D11" s="55" t="s">
        <v>91</v>
      </c>
      <c r="E11" s="55" t="str">
        <f>IF(B11="","",IFERROR(INDEX(Base_Gestran!$C$2:$C$5481,MATCH(B11,Base_Gestran!$A$2:$A$5481,0)),"NÃO CADASTRADO"))</f>
        <v>NÃO CADASTRADO</v>
      </c>
      <c r="F11" s="55" t="s">
        <v>100</v>
      </c>
      <c r="G11" s="55">
        <f>IF(B11="","",SUMIFS(Base_Gestran!$E$2:$E$5481,Base_Gestran!$A$2:$A$5481,B11,Base_Gestran!$C$2:$C$5481,E11))</f>
        <v>0</v>
      </c>
      <c r="H11" s="55" t="s">
        <v>102</v>
      </c>
      <c r="I11" s="55" t="s">
        <v>100</v>
      </c>
      <c r="J11" s="61">
        <v>46281</v>
      </c>
      <c r="K11" s="55"/>
      <c r="L11" t="str">
        <f>IF(B11="","",B11&amp;"|"&amp;TEXT(A11,"0"))</f>
        <v>BATERIA 100A  (USAMOS A VELHA COMO BASE DE TROCA PARA ABATER NO VALOR)|46267</v>
      </c>
      <c r="M11" s="5"/>
    </row>
    <row r="12" spans="1:13">
      <c r="A12" s="54">
        <v>46267</v>
      </c>
      <c r="B12" s="55" t="s">
        <v>46</v>
      </c>
      <c r="C12" s="55">
        <v>2</v>
      </c>
      <c r="D12" s="55" t="s">
        <v>91</v>
      </c>
      <c r="E12" s="55" t="str">
        <f>IF(B12="","",IFERROR(INDEX(Base_Gestran!$C$2:$C$5481,MATCH(B12,Base_Gestran!$A$2:$A$5481,0)),"NÃO CADASTRADO"))</f>
        <v>NÃO CADASTRADO</v>
      </c>
      <c r="F12" s="55" t="s">
        <v>92</v>
      </c>
      <c r="G12" s="55">
        <f>IF(B12="","",SUMIFS(Base_Gestran!$E$2:$E$5481,Base_Gestran!$A$2:$A$5481,B12,Base_Gestran!$C$2:$C$5481,E12))</f>
        <v>0</v>
      </c>
      <c r="H12" s="55" t="s">
        <v>95</v>
      </c>
      <c r="I12" s="55" t="s">
        <v>94</v>
      </c>
      <c r="J12" s="61"/>
      <c r="K12" s="55"/>
      <c r="L12" t="str">
        <f>IF(B12="","",B12&amp;"|"&amp;TEXT(A12,"0"))</f>
        <v>VASSOURÃO DE INOX |46267</v>
      </c>
      <c r="M12" s="5"/>
    </row>
    <row r="13" spans="1:13">
      <c r="A13" s="54">
        <v>46267</v>
      </c>
      <c r="B13" s="55" t="s">
        <v>47</v>
      </c>
      <c r="C13" s="55">
        <v>2</v>
      </c>
      <c r="D13" s="55" t="s">
        <v>91</v>
      </c>
      <c r="E13" s="55" t="str">
        <f>IF(B13="","",IFERROR(INDEX(Base_Gestran!$C$2:$C$5481,MATCH(B13,Base_Gestran!$A$2:$A$5481,0)),"NÃO CADASTRADO"))</f>
        <v>NÃO CADASTRADO</v>
      </c>
      <c r="F13" s="55" t="s">
        <v>92</v>
      </c>
      <c r="G13" s="55">
        <f>IF(B13="","",SUMIFS(Base_Gestran!$E$2:$E$5481,Base_Gestran!$A$2:$A$5481,B13,Base_Gestran!$C$2:$C$5481,E13))</f>
        <v>0</v>
      </c>
      <c r="H13" s="55" t="s">
        <v>103</v>
      </c>
      <c r="I13" s="55" t="s">
        <v>94</v>
      </c>
      <c r="J13" s="61"/>
      <c r="K13" s="55"/>
      <c r="L13" t="str">
        <f>IF(B13="","",B13&amp;"|"&amp;TEXT(A13,"0"))</f>
        <v>FILTRO DE AR VW |46267</v>
      </c>
      <c r="M13" s="5"/>
    </row>
    <row r="14" spans="1:13">
      <c r="A14" s="54">
        <v>46267</v>
      </c>
      <c r="B14" s="55" t="s">
        <v>48</v>
      </c>
      <c r="C14" s="55">
        <v>2</v>
      </c>
      <c r="D14" s="55" t="s">
        <v>91</v>
      </c>
      <c r="E14" s="55" t="str">
        <f>IF(B14="","",IFERROR(INDEX(Base_Gestran!$C$2:$C$5481,MATCH(B14,Base_Gestran!$A$2:$A$5481,0)),"NÃO CADASTRADO"))</f>
        <v>NÃO CADASTRADO</v>
      </c>
      <c r="F14" s="55" t="s">
        <v>92</v>
      </c>
      <c r="G14" s="55">
        <f>IF(B14="","",SUMIFS(Base_Gestran!$E$2:$E$5481,Base_Gestran!$A$2:$A$5481,B14,Base_Gestran!$C$2:$C$5481,E14))</f>
        <v>0</v>
      </c>
      <c r="H14" s="55" t="s">
        <v>103</v>
      </c>
      <c r="I14" s="55" t="s">
        <v>94</v>
      </c>
      <c r="J14" s="61"/>
      <c r="K14" s="55"/>
      <c r="L14" t="str">
        <f>IF(B14="","",B14&amp;"|"&amp;TEXT(A14,"0"))</f>
        <v>FILTRO LUBRIFICANTE OMD2RO115403 VW|46267</v>
      </c>
      <c r="M14" s="5"/>
    </row>
    <row r="15" spans="1:13">
      <c r="A15" s="54">
        <v>46267</v>
      </c>
      <c r="B15" s="55" t="s">
        <v>49</v>
      </c>
      <c r="C15" s="55">
        <v>2</v>
      </c>
      <c r="D15" s="55" t="s">
        <v>91</v>
      </c>
      <c r="E15" s="55" t="str">
        <f>IF(B15="","",IFERROR(INDEX(Base_Gestran!$C$2:$C$5481,MATCH(B15,Base_Gestran!$A$2:$A$5481,0)),"NÃO CADASTRADO"))</f>
        <v>ALMOXARIFADO 1-  MANUTENCAO TRANSPORTE</v>
      </c>
      <c r="F15" s="55" t="s">
        <v>96</v>
      </c>
      <c r="G15" s="55">
        <f>IF(B15="","",SUMIFS(Base_Gestran!$E$2:$E$5481,Base_Gestran!$A$2:$A$5481,B15,Base_Gestran!$C$2:$C$5481,E15))</f>
        <v>4</v>
      </c>
      <c r="H15" s="55" t="s">
        <v>103</v>
      </c>
      <c r="I15" s="55" t="s">
        <v>94</v>
      </c>
      <c r="J15" s="61"/>
      <c r="K15" s="55"/>
      <c r="L15" t="str">
        <f>IF(B15="","",B15&amp;"|"&amp;TEXT(A15,"0"))</f>
        <v>FILTRO DE COMBUSTIVEL OMD2PO127177|46267</v>
      </c>
      <c r="M15" s="5"/>
    </row>
    <row r="16" spans="1:13">
      <c r="A16" s="54">
        <v>46267</v>
      </c>
      <c r="B16" s="55" t="s">
        <v>50</v>
      </c>
      <c r="C16" s="55">
        <v>4</v>
      </c>
      <c r="D16" s="55" t="s">
        <v>91</v>
      </c>
      <c r="E16" s="55" t="str">
        <f>IF(B16="","",IFERROR(INDEX(Base_Gestran!$C$2:$C$5481,MATCH(B16,Base_Gestran!$A$2:$A$5481,0)),"NÃO CADASTRADO"))</f>
        <v>ALMOXARIFADO 9- LOGÍSTICA</v>
      </c>
      <c r="F16" s="55" t="s">
        <v>92</v>
      </c>
      <c r="G16" s="55">
        <f>IF(B16="","",SUMIFS(Base_Gestran!$E$2:$E$5481,Base_Gestran!$A$2:$A$5481,B16,Base_Gestran!$C$2:$C$5481,E16))</f>
        <v>4</v>
      </c>
      <c r="H16" s="55" t="s">
        <v>104</v>
      </c>
      <c r="I16" s="55" t="s">
        <v>94</v>
      </c>
      <c r="J16" s="61"/>
      <c r="K16" s="55"/>
      <c r="L16" t="str">
        <f>IF(B16="","",B16&amp;"|"&amp;TEXT(A16,"0"))</f>
        <v>JAPONA NYLON AZUL MOTORISTA (M)|46267</v>
      </c>
      <c r="M16" s="5"/>
    </row>
    <row r="17" spans="1:13">
      <c r="A17" s="54">
        <v>46267</v>
      </c>
      <c r="B17" s="55" t="s">
        <v>52</v>
      </c>
      <c r="C17" s="55">
        <v>4</v>
      </c>
      <c r="D17" s="55" t="s">
        <v>91</v>
      </c>
      <c r="E17" s="55" t="str">
        <f>IF(B17="","",IFERROR(INDEX(Base_Gestran!$C$2:$C$5481,MATCH(B17,Base_Gestran!$A$2:$A$5481,0)),"NÃO CADASTRADO"))</f>
        <v>ALMOXARIFADO 9- LOGÍSTICA</v>
      </c>
      <c r="F17" s="55" t="s">
        <v>92</v>
      </c>
      <c r="G17" s="55">
        <f>IF(B17="","",SUMIFS(Base_Gestran!$E$2:$E$5481,Base_Gestran!$A$2:$A$5481,B17,Base_Gestran!$C$2:$C$5481,E17))</f>
        <v>6</v>
      </c>
      <c r="H17" s="55" t="s">
        <v>104</v>
      </c>
      <c r="I17" s="55" t="s">
        <v>94</v>
      </c>
      <c r="J17" s="61"/>
      <c r="K17" s="55"/>
      <c r="L17" t="str">
        <f>IF(B17="","",B17&amp;"|"&amp;TEXT(A17,"0"))</f>
        <v>JAPONA NYLON AZUL MOTORISTA (G)|46267</v>
      </c>
      <c r="M17" s="5"/>
    </row>
    <row r="18" spans="1:13">
      <c r="A18" s="54">
        <v>46267</v>
      </c>
      <c r="B18" s="55" t="s">
        <v>53</v>
      </c>
      <c r="C18" s="55">
        <v>4</v>
      </c>
      <c r="D18" s="55" t="s">
        <v>91</v>
      </c>
      <c r="E18" s="55" t="str">
        <f>IF(B18="","",IFERROR(INDEX(Base_Gestran!$C$2:$C$5481,MATCH(B18,Base_Gestran!$A$2:$A$5481,0)),"NÃO CADASTRADO"))</f>
        <v>ALMOXARIFADO 9- LOGÍSTICA</v>
      </c>
      <c r="F18" s="55" t="s">
        <v>92</v>
      </c>
      <c r="G18" s="55">
        <f>IF(B18="","",SUMIFS(Base_Gestran!$E$2:$E$5481,Base_Gestran!$A$2:$A$5481,B18,Base_Gestran!$C$2:$C$5481,E18))</f>
        <v>5</v>
      </c>
      <c r="H18" s="55" t="s">
        <v>104</v>
      </c>
      <c r="I18" s="55" t="s">
        <v>94</v>
      </c>
      <c r="J18" s="61"/>
      <c r="K18" s="55"/>
      <c r="L18" t="str">
        <f>IF(B18="","",B18&amp;"|"&amp;TEXT(A18,"0"))</f>
        <v>JAPONA NYLON AZUL MOTORISTA (GG)|46267</v>
      </c>
      <c r="M18" s="5"/>
    </row>
    <row r="19" spans="1:13">
      <c r="A19" s="54">
        <v>46267</v>
      </c>
      <c r="B19" s="55" t="s">
        <v>54</v>
      </c>
      <c r="C19" s="55">
        <v>2</v>
      </c>
      <c r="D19" s="55" t="s">
        <v>91</v>
      </c>
      <c r="E19" s="55" t="str">
        <f>IF(B19="","",IFERROR(INDEX(Base_Gestran!$C$2:$C$5481,MATCH(B19,Base_Gestran!$A$2:$A$5481,0)),"NÃO CADASTRADO"))</f>
        <v>ALMOXARIFADO 9- LOGÍSTICA</v>
      </c>
      <c r="F19" s="55" t="s">
        <v>92</v>
      </c>
      <c r="G19" s="55">
        <f>IF(B19="","",SUMIFS(Base_Gestran!$E$2:$E$5481,Base_Gestran!$A$2:$A$5481,B19,Base_Gestran!$C$2:$C$5481,E19))</f>
        <v>4</v>
      </c>
      <c r="H19" s="55" t="s">
        <v>104</v>
      </c>
      <c r="I19" s="55" t="s">
        <v>94</v>
      </c>
      <c r="J19" s="61"/>
      <c r="K19" s="55"/>
      <c r="L19" t="str">
        <f>IF(B19="","",B19&amp;"|"&amp;TEXT(A19,"0"))</f>
        <v>JAPONA NYLON MOTORISTA (EGG)|46267</v>
      </c>
      <c r="M19" s="5"/>
    </row>
    <row r="20" spans="1:13">
      <c r="A20" s="54">
        <v>46267</v>
      </c>
      <c r="B20" s="55" t="s">
        <v>55</v>
      </c>
      <c r="C20" s="55">
        <v>4</v>
      </c>
      <c r="D20" s="55" t="s">
        <v>91</v>
      </c>
      <c r="E20" s="55" t="str">
        <f>IF(B20="","",IFERROR(INDEX(Base_Gestran!$C$2:$C$5481,MATCH(B20,Base_Gestran!$A$2:$A$5481,0)),"NÃO CADASTRADO"))</f>
        <v>NÃO CADASTRADO</v>
      </c>
      <c r="F20" s="55" t="s">
        <v>92</v>
      </c>
      <c r="G20" s="55">
        <f>IF(B20="","",SUMIFS(Base_Gestran!$E$2:$E$5481,Base_Gestran!$A$2:$A$5481,B20,Base_Gestran!$C$2:$C$5481,E20))</f>
        <v>0</v>
      </c>
      <c r="H20" s="55" t="s">
        <v>104</v>
      </c>
      <c r="I20" s="55" t="s">
        <v>94</v>
      </c>
      <c r="J20" s="61"/>
      <c r="K20" s="55"/>
      <c r="L20" t="str">
        <f>IF(B20="","",B20&amp;"|"&amp;TEXT(A20,"0"))</f>
        <v>CALÇA TÉRMICA -25° M|46267</v>
      </c>
      <c r="M20" s="5"/>
    </row>
    <row r="21" spans="1:13">
      <c r="A21" s="54">
        <v>46267</v>
      </c>
      <c r="B21" s="55" t="s">
        <v>56</v>
      </c>
      <c r="C21" s="55">
        <v>4</v>
      </c>
      <c r="D21" s="55" t="s">
        <v>91</v>
      </c>
      <c r="E21" s="55" t="str">
        <f>IF(B21="","",IFERROR(INDEX(Base_Gestran!$C$2:$C$5481,MATCH(B21,Base_Gestran!$A$2:$A$5481,0)),"NÃO CADASTRADO"))</f>
        <v>NÃO CADASTRADO</v>
      </c>
      <c r="F21" s="55" t="s">
        <v>92</v>
      </c>
      <c r="G21" s="55">
        <f>IF(B21="","",SUMIFS(Base_Gestran!$E$2:$E$5481,Base_Gestran!$A$2:$A$5481,B21,Base_Gestran!$C$2:$C$5481,E21))</f>
        <v>0</v>
      </c>
      <c r="H21" s="55" t="s">
        <v>104</v>
      </c>
      <c r="I21" s="55" t="s">
        <v>94</v>
      </c>
      <c r="J21" s="61"/>
      <c r="K21" s="55"/>
      <c r="L21" t="str">
        <f>IF(B21="","",B21&amp;"|"&amp;TEXT(A21,"0"))</f>
        <v>CALÇA TÉRMICA -25°  G|46267</v>
      </c>
      <c r="M21" s="5"/>
    </row>
    <row r="22" spans="1:13">
      <c r="A22" s="54">
        <v>46267</v>
      </c>
      <c r="B22" s="55" t="s">
        <v>57</v>
      </c>
      <c r="C22" s="55">
        <v>4</v>
      </c>
      <c r="D22" s="55" t="s">
        <v>91</v>
      </c>
      <c r="E22" s="55" t="str">
        <f>IF(B22="","",IFERROR(INDEX(Base_Gestran!$C$2:$C$5481,MATCH(B22,Base_Gestran!$A$2:$A$5481,0)),"NÃO CADASTRADO"))</f>
        <v>NÃO CADASTRADO</v>
      </c>
      <c r="F22" s="55" t="s">
        <v>92</v>
      </c>
      <c r="G22" s="55">
        <f>IF(B22="","",SUMIFS(Base_Gestran!$E$2:$E$5481,Base_Gestran!$A$2:$A$5481,B22,Base_Gestran!$C$2:$C$5481,E22))</f>
        <v>0</v>
      </c>
      <c r="H22" s="55" t="s">
        <v>104</v>
      </c>
      <c r="I22" s="55" t="s">
        <v>94</v>
      </c>
      <c r="J22" s="61"/>
      <c r="K22" s="55"/>
      <c r="L22" t="str">
        <f>IF(B22="","",B22&amp;"|"&amp;TEXT(A22,"0"))</f>
        <v>CALÇA TÉRMICA -25° GG|46267</v>
      </c>
      <c r="M22" s="5"/>
    </row>
    <row r="23" spans="1:13">
      <c r="A23" s="54">
        <v>46267</v>
      </c>
      <c r="B23" s="55" t="s">
        <v>58</v>
      </c>
      <c r="C23" s="55">
        <v>2</v>
      </c>
      <c r="D23" s="55" t="s">
        <v>91</v>
      </c>
      <c r="E23" s="55" t="str">
        <f>IF(B23="","",IFERROR(INDEX(Base_Gestran!$C$2:$C$5481,MATCH(B23,Base_Gestran!$A$2:$A$5481,0)),"NÃO CADASTRADO"))</f>
        <v>NÃO CADASTRADO</v>
      </c>
      <c r="F23" s="55" t="s">
        <v>92</v>
      </c>
      <c r="G23" s="55">
        <f>IF(B23="","",SUMIFS(Base_Gestran!$E$2:$E$5481,Base_Gestran!$A$2:$A$5481,B23,Base_Gestran!$C$2:$C$5481,E23))</f>
        <v>0</v>
      </c>
      <c r="H23" s="55" t="s">
        <v>104</v>
      </c>
      <c r="I23" s="55" t="s">
        <v>94</v>
      </c>
      <c r="J23" s="61"/>
      <c r="K23" s="55"/>
      <c r="L23" t="str">
        <f>IF(B23="","",B23&amp;"|"&amp;TEXT(A23,"0"))</f>
        <v>CALÇA TÉRMICA -45° M|46267</v>
      </c>
      <c r="M23" s="5"/>
    </row>
    <row r="24" spans="1:13">
      <c r="A24" s="54">
        <v>46267</v>
      </c>
      <c r="B24" s="55" t="s">
        <v>59</v>
      </c>
      <c r="C24" s="55">
        <v>2</v>
      </c>
      <c r="D24" s="55" t="s">
        <v>91</v>
      </c>
      <c r="E24" s="55" t="str">
        <f>IF(B24="","",IFERROR(INDEX(Base_Gestran!$C$2:$C$5481,MATCH(B24,Base_Gestran!$A$2:$A$5481,0)),"NÃO CADASTRADO"))</f>
        <v>NÃO CADASTRADO</v>
      </c>
      <c r="F24" s="55" t="s">
        <v>92</v>
      </c>
      <c r="G24" s="55">
        <f>IF(B24="","",SUMIFS(Base_Gestran!$E$2:$E$5481,Base_Gestran!$A$2:$A$5481,B24,Base_Gestran!$C$2:$C$5481,E24))</f>
        <v>0</v>
      </c>
      <c r="H24" s="55" t="s">
        <v>104</v>
      </c>
      <c r="I24" s="55" t="s">
        <v>94</v>
      </c>
      <c r="J24" s="61"/>
      <c r="K24" s="55"/>
      <c r="L24" t="str">
        <f>IF(B24="","",B24&amp;"|"&amp;TEXT(A24,"0"))</f>
        <v>CALÇA TÉRMICA -45° G|46267</v>
      </c>
      <c r="M24" s="5"/>
    </row>
    <row r="25" spans="1:13">
      <c r="A25" s="54">
        <v>46267</v>
      </c>
      <c r="B25" s="55" t="s">
        <v>60</v>
      </c>
      <c r="C25" s="55">
        <v>2</v>
      </c>
      <c r="D25" s="55" t="s">
        <v>91</v>
      </c>
      <c r="E25" s="55" t="str">
        <f>IF(B25="","",IFERROR(INDEX(Base_Gestran!$C$2:$C$5481,MATCH(B25,Base_Gestran!$A$2:$A$5481,0)),"NÃO CADASTRADO"))</f>
        <v>NÃO CADASTRADO</v>
      </c>
      <c r="F25" s="55" t="s">
        <v>92</v>
      </c>
      <c r="G25" s="55">
        <f>IF(B25="","",SUMIFS(Base_Gestran!$E$2:$E$5481,Base_Gestran!$A$2:$A$5481,B25,Base_Gestran!$C$2:$C$5481,E25))</f>
        <v>0</v>
      </c>
      <c r="H25" s="55" t="s">
        <v>104</v>
      </c>
      <c r="I25" s="55" t="s">
        <v>94</v>
      </c>
      <c r="J25" s="61"/>
      <c r="K25" s="55"/>
      <c r="L25" t="str">
        <f>IF(B25="","",B25&amp;"|"&amp;TEXT(A25,"0"))</f>
        <v>CALÇA TÉRMICA -45° GG|46267</v>
      </c>
      <c r="M25" s="5"/>
    </row>
    <row r="26" spans="1:13">
      <c r="A26" s="54">
        <v>46267</v>
      </c>
      <c r="B26" s="55" t="s">
        <v>61</v>
      </c>
      <c r="C26" s="55">
        <v>5</v>
      </c>
      <c r="D26" s="55" t="s">
        <v>91</v>
      </c>
      <c r="E26" s="55" t="str">
        <f>IF(B26="","",IFERROR(INDEX(Base_Gestran!$C$2:$C$5481,MATCH(B26,Base_Gestran!$A$2:$A$5481,0)),"NÃO CADASTRADO"))</f>
        <v>ALMOXARIFADO 1-  MANUTENCAO TRANSPORTE</v>
      </c>
      <c r="F26" s="55" t="s">
        <v>92</v>
      </c>
      <c r="G26" s="55">
        <f>IF(B26="","",SUMIFS(Base_Gestran!$E$2:$E$5481,Base_Gestran!$A$2:$A$5481,B26,Base_Gestran!$C$2:$C$5481,E26))</f>
        <v>1</v>
      </c>
      <c r="H26" s="55" t="s">
        <v>105</v>
      </c>
      <c r="I26" s="55" t="s">
        <v>94</v>
      </c>
      <c r="J26" s="61"/>
      <c r="K26" s="55"/>
      <c r="L26" t="str">
        <f t="shared" ref="L26:L60" si="0">IF(B26="","",B26&amp;"|"&amp;TEXT(A26,"0"))</f>
        <v>INTERRUPTOR VIDRO ELET.VW DUPLO|46267</v>
      </c>
      <c r="M26" s="5"/>
    </row>
    <row r="27" ht="23.25" customHeight="1" spans="1:13">
      <c r="A27" s="54">
        <v>46279</v>
      </c>
      <c r="B27" s="55" t="s">
        <v>62</v>
      </c>
      <c r="C27" s="55">
        <v>1</v>
      </c>
      <c r="D27" s="55" t="s">
        <v>91</v>
      </c>
      <c r="E27" s="55" t="str">
        <f>IF(B27="","",IFERROR(INDEX(Base_Gestran!$C$2:$C$5481,MATCH(B27,Base_Gestran!$A$2:$A$5481,0)),"NÃO CADASTRADO"))</f>
        <v>NÃO CADASTRADO</v>
      </c>
      <c r="F27" s="55" t="s">
        <v>92</v>
      </c>
      <c r="G27" s="55">
        <f>IF(B27="","",SUMIFS(Base_Gestran!$E$2:$E$5481,Base_Gestran!$A$2:$A$5481,B27,Base_Gestran!$C$2:$C$5481,E27))</f>
        <v>0</v>
      </c>
      <c r="H27" s="55" t="s">
        <v>106</v>
      </c>
      <c r="I27" s="55" t="s">
        <v>107</v>
      </c>
      <c r="J27" s="61"/>
      <c r="K27" s="55"/>
      <c r="L27" t="str">
        <f t="shared" si="0"/>
        <v>PASTA SANFONADA A-Z |46279</v>
      </c>
      <c r="M27" s="5"/>
    </row>
    <row r="28" spans="1:13">
      <c r="A28" s="54">
        <v>46282</v>
      </c>
      <c r="B28" s="55" t="s">
        <v>37</v>
      </c>
      <c r="C28" s="55">
        <v>5</v>
      </c>
      <c r="D28" s="55" t="s">
        <v>99</v>
      </c>
      <c r="E28" s="55" t="str">
        <f>IF(B28="","",IFERROR(INDEX(Base_Gestran!$C$2:$C$5481,MATCH(B28,Base_Gestran!$A$2:$A$5481,0)),"NÃO CADASTRADO"))</f>
        <v>ALMOXARIFADO 5- LIMPEZA</v>
      </c>
      <c r="F28" s="55" t="s">
        <v>108</v>
      </c>
      <c r="G28" s="55">
        <f>IF(B28="","",SUMIFS(Base_Gestran!$E$2:$E$5481,Base_Gestran!$A$2:$A$5481,B28,Base_Gestran!$C$2:$C$5481,E28))</f>
        <v>794</v>
      </c>
      <c r="H28" s="55" t="s">
        <v>109</v>
      </c>
      <c r="I28" s="55" t="s">
        <v>100</v>
      </c>
      <c r="J28" s="61"/>
      <c r="K28" s="55"/>
      <c r="L28" t="str">
        <f t="shared" si="0"/>
        <v>PAPEL HIGIENICO ROLAO 8X300|46282</v>
      </c>
      <c r="M28" s="5"/>
    </row>
    <row r="29" ht="23.25" customHeight="1" spans="1:13">
      <c r="A29" s="54">
        <v>46282</v>
      </c>
      <c r="B29" s="55" t="s">
        <v>30</v>
      </c>
      <c r="C29" s="55">
        <v>3</v>
      </c>
      <c r="D29" s="55" t="s">
        <v>91</v>
      </c>
      <c r="E29" s="55" t="str">
        <f>IF(B29="","",IFERROR(INDEX(Base_Gestran!$C$2:$C$5481,MATCH(B29,Base_Gestran!$A$2:$A$5481,0)),"NÃO CADASTRADO"))</f>
        <v>ALMOXARIFADO</v>
      </c>
      <c r="F29" s="55" t="s">
        <v>108</v>
      </c>
      <c r="G29" s="55">
        <f>IF(B29="","",SUMIFS(Base_Gestran!$E$2:$E$5481,Base_Gestran!$A$2:$A$5481,B29,Base_Gestran!$C$2:$C$5481,E29))</f>
        <v>0</v>
      </c>
      <c r="H29" s="55" t="s">
        <v>110</v>
      </c>
      <c r="I29" s="55" t="s">
        <v>94</v>
      </c>
      <c r="J29" s="61"/>
      <c r="K29" s="55"/>
      <c r="L29" t="str">
        <f t="shared" si="0"/>
        <v>ROLAMENTO DE CENTRO 45MM|46282</v>
      </c>
      <c r="M29" s="5"/>
    </row>
    <row r="30" spans="1:13">
      <c r="A30" s="54">
        <v>46282</v>
      </c>
      <c r="B30" s="55" t="s">
        <v>31</v>
      </c>
      <c r="C30" s="55">
        <v>1</v>
      </c>
      <c r="D30" s="55" t="s">
        <v>91</v>
      </c>
      <c r="E30" s="55" t="str">
        <f>IF(B30="","",IFERROR(INDEX(Base_Gestran!$C$2:$C$5481,MATCH(B30,Base_Gestran!$A$2:$A$5481,0)),"NÃO CADASTRADO"))</f>
        <v>ALMOXARIFADO 1-  MANUTENCAO TRANSPORTE</v>
      </c>
      <c r="F30" s="55" t="s">
        <v>92</v>
      </c>
      <c r="G30" s="55">
        <f>IF(B30="","",SUMIFS(Base_Gestran!$E$2:$E$5481,Base_Gestran!$A$2:$A$5481,B30,Base_Gestran!$C$2:$C$5481,E30))</f>
        <v>1</v>
      </c>
      <c r="H30" s="55" t="s">
        <v>111</v>
      </c>
      <c r="I30" s="55" t="s">
        <v>94</v>
      </c>
      <c r="J30" s="61"/>
      <c r="K30" s="55"/>
      <c r="L30" t="str">
        <f t="shared" si="0"/>
        <v>TANQUE DE LIQUIDO SA1 AC/AE |46282</v>
      </c>
      <c r="M30" s="5"/>
    </row>
    <row r="31" spans="1:13">
      <c r="A31" s="56">
        <v>46282</v>
      </c>
      <c r="B31" s="57" t="s">
        <v>64</v>
      </c>
      <c r="C31" s="57" t="str">
        <f>IF(B31="","",IF(SUMIFS(Controle_Estoque!$H$8:$H$150,Controle_Estoque!$A$8:$A$150,B31,Controle_Estoque!$B$8:$B$150,E31)=0,"",SUMIFS(Controle_Estoque!$H$8:$H$150,Controle_Estoque!$A$8:$A$150,B31,Controle_Estoque!$B$8:$B$150,E31)))</f>
        <v/>
      </c>
      <c r="D31" s="57"/>
      <c r="E31" s="57" t="str">
        <f>IF(B31="","",IFERROR(INDEX(Base_Gestran!$C$2:$C$5481,MATCH(B31,Base_Gestran!$A$2:$A$5481,0)),"NÃO CADASTRADO"))</f>
        <v>ALMOXARIFADO 5- LIMPEZA</v>
      </c>
      <c r="F31" s="57" t="s">
        <v>108</v>
      </c>
      <c r="G31" s="57">
        <f>IF(B31="","",SUMIFS(Base_Gestran!$E$2:$E$5481,Base_Gestran!$A$2:$A$5481,B31,Base_Gestran!$C$2:$C$5481,E31))</f>
        <v>129</v>
      </c>
      <c r="H31" s="57" t="str">
        <f>IF(B31="","",IFERROR(INDEX(Historico_Entradas!$D$2:$D$2009,MATCH(B31&amp;"|"&amp;TEXT(SUMPRODUCT(MAX((Historico_Entradas!$G$2:$G$2009=B31)*Historico_Entradas!$A$2:$A$2009)),"0"),Historico_Entradas!$L$2:$L$2009,0)),""))</f>
        <v/>
      </c>
      <c r="I31" s="57" t="s">
        <v>94</v>
      </c>
      <c r="J31" s="62"/>
      <c r="K31" s="57"/>
      <c r="L31" t="str">
        <f t="shared" si="0"/>
        <v>PASTILHA SANITÁRIA|46282</v>
      </c>
      <c r="M31" s="5"/>
    </row>
    <row r="32" spans="1:13">
      <c r="A32" s="56">
        <v>46282</v>
      </c>
      <c r="B32" s="57" t="s">
        <v>65</v>
      </c>
      <c r="C32" s="57">
        <f>IF(B32="","",IF(SUMIFS(Controle_Estoque!$H$8:$H$150,Controle_Estoque!$A$8:$A$150,B32,Controle_Estoque!$B$8:$B$150,E32)=0,"",SUMIFS(Controle_Estoque!$H$8:$H$150,Controle_Estoque!$A$8:$A$150,B32,Controle_Estoque!$B$8:$B$150,E32)))</f>
        <v>33</v>
      </c>
      <c r="D32" s="57"/>
      <c r="E32" s="57" t="str">
        <f>IF(B32="","",IFERROR(INDEX(Base_Gestran!$C$2:$C$5481,MATCH(B32,Base_Gestran!$A$2:$A$5481,0)),"NÃO CADASTRADO"))</f>
        <v>ALMOXARIFADO</v>
      </c>
      <c r="F32" s="57" t="s">
        <v>108</v>
      </c>
      <c r="G32" s="57">
        <f>IF(B32="","",SUMIFS(Base_Gestran!$E$2:$E$5481,Base_Gestran!$A$2:$A$5481,B32,Base_Gestran!$C$2:$C$5481,E32))</f>
        <v>1</v>
      </c>
      <c r="H32" s="57" t="str">
        <f>IF(B32="","",IFERROR(INDEX(Historico_Entradas!$D$2:$D$2009,MATCH(B32&amp;"|"&amp;TEXT(SUMPRODUCT(MAX((Historico_Entradas!$G$2:$G$2009=B32)*Historico_Entradas!$A$2:$A$2009)),"0"),Historico_Entradas!$L$2:$L$2009,0)),""))</f>
        <v/>
      </c>
      <c r="I32" s="57" t="s">
        <v>94</v>
      </c>
      <c r="J32" s="62"/>
      <c r="K32" s="57"/>
      <c r="L32" t="str">
        <f t="shared" si="0"/>
        <v>DESENTUPIDOR DE VASO COM CABO|46282</v>
      </c>
      <c r="M32" s="5"/>
    </row>
    <row r="33" spans="1:13">
      <c r="A33" s="56">
        <v>46287</v>
      </c>
      <c r="B33" s="57" t="s">
        <v>112</v>
      </c>
      <c r="C33" s="57" t="str">
        <f>IF(B33="","",IF(SUMIFS(Controle_Estoque!$H$8:$H$150,Controle_Estoque!$A$8:$A$150,B33,Controle_Estoque!$B$8:$B$150,E33)=0,"",SUMIFS(Controle_Estoque!$H$8:$H$150,Controle_Estoque!$A$8:$A$150,B33,Controle_Estoque!$B$8:$B$150,E33)))</f>
        <v/>
      </c>
      <c r="D33" s="57"/>
      <c r="E33" s="57" t="str">
        <f>IF(B33="","",IFERROR(INDEX(Base_Gestran!$C$2:$C$5481,MATCH(B33,Base_Gestran!$A$2:$A$5481,0)),"NÃO CADASTRADO"))</f>
        <v>NÃO CADASTRADO</v>
      </c>
      <c r="F33" s="55" t="s">
        <v>92</v>
      </c>
      <c r="G33" s="57">
        <f>IF(B33="","",SUMIFS(Base_Gestran!$E$2:$E$5481,Base_Gestran!$A$2:$A$5481,B33,Base_Gestran!$C$2:$C$5481,E33))</f>
        <v>0</v>
      </c>
      <c r="H33" s="57" t="str">
        <f>IF(B33="","",IFERROR(INDEX(Historico_Entradas!$D$2:$D$2009,MATCH(B33&amp;"|"&amp;TEXT(SUMPRODUCT(MAX((Historico_Entradas!$G$2:$G$2009=B33)*Historico_Entradas!$A$2:$A$2009)),"0"),Historico_Entradas!$L$2:$L$2009,0)),""))</f>
        <v/>
      </c>
      <c r="I33" s="57" t="s">
        <v>94</v>
      </c>
      <c r="J33" s="57"/>
      <c r="K33" s="57"/>
      <c r="L33" t="str">
        <f t="shared" si="0"/>
        <v>CAMISA G AZUL|46287</v>
      </c>
      <c r="M33" s="5"/>
    </row>
    <row r="34" spans="1:13">
      <c r="A34" s="56">
        <v>46287</v>
      </c>
      <c r="B34" s="57" t="s">
        <v>113</v>
      </c>
      <c r="C34" s="57" t="str">
        <f>IF(B34="","",IF(SUMIFS(Controle_Estoque!$H$8:$H$150,Controle_Estoque!$A$8:$A$150,B34,Controle_Estoque!$B$8:$B$150,E34)=0,"",SUMIFS(Controle_Estoque!$H$8:$H$150,Controle_Estoque!$A$8:$A$150,B34,Controle_Estoque!$B$8:$B$150,E34)))</f>
        <v/>
      </c>
      <c r="D34" s="57"/>
      <c r="E34" s="57" t="str">
        <f>IF(B34="","",IFERROR(INDEX(Base_Gestran!$C$2:$C$5481,MATCH(B34,Base_Gestran!$A$2:$A$5481,0)),"NÃO CADASTRADO"))</f>
        <v>NÃO CADASTRADO</v>
      </c>
      <c r="F34" s="55" t="s">
        <v>92</v>
      </c>
      <c r="G34" s="57">
        <f>IF(B34="","",SUMIFS(Base_Gestran!$E$2:$E$5481,Base_Gestran!$A$2:$A$5481,B34,Base_Gestran!$C$2:$C$5481,E34))</f>
        <v>0</v>
      </c>
      <c r="H34" s="57" t="str">
        <f>IF(B34="","",IFERROR(INDEX(Historico_Entradas!$D$2:$D$2009,MATCH(B34&amp;"|"&amp;TEXT(SUMPRODUCT(MAX((Historico_Entradas!$G$2:$G$2009=B34)*Historico_Entradas!$A$2:$A$2009)),"0"),Historico_Entradas!$L$2:$L$2009,0)),""))</f>
        <v/>
      </c>
      <c r="I34" s="57" t="s">
        <v>94</v>
      </c>
      <c r="J34" s="57"/>
      <c r="K34" s="57"/>
      <c r="L34" t="str">
        <f t="shared" si="0"/>
        <v>CAMISA G VERMELHA|46287</v>
      </c>
      <c r="M34" s="5"/>
    </row>
    <row r="35" spans="1:13">
      <c r="A35" s="56">
        <v>46287</v>
      </c>
      <c r="B35" s="57" t="s">
        <v>114</v>
      </c>
      <c r="C35" s="57" t="str">
        <f>IF(B35="","",IF(SUMIFS(Controle_Estoque!$H$8:$H$150,Controle_Estoque!$A$8:$A$150,B35,Controle_Estoque!$B$8:$B$150,E35)=0,"",SUMIFS(Controle_Estoque!$H$8:$H$150,Controle_Estoque!$A$8:$A$150,B35,Controle_Estoque!$B$8:$B$150,E35)))</f>
        <v/>
      </c>
      <c r="D35" s="57"/>
      <c r="E35" s="57" t="str">
        <f>IF(B35="","",IFERROR(INDEX(Base_Gestran!$C$2:$C$5481,MATCH(B35,Base_Gestran!$A$2:$A$5481,0)),"NÃO CADASTRADO"))</f>
        <v>NÃO CADASTRADO</v>
      </c>
      <c r="F35" s="55" t="s">
        <v>92</v>
      </c>
      <c r="G35" s="57">
        <f>IF(B35="","",SUMIFS(Base_Gestran!$E$2:$E$5481,Base_Gestran!$A$2:$A$5481,B35,Base_Gestran!$C$2:$C$5481,E35))</f>
        <v>0</v>
      </c>
      <c r="H35" s="57" t="str">
        <f>IF(B35="","",IFERROR(INDEX(Historico_Entradas!$D$2:$D$2009,MATCH(B35&amp;"|"&amp;TEXT(SUMPRODUCT(MAX((Historico_Entradas!$G$2:$G$2009=B35)*Historico_Entradas!$A$2:$A$2009)),"0"),Historico_Entradas!$L$2:$L$2009,0)),""))</f>
        <v/>
      </c>
      <c r="I35" s="57" t="s">
        <v>107</v>
      </c>
      <c r="J35" s="57"/>
      <c r="K35" s="57"/>
      <c r="L35" t="str">
        <f t="shared" si="0"/>
        <v>CONTROLADOR SA1|46287</v>
      </c>
      <c r="M35" s="5"/>
    </row>
    <row r="36" spans="1:13">
      <c r="A36" s="56">
        <v>46287</v>
      </c>
      <c r="B36" s="57" t="s">
        <v>115</v>
      </c>
      <c r="C36" s="57" t="str">
        <f>IF(B36="","",IF(SUMIFS(Controle_Estoque!$H$8:$H$150,Controle_Estoque!$A$8:$A$150,B36,Controle_Estoque!$B$8:$B$150,E36)=0,"",SUMIFS(Controle_Estoque!$H$8:$H$150,Controle_Estoque!$A$8:$A$150,B36,Controle_Estoque!$B$8:$B$150,E36)))</f>
        <v/>
      </c>
      <c r="D36" s="57"/>
      <c r="E36" s="57" t="str">
        <f>IF(B36="","",IFERROR(INDEX(Base_Gestran!$C$2:$C$5481,MATCH(B36,Base_Gestran!$A$2:$A$5481,0)),"NÃO CADASTRADO"))</f>
        <v>NÃO CADASTRADO</v>
      </c>
      <c r="F36" s="55" t="s">
        <v>92</v>
      </c>
      <c r="G36" s="57">
        <f>IF(B36="","",SUMIFS(Base_Gestran!$E$2:$E$5481,Base_Gestran!$A$2:$A$5481,B36,Base_Gestran!$C$2:$C$5481,E36))</f>
        <v>0</v>
      </c>
      <c r="H36" s="57" t="str">
        <f>IF(B36="","",IFERROR(INDEX(Historico_Entradas!$D$2:$D$2009,MATCH(B36&amp;"|"&amp;TEXT(SUMPRODUCT(MAX((Historico_Entradas!$G$2:$G$2009=B36)*Historico_Entradas!$A$2:$A$2009)),"0"),Historico_Entradas!$L$2:$L$2009,0)),""))</f>
        <v/>
      </c>
      <c r="I36" s="57" t="s">
        <v>107</v>
      </c>
      <c r="J36" s="57"/>
      <c r="K36" s="57"/>
      <c r="L36" t="str">
        <f t="shared" si="0"/>
        <v>CHICOTE SA1|46287</v>
      </c>
      <c r="M36" s="5"/>
    </row>
    <row r="37" ht="25.5" spans="1:13">
      <c r="A37" s="56">
        <v>46287</v>
      </c>
      <c r="B37" s="57" t="s">
        <v>116</v>
      </c>
      <c r="C37" s="57" t="str">
        <f>IF(B37="","",IF(SUMIFS(Controle_Estoque!$H$8:$H$150,Controle_Estoque!$A$8:$A$150,B37,Controle_Estoque!$B$8:$B$150,E37)=0,"",SUMIFS(Controle_Estoque!$H$8:$H$150,Controle_Estoque!$A$8:$A$150,B37,Controle_Estoque!$B$8:$B$150,E37)))</f>
        <v/>
      </c>
      <c r="D37" s="57"/>
      <c r="E37" s="57" t="str">
        <f>IF(B37="","",IFERROR(INDEX(Base_Gestran!$C$2:$C$5481,MATCH(B37,Base_Gestran!$A$2:$A$5481,0)),"NÃO CADASTRADO"))</f>
        <v>NÃO CADASTRADO</v>
      </c>
      <c r="F37" s="55" t="s">
        <v>92</v>
      </c>
      <c r="G37" s="57">
        <f>IF(B37="","",SUMIFS(Base_Gestran!$E$2:$E$5481,Base_Gestran!$A$2:$A$5481,B37,Base_Gestran!$C$2:$C$5481,E37))</f>
        <v>0</v>
      </c>
      <c r="H37" s="57" t="str">
        <f>IF(B37="","",IFERROR(INDEX(Historico_Entradas!$D$2:$D$2009,MATCH(B37&amp;"|"&amp;TEXT(SUMPRODUCT(MAX((Historico_Entradas!$G$2:$G$2009=B37)*Historico_Entradas!$A$2:$A$2009)),"0"),Historico_Entradas!$L$2:$L$2009,0)),""))</f>
        <v/>
      </c>
      <c r="I37" s="57" t="s">
        <v>94</v>
      </c>
      <c r="J37" s="57"/>
      <c r="K37" s="57"/>
      <c r="L37" t="str">
        <f t="shared" si="0"/>
        <v>filtro de óleo do motor (accelo 1016 e vw 11.180)|46287</v>
      </c>
      <c r="M37" s="5"/>
    </row>
    <row r="38" ht="25.5" spans="1:13">
      <c r="A38" s="56">
        <v>46287</v>
      </c>
      <c r="B38" s="57" t="s">
        <v>117</v>
      </c>
      <c r="C38" s="57" t="str">
        <f>IF(B38="","",IF(SUMIFS(Controle_Estoque!$H$8:$H$150,Controle_Estoque!$A$8:$A$150,B38,Controle_Estoque!$B$8:$B$150,E38)=0,"",SUMIFS(Controle_Estoque!$H$8:$H$150,Controle_Estoque!$A$8:$A$150,B38,Controle_Estoque!$B$8:$B$150,E38)))</f>
        <v/>
      </c>
      <c r="D38" s="57"/>
      <c r="E38" s="57" t="str">
        <f>IF(B38="","",IFERROR(INDEX(Base_Gestran!$C$2:$C$5481,MATCH(B38,Base_Gestran!$A$2:$A$5481,0)),"NÃO CADASTRADO"))</f>
        <v>NÃO CADASTRADO</v>
      </c>
      <c r="F38" s="55" t="s">
        <v>92</v>
      </c>
      <c r="G38" s="57">
        <f>IF(B38="","",SUMIFS(Base_Gestran!$E$2:$E$5481,Base_Gestran!$A$2:$A$5481,B38,Base_Gestran!$C$2:$C$5481,E38))</f>
        <v>0</v>
      </c>
      <c r="H38" s="57" t="str">
        <f>IF(B38="","",IFERROR(INDEX(Historico_Entradas!$D$2:$D$2009,MATCH(B38&amp;"|"&amp;TEXT(SUMPRODUCT(MAX((Historico_Entradas!$G$2:$G$2009=B38)*Historico_Entradas!$A$2:$A$2009)),"0"),Historico_Entradas!$L$2:$L$2009,0)),""))</f>
        <v/>
      </c>
      <c r="I38" s="57" t="s">
        <v>94</v>
      </c>
      <c r="J38" s="57"/>
      <c r="K38" s="57"/>
      <c r="L38" t="str">
        <f t="shared" si="0"/>
        <v>filtro racor e refil do racor (accelo 1016 e vw 11.180)|46287</v>
      </c>
      <c r="M38" s="5"/>
    </row>
    <row r="39" spans="1:13">
      <c r="A39" s="56">
        <v>46287</v>
      </c>
      <c r="B39" s="57" t="s">
        <v>118</v>
      </c>
      <c r="C39" s="57" t="str">
        <f>IF(B39="","",IF(SUMIFS(Controle_Estoque!$H$8:$H$150,Controle_Estoque!$A$8:$A$150,B39,Controle_Estoque!$B$8:$B$150,E39)=0,"",SUMIFS(Controle_Estoque!$H$8:$H$150,Controle_Estoque!$A$8:$A$150,B39,Controle_Estoque!$B$8:$B$150,E39)))</f>
        <v/>
      </c>
      <c r="D39" s="57"/>
      <c r="E39" s="57" t="str">
        <f>IF(B39="","",IFERROR(INDEX(Base_Gestran!$C$2:$C$5481,MATCH(B39,Base_Gestran!$A$2:$A$5481,0)),"NÃO CADASTRADO"))</f>
        <v>NÃO CADASTRADO</v>
      </c>
      <c r="F39" s="55" t="s">
        <v>92</v>
      </c>
      <c r="G39" s="57">
        <f>IF(B39="","",SUMIFS(Base_Gestran!$E$2:$E$5481,Base_Gestran!$A$2:$A$5481,B39,Base_Gestran!$C$2:$C$5481,E39))</f>
        <v>0</v>
      </c>
      <c r="H39" s="57" t="str">
        <f>IF(B39="","",IFERROR(INDEX(Historico_Entradas!$D$2:$D$2009,MATCH(B39&amp;"|"&amp;TEXT(SUMPRODUCT(MAX((Historico_Entradas!$G$2:$G$2009=B39)*Historico_Entradas!$A$2:$A$2009)),"0"),Historico_Entradas!$L$2:$L$2009,0)),""))</f>
        <v/>
      </c>
      <c r="I39" s="57" t="s">
        <v>94</v>
      </c>
      <c r="J39" s="57"/>
      <c r="K39" s="57"/>
      <c r="L39" t="str">
        <f t="shared" si="0"/>
        <v>filtro de ar (accelo 1016 e vw 11.180)|46287</v>
      </c>
      <c r="M39" s="5"/>
    </row>
    <row r="40" ht="25.5" spans="1:13">
      <c r="A40" s="56">
        <v>46287</v>
      </c>
      <c r="B40" s="57" t="s">
        <v>119</v>
      </c>
      <c r="C40" s="57" t="str">
        <f>IF(B40="","",IF(SUMIFS(Controle_Estoque!$H$8:$H$150,Controle_Estoque!$A$8:$A$150,B40,Controle_Estoque!$B$8:$B$150,E40)=0,"",SUMIFS(Controle_Estoque!$H$8:$H$150,Controle_Estoque!$A$8:$A$150,B40,Controle_Estoque!$B$8:$B$150,E40)))</f>
        <v/>
      </c>
      <c r="D40" s="57"/>
      <c r="E40" s="57" t="str">
        <f>IF(B40="","",IFERROR(INDEX(Base_Gestran!$C$2:$C$5481,MATCH(B40,Base_Gestran!$A$2:$A$5481,0)),"NÃO CADASTRADO"))</f>
        <v>NÃO CADASTRADO</v>
      </c>
      <c r="F40" s="55" t="s">
        <v>92</v>
      </c>
      <c r="G40" s="57">
        <f>IF(B40="","",SUMIFS(Base_Gestran!$E$2:$E$5481,Base_Gestran!$A$2:$A$5481,B40,Base_Gestran!$C$2:$C$5481,E40))</f>
        <v>0</v>
      </c>
      <c r="H40" s="57" t="str">
        <f>IF(B40="","",IFERROR(INDEX(Historico_Entradas!$D$2:$D$2009,MATCH(B40&amp;"|"&amp;TEXT(SUMPRODUCT(MAX((Historico_Entradas!$G$2:$G$2009=B40)*Historico_Entradas!$A$2:$A$2009)),"0"),Historico_Entradas!$L$2:$L$2009,0)),""))</f>
        <v/>
      </c>
      <c r="I40" s="57" t="s">
        <v>94</v>
      </c>
      <c r="J40" s="57"/>
      <c r="K40" s="57"/>
      <c r="L40" t="str">
        <f t="shared" si="0"/>
        <v>filtro de combustível (accelo 1016 e vw 11.180)|46287</v>
      </c>
      <c r="M40" s="5"/>
    </row>
    <row r="41" spans="1:13">
      <c r="A41" s="56">
        <v>46287</v>
      </c>
      <c r="B41" s="57" t="s">
        <v>120</v>
      </c>
      <c r="C41" s="57" t="str">
        <f>IF(B41="","",IF(SUMIFS(Controle_Estoque!$H$8:$H$150,Controle_Estoque!$A$8:$A$150,B41,Controle_Estoque!$B$8:$B$150,E41)=0,"",SUMIFS(Controle_Estoque!$H$8:$H$150,Controle_Estoque!$A$8:$A$150,B41,Controle_Estoque!$B$8:$B$150,E41)))</f>
        <v/>
      </c>
      <c r="D41" s="57"/>
      <c r="E41" s="57" t="str">
        <f>IF(B41="","",IFERROR(INDEX(Base_Gestran!$C$2:$C$5481,MATCH(B41,Base_Gestran!$A$2:$A$5481,0)),"NÃO CADASTRADO"))</f>
        <v>NÃO CADASTRADO</v>
      </c>
      <c r="F41" s="55" t="s">
        <v>92</v>
      </c>
      <c r="G41" s="57">
        <f>IF(B41="","",SUMIFS(Base_Gestran!$E$2:$E$5481,Base_Gestran!$A$2:$A$5481,B41,Base_Gestran!$C$2:$C$5481,E41))</f>
        <v>0</v>
      </c>
      <c r="H41" s="57" t="str">
        <f>IF(B41="","",IFERROR(INDEX(Historico_Entradas!$D$2:$D$2009,MATCH(B41&amp;"|"&amp;TEXT(SUMPRODUCT(MAX((Historico_Entradas!$G$2:$G$2009=B41)*Historico_Entradas!$A$2:$A$2009)),"0"),Historico_Entradas!$L$2:$L$2009,0)),""))</f>
        <v/>
      </c>
      <c r="I41" s="57" t="s">
        <v>94</v>
      </c>
      <c r="J41" s="57"/>
      <c r="K41" s="57"/>
      <c r="L41" t="str">
        <f t="shared" si="0"/>
        <v>refletor 50|46287</v>
      </c>
      <c r="M41" s="5"/>
    </row>
    <row r="42" spans="1:13">
      <c r="A42" s="56">
        <v>46287</v>
      </c>
      <c r="B42" s="57" t="s">
        <v>121</v>
      </c>
      <c r="C42" s="57" t="str">
        <f>IF(B42="","",IF(SUMIFS(Controle_Estoque!$H$8:$H$150,Controle_Estoque!$A$8:$A$150,B42,Controle_Estoque!$B$8:$B$150,E42)=0,"",SUMIFS(Controle_Estoque!$H$8:$H$150,Controle_Estoque!$A$8:$A$150,B42,Controle_Estoque!$B$8:$B$150,E42)))</f>
        <v/>
      </c>
      <c r="D42" s="57"/>
      <c r="E42" s="57" t="str">
        <f>IF(B42="","",IFERROR(INDEX(Base_Gestran!$C$2:$C$5481,MATCH(B42,Base_Gestran!$A$2:$A$5481,0)),"NÃO CADASTRADO"))</f>
        <v>NÃO CADASTRADO</v>
      </c>
      <c r="F42" s="55" t="s">
        <v>92</v>
      </c>
      <c r="G42" s="57">
        <f>IF(B42="","",SUMIFS(Base_Gestran!$E$2:$E$5481,Base_Gestran!$A$2:$A$5481,B42,Base_Gestran!$C$2:$C$5481,E42))</f>
        <v>0</v>
      </c>
      <c r="H42" s="57" t="str">
        <f>IF(B42="","",IFERROR(INDEX(Historico_Entradas!$D$2:$D$2009,MATCH(B42&amp;"|"&amp;TEXT(SUMPRODUCT(MAX((Historico_Entradas!$G$2:$G$2009=B42)*Historico_Entradas!$A$2:$A$2009)),"0"),Historico_Entradas!$L$2:$L$2009,0)),""))</f>
        <v/>
      </c>
      <c r="I42" s="57" t="s">
        <v>94</v>
      </c>
      <c r="J42" s="57"/>
      <c r="K42" s="57"/>
      <c r="L42" t="str">
        <f t="shared" si="0"/>
        <v>galha de florescente completa 40|46287</v>
      </c>
      <c r="M42" s="5"/>
    </row>
    <row r="43" spans="1:13">
      <c r="A43" s="57"/>
      <c r="B43" s="57"/>
      <c r="C43" s="57" t="str">
        <f>IF(B43="","",IF(SUMIFS(Controle_Estoque!$H$8:$H$150,Controle_Estoque!$A$8:$A$150,B43,Controle_Estoque!$B$8:$B$150,E43)=0,"",SUMIFS(Controle_Estoque!$H$8:$H$150,Controle_Estoque!$A$8:$A$150,B43,Controle_Estoque!$B$8:$B$150,E43)))</f>
        <v/>
      </c>
      <c r="D43" s="57"/>
      <c r="E43" s="57" t="str">
        <f>IF(B43="","",IFERROR(INDEX(Base_Gestran!$C$2:$C$5481,MATCH(B43,Base_Gestran!$A$2:$A$5481,0)),"NÃO CADASTRADO"))</f>
        <v/>
      </c>
      <c r="F43" s="57"/>
      <c r="G43" s="57" t="str">
        <f>IF(B43="","",SUMIFS(Base_Gestran!$E$2:$E$5481,Base_Gestran!$A$2:$A$5481,B43,Base_Gestran!$C$2:$C$5481,E43))</f>
        <v/>
      </c>
      <c r="H43" s="57" t="str">
        <f>IF(B43="","",IFERROR(INDEX(Historico_Entradas!$D$2:$D$2009,MATCH(B43&amp;"|"&amp;TEXT(SUMPRODUCT(MAX((Historico_Entradas!$G$2:$G$2009=B43)*Historico_Entradas!$A$2:$A$2009)),"0"),Historico_Entradas!$L$2:$L$2009,0)),""))</f>
        <v/>
      </c>
      <c r="I43" s="57"/>
      <c r="J43" s="57"/>
      <c r="K43" s="57"/>
      <c r="L43" t="str">
        <f t="shared" si="0"/>
        <v/>
      </c>
      <c r="M43" s="5"/>
    </row>
    <row r="44" spans="1:13">
      <c r="A44" s="57"/>
      <c r="B44" s="57"/>
      <c r="C44" s="57" t="str">
        <f>IF(B44="","",IF(SUMIFS(Controle_Estoque!$H$8:$H$150,Controle_Estoque!$A$8:$A$150,B44,Controle_Estoque!$B$8:$B$150,E44)=0,"",SUMIFS(Controle_Estoque!$H$8:$H$150,Controle_Estoque!$A$8:$A$150,B44,Controle_Estoque!$B$8:$B$150,E44)))</f>
        <v/>
      </c>
      <c r="D44" s="57"/>
      <c r="E44" s="57" t="str">
        <f>IF(B44="","",IFERROR(INDEX(Base_Gestran!$C$2:$C$5481,MATCH(B44,Base_Gestran!$A$2:$A$5481,0)),"NÃO CADASTRADO"))</f>
        <v/>
      </c>
      <c r="F44" s="57"/>
      <c r="G44" s="57" t="str">
        <f>IF(B44="","",SUMIFS(Base_Gestran!$E$2:$E$5481,Base_Gestran!$A$2:$A$5481,B44,Base_Gestran!$C$2:$C$5481,E44))</f>
        <v/>
      </c>
      <c r="H44" s="57" t="str">
        <f>IF(B44="","",IFERROR(INDEX(Historico_Entradas!$D$2:$D$2009,MATCH(B44&amp;"|"&amp;TEXT(SUMPRODUCT(MAX((Historico_Entradas!$G$2:$G$2009=B44)*Historico_Entradas!$A$2:$A$2009)),"0"),Historico_Entradas!$L$2:$L$2009,0)),""))</f>
        <v/>
      </c>
      <c r="I44" s="57"/>
      <c r="J44" s="57"/>
      <c r="K44" s="57"/>
      <c r="L44" t="str">
        <f t="shared" si="0"/>
        <v/>
      </c>
      <c r="M44" s="5"/>
    </row>
    <row r="45" spans="1:13">
      <c r="A45" s="57"/>
      <c r="B45" s="57"/>
      <c r="C45" s="57" t="str">
        <f>IF(B45="","",IF(SUMIFS(Controle_Estoque!$H$8:$H$150,Controle_Estoque!$A$8:$A$150,B45,Controle_Estoque!$B$8:$B$150,E45)=0,"",SUMIFS(Controle_Estoque!$H$8:$H$150,Controle_Estoque!$A$8:$A$150,B45,Controle_Estoque!$B$8:$B$150,E45)))</f>
        <v/>
      </c>
      <c r="D45" s="57"/>
      <c r="E45" s="57" t="str">
        <f>IF(B45="","",IFERROR(INDEX(Base_Gestran!$C$2:$C$5481,MATCH(B45,Base_Gestran!$A$2:$A$5481,0)),"NÃO CADASTRADO"))</f>
        <v/>
      </c>
      <c r="F45" s="57"/>
      <c r="G45" s="57" t="str">
        <f>IF(B45="","",SUMIFS(Base_Gestran!$E$2:$E$5481,Base_Gestran!$A$2:$A$5481,B45,Base_Gestran!$C$2:$C$5481,E45))</f>
        <v/>
      </c>
      <c r="H45" s="57" t="str">
        <f>IF(B45="","",IFERROR(INDEX(Historico_Entradas!$D$2:$D$2009,MATCH(B45&amp;"|"&amp;TEXT(SUMPRODUCT(MAX((Historico_Entradas!$G$2:$G$2009=B45)*Historico_Entradas!$A$2:$A$2009)),"0"),Historico_Entradas!$L$2:$L$2009,0)),""))</f>
        <v/>
      </c>
      <c r="I45" s="57"/>
      <c r="J45" s="57"/>
      <c r="K45" s="57"/>
      <c r="L45" t="str">
        <f t="shared" si="0"/>
        <v/>
      </c>
      <c r="M45" s="5" t="str">
        <f>IF(B45="","",IF(SUMIFS(Base_Gestran!$H$2:$H$5481,Base_Gestran!$A$2:$A$5481,B45,Base_Gestran!$C$2:$C$5481,E45)=0,"",SUMIFS(Base_Gestran!$H$2:$H$5481,Base_Gestran!$A$2:$A$5481,B45,Base_Gestran!$C$2:$C$5481,E45)))</f>
        <v/>
      </c>
    </row>
    <row r="46" spans="1:13">
      <c r="A46" s="57"/>
      <c r="B46" s="57"/>
      <c r="C46" s="57" t="str">
        <f>IF(B46="","",IF(SUMIFS(Controle_Estoque!$H$8:$H$150,Controle_Estoque!$A$8:$A$150,B46,Controle_Estoque!$B$8:$B$150,E46)=0,"",SUMIFS(Controle_Estoque!$H$8:$H$150,Controle_Estoque!$A$8:$A$150,B46,Controle_Estoque!$B$8:$B$150,E46)))</f>
        <v/>
      </c>
      <c r="D46" s="57"/>
      <c r="E46" s="57" t="str">
        <f>IF(B46="","",IFERROR(INDEX(Base_Gestran!$C$2:$C$5481,MATCH(B46,Base_Gestran!$A$2:$A$5481,0)),"NÃO CADASTRADO"))</f>
        <v/>
      </c>
      <c r="F46" s="57"/>
      <c r="G46" s="57" t="str">
        <f>IF(B46="","",SUMIFS(Base_Gestran!$E$2:$E$5481,Base_Gestran!$A$2:$A$5481,B46,Base_Gestran!$C$2:$C$5481,E46))</f>
        <v/>
      </c>
      <c r="H46" s="57" t="str">
        <f>IF(B46="","",IFERROR(INDEX(Historico_Entradas!$D$2:$D$2009,MATCH(B46&amp;"|"&amp;TEXT(SUMPRODUCT(MAX((Historico_Entradas!$G$2:$G$2009=B46)*Historico_Entradas!$A$2:$A$2009)),"0"),Historico_Entradas!$L$2:$L$2009,0)),""))</f>
        <v/>
      </c>
      <c r="I46" s="57"/>
      <c r="J46" s="57"/>
      <c r="K46" s="57"/>
      <c r="L46" t="str">
        <f t="shared" si="0"/>
        <v/>
      </c>
      <c r="M46" s="5" t="str">
        <f>IF(B46="","",IF(SUMIFS(Base_Gestran!$H$2:$H$5481,Base_Gestran!$A$2:$A$5481,B46,Base_Gestran!$C$2:$C$5481,E46)=0,"",SUMIFS(Base_Gestran!$H$2:$H$5481,Base_Gestran!$A$2:$A$5481,B46,Base_Gestran!$C$2:$C$5481,E46)))</f>
        <v/>
      </c>
    </row>
    <row r="47" spans="1:13">
      <c r="A47" s="57"/>
      <c r="B47" s="57"/>
      <c r="C47" s="57" t="str">
        <f>IF(B47="","",IF(SUMIFS(Controle_Estoque!$H$8:$H$150,Controle_Estoque!$A$8:$A$150,B47,Controle_Estoque!$B$8:$B$150,E47)=0,"",SUMIFS(Controle_Estoque!$H$8:$H$150,Controle_Estoque!$A$8:$A$150,B47,Controle_Estoque!$B$8:$B$150,E47)))</f>
        <v/>
      </c>
      <c r="D47" s="57"/>
      <c r="E47" s="57" t="str">
        <f>IF(B47="","",IFERROR(INDEX(Base_Gestran!$C$2:$C$5481,MATCH(B47,Base_Gestran!$A$2:$A$5481,0)),"NÃO CADASTRADO"))</f>
        <v/>
      </c>
      <c r="F47" s="57"/>
      <c r="G47" s="57" t="str">
        <f>IF(B47="","",SUMIFS(Base_Gestran!$E$2:$E$5481,Base_Gestran!$A$2:$A$5481,B47,Base_Gestran!$C$2:$C$5481,E47))</f>
        <v/>
      </c>
      <c r="H47" s="57" t="str">
        <f>IF(B47="","",IFERROR(INDEX(Historico_Entradas!$D$2:$D$2009,MATCH(B47&amp;"|"&amp;TEXT(SUMPRODUCT(MAX((Historico_Entradas!$G$2:$G$2009=B47)*Historico_Entradas!$A$2:$A$2009)),"0"),Historico_Entradas!$L$2:$L$2009,0)),""))</f>
        <v/>
      </c>
      <c r="I47" s="57"/>
      <c r="J47" s="57"/>
      <c r="K47" s="57"/>
      <c r="L47" t="str">
        <f t="shared" si="0"/>
        <v/>
      </c>
      <c r="M47" s="5" t="str">
        <f>IF(B47="","",IF(SUMIFS(Base_Gestran!$H$2:$H$5481,Base_Gestran!$A$2:$A$5481,B47,Base_Gestran!$C$2:$C$5481,E47)=0,"",SUMIFS(Base_Gestran!$H$2:$H$5481,Base_Gestran!$A$2:$A$5481,B47,Base_Gestran!$C$2:$C$5481,E47)))</f>
        <v/>
      </c>
    </row>
    <row r="48" spans="1:13">
      <c r="A48" s="57"/>
      <c r="B48" s="57"/>
      <c r="C48" s="57" t="str">
        <f>IF(B48="","",IF(SUMIFS(Controle_Estoque!$H$8:$H$150,Controle_Estoque!$A$8:$A$150,B48,Controle_Estoque!$B$8:$B$150,E48)=0,"",SUMIFS(Controle_Estoque!$H$8:$H$150,Controle_Estoque!$A$8:$A$150,B48,Controle_Estoque!$B$8:$B$150,E48)))</f>
        <v/>
      </c>
      <c r="D48" s="57"/>
      <c r="E48" s="57" t="str">
        <f>IF(B48="","",IFERROR(INDEX(Base_Gestran!$C$2:$C$5481,MATCH(B48,Base_Gestran!$A$2:$A$5481,0)),"NÃO CADASTRADO"))</f>
        <v/>
      </c>
      <c r="F48" s="57"/>
      <c r="G48" s="57" t="str">
        <f>IF(B48="","",SUMIFS(Base_Gestran!$E$2:$E$5481,Base_Gestran!$A$2:$A$5481,B48,Base_Gestran!$C$2:$C$5481,E48))</f>
        <v/>
      </c>
      <c r="H48" s="57" t="str">
        <f>IF(B48="","",IFERROR(INDEX(Historico_Entradas!$D$2:$D$2009,MATCH(B48&amp;"|"&amp;TEXT(SUMPRODUCT(MAX((Historico_Entradas!$G$2:$G$2009=B48)*Historico_Entradas!$A$2:$A$2009)),"0"),Historico_Entradas!$L$2:$L$2009,0)),""))</f>
        <v/>
      </c>
      <c r="I48" s="57"/>
      <c r="J48" s="57"/>
      <c r="K48" s="57"/>
      <c r="L48" t="str">
        <f t="shared" si="0"/>
        <v/>
      </c>
      <c r="M48" s="5" t="str">
        <f>IF(B48="","",IF(SUMIFS(Base_Gestran!$H$2:$H$5481,Base_Gestran!$A$2:$A$5481,B48,Base_Gestran!$C$2:$C$5481,E48)=0,"",SUMIFS(Base_Gestran!$H$2:$H$5481,Base_Gestran!$A$2:$A$5481,B48,Base_Gestran!$C$2:$C$5481,E48)))</f>
        <v/>
      </c>
    </row>
    <row r="49" spans="1:13">
      <c r="A49" s="57"/>
      <c r="B49" s="57"/>
      <c r="C49" s="57" t="str">
        <f>IF(B49="","",IF(SUMIFS(Controle_Estoque!$H$8:$H$150,Controle_Estoque!$A$8:$A$150,B49,Controle_Estoque!$B$8:$B$150,E49)=0,"",SUMIFS(Controle_Estoque!$H$8:$H$150,Controle_Estoque!$A$8:$A$150,B49,Controle_Estoque!$B$8:$B$150,E49)))</f>
        <v/>
      </c>
      <c r="D49" s="57"/>
      <c r="E49" s="57" t="str">
        <f>IF(B49="","",IFERROR(INDEX(Base_Gestran!$C$2:$C$5481,MATCH(B49,Base_Gestran!$A$2:$A$5481,0)),"NÃO CADASTRADO"))</f>
        <v/>
      </c>
      <c r="F49" s="57"/>
      <c r="G49" s="57" t="str">
        <f>IF(B49="","",SUMIFS(Base_Gestran!$E$2:$E$5481,Base_Gestran!$A$2:$A$5481,B49,Base_Gestran!$C$2:$C$5481,E49))</f>
        <v/>
      </c>
      <c r="H49" s="57" t="str">
        <f>IF(B49="","",IFERROR(INDEX(Historico_Entradas!$D$2:$D$2009,MATCH(B49&amp;"|"&amp;TEXT(SUMPRODUCT(MAX((Historico_Entradas!$G$2:$G$2009=B49)*Historico_Entradas!$A$2:$A$2009)),"0"),Historico_Entradas!$L$2:$L$2009,0)),""))</f>
        <v/>
      </c>
      <c r="I49" s="57"/>
      <c r="J49" s="57"/>
      <c r="K49" s="57"/>
      <c r="L49" t="str">
        <f t="shared" si="0"/>
        <v/>
      </c>
      <c r="M49" s="5" t="str">
        <f>IF(B49="","",IF(SUMIFS(Base_Gestran!$H$2:$H$5481,Base_Gestran!$A$2:$A$5481,B49,Base_Gestran!$C$2:$C$5481,E49)=0,"",SUMIFS(Base_Gestran!$H$2:$H$5481,Base_Gestran!$A$2:$A$5481,B49,Base_Gestran!$C$2:$C$5481,E49)))</f>
        <v/>
      </c>
    </row>
    <row r="50" spans="1:13">
      <c r="A50" s="57"/>
      <c r="B50" s="57"/>
      <c r="C50" s="57" t="str">
        <f>IF(B50="","",IF(SUMIFS(Controle_Estoque!$H$8:$H$150,Controle_Estoque!$A$8:$A$150,B50,Controle_Estoque!$B$8:$B$150,E50)=0,"",SUMIFS(Controle_Estoque!$H$8:$H$150,Controle_Estoque!$A$8:$A$150,B50,Controle_Estoque!$B$8:$B$150,E50)))</f>
        <v/>
      </c>
      <c r="D50" s="57"/>
      <c r="E50" s="57" t="str">
        <f>IF(B50="","",IFERROR(INDEX(Base_Gestran!$C$2:$C$5481,MATCH(B50,Base_Gestran!$A$2:$A$5481,0)),"NÃO CADASTRADO"))</f>
        <v/>
      </c>
      <c r="F50" s="57"/>
      <c r="G50" s="57" t="str">
        <f>IF(B50="","",SUMIFS(Base_Gestran!$E$2:$E$5481,Base_Gestran!$A$2:$A$5481,B50,Base_Gestran!$C$2:$C$5481,E50))</f>
        <v/>
      </c>
      <c r="H50" s="57" t="str">
        <f>IF(B50="","",IFERROR(INDEX(Historico_Entradas!$D$2:$D$2009,MATCH(B50&amp;"|"&amp;TEXT(SUMPRODUCT(MAX((Historico_Entradas!$G$2:$G$2009=B50)*Historico_Entradas!$A$2:$A$2009)),"0"),Historico_Entradas!$L$2:$L$2009,0)),""))</f>
        <v/>
      </c>
      <c r="I50" s="57"/>
      <c r="J50" s="57"/>
      <c r="K50" s="57"/>
      <c r="L50" t="str">
        <f t="shared" si="0"/>
        <v/>
      </c>
      <c r="M50" s="5" t="str">
        <f>IF(B50="","",IF(SUMIFS(Base_Gestran!$H$2:$H$5481,Base_Gestran!$A$2:$A$5481,B50,Base_Gestran!$C$2:$C$5481,E50)=0,"",SUMIFS(Base_Gestran!$H$2:$H$5481,Base_Gestran!$A$2:$A$5481,B50,Base_Gestran!$C$2:$C$5481,E50)))</f>
        <v/>
      </c>
    </row>
    <row r="51" spans="1:13">
      <c r="A51" s="57"/>
      <c r="B51" s="57"/>
      <c r="C51" s="57" t="str">
        <f>IF(B51="","",IF(SUMIFS(Controle_Estoque!$H$8:$H$150,Controle_Estoque!$A$8:$A$150,B51,Controle_Estoque!$B$8:$B$150,E51)=0,"",SUMIFS(Controle_Estoque!$H$8:$H$150,Controle_Estoque!$A$8:$A$150,B51,Controle_Estoque!$B$8:$B$150,E51)))</f>
        <v/>
      </c>
      <c r="D51" s="57"/>
      <c r="E51" s="57" t="str">
        <f>IF(B51="","",IFERROR(INDEX(Base_Gestran!$C$2:$C$5481,MATCH(B51,Base_Gestran!$A$2:$A$5481,0)),"NÃO CADASTRADO"))</f>
        <v/>
      </c>
      <c r="F51" s="57"/>
      <c r="G51" s="57" t="str">
        <f>IF(B51="","",SUMIFS(Base_Gestran!$E$2:$E$5481,Base_Gestran!$A$2:$A$5481,B51,Base_Gestran!$C$2:$C$5481,E51))</f>
        <v/>
      </c>
      <c r="H51" s="57" t="str">
        <f>IF(B51="","",IFERROR(INDEX(Historico_Entradas!$D$2:$D$2009,MATCH(B51&amp;"|"&amp;TEXT(SUMPRODUCT(MAX((Historico_Entradas!$G$2:$G$2009=B51)*Historico_Entradas!$A$2:$A$2009)),"0"),Historico_Entradas!$L$2:$L$2009,0)),""))</f>
        <v/>
      </c>
      <c r="I51" s="57"/>
      <c r="J51" s="57"/>
      <c r="K51" s="57"/>
      <c r="L51" t="str">
        <f t="shared" si="0"/>
        <v/>
      </c>
      <c r="M51" s="5" t="str">
        <f>IF(B51="","",IF(SUMIFS(Base_Gestran!$H$2:$H$5481,Base_Gestran!$A$2:$A$5481,B51,Base_Gestran!$C$2:$C$5481,E51)=0,"",SUMIFS(Base_Gestran!$H$2:$H$5481,Base_Gestran!$A$2:$A$5481,B51,Base_Gestran!$C$2:$C$5481,E51)))</f>
        <v/>
      </c>
    </row>
    <row r="52" spans="1:13">
      <c r="A52" s="57"/>
      <c r="B52" s="57"/>
      <c r="C52" s="57" t="str">
        <f>IF(B52="","",IF(SUMIFS(Controle_Estoque!$H$8:$H$150,Controle_Estoque!$A$8:$A$150,B52,Controle_Estoque!$B$8:$B$150,E52)=0,"",SUMIFS(Controle_Estoque!$H$8:$H$150,Controle_Estoque!$A$8:$A$150,B52,Controle_Estoque!$B$8:$B$150,E52)))</f>
        <v/>
      </c>
      <c r="D52" s="57"/>
      <c r="E52" s="57" t="str">
        <f>IF(B52="","",IFERROR(INDEX(Base_Gestran!$C$2:$C$5481,MATCH(B52,Base_Gestran!$A$2:$A$5481,0)),"NÃO CADASTRADO"))</f>
        <v/>
      </c>
      <c r="F52" s="57"/>
      <c r="G52" s="57" t="str">
        <f>IF(B52="","",SUMIFS(Base_Gestran!$E$2:$E$5481,Base_Gestran!$A$2:$A$5481,B52,Base_Gestran!$C$2:$C$5481,E52))</f>
        <v/>
      </c>
      <c r="H52" s="57" t="str">
        <f>IF(B52="","",IFERROR(INDEX(Historico_Entradas!$D$2:$D$2009,MATCH(B52&amp;"|"&amp;TEXT(SUMPRODUCT(MAX((Historico_Entradas!$G$2:$G$2009=B52)*Historico_Entradas!$A$2:$A$2009)),"0"),Historico_Entradas!$L$2:$L$2009,0)),""))</f>
        <v/>
      </c>
      <c r="I52" s="57"/>
      <c r="J52" s="57"/>
      <c r="K52" s="57"/>
      <c r="L52" t="str">
        <f t="shared" si="0"/>
        <v/>
      </c>
      <c r="M52" s="5" t="str">
        <f>IF(B52="","",IF(SUMIFS(Base_Gestran!$H$2:$H$5481,Base_Gestran!$A$2:$A$5481,B52,Base_Gestran!$C$2:$C$5481,E52)=0,"",SUMIFS(Base_Gestran!$H$2:$H$5481,Base_Gestran!$A$2:$A$5481,B52,Base_Gestran!$C$2:$C$5481,E52)))</f>
        <v/>
      </c>
    </row>
    <row r="53" spans="1:13">
      <c r="A53" s="57"/>
      <c r="B53" s="57"/>
      <c r="C53" s="57" t="str">
        <f>IF(B53="","",IF(SUMIFS(Controle_Estoque!$H$8:$H$150,Controle_Estoque!$A$8:$A$150,B53,Controle_Estoque!$B$8:$B$150,E53)=0,"",SUMIFS(Controle_Estoque!$H$8:$H$150,Controle_Estoque!$A$8:$A$150,B53,Controle_Estoque!$B$8:$B$150,E53)))</f>
        <v/>
      </c>
      <c r="D53" s="57"/>
      <c r="E53" s="57" t="str">
        <f>IF(B53="","",IFERROR(INDEX(Base_Gestran!$C$2:$C$5481,MATCH(B53,Base_Gestran!$A$2:$A$5481,0)),"NÃO CADASTRADO"))</f>
        <v/>
      </c>
      <c r="F53" s="57"/>
      <c r="G53" s="57" t="str">
        <f>IF(B53="","",SUMIFS(Base_Gestran!$E$2:$E$5481,Base_Gestran!$A$2:$A$5481,B53,Base_Gestran!$C$2:$C$5481,E53))</f>
        <v/>
      </c>
      <c r="H53" s="57" t="str">
        <f>IF(B53="","",IFERROR(INDEX(Historico_Entradas!$D$2:$D$2009,MATCH(B53&amp;"|"&amp;TEXT(SUMPRODUCT(MAX((Historico_Entradas!$G$2:$G$2009=B53)*Historico_Entradas!$A$2:$A$2009)),"0"),Historico_Entradas!$L$2:$L$2009,0)),""))</f>
        <v/>
      </c>
      <c r="I53" s="57"/>
      <c r="J53" s="57"/>
      <c r="K53" s="57"/>
      <c r="L53" t="str">
        <f t="shared" si="0"/>
        <v/>
      </c>
      <c r="M53" s="5" t="str">
        <f>IF(B53="","",IF(SUMIFS(Base_Gestran!$H$2:$H$5481,Base_Gestran!$A$2:$A$5481,B53,Base_Gestran!$C$2:$C$5481,E53)=0,"",SUMIFS(Base_Gestran!$H$2:$H$5481,Base_Gestran!$A$2:$A$5481,B53,Base_Gestran!$C$2:$C$5481,E53)))</f>
        <v/>
      </c>
    </row>
    <row r="54" spans="1:13">
      <c r="A54" s="57"/>
      <c r="B54" s="57"/>
      <c r="C54" s="57" t="str">
        <f>IF(B54="","",IF(SUMIFS(Controle_Estoque!$H$8:$H$150,Controle_Estoque!$A$8:$A$150,B54,Controle_Estoque!$B$8:$B$150,E54)=0,"",SUMIFS(Controle_Estoque!$H$8:$H$150,Controle_Estoque!$A$8:$A$150,B54,Controle_Estoque!$B$8:$B$150,E54)))</f>
        <v/>
      </c>
      <c r="D54" s="57"/>
      <c r="E54" s="57" t="str">
        <f>IF(B54="","",IFERROR(INDEX(Base_Gestran!$C$2:$C$5481,MATCH(B54,Base_Gestran!$A$2:$A$5481,0)),"NÃO CADASTRADO"))</f>
        <v/>
      </c>
      <c r="F54" s="57"/>
      <c r="G54" s="57" t="str">
        <f>IF(B54="","",SUMIFS(Base_Gestran!$E$2:$E$5481,Base_Gestran!$A$2:$A$5481,B54,Base_Gestran!$C$2:$C$5481,E54))</f>
        <v/>
      </c>
      <c r="H54" s="57" t="str">
        <f>IF(B54="","",IFERROR(INDEX(Historico_Entradas!$D$2:$D$2009,MATCH(B54&amp;"|"&amp;TEXT(SUMPRODUCT(MAX((Historico_Entradas!$G$2:$G$2009=B54)*Historico_Entradas!$A$2:$A$2009)),"0"),Historico_Entradas!$L$2:$L$2009,0)),""))</f>
        <v/>
      </c>
      <c r="I54" s="57"/>
      <c r="J54" s="57"/>
      <c r="K54" s="57"/>
      <c r="L54" t="str">
        <f t="shared" si="0"/>
        <v/>
      </c>
      <c r="M54" s="5" t="str">
        <f>IF(B54="","",IF(SUMIFS(Base_Gestran!$H$2:$H$5481,Base_Gestran!$A$2:$A$5481,B54,Base_Gestran!$C$2:$C$5481,E54)=0,"",SUMIFS(Base_Gestran!$H$2:$H$5481,Base_Gestran!$A$2:$A$5481,B54,Base_Gestran!$C$2:$C$5481,E54)))</f>
        <v/>
      </c>
    </row>
    <row r="55" spans="1:13">
      <c r="A55" s="57"/>
      <c r="B55" s="57"/>
      <c r="C55" s="57" t="str">
        <f>IF(B55="","",IF(SUMIFS(Controle_Estoque!$H$8:$H$150,Controle_Estoque!$A$8:$A$150,B55,Controle_Estoque!$B$8:$B$150,E55)=0,"",SUMIFS(Controle_Estoque!$H$8:$H$150,Controle_Estoque!$A$8:$A$150,B55,Controle_Estoque!$B$8:$B$150,E55)))</f>
        <v/>
      </c>
      <c r="D55" s="57"/>
      <c r="E55" s="57" t="str">
        <f>IF(B55="","",IFERROR(INDEX(Base_Gestran!$C$2:$C$5481,MATCH(B55,Base_Gestran!$A$2:$A$5481,0)),"NÃO CADASTRADO"))</f>
        <v/>
      </c>
      <c r="F55" s="57"/>
      <c r="G55" s="57" t="str">
        <f>IF(B55="","",SUMIFS(Base_Gestran!$E$2:$E$5481,Base_Gestran!$A$2:$A$5481,B55,Base_Gestran!$C$2:$C$5481,E55))</f>
        <v/>
      </c>
      <c r="H55" s="57" t="str">
        <f>IF(B55="","",IFERROR(INDEX(Historico_Entradas!$D$2:$D$2009,MATCH(B55&amp;"|"&amp;TEXT(SUMPRODUCT(MAX((Historico_Entradas!$G$2:$G$2009=B55)*Historico_Entradas!$A$2:$A$2009)),"0"),Historico_Entradas!$L$2:$L$2009,0)),""))</f>
        <v/>
      </c>
      <c r="I55" s="57"/>
      <c r="J55" s="57"/>
      <c r="K55" s="57"/>
      <c r="L55" t="str">
        <f t="shared" si="0"/>
        <v/>
      </c>
      <c r="M55" s="5" t="str">
        <f>IF(B55="","",IF(SUMIFS(Base_Gestran!$H$2:$H$5481,Base_Gestran!$A$2:$A$5481,B55,Base_Gestran!$C$2:$C$5481,E55)=0,"",SUMIFS(Base_Gestran!$H$2:$H$5481,Base_Gestran!$A$2:$A$5481,B55,Base_Gestran!$C$2:$C$5481,E55)))</f>
        <v/>
      </c>
    </row>
    <row r="56" spans="1:13">
      <c r="A56" s="57"/>
      <c r="B56" s="57"/>
      <c r="C56" s="57" t="str">
        <f>IF(B56="","",IF(SUMIFS(Controle_Estoque!$H$8:$H$150,Controle_Estoque!$A$8:$A$150,B56,Controle_Estoque!$B$8:$B$150,E56)=0,"",SUMIFS(Controle_Estoque!$H$8:$H$150,Controle_Estoque!$A$8:$A$150,B56,Controle_Estoque!$B$8:$B$150,E56)))</f>
        <v/>
      </c>
      <c r="D56" s="57"/>
      <c r="E56" s="57" t="str">
        <f>IF(B56="","",IFERROR(INDEX(Base_Gestran!$C$2:$C$5481,MATCH(B56,Base_Gestran!$A$2:$A$5481,0)),"NÃO CADASTRADO"))</f>
        <v/>
      </c>
      <c r="F56" s="57"/>
      <c r="G56" s="57" t="str">
        <f>IF(B56="","",SUMIFS(Base_Gestran!$E$2:$E$5481,Base_Gestran!$A$2:$A$5481,B56,Base_Gestran!$C$2:$C$5481,E56))</f>
        <v/>
      </c>
      <c r="H56" s="57" t="str">
        <f>IF(B56="","",IFERROR(INDEX(Historico_Entradas!$D$2:$D$2009,MATCH(B56&amp;"|"&amp;TEXT(SUMPRODUCT(MAX((Historico_Entradas!$G$2:$G$2009=B56)*Historico_Entradas!$A$2:$A$2009)),"0"),Historico_Entradas!$L$2:$L$2009,0)),""))</f>
        <v/>
      </c>
      <c r="I56" s="57"/>
      <c r="J56" s="57"/>
      <c r="K56" s="57"/>
      <c r="L56" t="str">
        <f t="shared" si="0"/>
        <v/>
      </c>
      <c r="M56" s="5" t="str">
        <f>IF(B56="","",IF(SUMIFS(Base_Gestran!$H$2:$H$5481,Base_Gestran!$A$2:$A$5481,B56,Base_Gestran!$C$2:$C$5481,E56)=0,"",SUMIFS(Base_Gestran!$H$2:$H$5481,Base_Gestran!$A$2:$A$5481,B56,Base_Gestran!$C$2:$C$5481,E56)))</f>
        <v/>
      </c>
    </row>
    <row r="57" spans="1:13">
      <c r="A57" s="57"/>
      <c r="B57" s="57"/>
      <c r="C57" s="57" t="str">
        <f>IF(B57="","",IF(SUMIFS(Controle_Estoque!$H$8:$H$150,Controle_Estoque!$A$8:$A$150,B57,Controle_Estoque!$B$8:$B$150,E57)=0,"",SUMIFS(Controle_Estoque!$H$8:$H$150,Controle_Estoque!$A$8:$A$150,B57,Controle_Estoque!$B$8:$B$150,E57)))</f>
        <v/>
      </c>
      <c r="D57" s="57"/>
      <c r="E57" s="57" t="str">
        <f>IF(B57="","",IFERROR(INDEX(Base_Gestran!$C$2:$C$5481,MATCH(B57,Base_Gestran!$A$2:$A$5481,0)),"NÃO CADASTRADO"))</f>
        <v/>
      </c>
      <c r="F57" s="57"/>
      <c r="G57" s="57" t="str">
        <f>IF(B57="","",SUMIFS(Base_Gestran!$E$2:$E$5481,Base_Gestran!$A$2:$A$5481,B57,Base_Gestran!$C$2:$C$5481,E57))</f>
        <v/>
      </c>
      <c r="H57" s="57" t="str">
        <f>IF(B57="","",IFERROR(INDEX(Historico_Entradas!$D$2:$D$2009,MATCH(B57&amp;"|"&amp;TEXT(SUMPRODUCT(MAX((Historico_Entradas!$G$2:$G$2009=B57)*Historico_Entradas!$A$2:$A$2009)),"0"),Historico_Entradas!$L$2:$L$2009,0)),""))</f>
        <v/>
      </c>
      <c r="I57" s="57"/>
      <c r="J57" s="57"/>
      <c r="K57" s="57"/>
      <c r="L57" t="str">
        <f t="shared" si="0"/>
        <v/>
      </c>
      <c r="M57" s="5" t="str">
        <f>IF(B57="","",IF(SUMIFS(Base_Gestran!$H$2:$H$5481,Base_Gestran!$A$2:$A$5481,B57,Base_Gestran!$C$2:$C$5481,E57)=0,"",SUMIFS(Base_Gestran!$H$2:$H$5481,Base_Gestran!$A$2:$A$5481,B57,Base_Gestran!$C$2:$C$5481,E57)))</f>
        <v/>
      </c>
    </row>
    <row r="58" spans="1:13">
      <c r="A58" s="57"/>
      <c r="B58" s="57"/>
      <c r="C58" s="57" t="str">
        <f>IF(B58="","",IF(SUMIFS(Controle_Estoque!$H$8:$H$150,Controle_Estoque!$A$8:$A$150,B58,Controle_Estoque!$B$8:$B$150,E58)=0,"",SUMIFS(Controle_Estoque!$H$8:$H$150,Controle_Estoque!$A$8:$A$150,B58,Controle_Estoque!$B$8:$B$150,E58)))</f>
        <v/>
      </c>
      <c r="D58" s="57"/>
      <c r="E58" s="57" t="str">
        <f>IF(B58="","",IFERROR(INDEX(Base_Gestran!$C$2:$C$5481,MATCH(B58,Base_Gestran!$A$2:$A$5481,0)),"NÃO CADASTRADO"))</f>
        <v/>
      </c>
      <c r="F58" s="57"/>
      <c r="G58" s="57" t="str">
        <f>IF(B58="","",SUMIFS(Base_Gestran!$E$2:$E$5481,Base_Gestran!$A$2:$A$5481,B58,Base_Gestran!$C$2:$C$5481,E58))</f>
        <v/>
      </c>
      <c r="H58" s="57" t="str">
        <f>IF(B58="","",IFERROR(INDEX(Historico_Entradas!$D$2:$D$2009,MATCH(B58&amp;"|"&amp;TEXT(SUMPRODUCT(MAX((Historico_Entradas!$G$2:$G$2009=B58)*Historico_Entradas!$A$2:$A$2009)),"0"),Historico_Entradas!$L$2:$L$2009,0)),""))</f>
        <v/>
      </c>
      <c r="I58" s="57"/>
      <c r="J58" s="57"/>
      <c r="K58" s="57"/>
      <c r="L58" t="str">
        <f t="shared" si="0"/>
        <v/>
      </c>
      <c r="M58" s="5" t="str">
        <f>IF(B58="","",IF(SUMIFS(Base_Gestran!$H$2:$H$5481,Base_Gestran!$A$2:$A$5481,B58,Base_Gestran!$C$2:$C$5481,E58)=0,"",SUMIFS(Base_Gestran!$H$2:$H$5481,Base_Gestran!$A$2:$A$5481,B58,Base_Gestran!$C$2:$C$5481,E58)))</f>
        <v/>
      </c>
    </row>
    <row r="59" spans="1:13">
      <c r="A59" s="57"/>
      <c r="B59" s="57"/>
      <c r="C59" s="57" t="str">
        <f>IF(B59="","",IF(SUMIFS(Controle_Estoque!$H$8:$H$150,Controle_Estoque!$A$8:$A$150,B59,Controle_Estoque!$B$8:$B$150,E59)=0,"",SUMIFS(Controle_Estoque!$H$8:$H$150,Controle_Estoque!$A$8:$A$150,B59,Controle_Estoque!$B$8:$B$150,E59)))</f>
        <v/>
      </c>
      <c r="D59" s="57"/>
      <c r="E59" s="57" t="str">
        <f>IF(B59="","",IFERROR(INDEX(Base_Gestran!$C$2:$C$5481,MATCH(B59,Base_Gestran!$A$2:$A$5481,0)),"NÃO CADASTRADO"))</f>
        <v/>
      </c>
      <c r="F59" s="57"/>
      <c r="G59" s="57" t="str">
        <f>IF(B59="","",SUMIFS(Base_Gestran!$E$2:$E$5481,Base_Gestran!$A$2:$A$5481,B59,Base_Gestran!$C$2:$C$5481,E59))</f>
        <v/>
      </c>
      <c r="H59" s="57" t="str">
        <f>IF(B59="","",IFERROR(INDEX(Historico_Entradas!$D$2:$D$2009,MATCH(B59&amp;"|"&amp;TEXT(SUMPRODUCT(MAX((Historico_Entradas!$G$2:$G$2009=B59)*Historico_Entradas!$A$2:$A$2009)),"0"),Historico_Entradas!$L$2:$L$2009,0)),""))</f>
        <v/>
      </c>
      <c r="I59" s="57"/>
      <c r="J59" s="57"/>
      <c r="K59" s="57"/>
      <c r="L59" t="str">
        <f t="shared" si="0"/>
        <v/>
      </c>
      <c r="M59" s="5" t="str">
        <f>IF(B59="","",IF(SUMIFS(Base_Gestran!$H$2:$H$5481,Base_Gestran!$A$2:$A$5481,B59,Base_Gestran!$C$2:$C$5481,E59)=0,"",SUMIFS(Base_Gestran!$H$2:$H$5481,Base_Gestran!$A$2:$A$5481,B59,Base_Gestran!$C$2:$C$5481,E59)))</f>
        <v/>
      </c>
    </row>
    <row r="60" spans="1:13">
      <c r="A60" s="57"/>
      <c r="B60" s="57"/>
      <c r="C60" s="57" t="str">
        <f>IF(B60="","",IF(SUMIFS(Controle_Estoque!$H$8:$H$150,Controle_Estoque!$A$8:$A$150,B60,Controle_Estoque!$B$8:$B$150,E60)=0,"",SUMIFS(Controle_Estoque!$H$8:$H$150,Controle_Estoque!$A$8:$A$150,B60,Controle_Estoque!$B$8:$B$150,E60)))</f>
        <v/>
      </c>
      <c r="D60" s="57"/>
      <c r="E60" s="57" t="str">
        <f>IF(B60="","",IFERROR(INDEX(Base_Gestran!$C$2:$C$5481,MATCH(B60,Base_Gestran!$A$2:$A$5481,0)),"NÃO CADASTRADO"))</f>
        <v/>
      </c>
      <c r="F60" s="57"/>
      <c r="G60" s="57" t="str">
        <f>IF(B60="","",SUMIFS(Base_Gestran!$E$2:$E$5481,Base_Gestran!$A$2:$A$5481,B60,Base_Gestran!$C$2:$C$5481,E60))</f>
        <v/>
      </c>
      <c r="H60" s="57" t="str">
        <f>IF(B60="","",IFERROR(INDEX(Historico_Entradas!$D$2:$D$2009,MATCH(B60&amp;"|"&amp;TEXT(SUMPRODUCT(MAX((Historico_Entradas!$G$2:$G$2009=B60)*Historico_Entradas!$A$2:$A$2009)),"0"),Historico_Entradas!$L$2:$L$2009,0)),""))</f>
        <v/>
      </c>
      <c r="I60" s="57"/>
      <c r="J60" s="57"/>
      <c r="K60" s="57"/>
      <c r="L60" t="str">
        <f t="shared" si="0"/>
        <v/>
      </c>
      <c r="M60" s="5" t="str">
        <f>IF(B60="","",IF(SUMIFS(Base_Gestran!$H$2:$H$5481,Base_Gestran!$A$2:$A$5481,B60,Base_Gestran!$C$2:$C$5481,E60)=0,"",SUMIFS(Base_Gestran!$H$2:$H$5481,Base_Gestran!$A$2:$A$5481,B60,Base_Gestran!$C$2:$C$5481,E60)))</f>
        <v/>
      </c>
    </row>
  </sheetData>
  <autoFilter ref="A4:K60">
    <extLst/>
  </autoFilter>
  <mergeCells count="2">
    <mergeCell ref="H1:I1"/>
    <mergeCell ref="H2:I2"/>
  </mergeCells>
  <conditionalFormatting sqref="E5:E60">
    <cfRule type="expression" dxfId="0" priority="7">
      <formula>ISNUMBER(SEARCH("TRANSPORTE",$E5))</formula>
    </cfRule>
    <cfRule type="expression" dxfId="1" priority="8">
      <formula>ISNUMBER(SEARCH("PREDIAL",$E5))</formula>
    </cfRule>
    <cfRule type="expression" dxfId="2" priority="9">
      <formula>ISNUMBER(SEARCH("LIMPEZA",$E5))</formula>
    </cfRule>
    <cfRule type="expression" dxfId="3" priority="10">
      <formula>ISNUMBER(SEARCH("ESCRIT",$E5))</formula>
    </cfRule>
    <cfRule type="expression" dxfId="4" priority="11">
      <formula>ISNUMBER(SEARCH("EPI",$E5))</formula>
    </cfRule>
    <cfRule type="expression" dxfId="5" priority="12">
      <formula>ISNUMBER(SEARCH("LOGÍST",$E5))</formula>
    </cfRule>
    <cfRule type="expression" dxfId="5" priority="13">
      <formula>ISNUMBER(SEARCH("LOGIST",$E5))</formula>
    </cfRule>
    <cfRule type="expression" dxfId="6" priority="14">
      <formula>ISNUMBER(SEARCH("GERAL",$E5))</formula>
    </cfRule>
    <cfRule type="expression" dxfId="7" priority="15">
      <formula>ISNUMBER(SEARCH("PNEU",$E5))</formula>
    </cfRule>
    <cfRule type="expression" dxfId="8" priority="16">
      <formula>ISNUMBER(SEARCH("UNIFORME",$E5))</formula>
    </cfRule>
    <cfRule type="expression" dxfId="9" priority="17">
      <formula>ISNUMBER(SEARCH("JARDIN",$E5))</formula>
    </cfRule>
    <cfRule type="expression" dxfId="10" priority="18">
      <formula>ISNUMBER(SEARCH("INDUSTRIA",$E5))</formula>
    </cfRule>
    <cfRule type="expression" dxfId="10" priority="19">
      <formula>ISNUMBER(SEARCH("INDÚSTRIA",$E5))</formula>
    </cfRule>
    <cfRule type="expression" dxfId="11" priority="20">
      <formula>ISNUMBER(SEARCH("SERVIÇOS",$E5))</formula>
    </cfRule>
    <cfRule type="expression" dxfId="1" priority="21">
      <formula>ISNUMBER(SEARCH("OFICINA",$E5))</formula>
    </cfRule>
  </conditionalFormatting>
  <conditionalFormatting sqref="F5:F60">
    <cfRule type="expression" dxfId="15" priority="5">
      <formula>ISNUMBER(SEARCH("ZERADO",F5))</formula>
    </cfRule>
    <cfRule type="expression" dxfId="4" priority="6">
      <formula>ISNUMBER(SEARCH("BAIXO",F5))</formula>
    </cfRule>
  </conditionalFormatting>
  <conditionalFormatting sqref="I5:I60">
    <cfRule type="expression" dxfId="13" priority="2">
      <formula>I5="PENDENTE"</formula>
    </cfRule>
    <cfRule type="expression" dxfId="16" priority="3">
      <formula>I5="RECEBIDO"</formula>
    </cfRule>
    <cfRule type="expression" dxfId="17" priority="4">
      <formula>I5="SOLICITADO"</formula>
    </cfRule>
  </conditionalFormatting>
  <dataValidations count="1">
    <dataValidation type="list" allowBlank="1" errorTitle="Valor inválido" error="Escolha uma das 3 opções da lista" sqref="I5;I6:I25;I26:I31;I32:I36;I37:I39;I40:I42;I43:I60">
      <formula1>"PENDENTE,SOLICITADO,RECEBIDO"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opLeftCell="A10" workbookViewId="0">
      <selection activeCell="A1" sqref="A1"/>
    </sheetView>
  </sheetViews>
  <sheetFormatPr defaultColWidth="8.67619047619048" defaultRowHeight="15" outlineLevelCol="4"/>
  <cols>
    <col min="1" max="1" width="113.152380952381" customWidth="1"/>
    <col min="2" max="2" width="51.2857142857143" customWidth="1"/>
    <col min="3" max="3" width="41.7142857142857" customWidth="1"/>
    <col min="4" max="4" width="10" customWidth="1"/>
    <col min="5" max="5" width="22" customWidth="1"/>
  </cols>
  <sheetData>
    <row r="1" ht="17.25" customHeight="1" spans="1:1">
      <c r="A1" s="39" t="s">
        <v>122</v>
      </c>
    </row>
    <row r="2" spans="1:1">
      <c r="A2" s="28" t="s">
        <v>123</v>
      </c>
    </row>
    <row r="4" ht="15.75" spans="1:3">
      <c r="A4" s="40" t="s">
        <v>124</v>
      </c>
      <c r="B4" s="41">
        <f>COUNTA(Base_Gestran!A2:A5481)</f>
        <v>5480</v>
      </c>
      <c r="C4" s="40"/>
    </row>
    <row r="5" ht="15.75" spans="1:3">
      <c r="A5" s="40" t="s">
        <v>125</v>
      </c>
      <c r="B5" s="41">
        <f>COUNTIFS(Base_Gestran!E2:E5481,"&gt;0")</f>
        <v>4484</v>
      </c>
      <c r="C5" s="40"/>
    </row>
    <row r="6" ht="15.75" spans="1:3">
      <c r="A6" s="40" t="s">
        <v>126</v>
      </c>
      <c r="B6" s="41">
        <f>COUNTIFS(Base_Gestran!E2:E5481,0)</f>
        <v>990</v>
      </c>
      <c r="C6" s="40"/>
    </row>
    <row r="7" ht="15.75" spans="1:3">
      <c r="A7" s="40" t="s">
        <v>127</v>
      </c>
      <c r="B7" s="41">
        <f>COUNTIFS(Base_Gestran!E2:E5481,"&lt;0")</f>
        <v>6</v>
      </c>
      <c r="C7" s="40"/>
    </row>
    <row r="8" ht="15.75" spans="1:3">
      <c r="A8" s="40" t="s">
        <v>128</v>
      </c>
      <c r="B8" s="42">
        <f>B5/B4</f>
        <v>0.818248175182482</v>
      </c>
      <c r="C8" s="40"/>
    </row>
    <row r="9" ht="15.75" spans="1:3">
      <c r="A9" s="40" t="s">
        <v>129</v>
      </c>
      <c r="B9" s="43">
        <f>SUM(Base_Gestran!J2:J5481)</f>
        <v>5119194.71732004</v>
      </c>
      <c r="C9" s="40"/>
    </row>
    <row r="10" ht="15.75" spans="1:3">
      <c r="A10" s="40" t="s">
        <v>130</v>
      </c>
      <c r="B10" s="41">
        <f>COUNTIFS(Base_Gestran!G2:G5481,"")</f>
        <v>3461</v>
      </c>
      <c r="C10" s="40"/>
    </row>
    <row r="11" ht="15.75" spans="1:3">
      <c r="A11" s="40" t="s">
        <v>131</v>
      </c>
      <c r="B11" s="41">
        <f>COUNTIFS(Base_Gestran!M2:M5481,"&gt;1")</f>
        <v>1492</v>
      </c>
      <c r="C11" s="40"/>
    </row>
    <row r="13" ht="15.75" spans="1:5">
      <c r="A13" s="44" t="s">
        <v>132</v>
      </c>
      <c r="B13" s="44"/>
      <c r="C13" s="44"/>
      <c r="D13" s="44"/>
      <c r="E13" s="44"/>
    </row>
    <row r="14" ht="27.75" customHeight="1" spans="1:5">
      <c r="A14" s="45" t="s">
        <v>133</v>
      </c>
      <c r="B14" s="30" t="s">
        <v>16</v>
      </c>
      <c r="C14" s="30" t="s">
        <v>134</v>
      </c>
      <c r="D14" s="30" t="s">
        <v>135</v>
      </c>
      <c r="E14" s="30" t="s">
        <v>136</v>
      </c>
    </row>
    <row r="15" spans="1:5">
      <c r="A15" s="21">
        <v>1</v>
      </c>
      <c r="B15" s="21" t="str">
        <f>INDEX(Base_Gestran!$A$2:$A$5481,MATCH(LARGE(Base_Gestran!$N$2:$N$5481,1),Base_Gestran!$N$2:$N$5481,0))</f>
        <v>SCS PLAST TR PR LISO 20 x 30</v>
      </c>
      <c r="C15" s="21" t="str">
        <f>INDEX(Base_Gestran!$C$2:$C$5481,MATCH(LARGE(Base_Gestran!$N$2:$N$5481,1),Base_Gestran!$N$2:$N$5481,0))</f>
        <v>ALMOXARIFADO 7- INDUSTRIA</v>
      </c>
      <c r="D15" s="21">
        <f>INDEX(Base_Gestran!$E$2:$E$5481,MATCH(LARGE(Base_Gestran!$N$2:$N$5481,1),Base_Gestran!$N$2:$N$5481,0))</f>
        <v>3813.4</v>
      </c>
      <c r="E15" s="46">
        <f>INDEX(Base_Gestran!$J$2:$J$5481,MATCH(LARGE(Base_Gestran!$N$2:$N$5481,1),Base_Gestran!$N$2:$N$5481,0))</f>
        <v>1271273.158</v>
      </c>
    </row>
    <row r="16" spans="1:5">
      <c r="A16" s="21">
        <v>2</v>
      </c>
      <c r="B16" s="21" t="str">
        <f>INDEX(Base_Gestran!$A$2:$A$5481,MATCH(LARGE(Base_Gestran!$N$2:$N$5481,2),Base_Gestran!$N$2:$N$5481,0))</f>
        <v>METALON GALVANIZADO 30X50X18</v>
      </c>
      <c r="C16" s="21" t="str">
        <f>INDEX(Base_Gestran!$C$2:$C$5481,MATCH(LARGE(Base_Gestran!$N$2:$N$5481,2),Base_Gestran!$N$2:$N$5481,0))</f>
        <v>ALMOXARIFADO</v>
      </c>
      <c r="D16" s="21">
        <f>INDEX(Base_Gestran!$E$2:$E$5481,MATCH(LARGE(Base_Gestran!$N$2:$N$5481,2),Base_Gestran!$N$2:$N$5481,0))</f>
        <v>4</v>
      </c>
      <c r="E16" s="46">
        <f>INDEX(Base_Gestran!$J$2:$J$5481,MATCH(LARGE(Base_Gestran!$N$2:$N$5481,2),Base_Gestran!$N$2:$N$5481,0))</f>
        <v>416800</v>
      </c>
    </row>
    <row r="17" spans="1:5">
      <c r="A17" s="21">
        <v>3</v>
      </c>
      <c r="B17" s="21" t="str">
        <f>INDEX(Base_Gestran!$A$2:$A$5481,MATCH(LARGE(Base_Gestran!$N$2:$N$5481,3),Base_Gestran!$N$2:$N$5481,0))</f>
        <v>STRETCH MANUAL 500MM X 25 MICRA X 3</v>
      </c>
      <c r="C17" s="21" t="str">
        <f>INDEX(Base_Gestran!$C$2:$C$5481,MATCH(LARGE(Base_Gestran!$N$2:$N$5481,3),Base_Gestran!$N$2:$N$5481,0))</f>
        <v>ALMOXARIFADO 9- LOGÍSTICA</v>
      </c>
      <c r="D17" s="21">
        <f>INDEX(Base_Gestran!$E$2:$E$5481,MATCH(LARGE(Base_Gestran!$N$2:$N$5481,3),Base_Gestran!$N$2:$N$5481,0))</f>
        <v>12263.52</v>
      </c>
      <c r="E17" s="46">
        <f>INDEX(Base_Gestran!$J$2:$J$5481,MATCH(LARGE(Base_Gestran!$N$2:$N$5481,3),Base_Gestran!$N$2:$N$5481,0))</f>
        <v>241713.9792</v>
      </c>
    </row>
    <row r="18" spans="1:5">
      <c r="A18" s="21">
        <v>4</v>
      </c>
      <c r="B18" s="21" t="str">
        <f>INDEX(Base_Gestran!$A$2:$A$5481,MATCH(LARGE(Base_Gestran!$N$2:$N$5481,4),Base_Gestran!$N$2:$N$5481,0))</f>
        <v>ROLAMENTO 6004ZE MARCA NACHI</v>
      </c>
      <c r="C18" s="21" t="str">
        <f>INDEX(Base_Gestran!$C$2:$C$5481,MATCH(LARGE(Base_Gestran!$N$2:$N$5481,4),Base_Gestran!$N$2:$N$5481,0))</f>
        <v>ALMOXARIFADO</v>
      </c>
      <c r="D18" s="21">
        <f>INDEX(Base_Gestran!$E$2:$E$5481,MATCH(LARGE(Base_Gestran!$N$2:$N$5481,4),Base_Gestran!$N$2:$N$5481,0))</f>
        <v>3000</v>
      </c>
      <c r="E18" s="46">
        <f>INDEX(Base_Gestran!$J$2:$J$5481,MATCH(LARGE(Base_Gestran!$N$2:$N$5481,4),Base_Gestran!$N$2:$N$5481,0))</f>
        <v>135000</v>
      </c>
    </row>
    <row r="19" spans="1:5">
      <c r="A19" s="21">
        <v>5</v>
      </c>
      <c r="B19" s="21" t="str">
        <f>INDEX(Base_Gestran!$A$2:$A$5481,MATCH(LARGE(Base_Gestran!$N$2:$N$5481,5),Base_Gestran!$N$2:$N$5481,0))</f>
        <v>CX CV 25KG FUNDO</v>
      </c>
      <c r="C19" s="21" t="str">
        <f>INDEX(Base_Gestran!$C$2:$C$5481,MATCH(LARGE(Base_Gestran!$N$2:$N$5481,5),Base_Gestran!$N$2:$N$5481,0))</f>
        <v>ALMOXARIFADO 7- INDUSTRIA</v>
      </c>
      <c r="D19" s="21">
        <f>INDEX(Base_Gestran!$E$2:$E$5481,MATCH(LARGE(Base_Gestran!$N$2:$N$5481,5),Base_Gestran!$N$2:$N$5481,0))</f>
        <v>20966</v>
      </c>
      <c r="E19" s="46">
        <f>INDEX(Base_Gestran!$J$2:$J$5481,MATCH(LARGE(Base_Gestran!$N$2:$N$5481,5),Base_Gestran!$N$2:$N$5481,0))</f>
        <v>96443.6</v>
      </c>
    </row>
    <row r="20" spans="1:5">
      <c r="A20" s="21">
        <v>6</v>
      </c>
      <c r="B20" s="21" t="str">
        <f>INDEX(Base_Gestran!$A$2:$A$5481,MATCH(LARGE(Base_Gestran!$N$2:$N$5481,6),Base_Gestran!$N$2:$N$5481,0))</f>
        <v>CX CV 15KG FUNDO</v>
      </c>
      <c r="C20" s="21" t="str">
        <f>INDEX(Base_Gestran!$C$2:$C$5481,MATCH(LARGE(Base_Gestran!$N$2:$N$5481,6),Base_Gestran!$N$2:$N$5481,0))</f>
        <v>ALMOXARIFADO 7- INDUSTRIA</v>
      </c>
      <c r="D20" s="21">
        <f>INDEX(Base_Gestran!$E$2:$E$5481,MATCH(LARGE(Base_Gestran!$N$2:$N$5481,6),Base_Gestran!$N$2:$N$5481,0))</f>
        <v>15781</v>
      </c>
      <c r="E20" s="46">
        <f>INDEX(Base_Gestran!$J$2:$J$5481,MATCH(LARGE(Base_Gestran!$N$2:$N$5481,6),Base_Gestran!$N$2:$N$5481,0))</f>
        <v>64859.91</v>
      </c>
    </row>
    <row r="21" spans="1:5">
      <c r="A21" s="21">
        <v>7</v>
      </c>
      <c r="B21" s="21" t="str">
        <f>INDEX(Base_Gestran!$A$2:$A$5481,MATCH(LARGE(Base_Gestran!$N$2:$N$5481,7),Base_Gestran!$N$2:$N$5481,0))</f>
        <v>ETIQUETA PERSONALIZADA - INTERNO BOIBOM</v>
      </c>
      <c r="C21" s="21" t="str">
        <f>INDEX(Base_Gestran!$C$2:$C$5481,MATCH(LARGE(Base_Gestran!$N$2:$N$5481,7),Base_Gestran!$N$2:$N$5481,0))</f>
        <v>ALMOXARIFADO 7- INDUSTRIA</v>
      </c>
      <c r="D21" s="21">
        <f>INDEX(Base_Gestran!$E$2:$E$5481,MATCH(LARGE(Base_Gestran!$N$2:$N$5481,7),Base_Gestran!$N$2:$N$5481,0))</f>
        <v>788000</v>
      </c>
      <c r="E21" s="46">
        <f>INDEX(Base_Gestran!$J$2:$J$5481,MATCH(LARGE(Base_Gestran!$N$2:$N$5481,7),Base_Gestran!$N$2:$N$5481,0))</f>
        <v>63040</v>
      </c>
    </row>
    <row r="22" spans="1:5">
      <c r="A22" s="21">
        <v>8</v>
      </c>
      <c r="B22" s="21" t="str">
        <f>INDEX(Base_Gestran!$A$2:$A$5481,MATCH(LARGE(Base_Gestran!$N$2:$N$5481,8),Base_Gestran!$N$2:$N$5481,0))</f>
        <v>CX CV 15KG TAMPA</v>
      </c>
      <c r="C22" s="21" t="str">
        <f>INDEX(Base_Gestran!$C$2:$C$5481,MATCH(LARGE(Base_Gestran!$N$2:$N$5481,8),Base_Gestran!$N$2:$N$5481,0))</f>
        <v>ALMOXARIFADO 7- INDUSTRIA</v>
      </c>
      <c r="D22" s="21">
        <f>INDEX(Base_Gestran!$E$2:$E$5481,MATCH(LARGE(Base_Gestran!$N$2:$N$5481,8),Base_Gestran!$N$2:$N$5481,0))</f>
        <v>13269</v>
      </c>
      <c r="E22" s="46">
        <f>INDEX(Base_Gestran!$J$2:$J$5481,MATCH(LARGE(Base_Gestran!$N$2:$N$5481,8),Base_Gestran!$N$2:$N$5481,0))</f>
        <v>63027.75</v>
      </c>
    </row>
    <row r="23" spans="1:5">
      <c r="A23" s="21">
        <v>9</v>
      </c>
      <c r="B23" s="21" t="str">
        <f>INDEX(Base_Gestran!$A$2:$A$5481,MATCH(LARGE(Base_Gestran!$N$2:$N$5481,9),Base_Gestran!$N$2:$N$5481,0))</f>
        <v>CX CV 25KG TAMPA</v>
      </c>
      <c r="C23" s="21" t="str">
        <f>INDEX(Base_Gestran!$C$2:$C$5481,MATCH(LARGE(Base_Gestran!$N$2:$N$5481,9),Base_Gestran!$N$2:$N$5481,0))</f>
        <v>ALMOXARIFADO 7- INDUSTRIA</v>
      </c>
      <c r="D23" s="21">
        <f>INDEX(Base_Gestran!$E$2:$E$5481,MATCH(LARGE(Base_Gestran!$N$2:$N$5481,9),Base_Gestran!$N$2:$N$5481,0))</f>
        <v>12961</v>
      </c>
      <c r="E23" s="46">
        <f>INDEX(Base_Gestran!$J$2:$J$5481,MATCH(LARGE(Base_Gestran!$N$2:$N$5481,9),Base_Gestran!$N$2:$N$5481,0))</f>
        <v>55732.3</v>
      </c>
    </row>
    <row r="24" spans="1:5">
      <c r="A24" s="21">
        <v>10</v>
      </c>
      <c r="B24" s="21" t="str">
        <f>INDEX(Base_Gestran!$A$2:$A$5481,MATCH(LARGE(Base_Gestran!$N$2:$N$5481,10),Base_Gestran!$N$2:$N$5481,0))</f>
        <v>FLUIDO REF R404A HP62 ONU 3337 </v>
      </c>
      <c r="C24" s="21" t="str">
        <f>INDEX(Base_Gestran!$C$2:$C$5481,MATCH(LARGE(Base_Gestran!$N$2:$N$5481,10),Base_Gestran!$N$2:$N$5481,0))</f>
        <v>ALMOXARIFADO 0- GERAL</v>
      </c>
      <c r="D24" s="21">
        <f>INDEX(Base_Gestran!$E$2:$E$5481,MATCH(LARGE(Base_Gestran!$N$2:$N$5481,10),Base_Gestran!$N$2:$N$5481,0))</f>
        <v>501.4</v>
      </c>
      <c r="E24" s="46">
        <f>INDEX(Base_Gestran!$J$2:$J$5481,MATCH(LARGE(Base_Gestran!$N$2:$N$5481,10),Base_Gestran!$N$2:$N$5481,0))</f>
        <v>42027.348</v>
      </c>
    </row>
    <row r="25" spans="1:5">
      <c r="A25" s="21">
        <v>11</v>
      </c>
      <c r="B25" s="21" t="str">
        <f>INDEX(Base_Gestran!$A$2:$A$5481,MATCH(LARGE(Base_Gestran!$N$2:$N$5481,11),Base_Gestran!$N$2:$N$5481,0))</f>
        <v>FLUIDO REF R404A HP62 ONU 3337 </v>
      </c>
      <c r="C25" s="21" t="str">
        <f>INDEX(Base_Gestran!$C$2:$C$5481,MATCH(LARGE(Base_Gestran!$N$2:$N$5481,11),Base_Gestran!$N$2:$N$5481,0))</f>
        <v>ALMOXARIFADO 1-  MANUTENCAO TRANSPORTE</v>
      </c>
      <c r="D25" s="21">
        <f>INDEX(Base_Gestran!$E$2:$E$5481,MATCH(LARGE(Base_Gestran!$N$2:$N$5481,11),Base_Gestran!$N$2:$N$5481,0))</f>
        <v>468.3</v>
      </c>
      <c r="E25" s="46">
        <f>INDEX(Base_Gestran!$J$2:$J$5481,MATCH(LARGE(Base_Gestran!$N$2:$N$5481,11),Base_Gestran!$N$2:$N$5481,0))</f>
        <v>39529.203</v>
      </c>
    </row>
    <row r="26" spans="1:5">
      <c r="A26" s="21">
        <v>12</v>
      </c>
      <c r="B26" s="21" t="str">
        <f>INDEX(Base_Gestran!$A$2:$A$5481,MATCH(LARGE(Base_Gestran!$N$2:$N$5481,12),Base_Gestran!$N$2:$N$5481,0))</f>
        <v>PAPEL TOALHA BOBINA 6X20X200</v>
      </c>
      <c r="C26" s="21" t="str">
        <f>INDEX(Base_Gestran!$C$2:$C$5481,MATCH(LARGE(Base_Gestran!$N$2:$N$5481,12),Base_Gestran!$N$2:$N$5481,0))</f>
        <v>ALMOXARIFADO 5- LIMPEZA</v>
      </c>
      <c r="D26" s="21">
        <f>INDEX(Base_Gestran!$E$2:$E$5481,MATCH(LARGE(Base_Gestran!$N$2:$N$5481,12),Base_Gestran!$N$2:$N$5481,0))</f>
        <v>1044</v>
      </c>
      <c r="E26" s="46">
        <f>INDEX(Base_Gestran!$J$2:$J$5481,MATCH(LARGE(Base_Gestran!$N$2:$N$5481,12),Base_Gestran!$N$2:$N$5481,0))</f>
        <v>29764.44</v>
      </c>
    </row>
    <row r="27" spans="1:5">
      <c r="A27" s="21">
        <v>13</v>
      </c>
      <c r="B27" s="21" t="str">
        <f>INDEX(Base_Gestran!$A$2:$A$5481,MATCH(LARGE(Base_Gestran!$N$2:$N$5481,13),Base_Gestran!$N$2:$N$5481,0))</f>
        <v>BOPP BRANCO FOSCO FASSON S 2045 90MTS ZEBRA</v>
      </c>
      <c r="C27" s="21" t="str">
        <f>INDEX(Base_Gestran!$C$2:$C$5481,MATCH(LARGE(Base_Gestran!$N$2:$N$5481,13),Base_Gestran!$N$2:$N$5481,0))</f>
        <v>ALMOXARIFADO 9- LOGÍSTICA</v>
      </c>
      <c r="D27" s="21">
        <f>INDEX(Base_Gestran!$E$2:$E$5481,MATCH(LARGE(Base_Gestran!$N$2:$N$5481,13),Base_Gestran!$N$2:$N$5481,0))</f>
        <v>329</v>
      </c>
      <c r="E27" s="46">
        <f>INDEX(Base_Gestran!$J$2:$J$5481,MATCH(LARGE(Base_Gestran!$N$2:$N$5481,13),Base_Gestran!$N$2:$N$5481,0))</f>
        <v>29100.05</v>
      </c>
    </row>
    <row r="28" spans="1:5">
      <c r="A28" s="21">
        <v>14</v>
      </c>
      <c r="B28" s="21" t="str">
        <f>INDEX(Base_Gestran!$A$2:$A$5481,MATCH(LARGE(Base_Gestran!$N$2:$N$5481,14),Base_Gestran!$N$2:$N$5481,0))</f>
        <v>SCS PLAST LISO NAT 20X51</v>
      </c>
      <c r="C28" s="21" t="str">
        <f>INDEX(Base_Gestran!$C$2:$C$5481,MATCH(LARGE(Base_Gestran!$N$2:$N$5481,14),Base_Gestran!$N$2:$N$5481,0))</f>
        <v>ALMOXARIFADO 7- INDUSTRIA</v>
      </c>
      <c r="D28" s="21">
        <f>INDEX(Base_Gestran!$E$2:$E$5481,MATCH(LARGE(Base_Gestran!$N$2:$N$5481,14),Base_Gestran!$N$2:$N$5481,0))</f>
        <v>142.6</v>
      </c>
      <c r="E28" s="46">
        <f>INDEX(Base_Gestran!$J$2:$J$5481,MATCH(LARGE(Base_Gestran!$N$2:$N$5481,14),Base_Gestran!$N$2:$N$5481,0))</f>
        <v>25409.894</v>
      </c>
    </row>
    <row r="29" spans="1:5">
      <c r="A29" s="21">
        <v>15</v>
      </c>
      <c r="B29" s="21" t="str">
        <f>INDEX(Base_Gestran!$A$2:$A$5481,MATCH(LARGE(Base_Gestran!$N$2:$N$5481,15),Base_Gestran!$N$2:$N$5481,0))</f>
        <v>LAVADORA A260 N/SERIE: 30201444</v>
      </c>
      <c r="C29" s="21" t="str">
        <f>INDEX(Base_Gestran!$C$2:$C$5481,MATCH(LARGE(Base_Gestran!$N$2:$N$5481,15),Base_Gestran!$N$2:$N$5481,0))</f>
        <v>ALMOXARIFADO 2- MANUTENCAO PREDIAL</v>
      </c>
      <c r="D29" s="21">
        <f>INDEX(Base_Gestran!$E$2:$E$5481,MATCH(LARGE(Base_Gestran!$N$2:$N$5481,15),Base_Gestran!$N$2:$N$5481,0))</f>
        <v>1</v>
      </c>
      <c r="E29" s="46">
        <f>INDEX(Base_Gestran!$J$2:$J$5481,MATCH(LARGE(Base_Gestran!$N$2:$N$5481,15),Base_Gestran!$N$2:$N$5481,0))</f>
        <v>25000</v>
      </c>
    </row>
    <row r="30" spans="1:5">
      <c r="A30" s="21">
        <v>16</v>
      </c>
      <c r="B30" s="21" t="str">
        <f>INDEX(Base_Gestran!$A$2:$A$5481,MATCH(LARGE(Base_Gestran!$N$2:$N$5481,16),Base_Gestran!$N$2:$N$5481,0))</f>
        <v>OLEO M-DELVAC MODERN 15W40 SD V3 MARCA M-DELVAC</v>
      </c>
      <c r="C30" s="21" t="str">
        <f>INDEX(Base_Gestran!$C$2:$C$5481,MATCH(LARGE(Base_Gestran!$N$2:$N$5481,16),Base_Gestran!$N$2:$N$5481,0))</f>
        <v>ALMOXARIFADO 1-  MANUTENCAO TRANSPORTE</v>
      </c>
      <c r="D30" s="21">
        <f>INDEX(Base_Gestran!$E$2:$E$5481,MATCH(LARGE(Base_Gestran!$N$2:$N$5481,16),Base_Gestran!$N$2:$N$5481,0))</f>
        <v>1200</v>
      </c>
      <c r="E30" s="46">
        <f>INDEX(Base_Gestran!$J$2:$J$5481,MATCH(LARGE(Base_Gestran!$N$2:$N$5481,16),Base_Gestran!$N$2:$N$5481,0))</f>
        <v>22920</v>
      </c>
    </row>
    <row r="31" spans="1:5">
      <c r="A31" s="21">
        <v>17</v>
      </c>
      <c r="B31" s="21" t="str">
        <f>INDEX(Base_Gestran!$A$2:$A$5481,MATCH(LARGE(Base_Gestran!$N$2:$N$5481,17),Base_Gestran!$N$2:$N$5481,0))</f>
        <v>ADITIVO DE RADIADOR</v>
      </c>
      <c r="C31" s="21" t="str">
        <f>INDEX(Base_Gestran!$C$2:$C$5481,MATCH(LARGE(Base_Gestran!$N$2:$N$5481,17),Base_Gestran!$N$2:$N$5481,0))</f>
        <v>ALMOXARIFADO 1-  MANUTENCAO TRANSPORTE</v>
      </c>
      <c r="D31" s="21">
        <f>INDEX(Base_Gestran!$E$2:$E$5481,MATCH(LARGE(Base_Gestran!$N$2:$N$5481,17),Base_Gestran!$N$2:$N$5481,0))</f>
        <v>1240</v>
      </c>
      <c r="E31" s="46">
        <f>INDEX(Base_Gestran!$J$2:$J$5481,MATCH(LARGE(Base_Gestran!$N$2:$N$5481,17),Base_Gestran!$N$2:$N$5481,0))</f>
        <v>19616.8</v>
      </c>
    </row>
    <row r="32" spans="1:5">
      <c r="A32" s="21">
        <v>18</v>
      </c>
      <c r="B32" s="21" t="str">
        <f>INDEX(Base_Gestran!$A$2:$A$5481,MATCH(LARGE(Base_Gestran!$N$2:$N$5481,18),Base_Gestran!$N$2:$N$5481,0))</f>
        <v>ANEL CAMBIO FSO 4505A (ACCELO 1016)</v>
      </c>
      <c r="C32" s="21" t="str">
        <f>INDEX(Base_Gestran!$C$2:$C$5481,MATCH(LARGE(Base_Gestran!$N$2:$N$5481,18),Base_Gestran!$N$2:$N$5481,0))</f>
        <v>ALMOXARIFADO</v>
      </c>
      <c r="D32" s="21">
        <f>INDEX(Base_Gestran!$E$2:$E$5481,MATCH(LARGE(Base_Gestran!$N$2:$N$5481,18),Base_Gestran!$N$2:$N$5481,0))</f>
        <v>1</v>
      </c>
      <c r="E32" s="46">
        <f>INDEX(Base_Gestran!$J$2:$J$5481,MATCH(LARGE(Base_Gestran!$N$2:$N$5481,18),Base_Gestran!$N$2:$N$5481,0))</f>
        <v>19000</v>
      </c>
    </row>
    <row r="33" spans="1:5">
      <c r="A33" s="21">
        <v>19</v>
      </c>
      <c r="B33" s="21" t="str">
        <f>INDEX(Base_Gestran!$A$2:$A$5481,MATCH(LARGE(Base_Gestran!$N$2:$N$5481,19),Base_Gestran!$N$2:$N$5481,0))</f>
        <v>CX CV 25KG TAMPA</v>
      </c>
      <c r="C33" s="21" t="str">
        <f>INDEX(Base_Gestran!$C$2:$C$5481,MATCH(LARGE(Base_Gestran!$N$2:$N$5481,19),Base_Gestran!$N$2:$N$5481,0))</f>
        <v>ALMOXARIFADO 9- LOGÍSTICA</v>
      </c>
      <c r="D33" s="21">
        <f>INDEX(Base_Gestran!$E$2:$E$5481,MATCH(LARGE(Base_Gestran!$N$2:$N$5481,19),Base_Gestran!$N$2:$N$5481,0))</f>
        <v>4275</v>
      </c>
      <c r="E33" s="46">
        <f>INDEX(Base_Gestran!$J$2:$J$5481,MATCH(LARGE(Base_Gestran!$N$2:$N$5481,19),Base_Gestran!$N$2:$N$5481,0))</f>
        <v>18596.25</v>
      </c>
    </row>
    <row r="34" spans="1:5">
      <c r="A34" s="21">
        <v>20</v>
      </c>
      <c r="B34" s="21" t="str">
        <f>INDEX(Base_Gestran!$A$2:$A$5481,MATCH(LARGE(Base_Gestran!$N$2:$N$5481,20),Base_Gestran!$N$2:$N$5481,0))</f>
        <v>SCS PLAST TR PR LISO 43 x 70</v>
      </c>
      <c r="C34" s="21" t="str">
        <f>INDEX(Base_Gestran!$C$2:$C$5481,MATCH(LARGE(Base_Gestran!$N$2:$N$5481,20),Base_Gestran!$N$2:$N$5481,0))</f>
        <v>ALMOXARIFADO 7- INDUSTRIA</v>
      </c>
      <c r="D34" s="21">
        <f>INDEX(Base_Gestran!$E$2:$E$5481,MATCH(LARGE(Base_Gestran!$N$2:$N$5481,20),Base_Gestran!$N$2:$N$5481,0))</f>
        <v>44.8</v>
      </c>
      <c r="E34" s="46">
        <f>INDEX(Base_Gestran!$J$2:$J$5481,MATCH(LARGE(Base_Gestran!$N$2:$N$5481,20),Base_Gestran!$N$2:$N$5481,0))</f>
        <v>18012.736</v>
      </c>
    </row>
    <row r="36" spans="1:1">
      <c r="A36" s="28" t="s">
        <v>137</v>
      </c>
    </row>
    <row r="38" ht="15.75" spans="1:1">
      <c r="A38" s="47" t="s">
        <v>138</v>
      </c>
    </row>
    <row r="39" ht="27.75" customHeight="1" spans="1:5">
      <c r="A39" s="48"/>
      <c r="B39" s="48"/>
      <c r="C39" s="48"/>
      <c r="D39" s="48"/>
      <c r="E39" s="48"/>
    </row>
    <row r="40" ht="27.75" customHeight="1" spans="1:5">
      <c r="A40" s="48"/>
      <c r="B40" s="48"/>
      <c r="C40" s="48"/>
      <c r="D40" s="48"/>
      <c r="E40" s="48"/>
    </row>
    <row r="41" ht="27.75" customHeight="1" spans="1:5">
      <c r="A41" s="48"/>
      <c r="B41" s="48"/>
      <c r="C41" s="48"/>
      <c r="D41" s="48"/>
      <c r="E41" s="48"/>
    </row>
    <row r="42" ht="27.75" customHeight="1" spans="1:5">
      <c r="A42" s="48"/>
      <c r="B42" s="48"/>
      <c r="C42" s="48"/>
      <c r="D42" s="48"/>
      <c r="E42" s="48"/>
    </row>
    <row r="43" ht="27.75" customHeight="1" spans="1:5">
      <c r="A43" s="48"/>
      <c r="B43" s="48"/>
      <c r="C43" s="48"/>
      <c r="D43" s="48"/>
      <c r="E43" s="48"/>
    </row>
  </sheetData>
  <mergeCells count="6">
    <mergeCell ref="A13:E13"/>
    <mergeCell ref="A39:E39"/>
    <mergeCell ref="A40:E40"/>
    <mergeCell ref="A41:E41"/>
    <mergeCell ref="A42:E42"/>
    <mergeCell ref="A43:E4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0"/>
  <sheetViews>
    <sheetView workbookViewId="0">
      <pane ySplit="5" topLeftCell="A87" activePane="bottomLeft" state="frozen"/>
      <selection/>
      <selection pane="bottomLeft" activeCell="A84" sqref="A84"/>
    </sheetView>
  </sheetViews>
  <sheetFormatPr defaultColWidth="8.67619047619048" defaultRowHeight="15" outlineLevelCol="6"/>
  <cols>
    <col min="1" max="1" width="42" customWidth="1"/>
    <col min="2" max="2" width="26" customWidth="1"/>
    <col min="3" max="3" width="16" customWidth="1"/>
    <col min="4" max="4" width="12" customWidth="1"/>
    <col min="6" max="6" width="60.7142857142857" customWidth="1"/>
  </cols>
  <sheetData>
    <row r="1" ht="17.25" customHeight="1" spans="1:7">
      <c r="A1" s="25" t="s">
        <v>139</v>
      </c>
      <c r="B1" s="25"/>
      <c r="C1" s="25"/>
      <c r="D1" s="25"/>
      <c r="F1" s="26" t="s">
        <v>140</v>
      </c>
      <c r="G1" s="27">
        <f>(MAX($C$6:$C$5000)-MIN($C$6:$C$5000))/7</f>
        <v>36.3416071428572</v>
      </c>
    </row>
    <row r="2" ht="27.75" customHeight="1" spans="1:6">
      <c r="A2" s="28" t="s">
        <v>141</v>
      </c>
      <c r="F2" s="29" t="s">
        <v>142</v>
      </c>
    </row>
    <row r="4" ht="27.75" customHeight="1" spans="1:4">
      <c r="A4" s="30" t="s">
        <v>143</v>
      </c>
      <c r="B4" s="30" t="s">
        <v>144</v>
      </c>
      <c r="C4" s="30" t="s">
        <v>145</v>
      </c>
      <c r="D4" s="30" t="s">
        <v>146</v>
      </c>
    </row>
    <row r="5" spans="1:4">
      <c r="A5" s="31" t="s">
        <v>147</v>
      </c>
      <c r="B5" s="31" t="s">
        <v>26</v>
      </c>
      <c r="C5" s="32" t="s">
        <v>148</v>
      </c>
      <c r="D5" s="31">
        <v>2</v>
      </c>
    </row>
    <row r="6" spans="1:4">
      <c r="A6" s="33" t="s">
        <v>25</v>
      </c>
      <c r="B6" s="33" t="s">
        <v>26</v>
      </c>
      <c r="C6" s="34">
        <v>46029.3936226852</v>
      </c>
      <c r="D6" s="33">
        <v>1</v>
      </c>
    </row>
    <row r="7" spans="1:4">
      <c r="A7" s="33" t="s">
        <v>25</v>
      </c>
      <c r="B7" s="33" t="s">
        <v>26</v>
      </c>
      <c r="C7" s="34">
        <v>46029.3949884259</v>
      </c>
      <c r="D7" s="33">
        <v>1</v>
      </c>
    </row>
    <row r="8" spans="1:4">
      <c r="A8" s="33" t="s">
        <v>149</v>
      </c>
      <c r="B8" s="33" t="s">
        <v>26</v>
      </c>
      <c r="C8" s="34">
        <v>46029.395</v>
      </c>
      <c r="D8" s="33">
        <v>1</v>
      </c>
    </row>
    <row r="9" spans="1:4">
      <c r="A9" s="33" t="s">
        <v>150</v>
      </c>
      <c r="B9" s="33" t="s">
        <v>26</v>
      </c>
      <c r="C9" s="34">
        <v>46029.3995138889</v>
      </c>
      <c r="D9" s="33">
        <v>1</v>
      </c>
    </row>
    <row r="10" spans="1:4">
      <c r="A10" s="33" t="s">
        <v>151</v>
      </c>
      <c r="B10" s="33" t="s">
        <v>26</v>
      </c>
      <c r="C10" s="34">
        <v>46029.399525463</v>
      </c>
      <c r="D10" s="33">
        <v>1</v>
      </c>
    </row>
    <row r="11" spans="1:4">
      <c r="A11" s="33" t="s">
        <v>149</v>
      </c>
      <c r="B11" s="33" t="s">
        <v>26</v>
      </c>
      <c r="C11" s="34">
        <v>46029.4004282407</v>
      </c>
      <c r="D11" s="33">
        <v>1</v>
      </c>
    </row>
    <row r="12" spans="1:4">
      <c r="A12" s="33" t="s">
        <v>25</v>
      </c>
      <c r="B12" s="33" t="s">
        <v>26</v>
      </c>
      <c r="C12" s="34">
        <v>46029.4034375</v>
      </c>
      <c r="D12" s="33">
        <v>1</v>
      </c>
    </row>
    <row r="13" spans="1:4">
      <c r="A13" s="33" t="s">
        <v>27</v>
      </c>
      <c r="B13" s="33" t="s">
        <v>26</v>
      </c>
      <c r="C13" s="34">
        <v>46029.4039814815</v>
      </c>
      <c r="D13" s="33">
        <v>1</v>
      </c>
    </row>
    <row r="14" spans="1:4">
      <c r="A14" s="33" t="s">
        <v>152</v>
      </c>
      <c r="B14" s="33" t="s">
        <v>26</v>
      </c>
      <c r="C14" s="34">
        <v>46029.4047569444</v>
      </c>
      <c r="D14" s="33">
        <v>1</v>
      </c>
    </row>
    <row r="15" spans="1:4">
      <c r="A15" s="33" t="s">
        <v>153</v>
      </c>
      <c r="B15" s="33" t="s">
        <v>26</v>
      </c>
      <c r="C15" s="34">
        <v>46029.4065856482</v>
      </c>
      <c r="D15" s="33">
        <v>1</v>
      </c>
    </row>
    <row r="16" spans="1:4">
      <c r="A16" s="33" t="s">
        <v>154</v>
      </c>
      <c r="B16" s="33" t="s">
        <v>26</v>
      </c>
      <c r="C16" s="34">
        <v>46029.4065972222</v>
      </c>
      <c r="D16" s="33">
        <v>1</v>
      </c>
    </row>
    <row r="17" spans="1:4">
      <c r="A17" s="33" t="s">
        <v>149</v>
      </c>
      <c r="B17" s="33" t="s">
        <v>26</v>
      </c>
      <c r="C17" s="34">
        <v>46029.4156712963</v>
      </c>
      <c r="D17" s="33">
        <v>1</v>
      </c>
    </row>
    <row r="18" spans="1:4">
      <c r="A18" s="33" t="s">
        <v>27</v>
      </c>
      <c r="B18" s="33" t="s">
        <v>26</v>
      </c>
      <c r="C18" s="34">
        <v>46029.41625</v>
      </c>
      <c r="D18" s="33">
        <v>1</v>
      </c>
    </row>
    <row r="19" spans="1:4">
      <c r="A19" s="33" t="s">
        <v>155</v>
      </c>
      <c r="B19" s="33" t="s">
        <v>26</v>
      </c>
      <c r="C19" s="34">
        <v>46029.4162615741</v>
      </c>
      <c r="D19" s="33">
        <v>1</v>
      </c>
    </row>
    <row r="20" spans="1:4">
      <c r="A20" s="33" t="s">
        <v>155</v>
      </c>
      <c r="B20" s="33" t="s">
        <v>26</v>
      </c>
      <c r="C20" s="34">
        <v>46029.4173148148</v>
      </c>
      <c r="D20" s="33">
        <v>1</v>
      </c>
    </row>
    <row r="21" spans="1:4">
      <c r="A21" s="33" t="s">
        <v>149</v>
      </c>
      <c r="B21" s="33" t="s">
        <v>26</v>
      </c>
      <c r="C21" s="34">
        <v>46029.4179166667</v>
      </c>
      <c r="D21" s="33">
        <v>1</v>
      </c>
    </row>
    <row r="22" spans="1:4">
      <c r="A22" s="33" t="s">
        <v>49</v>
      </c>
      <c r="B22" s="33" t="s">
        <v>35</v>
      </c>
      <c r="C22" s="34">
        <v>46029.4184837963</v>
      </c>
      <c r="D22" s="33">
        <v>1</v>
      </c>
    </row>
    <row r="23" spans="1:4">
      <c r="A23" s="33" t="s">
        <v>156</v>
      </c>
      <c r="B23" s="33" t="s">
        <v>35</v>
      </c>
      <c r="C23" s="34">
        <v>46029.4184953704</v>
      </c>
      <c r="D23" s="33">
        <v>1</v>
      </c>
    </row>
    <row r="24" spans="1:4">
      <c r="A24" s="33" t="s">
        <v>157</v>
      </c>
      <c r="B24" s="33" t="s">
        <v>35</v>
      </c>
      <c r="C24" s="34">
        <v>46029.4185069444</v>
      </c>
      <c r="D24" s="33">
        <v>1</v>
      </c>
    </row>
    <row r="25" spans="1:4">
      <c r="A25" s="33" t="s">
        <v>158</v>
      </c>
      <c r="B25" s="33" t="s">
        <v>35</v>
      </c>
      <c r="C25" s="34">
        <v>46029.4185185185</v>
      </c>
      <c r="D25" s="33">
        <v>1</v>
      </c>
    </row>
    <row r="26" spans="1:4">
      <c r="A26" s="33" t="s">
        <v>159</v>
      </c>
      <c r="B26" s="33" t="s">
        <v>26</v>
      </c>
      <c r="C26" s="34">
        <v>46029.434212963</v>
      </c>
      <c r="D26" s="33">
        <v>1</v>
      </c>
    </row>
    <row r="27" spans="1:4">
      <c r="A27" s="33" t="s">
        <v>160</v>
      </c>
      <c r="B27" s="33" t="s">
        <v>26</v>
      </c>
      <c r="C27" s="34">
        <v>46029.4347453704</v>
      </c>
      <c r="D27" s="33">
        <v>1</v>
      </c>
    </row>
    <row r="28" spans="1:4">
      <c r="A28" s="33" t="s">
        <v>29</v>
      </c>
      <c r="B28" s="33" t="s">
        <v>26</v>
      </c>
      <c r="C28" s="34">
        <v>46029.5600810185</v>
      </c>
      <c r="D28" s="33">
        <v>1</v>
      </c>
    </row>
    <row r="29" spans="1:4">
      <c r="A29" s="33" t="s">
        <v>161</v>
      </c>
      <c r="B29" s="33" t="s">
        <v>26</v>
      </c>
      <c r="C29" s="34">
        <v>46029.5624537037</v>
      </c>
      <c r="D29" s="33">
        <v>1</v>
      </c>
    </row>
    <row r="30" spans="1:4">
      <c r="A30" s="33" t="s">
        <v>162</v>
      </c>
      <c r="B30" s="33" t="s">
        <v>26</v>
      </c>
      <c r="C30" s="34">
        <v>46029.5632523148</v>
      </c>
      <c r="D30" s="33">
        <v>1</v>
      </c>
    </row>
    <row r="31" spans="1:4">
      <c r="A31" s="33" t="s">
        <v>154</v>
      </c>
      <c r="B31" s="33" t="s">
        <v>26</v>
      </c>
      <c r="C31" s="34">
        <v>46029.5632638889</v>
      </c>
      <c r="D31" s="33">
        <v>1</v>
      </c>
    </row>
    <row r="32" spans="1:4">
      <c r="A32" s="33" t="s">
        <v>27</v>
      </c>
      <c r="B32" s="33" t="s">
        <v>26</v>
      </c>
      <c r="C32" s="34">
        <v>46029.5662268519</v>
      </c>
      <c r="D32" s="33">
        <v>1</v>
      </c>
    </row>
    <row r="33" spans="1:4">
      <c r="A33" s="33" t="s">
        <v>163</v>
      </c>
      <c r="B33" s="33" t="s">
        <v>26</v>
      </c>
      <c r="C33" s="34">
        <v>46029.5672800926</v>
      </c>
      <c r="D33" s="33">
        <v>1</v>
      </c>
    </row>
    <row r="34" spans="1:4">
      <c r="A34" s="33" t="s">
        <v>161</v>
      </c>
      <c r="B34" s="33" t="s">
        <v>26</v>
      </c>
      <c r="C34" s="34">
        <v>46029.5687615741</v>
      </c>
      <c r="D34" s="33">
        <v>1</v>
      </c>
    </row>
    <row r="35" spans="1:4">
      <c r="A35" s="33" t="s">
        <v>164</v>
      </c>
      <c r="B35" s="33" t="s">
        <v>35</v>
      </c>
      <c r="C35" s="34">
        <v>46029.5687731481</v>
      </c>
      <c r="D35" s="33">
        <v>1</v>
      </c>
    </row>
    <row r="36" spans="1:4">
      <c r="A36" s="33" t="s">
        <v>153</v>
      </c>
      <c r="B36" s="33" t="s">
        <v>26</v>
      </c>
      <c r="C36" s="34">
        <v>46029.5797685185</v>
      </c>
      <c r="D36" s="33">
        <v>1</v>
      </c>
    </row>
    <row r="37" spans="1:4">
      <c r="A37" s="33" t="s">
        <v>153</v>
      </c>
      <c r="B37" s="33" t="s">
        <v>26</v>
      </c>
      <c r="C37" s="34">
        <v>46029.5815972222</v>
      </c>
      <c r="D37" s="33">
        <v>1</v>
      </c>
    </row>
    <row r="38" spans="1:4">
      <c r="A38" s="33" t="s">
        <v>154</v>
      </c>
      <c r="B38" s="33" t="s">
        <v>26</v>
      </c>
      <c r="C38" s="34">
        <v>46029.5816087963</v>
      </c>
      <c r="D38" s="33">
        <v>1</v>
      </c>
    </row>
    <row r="39" spans="1:4">
      <c r="A39" s="33" t="s">
        <v>165</v>
      </c>
      <c r="B39" s="33" t="s">
        <v>35</v>
      </c>
      <c r="C39" s="34">
        <v>46036.3594444445</v>
      </c>
      <c r="D39" s="33">
        <v>1</v>
      </c>
    </row>
    <row r="40" spans="1:4">
      <c r="A40" s="33" t="s">
        <v>166</v>
      </c>
      <c r="B40" s="33" t="s">
        <v>35</v>
      </c>
      <c r="C40" s="34">
        <v>46036.3605555556</v>
      </c>
      <c r="D40" s="33">
        <v>1</v>
      </c>
    </row>
    <row r="41" spans="1:4">
      <c r="A41" s="33" t="s">
        <v>167</v>
      </c>
      <c r="B41" s="33" t="s">
        <v>26</v>
      </c>
      <c r="C41" s="34">
        <v>46036.3614814815</v>
      </c>
      <c r="D41" s="33">
        <v>1</v>
      </c>
    </row>
    <row r="42" spans="1:4">
      <c r="A42" s="33" t="s">
        <v>168</v>
      </c>
      <c r="B42" s="33" t="s">
        <v>26</v>
      </c>
      <c r="C42" s="34">
        <v>46036.3630324074</v>
      </c>
      <c r="D42" s="33">
        <v>1</v>
      </c>
    </row>
    <row r="43" spans="1:4">
      <c r="A43" s="33" t="s">
        <v>169</v>
      </c>
      <c r="B43" s="33" t="s">
        <v>26</v>
      </c>
      <c r="C43" s="34">
        <v>46036.4248842593</v>
      </c>
      <c r="D43" s="33">
        <v>1</v>
      </c>
    </row>
    <row r="44" spans="1:4">
      <c r="A44" s="33" t="s">
        <v>170</v>
      </c>
      <c r="B44" s="33" t="s">
        <v>26</v>
      </c>
      <c r="C44" s="34">
        <v>46037.4141782407</v>
      </c>
      <c r="D44" s="33">
        <v>1</v>
      </c>
    </row>
    <row r="45" spans="1:4">
      <c r="A45" s="33" t="s">
        <v>149</v>
      </c>
      <c r="B45" s="33" t="s">
        <v>26</v>
      </c>
      <c r="C45" s="34">
        <v>46037.414837963</v>
      </c>
      <c r="D45" s="33">
        <v>1</v>
      </c>
    </row>
    <row r="46" spans="1:4">
      <c r="A46" s="33" t="s">
        <v>27</v>
      </c>
      <c r="B46" s="33" t="s">
        <v>26</v>
      </c>
      <c r="C46" s="34">
        <v>46037.414849537</v>
      </c>
      <c r="D46" s="33">
        <v>1</v>
      </c>
    </row>
    <row r="47" spans="1:4">
      <c r="A47" s="33" t="s">
        <v>171</v>
      </c>
      <c r="B47" s="33" t="s">
        <v>26</v>
      </c>
      <c r="C47" s="34">
        <v>46037.4174189815</v>
      </c>
      <c r="D47" s="33">
        <v>1</v>
      </c>
    </row>
    <row r="48" spans="1:4">
      <c r="A48" s="33" t="s">
        <v>172</v>
      </c>
      <c r="B48" s="33" t="s">
        <v>26</v>
      </c>
      <c r="C48" s="34">
        <v>46037.4187615741</v>
      </c>
      <c r="D48" s="33">
        <v>1</v>
      </c>
    </row>
    <row r="49" spans="1:4">
      <c r="A49" s="33" t="s">
        <v>28</v>
      </c>
      <c r="B49" s="33" t="s">
        <v>26</v>
      </c>
      <c r="C49" s="34">
        <v>46037.4192592593</v>
      </c>
      <c r="D49" s="33">
        <v>1</v>
      </c>
    </row>
    <row r="50" spans="1:4">
      <c r="A50" s="33" t="s">
        <v>173</v>
      </c>
      <c r="B50" s="33" t="s">
        <v>26</v>
      </c>
      <c r="C50" s="34">
        <v>46037.419849537</v>
      </c>
      <c r="D50" s="33">
        <v>1</v>
      </c>
    </row>
    <row r="51" spans="1:4">
      <c r="A51" s="33" t="s">
        <v>174</v>
      </c>
      <c r="B51" s="33" t="s">
        <v>26</v>
      </c>
      <c r="C51" s="34">
        <v>46037.4209259259</v>
      </c>
      <c r="D51" s="33">
        <v>1</v>
      </c>
    </row>
    <row r="52" spans="1:4">
      <c r="A52" s="33" t="s">
        <v>175</v>
      </c>
      <c r="B52" s="33" t="s">
        <v>26</v>
      </c>
      <c r="C52" s="34">
        <v>46037.4219444445</v>
      </c>
      <c r="D52" s="33">
        <v>1</v>
      </c>
    </row>
    <row r="53" spans="1:4">
      <c r="A53" s="33" t="s">
        <v>27</v>
      </c>
      <c r="B53" s="33" t="s">
        <v>26</v>
      </c>
      <c r="C53" s="34">
        <v>46037.4230902778</v>
      </c>
      <c r="D53" s="33">
        <v>1</v>
      </c>
    </row>
    <row r="54" spans="1:4">
      <c r="A54" s="33" t="s">
        <v>25</v>
      </c>
      <c r="B54" s="33" t="s">
        <v>26</v>
      </c>
      <c r="C54" s="34">
        <v>46037.4235416667</v>
      </c>
      <c r="D54" s="33">
        <v>1</v>
      </c>
    </row>
    <row r="55" spans="1:4">
      <c r="A55" s="33" t="s">
        <v>27</v>
      </c>
      <c r="B55" s="33" t="s">
        <v>26</v>
      </c>
      <c r="C55" s="34">
        <v>46042.3894328704</v>
      </c>
      <c r="D55" s="33">
        <v>1</v>
      </c>
    </row>
    <row r="56" spans="1:4">
      <c r="A56" s="33" t="s">
        <v>171</v>
      </c>
      <c r="B56" s="33" t="s">
        <v>26</v>
      </c>
      <c r="C56" s="34">
        <v>46042.3899768519</v>
      </c>
      <c r="D56" s="33">
        <v>1</v>
      </c>
    </row>
    <row r="57" spans="1:4">
      <c r="A57" s="33" t="s">
        <v>27</v>
      </c>
      <c r="B57" s="33" t="s">
        <v>26</v>
      </c>
      <c r="C57" s="34">
        <v>46042.3912268519</v>
      </c>
      <c r="D57" s="33">
        <v>1</v>
      </c>
    </row>
    <row r="58" spans="1:4">
      <c r="A58" s="33" t="s">
        <v>149</v>
      </c>
      <c r="B58" s="33" t="s">
        <v>26</v>
      </c>
      <c r="C58" s="34">
        <v>46042.3917476852</v>
      </c>
      <c r="D58" s="33">
        <v>1</v>
      </c>
    </row>
    <row r="59" spans="1:4">
      <c r="A59" s="33" t="s">
        <v>27</v>
      </c>
      <c r="B59" s="33" t="s">
        <v>26</v>
      </c>
      <c r="C59" s="34">
        <v>46042.3917592593</v>
      </c>
      <c r="D59" s="33">
        <v>1</v>
      </c>
    </row>
    <row r="60" spans="1:4">
      <c r="A60" s="33" t="s">
        <v>152</v>
      </c>
      <c r="B60" s="33" t="s">
        <v>26</v>
      </c>
      <c r="C60" s="34">
        <v>46042.3917708333</v>
      </c>
      <c r="D60" s="33">
        <v>1</v>
      </c>
    </row>
    <row r="61" spans="1:4">
      <c r="A61" s="33" t="s">
        <v>169</v>
      </c>
      <c r="B61" s="33" t="s">
        <v>26</v>
      </c>
      <c r="C61" s="34">
        <v>46042.3933101852</v>
      </c>
      <c r="D61" s="33">
        <v>1</v>
      </c>
    </row>
    <row r="62" spans="1:4">
      <c r="A62" s="33" t="s">
        <v>176</v>
      </c>
      <c r="B62" s="33" t="s">
        <v>26</v>
      </c>
      <c r="C62" s="34">
        <v>46042.3933217593</v>
      </c>
      <c r="D62" s="33">
        <v>1</v>
      </c>
    </row>
    <row r="63" spans="1:4">
      <c r="A63" s="33" t="s">
        <v>177</v>
      </c>
      <c r="B63" s="33" t="s">
        <v>26</v>
      </c>
      <c r="C63" s="34">
        <v>46042.3933333333</v>
      </c>
      <c r="D63" s="33">
        <v>1</v>
      </c>
    </row>
    <row r="64" spans="1:4">
      <c r="A64" s="33" t="s">
        <v>178</v>
      </c>
      <c r="B64" s="33" t="s">
        <v>26</v>
      </c>
      <c r="C64" s="34">
        <v>46042.3933449074</v>
      </c>
      <c r="D64" s="33">
        <v>1</v>
      </c>
    </row>
    <row r="65" spans="1:4">
      <c r="A65" s="33" t="s">
        <v>179</v>
      </c>
      <c r="B65" s="33" t="s">
        <v>26</v>
      </c>
      <c r="C65" s="34">
        <v>46042.3933564815</v>
      </c>
      <c r="D65" s="33">
        <v>1</v>
      </c>
    </row>
    <row r="66" spans="1:4">
      <c r="A66" s="33" t="s">
        <v>180</v>
      </c>
      <c r="B66" s="33" t="s">
        <v>26</v>
      </c>
      <c r="C66" s="34">
        <v>46042.3933680556</v>
      </c>
      <c r="D66" s="33">
        <v>1</v>
      </c>
    </row>
    <row r="67" spans="1:4">
      <c r="A67" s="33" t="s">
        <v>181</v>
      </c>
      <c r="B67" s="33" t="s">
        <v>182</v>
      </c>
      <c r="C67" s="34">
        <v>46042.396712963</v>
      </c>
      <c r="D67" s="33">
        <v>50</v>
      </c>
    </row>
    <row r="68" spans="1:4">
      <c r="A68" s="33" t="s">
        <v>183</v>
      </c>
      <c r="B68" s="33" t="s">
        <v>26</v>
      </c>
      <c r="C68" s="34">
        <v>46042.397349537</v>
      </c>
      <c r="D68" s="33">
        <v>1</v>
      </c>
    </row>
    <row r="69" spans="1:4">
      <c r="A69" s="33" t="s">
        <v>181</v>
      </c>
      <c r="B69" s="33" t="s">
        <v>182</v>
      </c>
      <c r="C69" s="34">
        <v>46042.3979282407</v>
      </c>
      <c r="D69" s="33">
        <v>50</v>
      </c>
    </row>
    <row r="70" spans="1:4">
      <c r="A70" s="33" t="s">
        <v>184</v>
      </c>
      <c r="B70" s="33" t="s">
        <v>26</v>
      </c>
      <c r="C70" s="34">
        <v>46043.3469675926</v>
      </c>
      <c r="D70" s="33">
        <v>1</v>
      </c>
    </row>
    <row r="71" spans="1:4">
      <c r="A71" s="33" t="s">
        <v>67</v>
      </c>
      <c r="B71" s="33" t="s">
        <v>26</v>
      </c>
      <c r="C71" s="34">
        <v>46044.426875</v>
      </c>
      <c r="D71" s="33">
        <v>2</v>
      </c>
    </row>
    <row r="72" spans="1:4">
      <c r="A72" s="33" t="s">
        <v>185</v>
      </c>
      <c r="B72" s="33" t="s">
        <v>26</v>
      </c>
      <c r="C72" s="34">
        <v>46044.4277083333</v>
      </c>
      <c r="D72" s="33">
        <v>1</v>
      </c>
    </row>
    <row r="73" spans="1:4">
      <c r="A73" s="33" t="s">
        <v>29</v>
      </c>
      <c r="B73" s="33" t="s">
        <v>26</v>
      </c>
      <c r="C73" s="34">
        <v>46044.428275463</v>
      </c>
      <c r="D73" s="33">
        <v>1</v>
      </c>
    </row>
    <row r="74" spans="1:4">
      <c r="A74" s="33" t="s">
        <v>27</v>
      </c>
      <c r="B74" s="33" t="s">
        <v>26</v>
      </c>
      <c r="C74" s="34">
        <v>46044.4287615741</v>
      </c>
      <c r="D74" s="33">
        <v>1</v>
      </c>
    </row>
    <row r="75" spans="1:4">
      <c r="A75" s="33" t="s">
        <v>186</v>
      </c>
      <c r="B75" s="33" t="s">
        <v>26</v>
      </c>
      <c r="C75" s="34">
        <v>46044.4292361111</v>
      </c>
      <c r="D75" s="33">
        <v>2</v>
      </c>
    </row>
    <row r="76" spans="1:4">
      <c r="A76" s="33" t="s">
        <v>187</v>
      </c>
      <c r="B76" s="33" t="s">
        <v>26</v>
      </c>
      <c r="C76" s="34">
        <v>46044.4292476852</v>
      </c>
      <c r="D76" s="33">
        <v>9</v>
      </c>
    </row>
    <row r="77" spans="1:4">
      <c r="A77" s="33" t="s">
        <v>188</v>
      </c>
      <c r="B77" s="33" t="s">
        <v>26</v>
      </c>
      <c r="C77" s="34">
        <v>46044.4292592593</v>
      </c>
      <c r="D77" s="33">
        <v>4</v>
      </c>
    </row>
    <row r="78" spans="1:4">
      <c r="A78" s="33" t="s">
        <v>150</v>
      </c>
      <c r="B78" s="33" t="s">
        <v>26</v>
      </c>
      <c r="C78" s="34">
        <v>46044.4313541667</v>
      </c>
      <c r="D78" s="33">
        <v>1</v>
      </c>
    </row>
    <row r="79" spans="1:4">
      <c r="A79" s="33" t="s">
        <v>189</v>
      </c>
      <c r="B79" s="33" t="s">
        <v>26</v>
      </c>
      <c r="C79" s="34">
        <v>46044.4319212963</v>
      </c>
      <c r="D79" s="33">
        <v>1</v>
      </c>
    </row>
    <row r="80" spans="1:4">
      <c r="A80" s="33" t="s">
        <v>190</v>
      </c>
      <c r="B80" s="33" t="s">
        <v>26</v>
      </c>
      <c r="C80" s="34">
        <v>46044.4325347222</v>
      </c>
      <c r="D80" s="33">
        <v>1</v>
      </c>
    </row>
    <row r="81" spans="1:4">
      <c r="A81" s="33" t="s">
        <v>191</v>
      </c>
      <c r="B81" s="33" t="s">
        <v>26</v>
      </c>
      <c r="C81" s="34">
        <v>46044.4334606482</v>
      </c>
      <c r="D81" s="33">
        <v>1</v>
      </c>
    </row>
    <row r="82" spans="1:4">
      <c r="A82" s="33" t="s">
        <v>192</v>
      </c>
      <c r="B82" s="33" t="s">
        <v>26</v>
      </c>
      <c r="C82" s="34">
        <v>46044.4342592593</v>
      </c>
      <c r="D82" s="33">
        <v>1</v>
      </c>
    </row>
    <row r="83" spans="1:4">
      <c r="A83" s="33" t="s">
        <v>193</v>
      </c>
      <c r="B83" s="33" t="s">
        <v>26</v>
      </c>
      <c r="C83" s="34">
        <v>46044.4347337963</v>
      </c>
      <c r="D83" s="33">
        <v>1</v>
      </c>
    </row>
    <row r="84" spans="1:4">
      <c r="A84" s="33" t="s">
        <v>194</v>
      </c>
      <c r="B84" s="33" t="s">
        <v>26</v>
      </c>
      <c r="C84" s="34">
        <v>46044.4351388889</v>
      </c>
      <c r="D84" s="33">
        <v>1</v>
      </c>
    </row>
    <row r="85" spans="1:4">
      <c r="A85" s="33" t="s">
        <v>171</v>
      </c>
      <c r="B85" s="33" t="s">
        <v>26</v>
      </c>
      <c r="C85" s="34">
        <v>46044.4357407407</v>
      </c>
      <c r="D85" s="33">
        <v>1</v>
      </c>
    </row>
    <row r="86" spans="1:4">
      <c r="A86" s="33" t="s">
        <v>151</v>
      </c>
      <c r="B86" s="33" t="s">
        <v>26</v>
      </c>
      <c r="C86" s="34">
        <v>46044.4357523148</v>
      </c>
      <c r="D86" s="33">
        <v>1</v>
      </c>
    </row>
    <row r="87" spans="1:4">
      <c r="A87" s="33" t="s">
        <v>195</v>
      </c>
      <c r="B87" s="33" t="s">
        <v>26</v>
      </c>
      <c r="C87" s="34">
        <v>46044.4357638889</v>
      </c>
      <c r="D87" s="33">
        <v>1</v>
      </c>
    </row>
    <row r="88" spans="1:4">
      <c r="A88" s="33" t="s">
        <v>27</v>
      </c>
      <c r="B88" s="33" t="s">
        <v>26</v>
      </c>
      <c r="C88" s="34">
        <v>46044.438125</v>
      </c>
      <c r="D88" s="33">
        <v>1</v>
      </c>
    </row>
    <row r="89" spans="1:4">
      <c r="A89" s="33" t="s">
        <v>196</v>
      </c>
      <c r="B89" s="33" t="s">
        <v>26</v>
      </c>
      <c r="C89" s="34">
        <v>46044.4385648148</v>
      </c>
      <c r="D89" s="33">
        <v>10</v>
      </c>
    </row>
    <row r="90" spans="1:4">
      <c r="A90" s="33" t="s">
        <v>197</v>
      </c>
      <c r="B90" s="33" t="s">
        <v>26</v>
      </c>
      <c r="C90" s="34">
        <v>46044.4391666667</v>
      </c>
      <c r="D90" s="33">
        <v>20</v>
      </c>
    </row>
    <row r="91" spans="1:4">
      <c r="A91" s="33" t="s">
        <v>178</v>
      </c>
      <c r="B91" s="33" t="s">
        <v>26</v>
      </c>
      <c r="C91" s="34">
        <v>46044.4400231482</v>
      </c>
      <c r="D91" s="33">
        <v>1</v>
      </c>
    </row>
    <row r="92" spans="1:4">
      <c r="A92" s="33" t="s">
        <v>198</v>
      </c>
      <c r="B92" s="33" t="s">
        <v>26</v>
      </c>
      <c r="C92" s="34">
        <v>46044.4400347222</v>
      </c>
      <c r="D92" s="33">
        <v>2</v>
      </c>
    </row>
    <row r="93" spans="1:4">
      <c r="A93" s="33" t="s">
        <v>27</v>
      </c>
      <c r="B93" s="33" t="s">
        <v>26</v>
      </c>
      <c r="C93" s="34">
        <v>46044.4413657407</v>
      </c>
      <c r="D93" s="33">
        <v>1</v>
      </c>
    </row>
    <row r="94" spans="1:4">
      <c r="A94" s="33" t="s">
        <v>28</v>
      </c>
      <c r="B94" s="33" t="s">
        <v>26</v>
      </c>
      <c r="C94" s="34">
        <v>46044.4413773148</v>
      </c>
      <c r="D94" s="33">
        <v>1</v>
      </c>
    </row>
    <row r="95" spans="1:4">
      <c r="A95" s="33" t="s">
        <v>27</v>
      </c>
      <c r="B95" s="33" t="s">
        <v>26</v>
      </c>
      <c r="C95" s="34">
        <v>46044.4421759259</v>
      </c>
      <c r="D95" s="33">
        <v>1</v>
      </c>
    </row>
    <row r="96" spans="1:4">
      <c r="A96" s="33" t="s">
        <v>25</v>
      </c>
      <c r="B96" s="33" t="s">
        <v>26</v>
      </c>
      <c r="C96" s="34">
        <v>46044.4426157407</v>
      </c>
      <c r="D96" s="33">
        <v>1</v>
      </c>
    </row>
    <row r="97" spans="1:4">
      <c r="A97" s="33" t="s">
        <v>27</v>
      </c>
      <c r="B97" s="33" t="s">
        <v>26</v>
      </c>
      <c r="C97" s="34">
        <v>46044.4430324074</v>
      </c>
      <c r="D97" s="33">
        <v>1</v>
      </c>
    </row>
    <row r="98" spans="1:4">
      <c r="A98" s="33" t="s">
        <v>199</v>
      </c>
      <c r="B98" s="33" t="s">
        <v>35</v>
      </c>
      <c r="C98" s="34">
        <v>46044.444212963</v>
      </c>
      <c r="D98" s="33">
        <v>1</v>
      </c>
    </row>
    <row r="99" spans="1:4">
      <c r="A99" s="33" t="s">
        <v>200</v>
      </c>
      <c r="B99" s="33" t="s">
        <v>35</v>
      </c>
      <c r="C99" s="34">
        <v>46044.444224537</v>
      </c>
      <c r="D99" s="33">
        <v>1</v>
      </c>
    </row>
    <row r="100" spans="1:4">
      <c r="A100" s="33" t="s">
        <v>165</v>
      </c>
      <c r="B100" s="33" t="s">
        <v>26</v>
      </c>
      <c r="C100" s="34">
        <v>46048.4464814815</v>
      </c>
      <c r="D100" s="33">
        <v>1</v>
      </c>
    </row>
    <row r="101" spans="1:4">
      <c r="A101" s="33" t="s">
        <v>201</v>
      </c>
      <c r="B101" s="33" t="s">
        <v>26</v>
      </c>
      <c r="C101" s="34">
        <v>46048.5733796296</v>
      </c>
      <c r="D101" s="33">
        <v>1</v>
      </c>
    </row>
    <row r="102" spans="1:4">
      <c r="A102" s="33" t="s">
        <v>31</v>
      </c>
      <c r="B102" s="33" t="s">
        <v>26</v>
      </c>
      <c r="C102" s="34">
        <v>46048.5733912037</v>
      </c>
      <c r="D102" s="33">
        <v>1</v>
      </c>
    </row>
    <row r="103" spans="1:4">
      <c r="A103" s="33" t="s">
        <v>202</v>
      </c>
      <c r="B103" s="33" t="s">
        <v>26</v>
      </c>
      <c r="C103" s="34">
        <v>46048.5757060185</v>
      </c>
      <c r="D103" s="33">
        <v>1</v>
      </c>
    </row>
    <row r="104" spans="1:4">
      <c r="A104" s="33" t="s">
        <v>161</v>
      </c>
      <c r="B104" s="33" t="s">
        <v>26</v>
      </c>
      <c r="C104" s="34">
        <v>46048.5775578704</v>
      </c>
      <c r="D104" s="33">
        <v>1</v>
      </c>
    </row>
    <row r="105" spans="1:4">
      <c r="A105" s="33" t="s">
        <v>203</v>
      </c>
      <c r="B105" s="33" t="s">
        <v>26</v>
      </c>
      <c r="C105" s="34">
        <v>46048.5775694445</v>
      </c>
      <c r="D105" s="33">
        <v>1</v>
      </c>
    </row>
    <row r="106" spans="1:4">
      <c r="A106" s="33" t="s">
        <v>161</v>
      </c>
      <c r="B106" s="33" t="s">
        <v>26</v>
      </c>
      <c r="C106" s="34">
        <v>46050.4313773148</v>
      </c>
      <c r="D106" s="33">
        <v>1</v>
      </c>
    </row>
    <row r="107" spans="1:4">
      <c r="A107" s="33" t="s">
        <v>153</v>
      </c>
      <c r="B107" s="33" t="s">
        <v>26</v>
      </c>
      <c r="C107" s="34">
        <v>46050.4313888889</v>
      </c>
      <c r="D107" s="33">
        <v>1</v>
      </c>
    </row>
    <row r="108" spans="1:4">
      <c r="A108" s="33" t="s">
        <v>27</v>
      </c>
      <c r="B108" s="33" t="s">
        <v>26</v>
      </c>
      <c r="C108" s="34">
        <v>46050.4327662037</v>
      </c>
      <c r="D108" s="33">
        <v>1</v>
      </c>
    </row>
    <row r="109" spans="1:4">
      <c r="A109" s="33" t="s">
        <v>27</v>
      </c>
      <c r="B109" s="33" t="s">
        <v>26</v>
      </c>
      <c r="C109" s="34">
        <v>46050.4333796296</v>
      </c>
      <c r="D109" s="33">
        <v>1</v>
      </c>
    </row>
    <row r="110" spans="1:4">
      <c r="A110" s="33" t="s">
        <v>173</v>
      </c>
      <c r="B110" s="33" t="s">
        <v>26</v>
      </c>
      <c r="C110" s="34">
        <v>46050.4338194444</v>
      </c>
      <c r="D110" s="33">
        <v>1</v>
      </c>
    </row>
    <row r="111" spans="1:4">
      <c r="A111" s="33" t="s">
        <v>190</v>
      </c>
      <c r="B111" s="33" t="s">
        <v>26</v>
      </c>
      <c r="C111" s="34">
        <v>46050.4357407407</v>
      </c>
      <c r="D111" s="33">
        <v>1</v>
      </c>
    </row>
    <row r="112" spans="1:4">
      <c r="A112" s="33" t="s">
        <v>204</v>
      </c>
      <c r="B112" s="33" t="s">
        <v>26</v>
      </c>
      <c r="C112" s="34">
        <v>46050.4357523148</v>
      </c>
      <c r="D112" s="33">
        <v>1</v>
      </c>
    </row>
    <row r="113" spans="1:4">
      <c r="A113" s="33" t="s">
        <v>205</v>
      </c>
      <c r="B113" s="33" t="s">
        <v>35</v>
      </c>
      <c r="C113" s="34">
        <v>46050.4412384259</v>
      </c>
      <c r="D113" s="33">
        <v>1</v>
      </c>
    </row>
    <row r="114" spans="1:4">
      <c r="A114" s="33" t="s">
        <v>206</v>
      </c>
      <c r="B114" s="33" t="s">
        <v>35</v>
      </c>
      <c r="C114" s="34">
        <v>46050.44125</v>
      </c>
      <c r="D114" s="33">
        <v>1</v>
      </c>
    </row>
    <row r="115" spans="1:4">
      <c r="A115" s="33" t="s">
        <v>207</v>
      </c>
      <c r="B115" s="33" t="s">
        <v>26</v>
      </c>
      <c r="C115" s="34">
        <v>46050.4426851852</v>
      </c>
      <c r="D115" s="33">
        <v>2</v>
      </c>
    </row>
    <row r="116" spans="1:4">
      <c r="A116" s="33" t="s">
        <v>208</v>
      </c>
      <c r="B116" s="33" t="s">
        <v>35</v>
      </c>
      <c r="C116" s="34">
        <v>46050.4438773148</v>
      </c>
      <c r="D116" s="33">
        <v>1</v>
      </c>
    </row>
    <row r="117" spans="1:4">
      <c r="A117" s="33" t="s">
        <v>209</v>
      </c>
      <c r="B117" s="33" t="s">
        <v>35</v>
      </c>
      <c r="C117" s="34">
        <v>46050.4438888889</v>
      </c>
      <c r="D117" s="33">
        <v>1</v>
      </c>
    </row>
    <row r="118" spans="1:4">
      <c r="A118" s="33" t="s">
        <v>210</v>
      </c>
      <c r="B118" s="33" t="s">
        <v>35</v>
      </c>
      <c r="C118" s="34">
        <v>46050.443900463</v>
      </c>
      <c r="D118" s="33">
        <v>1</v>
      </c>
    </row>
    <row r="119" spans="1:4">
      <c r="A119" s="33" t="s">
        <v>211</v>
      </c>
      <c r="B119" s="33" t="s">
        <v>35</v>
      </c>
      <c r="C119" s="34">
        <v>46050.443912037</v>
      </c>
      <c r="D119" s="33">
        <v>1</v>
      </c>
    </row>
    <row r="120" spans="1:4">
      <c r="A120" s="33" t="s">
        <v>212</v>
      </c>
      <c r="B120" s="33" t="s">
        <v>26</v>
      </c>
      <c r="C120" s="34">
        <v>46050.4592939815</v>
      </c>
      <c r="D120" s="33">
        <v>1</v>
      </c>
    </row>
    <row r="121" spans="1:4">
      <c r="A121" s="33" t="s">
        <v>154</v>
      </c>
      <c r="B121" s="33" t="s">
        <v>26</v>
      </c>
      <c r="C121" s="34">
        <v>46051.3387152778</v>
      </c>
      <c r="D121" s="33">
        <v>1</v>
      </c>
    </row>
    <row r="122" spans="1:4">
      <c r="A122" s="33" t="s">
        <v>213</v>
      </c>
      <c r="B122" s="33" t="s">
        <v>26</v>
      </c>
      <c r="C122" s="34">
        <v>46051.3394097222</v>
      </c>
      <c r="D122" s="33">
        <v>1</v>
      </c>
    </row>
    <row r="123" spans="1:4">
      <c r="A123" s="33" t="s">
        <v>161</v>
      </c>
      <c r="B123" s="33" t="s">
        <v>26</v>
      </c>
      <c r="C123" s="34">
        <v>46051.3401851852</v>
      </c>
      <c r="D123" s="33">
        <v>1</v>
      </c>
    </row>
    <row r="124" spans="1:4">
      <c r="A124" s="33" t="s">
        <v>153</v>
      </c>
      <c r="B124" s="33" t="s">
        <v>26</v>
      </c>
      <c r="C124" s="34">
        <v>46051.3401967593</v>
      </c>
      <c r="D124" s="33">
        <v>1</v>
      </c>
    </row>
    <row r="125" spans="1:4">
      <c r="A125" s="33" t="s">
        <v>25</v>
      </c>
      <c r="B125" s="33" t="s">
        <v>26</v>
      </c>
      <c r="C125" s="34">
        <v>46051.3562615741</v>
      </c>
      <c r="D125" s="33">
        <v>1</v>
      </c>
    </row>
    <row r="126" spans="1:4">
      <c r="A126" s="33" t="s">
        <v>27</v>
      </c>
      <c r="B126" s="33" t="s">
        <v>26</v>
      </c>
      <c r="C126" s="34">
        <v>46051.3580902778</v>
      </c>
      <c r="D126" s="33">
        <v>1</v>
      </c>
    </row>
    <row r="127" spans="1:4">
      <c r="A127" s="33" t="s">
        <v>213</v>
      </c>
      <c r="B127" s="33" t="s">
        <v>26</v>
      </c>
      <c r="C127" s="34">
        <v>46051.3587962963</v>
      </c>
      <c r="D127" s="33">
        <v>1</v>
      </c>
    </row>
    <row r="128" spans="1:4">
      <c r="A128" s="33" t="s">
        <v>214</v>
      </c>
      <c r="B128" s="33" t="s">
        <v>26</v>
      </c>
      <c r="C128" s="34">
        <v>46051.360150463</v>
      </c>
      <c r="D128" s="33">
        <v>2</v>
      </c>
    </row>
    <row r="129" spans="1:4">
      <c r="A129" s="33" t="s">
        <v>28</v>
      </c>
      <c r="B129" s="33" t="s">
        <v>26</v>
      </c>
      <c r="C129" s="34">
        <v>46051.5728472222</v>
      </c>
      <c r="D129" s="33">
        <v>1</v>
      </c>
    </row>
    <row r="130" spans="1:4">
      <c r="A130" s="33" t="s">
        <v>215</v>
      </c>
      <c r="B130" s="33" t="s">
        <v>26</v>
      </c>
      <c r="C130" s="34">
        <v>46051.5740625</v>
      </c>
      <c r="D130" s="33">
        <v>1</v>
      </c>
    </row>
    <row r="131" spans="1:4">
      <c r="A131" s="33" t="s">
        <v>216</v>
      </c>
      <c r="B131" s="33" t="s">
        <v>26</v>
      </c>
      <c r="C131" s="34">
        <v>46051.5740740741</v>
      </c>
      <c r="D131" s="33">
        <v>1</v>
      </c>
    </row>
    <row r="132" spans="1:4">
      <c r="A132" s="33" t="s">
        <v>25</v>
      </c>
      <c r="B132" s="33" t="s">
        <v>26</v>
      </c>
      <c r="C132" s="34">
        <v>46051.5760763889</v>
      </c>
      <c r="D132" s="33">
        <v>1</v>
      </c>
    </row>
    <row r="133" spans="1:4">
      <c r="A133" s="33" t="s">
        <v>152</v>
      </c>
      <c r="B133" s="33" t="s">
        <v>26</v>
      </c>
      <c r="C133" s="34">
        <v>46051.576087963</v>
      </c>
      <c r="D133" s="33">
        <v>1</v>
      </c>
    </row>
    <row r="134" spans="1:4">
      <c r="A134" s="33" t="s">
        <v>217</v>
      </c>
      <c r="B134" s="33" t="s">
        <v>26</v>
      </c>
      <c r="C134" s="34">
        <v>46051.5772685185</v>
      </c>
      <c r="D134" s="33">
        <v>1</v>
      </c>
    </row>
    <row r="135" spans="1:4">
      <c r="A135" s="33" t="s">
        <v>192</v>
      </c>
      <c r="B135" s="33" t="s">
        <v>35</v>
      </c>
      <c r="C135" s="34">
        <v>46052.3959375</v>
      </c>
      <c r="D135" s="33">
        <v>1</v>
      </c>
    </row>
    <row r="136" spans="1:4">
      <c r="A136" s="33" t="s">
        <v>154</v>
      </c>
      <c r="B136" s="33" t="s">
        <v>26</v>
      </c>
      <c r="C136" s="34">
        <v>46052.4003240741</v>
      </c>
      <c r="D136" s="33">
        <v>1</v>
      </c>
    </row>
    <row r="137" spans="1:4">
      <c r="A137" s="33" t="s">
        <v>201</v>
      </c>
      <c r="B137" s="33" t="s">
        <v>26</v>
      </c>
      <c r="C137" s="34">
        <v>46056.4031828704</v>
      </c>
      <c r="D137" s="33">
        <v>1</v>
      </c>
    </row>
    <row r="138" spans="1:4">
      <c r="A138" s="33" t="s">
        <v>218</v>
      </c>
      <c r="B138" s="33" t="s">
        <v>26</v>
      </c>
      <c r="C138" s="34">
        <v>46056.4044328704</v>
      </c>
      <c r="D138" s="33">
        <v>1</v>
      </c>
    </row>
    <row r="139" spans="1:4">
      <c r="A139" s="33" t="s">
        <v>218</v>
      </c>
      <c r="B139" s="33" t="s">
        <v>26</v>
      </c>
      <c r="C139" s="34">
        <v>46056.4055092593</v>
      </c>
      <c r="D139" s="33">
        <v>1</v>
      </c>
    </row>
    <row r="140" spans="1:4">
      <c r="A140" s="33" t="s">
        <v>219</v>
      </c>
      <c r="B140" s="33" t="s">
        <v>26</v>
      </c>
      <c r="C140" s="34">
        <v>46056.4600578704</v>
      </c>
      <c r="D140" s="33">
        <v>1</v>
      </c>
    </row>
    <row r="141" spans="1:4">
      <c r="A141" s="33" t="s">
        <v>161</v>
      </c>
      <c r="B141" s="33" t="s">
        <v>26</v>
      </c>
      <c r="C141" s="34">
        <v>46056.4600694445</v>
      </c>
      <c r="D141" s="33">
        <v>1</v>
      </c>
    </row>
    <row r="142" spans="1:4">
      <c r="A142" s="33" t="s">
        <v>157</v>
      </c>
      <c r="B142" s="33" t="s">
        <v>35</v>
      </c>
      <c r="C142" s="34">
        <v>46056.4700231482</v>
      </c>
      <c r="D142" s="33">
        <v>1</v>
      </c>
    </row>
    <row r="143" spans="1:4">
      <c r="A143" s="33" t="s">
        <v>156</v>
      </c>
      <c r="B143" s="33" t="s">
        <v>35</v>
      </c>
      <c r="C143" s="34">
        <v>46056.4700347222</v>
      </c>
      <c r="D143" s="33">
        <v>1</v>
      </c>
    </row>
    <row r="144" spans="1:4">
      <c r="A144" s="33" t="s">
        <v>220</v>
      </c>
      <c r="B144" s="33" t="s">
        <v>26</v>
      </c>
      <c r="C144" s="34">
        <v>46056.4721527778</v>
      </c>
      <c r="D144" s="33">
        <v>1</v>
      </c>
    </row>
    <row r="145" spans="1:4">
      <c r="A145" s="33" t="s">
        <v>221</v>
      </c>
      <c r="B145" s="33" t="s">
        <v>26</v>
      </c>
      <c r="C145" s="34">
        <v>46056.4721643519</v>
      </c>
      <c r="D145" s="33">
        <v>2</v>
      </c>
    </row>
    <row r="146" spans="1:4">
      <c r="A146" s="33" t="s">
        <v>222</v>
      </c>
      <c r="B146" s="33" t="s">
        <v>26</v>
      </c>
      <c r="C146" s="34">
        <v>46057.3582291667</v>
      </c>
      <c r="D146" s="33">
        <v>1</v>
      </c>
    </row>
    <row r="147" spans="1:4">
      <c r="A147" s="33" t="s">
        <v>153</v>
      </c>
      <c r="B147" s="33" t="s">
        <v>26</v>
      </c>
      <c r="C147" s="34">
        <v>46057.4148958333</v>
      </c>
      <c r="D147" s="33">
        <v>1</v>
      </c>
    </row>
    <row r="148" spans="1:4">
      <c r="A148" s="33" t="s">
        <v>25</v>
      </c>
      <c r="B148" s="33" t="s">
        <v>26</v>
      </c>
      <c r="C148" s="34">
        <v>46057.4160185185</v>
      </c>
      <c r="D148" s="33">
        <v>1</v>
      </c>
    </row>
    <row r="149" spans="1:4">
      <c r="A149" s="33" t="s">
        <v>223</v>
      </c>
      <c r="B149" s="33" t="s">
        <v>26</v>
      </c>
      <c r="C149" s="34">
        <v>46057.4166319444</v>
      </c>
      <c r="D149" s="33">
        <v>1</v>
      </c>
    </row>
    <row r="150" spans="1:4">
      <c r="A150" s="33" t="s">
        <v>149</v>
      </c>
      <c r="B150" s="33" t="s">
        <v>26</v>
      </c>
      <c r="C150" s="34">
        <v>46057.4173148148</v>
      </c>
      <c r="D150" s="33">
        <v>1</v>
      </c>
    </row>
    <row r="151" spans="1:4">
      <c r="A151" s="33" t="s">
        <v>224</v>
      </c>
      <c r="B151" s="33" t="s">
        <v>26</v>
      </c>
      <c r="C151" s="34">
        <v>46057.4180092593</v>
      </c>
      <c r="D151" s="33">
        <v>1</v>
      </c>
    </row>
    <row r="152" spans="1:4">
      <c r="A152" s="33" t="s">
        <v>225</v>
      </c>
      <c r="B152" s="33" t="s">
        <v>26</v>
      </c>
      <c r="C152" s="34">
        <v>46057.4195138889</v>
      </c>
      <c r="D152" s="33">
        <v>1</v>
      </c>
    </row>
    <row r="153" spans="1:4">
      <c r="A153" s="33" t="s">
        <v>25</v>
      </c>
      <c r="B153" s="33" t="s">
        <v>26</v>
      </c>
      <c r="C153" s="34">
        <v>46058.4265856482</v>
      </c>
      <c r="D153" s="33">
        <v>1</v>
      </c>
    </row>
    <row r="154" spans="1:4">
      <c r="A154" s="33" t="s">
        <v>226</v>
      </c>
      <c r="B154" s="33" t="s">
        <v>26</v>
      </c>
      <c r="C154" s="34">
        <v>46058.4361342593</v>
      </c>
      <c r="D154" s="33">
        <v>1</v>
      </c>
    </row>
    <row r="155" spans="1:4">
      <c r="A155" s="33" t="s">
        <v>227</v>
      </c>
      <c r="B155" s="33" t="s">
        <v>26</v>
      </c>
      <c r="C155" s="34">
        <v>46058.7260300926</v>
      </c>
      <c r="D155" s="33">
        <v>2</v>
      </c>
    </row>
    <row r="156" spans="1:4">
      <c r="A156" s="33" t="s">
        <v>190</v>
      </c>
      <c r="B156" s="33" t="s">
        <v>26</v>
      </c>
      <c r="C156" s="34">
        <v>46058.7260416667</v>
      </c>
      <c r="D156" s="33">
        <v>1</v>
      </c>
    </row>
    <row r="157" spans="1:4">
      <c r="A157" s="33" t="s">
        <v>27</v>
      </c>
      <c r="B157" s="33" t="s">
        <v>26</v>
      </c>
      <c r="C157" s="34">
        <v>46058.7276157407</v>
      </c>
      <c r="D157" s="33">
        <v>1</v>
      </c>
    </row>
    <row r="158" spans="1:4">
      <c r="A158" s="33" t="s">
        <v>228</v>
      </c>
      <c r="B158" s="33" t="s">
        <v>26</v>
      </c>
      <c r="C158" s="34">
        <v>46058.7276273148</v>
      </c>
      <c r="D158" s="33">
        <v>1</v>
      </c>
    </row>
    <row r="159" spans="1:4">
      <c r="A159" s="33" t="s">
        <v>25</v>
      </c>
      <c r="B159" s="33" t="s">
        <v>26</v>
      </c>
      <c r="C159" s="34">
        <v>46058.7366898148</v>
      </c>
      <c r="D159" s="33">
        <v>1</v>
      </c>
    </row>
    <row r="160" spans="1:4">
      <c r="A160" s="33" t="s">
        <v>149</v>
      </c>
      <c r="B160" s="33" t="s">
        <v>26</v>
      </c>
      <c r="C160" s="34">
        <v>46062.6858796296</v>
      </c>
      <c r="D160" s="33">
        <v>1</v>
      </c>
    </row>
    <row r="161" spans="1:4">
      <c r="A161" s="33" t="s">
        <v>27</v>
      </c>
      <c r="B161" s="33" t="s">
        <v>26</v>
      </c>
      <c r="C161" s="34">
        <v>46062.6867824074</v>
      </c>
      <c r="D161" s="33">
        <v>1</v>
      </c>
    </row>
    <row r="162" spans="1:4">
      <c r="A162" s="33" t="s">
        <v>28</v>
      </c>
      <c r="B162" s="33" t="s">
        <v>26</v>
      </c>
      <c r="C162" s="34">
        <v>46062.6867939815</v>
      </c>
      <c r="D162" s="33">
        <v>1</v>
      </c>
    </row>
    <row r="163" spans="1:4">
      <c r="A163" s="33" t="s">
        <v>25</v>
      </c>
      <c r="B163" s="33" t="s">
        <v>26</v>
      </c>
      <c r="C163" s="34">
        <v>46062.6882291667</v>
      </c>
      <c r="D163" s="33">
        <v>1</v>
      </c>
    </row>
    <row r="164" spans="1:4">
      <c r="A164" s="33" t="s">
        <v>229</v>
      </c>
      <c r="B164" s="33" t="s">
        <v>26</v>
      </c>
      <c r="C164" s="34">
        <v>46062.6889699074</v>
      </c>
      <c r="D164" s="33">
        <v>1</v>
      </c>
    </row>
    <row r="165" spans="1:4">
      <c r="A165" s="33" t="s">
        <v>230</v>
      </c>
      <c r="B165" s="33" t="s">
        <v>26</v>
      </c>
      <c r="C165" s="34">
        <v>46062.6889814815</v>
      </c>
      <c r="D165" s="33">
        <v>1</v>
      </c>
    </row>
    <row r="166" spans="1:4">
      <c r="A166" s="33" t="s">
        <v>28</v>
      </c>
      <c r="B166" s="33" t="s">
        <v>26</v>
      </c>
      <c r="C166" s="34">
        <v>46062.6913657407</v>
      </c>
      <c r="D166" s="33">
        <v>1</v>
      </c>
    </row>
    <row r="167" spans="1:4">
      <c r="A167" s="33" t="s">
        <v>220</v>
      </c>
      <c r="B167" s="33" t="s">
        <v>26</v>
      </c>
      <c r="C167" s="34">
        <v>46062.6926157407</v>
      </c>
      <c r="D167" s="33">
        <v>1</v>
      </c>
    </row>
    <row r="168" spans="1:4">
      <c r="A168" s="33" t="s">
        <v>27</v>
      </c>
      <c r="B168" s="33" t="s">
        <v>26</v>
      </c>
      <c r="C168" s="34">
        <v>46062.6932523148</v>
      </c>
      <c r="D168" s="33">
        <v>1</v>
      </c>
    </row>
    <row r="169" spans="1:4">
      <c r="A169" s="33" t="s">
        <v>163</v>
      </c>
      <c r="B169" s="33" t="s">
        <v>26</v>
      </c>
      <c r="C169" s="34">
        <v>46062.6937037037</v>
      </c>
      <c r="D169" s="33">
        <v>1</v>
      </c>
    </row>
    <row r="170" spans="1:4">
      <c r="A170" s="33" t="s">
        <v>231</v>
      </c>
      <c r="B170" s="33" t="s">
        <v>26</v>
      </c>
      <c r="C170" s="34">
        <v>46063.4050115741</v>
      </c>
      <c r="D170" s="33">
        <v>3</v>
      </c>
    </row>
    <row r="171" spans="1:4">
      <c r="A171" s="33" t="s">
        <v>232</v>
      </c>
      <c r="B171" s="33" t="s">
        <v>26</v>
      </c>
      <c r="C171" s="34">
        <v>46063.4050231482</v>
      </c>
      <c r="D171" s="33">
        <v>1</v>
      </c>
    </row>
    <row r="172" spans="1:4">
      <c r="A172" s="33" t="s">
        <v>233</v>
      </c>
      <c r="B172" s="33" t="s">
        <v>26</v>
      </c>
      <c r="C172" s="34">
        <v>46063.4050347222</v>
      </c>
      <c r="D172" s="33">
        <v>1</v>
      </c>
    </row>
    <row r="173" spans="1:4">
      <c r="A173" s="33" t="s">
        <v>174</v>
      </c>
      <c r="B173" s="33" t="s">
        <v>26</v>
      </c>
      <c r="C173" s="34">
        <v>46063.4050462963</v>
      </c>
      <c r="D173" s="33">
        <v>1</v>
      </c>
    </row>
    <row r="174" spans="1:4">
      <c r="A174" s="33" t="s">
        <v>234</v>
      </c>
      <c r="B174" s="33" t="s">
        <v>26</v>
      </c>
      <c r="C174" s="34">
        <v>46063.4077546296</v>
      </c>
      <c r="D174" s="33">
        <v>10</v>
      </c>
    </row>
    <row r="175" spans="1:4">
      <c r="A175" s="33" t="s">
        <v>235</v>
      </c>
      <c r="B175" s="33" t="s">
        <v>26</v>
      </c>
      <c r="C175" s="34">
        <v>46063.6013310185</v>
      </c>
      <c r="D175" s="33">
        <v>1</v>
      </c>
    </row>
    <row r="176" spans="1:4">
      <c r="A176" s="33" t="s">
        <v>236</v>
      </c>
      <c r="B176" s="33" t="s">
        <v>26</v>
      </c>
      <c r="C176" s="34">
        <v>46063.6027314815</v>
      </c>
      <c r="D176" s="33">
        <v>1</v>
      </c>
    </row>
    <row r="177" spans="1:4">
      <c r="A177" s="33" t="s">
        <v>161</v>
      </c>
      <c r="B177" s="33" t="s">
        <v>26</v>
      </c>
      <c r="C177" s="34">
        <v>46063.6027430556</v>
      </c>
      <c r="D177" s="33">
        <v>1</v>
      </c>
    </row>
    <row r="178" spans="1:4">
      <c r="A178" s="33" t="s">
        <v>165</v>
      </c>
      <c r="B178" s="33" t="s">
        <v>26</v>
      </c>
      <c r="C178" s="34">
        <v>46063.6186226852</v>
      </c>
      <c r="D178" s="33">
        <v>1</v>
      </c>
    </row>
    <row r="179" spans="1:4">
      <c r="A179" s="33" t="s">
        <v>209</v>
      </c>
      <c r="B179" s="33" t="s">
        <v>35</v>
      </c>
      <c r="C179" s="34">
        <v>46063.6229282407</v>
      </c>
      <c r="D179" s="33">
        <v>1</v>
      </c>
    </row>
    <row r="180" spans="1:4">
      <c r="A180" s="33" t="s">
        <v>237</v>
      </c>
      <c r="B180" s="33" t="s">
        <v>35</v>
      </c>
      <c r="C180" s="34">
        <v>46063.6229398148</v>
      </c>
      <c r="D180" s="33">
        <v>1</v>
      </c>
    </row>
    <row r="181" spans="1:4">
      <c r="A181" s="33" t="s">
        <v>211</v>
      </c>
      <c r="B181" s="33" t="s">
        <v>35</v>
      </c>
      <c r="C181" s="34">
        <v>46063.6229513889</v>
      </c>
      <c r="D181" s="33">
        <v>1</v>
      </c>
    </row>
    <row r="182" spans="1:4">
      <c r="A182" s="33" t="s">
        <v>238</v>
      </c>
      <c r="B182" s="33" t="s">
        <v>26</v>
      </c>
      <c r="C182" s="34">
        <v>46063.6288310185</v>
      </c>
      <c r="D182" s="33">
        <v>1</v>
      </c>
    </row>
    <row r="183" spans="1:4">
      <c r="A183" s="33" t="s">
        <v>239</v>
      </c>
      <c r="B183" s="33" t="s">
        <v>26</v>
      </c>
      <c r="C183" s="34">
        <v>46064.3580439815</v>
      </c>
      <c r="D183" s="33">
        <v>10</v>
      </c>
    </row>
    <row r="184" spans="1:4">
      <c r="A184" s="33" t="s">
        <v>240</v>
      </c>
      <c r="B184" s="33" t="s">
        <v>26</v>
      </c>
      <c r="C184" s="34">
        <v>46064.3587268519</v>
      </c>
      <c r="D184" s="33">
        <v>1</v>
      </c>
    </row>
    <row r="185" spans="1:4">
      <c r="A185" s="33" t="s">
        <v>241</v>
      </c>
      <c r="B185" s="33" t="s">
        <v>26</v>
      </c>
      <c r="C185" s="34">
        <v>46064.3587384259</v>
      </c>
      <c r="D185" s="33">
        <v>1</v>
      </c>
    </row>
    <row r="186" spans="1:4">
      <c r="A186" s="33" t="s">
        <v>242</v>
      </c>
      <c r="B186" s="33" t="s">
        <v>26</v>
      </c>
      <c r="C186" s="34">
        <v>46064.35875</v>
      </c>
      <c r="D186" s="33">
        <v>1</v>
      </c>
    </row>
    <row r="187" spans="1:4">
      <c r="A187" s="33" t="s">
        <v>243</v>
      </c>
      <c r="B187" s="33" t="s">
        <v>26</v>
      </c>
      <c r="C187" s="34">
        <v>46064.3788773148</v>
      </c>
      <c r="D187" s="33">
        <v>1</v>
      </c>
    </row>
    <row r="188" spans="1:4">
      <c r="A188" s="33" t="s">
        <v>201</v>
      </c>
      <c r="B188" s="33" t="s">
        <v>26</v>
      </c>
      <c r="C188" s="34">
        <v>46064.3788888889</v>
      </c>
      <c r="D188" s="33">
        <v>1</v>
      </c>
    </row>
    <row r="189" spans="1:4">
      <c r="A189" s="33" t="s">
        <v>244</v>
      </c>
      <c r="B189" s="33" t="s">
        <v>26</v>
      </c>
      <c r="C189" s="34">
        <v>46064.3825115741</v>
      </c>
      <c r="D189" s="33">
        <v>1</v>
      </c>
    </row>
    <row r="190" spans="1:4">
      <c r="A190" s="33" t="s">
        <v>245</v>
      </c>
      <c r="B190" s="33" t="s">
        <v>26</v>
      </c>
      <c r="C190" s="34">
        <v>46064.6621296296</v>
      </c>
      <c r="D190" s="33">
        <v>1</v>
      </c>
    </row>
    <row r="191" spans="1:4">
      <c r="A191" s="33" t="s">
        <v>165</v>
      </c>
      <c r="B191" s="33" t="s">
        <v>26</v>
      </c>
      <c r="C191" s="34">
        <v>46064.6630902778</v>
      </c>
      <c r="D191" s="33">
        <v>1</v>
      </c>
    </row>
    <row r="192" spans="1:4">
      <c r="A192" s="33" t="s">
        <v>191</v>
      </c>
      <c r="B192" s="33" t="s">
        <v>26</v>
      </c>
      <c r="C192" s="34">
        <v>46064.6638194445</v>
      </c>
      <c r="D192" s="33">
        <v>1</v>
      </c>
    </row>
    <row r="193" spans="1:4">
      <c r="A193" s="33" t="s">
        <v>27</v>
      </c>
      <c r="B193" s="33" t="s">
        <v>26</v>
      </c>
      <c r="C193" s="34">
        <v>46065.4450694445</v>
      </c>
      <c r="D193" s="33">
        <v>1</v>
      </c>
    </row>
    <row r="194" spans="1:4">
      <c r="A194" s="33" t="s">
        <v>246</v>
      </c>
      <c r="B194" s="33" t="s">
        <v>26</v>
      </c>
      <c r="C194" s="34">
        <v>46065.4450810185</v>
      </c>
      <c r="D194" s="33">
        <v>2</v>
      </c>
    </row>
    <row r="195" spans="1:4">
      <c r="A195" s="33" t="s">
        <v>247</v>
      </c>
      <c r="B195" s="33" t="s">
        <v>26</v>
      </c>
      <c r="C195" s="34">
        <v>46065.4450925926</v>
      </c>
      <c r="D195" s="33">
        <v>2</v>
      </c>
    </row>
    <row r="196" spans="1:4">
      <c r="A196" s="33" t="s">
        <v>248</v>
      </c>
      <c r="B196" s="33" t="s">
        <v>26</v>
      </c>
      <c r="C196" s="34">
        <v>46065.4451041667</v>
      </c>
      <c r="D196" s="33">
        <v>1</v>
      </c>
    </row>
    <row r="197" spans="1:4">
      <c r="A197" s="33" t="s">
        <v>195</v>
      </c>
      <c r="B197" s="33" t="s">
        <v>26</v>
      </c>
      <c r="C197" s="34">
        <v>46065.4500810185</v>
      </c>
      <c r="D197" s="33">
        <v>1</v>
      </c>
    </row>
    <row r="198" spans="1:4">
      <c r="A198" s="33" t="s">
        <v>61</v>
      </c>
      <c r="B198" s="33" t="s">
        <v>26</v>
      </c>
      <c r="C198" s="34">
        <v>46065.450775463</v>
      </c>
      <c r="D198" s="33">
        <v>1</v>
      </c>
    </row>
    <row r="199" spans="1:4">
      <c r="A199" s="33" t="s">
        <v>231</v>
      </c>
      <c r="B199" s="33" t="s">
        <v>26</v>
      </c>
      <c r="C199" s="34">
        <v>46065.450787037</v>
      </c>
      <c r="D199" s="33">
        <v>1</v>
      </c>
    </row>
    <row r="200" spans="1:4">
      <c r="A200" s="33" t="s">
        <v>249</v>
      </c>
      <c r="B200" s="33" t="s">
        <v>26</v>
      </c>
      <c r="C200" s="34">
        <v>46065.4526157407</v>
      </c>
      <c r="D200" s="33">
        <v>2</v>
      </c>
    </row>
    <row r="201" spans="1:4">
      <c r="A201" s="33" t="s">
        <v>250</v>
      </c>
      <c r="B201" s="33" t="s">
        <v>35</v>
      </c>
      <c r="C201" s="34">
        <v>46065.4533217593</v>
      </c>
      <c r="D201" s="33">
        <v>1</v>
      </c>
    </row>
    <row r="202" spans="1:4">
      <c r="A202" s="33" t="s">
        <v>165</v>
      </c>
      <c r="B202" s="33" t="s">
        <v>26</v>
      </c>
      <c r="C202" s="34">
        <v>46065.7444791667</v>
      </c>
      <c r="D202" s="33">
        <v>1</v>
      </c>
    </row>
    <row r="203" spans="1:4">
      <c r="A203" s="33" t="s">
        <v>202</v>
      </c>
      <c r="B203" s="33" t="s">
        <v>26</v>
      </c>
      <c r="C203" s="34">
        <v>46065.7444907407</v>
      </c>
      <c r="D203" s="33">
        <v>1</v>
      </c>
    </row>
    <row r="204" spans="1:4">
      <c r="A204" s="33" t="s">
        <v>251</v>
      </c>
      <c r="B204" s="33" t="s">
        <v>35</v>
      </c>
      <c r="C204" s="34">
        <v>46072.4096643519</v>
      </c>
      <c r="D204" s="33">
        <v>1</v>
      </c>
    </row>
    <row r="205" spans="1:4">
      <c r="A205" s="33" t="s">
        <v>252</v>
      </c>
      <c r="B205" s="33" t="s">
        <v>35</v>
      </c>
      <c r="C205" s="34">
        <v>46072.4096759259</v>
      </c>
      <c r="D205" s="33">
        <v>1</v>
      </c>
    </row>
    <row r="206" spans="1:4">
      <c r="A206" s="33" t="s">
        <v>203</v>
      </c>
      <c r="B206" s="33" t="s">
        <v>26</v>
      </c>
      <c r="C206" s="34">
        <v>46072.4115277778</v>
      </c>
      <c r="D206" s="33">
        <v>1</v>
      </c>
    </row>
    <row r="207" spans="1:4">
      <c r="A207" s="33" t="s">
        <v>29</v>
      </c>
      <c r="B207" s="33" t="s">
        <v>26</v>
      </c>
      <c r="C207" s="34">
        <v>46072.4128125</v>
      </c>
      <c r="D207" s="33">
        <v>1</v>
      </c>
    </row>
    <row r="208" spans="1:4">
      <c r="A208" s="33" t="s">
        <v>253</v>
      </c>
      <c r="B208" s="33" t="s">
        <v>26</v>
      </c>
      <c r="C208" s="34">
        <v>46072.4136921296</v>
      </c>
      <c r="D208" s="33">
        <v>1</v>
      </c>
    </row>
    <row r="209" spans="1:4">
      <c r="A209" s="33" t="s">
        <v>254</v>
      </c>
      <c r="B209" s="33" t="s">
        <v>26</v>
      </c>
      <c r="C209" s="34">
        <v>46072.4137037037</v>
      </c>
      <c r="D209" s="33">
        <v>1</v>
      </c>
    </row>
    <row r="210" spans="1:4">
      <c r="A210" s="33" t="s">
        <v>255</v>
      </c>
      <c r="B210" s="33" t="s">
        <v>26</v>
      </c>
      <c r="C210" s="34">
        <v>46072.4187268519</v>
      </c>
      <c r="D210" s="33">
        <v>1</v>
      </c>
    </row>
    <row r="211" spans="1:4">
      <c r="A211" s="33" t="s">
        <v>256</v>
      </c>
      <c r="B211" s="33" t="s">
        <v>51</v>
      </c>
      <c r="C211" s="34">
        <v>46072.4207523148</v>
      </c>
      <c r="D211" s="33">
        <v>10</v>
      </c>
    </row>
    <row r="212" spans="1:4">
      <c r="A212" s="33" t="s">
        <v>181</v>
      </c>
      <c r="B212" s="33" t="s">
        <v>182</v>
      </c>
      <c r="C212" s="34">
        <v>46072.421724537</v>
      </c>
      <c r="D212" s="33">
        <v>10</v>
      </c>
    </row>
    <row r="213" spans="1:4">
      <c r="A213" s="33" t="s">
        <v>37</v>
      </c>
      <c r="B213" s="33" t="s">
        <v>38</v>
      </c>
      <c r="C213" s="34">
        <v>46072.4217361111</v>
      </c>
      <c r="D213" s="33">
        <v>10</v>
      </c>
    </row>
    <row r="214" spans="1:4">
      <c r="A214" s="33" t="s">
        <v>257</v>
      </c>
      <c r="B214" s="33" t="s">
        <v>38</v>
      </c>
      <c r="C214" s="34">
        <v>46072.4217476852</v>
      </c>
      <c r="D214" s="33">
        <v>1</v>
      </c>
    </row>
    <row r="215" spans="1:4">
      <c r="A215" s="33" t="s">
        <v>181</v>
      </c>
      <c r="B215" s="33" t="s">
        <v>182</v>
      </c>
      <c r="C215" s="34">
        <v>46072.4246296296</v>
      </c>
      <c r="D215" s="33">
        <v>10</v>
      </c>
    </row>
    <row r="216" spans="1:4">
      <c r="A216" s="33" t="s">
        <v>258</v>
      </c>
      <c r="B216" s="33" t="s">
        <v>182</v>
      </c>
      <c r="C216" s="34">
        <v>46072.4246412037</v>
      </c>
      <c r="D216" s="33">
        <v>5</v>
      </c>
    </row>
    <row r="217" spans="1:4">
      <c r="A217" s="33" t="s">
        <v>181</v>
      </c>
      <c r="B217" s="33" t="s">
        <v>182</v>
      </c>
      <c r="C217" s="34">
        <v>46072.4268634259</v>
      </c>
      <c r="D217" s="33">
        <v>5</v>
      </c>
    </row>
    <row r="218" spans="1:4">
      <c r="A218" s="33" t="s">
        <v>259</v>
      </c>
      <c r="B218" s="33" t="s">
        <v>182</v>
      </c>
      <c r="C218" s="34">
        <v>46072.426875</v>
      </c>
      <c r="D218" s="33">
        <v>5</v>
      </c>
    </row>
    <row r="219" spans="1:4">
      <c r="A219" s="33" t="s">
        <v>260</v>
      </c>
      <c r="B219" s="33" t="s">
        <v>38</v>
      </c>
      <c r="C219" s="34">
        <v>46072.4268865741</v>
      </c>
      <c r="D219" s="33">
        <v>8</v>
      </c>
    </row>
    <row r="220" spans="1:4">
      <c r="A220" s="33" t="s">
        <v>261</v>
      </c>
      <c r="B220" s="33" t="s">
        <v>182</v>
      </c>
      <c r="C220" s="34">
        <v>46072.4268981482</v>
      </c>
      <c r="D220" s="33">
        <v>2</v>
      </c>
    </row>
    <row r="221" spans="1:4">
      <c r="A221" s="33" t="s">
        <v>262</v>
      </c>
      <c r="B221" s="33" t="s">
        <v>182</v>
      </c>
      <c r="C221" s="34">
        <v>46072.4269097222</v>
      </c>
      <c r="D221" s="33">
        <v>2</v>
      </c>
    </row>
    <row r="222" spans="1:4">
      <c r="A222" s="33" t="s">
        <v>258</v>
      </c>
      <c r="B222" s="33" t="s">
        <v>38</v>
      </c>
      <c r="C222" s="34">
        <v>46072.4269212963</v>
      </c>
      <c r="D222" s="33">
        <v>2</v>
      </c>
    </row>
    <row r="223" spans="1:4">
      <c r="A223" s="33" t="s">
        <v>263</v>
      </c>
      <c r="B223" s="33" t="s">
        <v>38</v>
      </c>
      <c r="C223" s="34">
        <v>46072.4269328704</v>
      </c>
      <c r="D223" s="33">
        <v>1</v>
      </c>
    </row>
    <row r="224" spans="1:4">
      <c r="A224" s="33" t="s">
        <v>264</v>
      </c>
      <c r="B224" s="33" t="s">
        <v>38</v>
      </c>
      <c r="C224" s="34">
        <v>46072.4269444444</v>
      </c>
      <c r="D224" s="33">
        <v>1</v>
      </c>
    </row>
    <row r="225" spans="1:4">
      <c r="A225" s="33" t="s">
        <v>165</v>
      </c>
      <c r="B225" s="33" t="s">
        <v>26</v>
      </c>
      <c r="C225" s="34">
        <v>46072.4326851852</v>
      </c>
      <c r="D225" s="33">
        <v>1</v>
      </c>
    </row>
    <row r="226" spans="1:4">
      <c r="A226" s="33" t="s">
        <v>260</v>
      </c>
      <c r="B226" s="33" t="s">
        <v>38</v>
      </c>
      <c r="C226" s="34">
        <v>46072.4365509259</v>
      </c>
      <c r="D226" s="33">
        <v>10</v>
      </c>
    </row>
    <row r="227" spans="1:4">
      <c r="A227" s="33" t="s">
        <v>181</v>
      </c>
      <c r="B227" s="33" t="s">
        <v>182</v>
      </c>
      <c r="C227" s="34">
        <v>46072.4365625</v>
      </c>
      <c r="D227" s="33">
        <v>25</v>
      </c>
    </row>
    <row r="228" spans="1:4">
      <c r="A228" s="33" t="s">
        <v>265</v>
      </c>
      <c r="B228" s="33" t="s">
        <v>38</v>
      </c>
      <c r="C228" s="34">
        <v>46072.4365740741</v>
      </c>
      <c r="D228" s="33">
        <v>15</v>
      </c>
    </row>
    <row r="229" spans="1:4">
      <c r="A229" s="33" t="s">
        <v>266</v>
      </c>
      <c r="B229" s="33" t="s">
        <v>26</v>
      </c>
      <c r="C229" s="34">
        <v>46072.4382175926</v>
      </c>
      <c r="D229" s="33">
        <v>2</v>
      </c>
    </row>
    <row r="230" spans="1:4">
      <c r="A230" s="33" t="s">
        <v>267</v>
      </c>
      <c r="B230" s="33" t="s">
        <v>26</v>
      </c>
      <c r="C230" s="34">
        <v>46072.4382291667</v>
      </c>
      <c r="D230" s="33">
        <v>2</v>
      </c>
    </row>
    <row r="231" spans="1:4">
      <c r="A231" s="33" t="s">
        <v>268</v>
      </c>
      <c r="B231" s="33" t="s">
        <v>26</v>
      </c>
      <c r="C231" s="34">
        <v>46072.4394675926</v>
      </c>
      <c r="D231" s="33">
        <v>4</v>
      </c>
    </row>
    <row r="232" spans="1:4">
      <c r="A232" s="33" t="s">
        <v>269</v>
      </c>
      <c r="B232" s="33" t="s">
        <v>26</v>
      </c>
      <c r="C232" s="34">
        <v>46072.4402199074</v>
      </c>
      <c r="D232" s="33">
        <v>1</v>
      </c>
    </row>
    <row r="233" spans="1:4">
      <c r="A233" s="33" t="s">
        <v>239</v>
      </c>
      <c r="B233" s="33" t="s">
        <v>26</v>
      </c>
      <c r="C233" s="34">
        <v>46072.4402314815</v>
      </c>
      <c r="D233" s="33">
        <v>2</v>
      </c>
    </row>
    <row r="234" spans="1:4">
      <c r="A234" s="33" t="s">
        <v>270</v>
      </c>
      <c r="B234" s="33" t="s">
        <v>38</v>
      </c>
      <c r="C234" s="34">
        <v>46072.4511574074</v>
      </c>
      <c r="D234" s="33">
        <v>2</v>
      </c>
    </row>
    <row r="235" spans="1:4">
      <c r="A235" s="33" t="s">
        <v>237</v>
      </c>
      <c r="B235" s="33" t="s">
        <v>35</v>
      </c>
      <c r="C235" s="34">
        <v>46072.5614814815</v>
      </c>
      <c r="D235" s="33">
        <v>1</v>
      </c>
    </row>
    <row r="236" spans="1:4">
      <c r="A236" s="33" t="s">
        <v>271</v>
      </c>
      <c r="B236" s="33" t="s">
        <v>35</v>
      </c>
      <c r="C236" s="34">
        <v>46072.5614930556</v>
      </c>
      <c r="D236" s="33">
        <v>1</v>
      </c>
    </row>
    <row r="237" spans="1:4">
      <c r="A237" s="33" t="s">
        <v>272</v>
      </c>
      <c r="B237" s="33" t="s">
        <v>26</v>
      </c>
      <c r="C237" s="34">
        <v>46073.3971180556</v>
      </c>
      <c r="D237" s="33">
        <v>0.02</v>
      </c>
    </row>
    <row r="238" spans="1:4">
      <c r="A238" s="33" t="s">
        <v>273</v>
      </c>
      <c r="B238" s="33" t="s">
        <v>35</v>
      </c>
      <c r="C238" s="34">
        <v>46073.4342013889</v>
      </c>
      <c r="D238" s="33">
        <v>2</v>
      </c>
    </row>
    <row r="239" spans="1:4">
      <c r="A239" s="33" t="s">
        <v>274</v>
      </c>
      <c r="B239" s="33" t="s">
        <v>35</v>
      </c>
      <c r="C239" s="34">
        <v>46073.434212963</v>
      </c>
      <c r="D239" s="33">
        <v>1</v>
      </c>
    </row>
    <row r="240" spans="1:4">
      <c r="A240" s="33" t="s">
        <v>275</v>
      </c>
      <c r="B240" s="33" t="s">
        <v>35</v>
      </c>
      <c r="C240" s="34">
        <v>46073.434224537</v>
      </c>
      <c r="D240" s="33">
        <v>1</v>
      </c>
    </row>
    <row r="241" spans="1:4">
      <c r="A241" s="33" t="s">
        <v>276</v>
      </c>
      <c r="B241" s="33" t="s">
        <v>35</v>
      </c>
      <c r="C241" s="34">
        <v>46073.4342361111</v>
      </c>
      <c r="D241" s="33">
        <v>4</v>
      </c>
    </row>
    <row r="242" spans="1:4">
      <c r="A242" s="33" t="s">
        <v>277</v>
      </c>
      <c r="B242" s="33" t="s">
        <v>26</v>
      </c>
      <c r="C242" s="34">
        <v>46073.4377199074</v>
      </c>
      <c r="D242" s="33">
        <v>1</v>
      </c>
    </row>
    <row r="243" spans="1:4">
      <c r="A243" s="33" t="s">
        <v>278</v>
      </c>
      <c r="B243" s="33" t="s">
        <v>35</v>
      </c>
      <c r="C243" s="34">
        <v>46073.4385763889</v>
      </c>
      <c r="D243" s="33">
        <v>1</v>
      </c>
    </row>
    <row r="244" spans="1:4">
      <c r="A244" s="33" t="s">
        <v>279</v>
      </c>
      <c r="B244" s="33" t="s">
        <v>26</v>
      </c>
      <c r="C244" s="34">
        <v>46073.4403240741</v>
      </c>
      <c r="D244" s="33">
        <v>1</v>
      </c>
    </row>
    <row r="245" spans="1:4">
      <c r="A245" s="33" t="s">
        <v>192</v>
      </c>
      <c r="B245" s="33" t="s">
        <v>26</v>
      </c>
      <c r="C245" s="34">
        <v>46073.4409259259</v>
      </c>
      <c r="D245" s="33">
        <v>1</v>
      </c>
    </row>
    <row r="246" spans="1:4">
      <c r="A246" s="33" t="s">
        <v>280</v>
      </c>
      <c r="B246" s="33" t="s">
        <v>26</v>
      </c>
      <c r="C246" s="34">
        <v>46073.4409375</v>
      </c>
      <c r="D246" s="33">
        <v>1</v>
      </c>
    </row>
    <row r="247" spans="1:4">
      <c r="A247" s="33" t="s">
        <v>193</v>
      </c>
      <c r="B247" s="33" t="s">
        <v>26</v>
      </c>
      <c r="C247" s="34">
        <v>46073.4409490741</v>
      </c>
      <c r="D247" s="33">
        <v>1</v>
      </c>
    </row>
    <row r="248" spans="1:4">
      <c r="A248" s="33" t="s">
        <v>237</v>
      </c>
      <c r="B248" s="33" t="s">
        <v>35</v>
      </c>
      <c r="C248" s="34">
        <v>46076.4417939815</v>
      </c>
      <c r="D248" s="33">
        <v>1</v>
      </c>
    </row>
    <row r="249" spans="1:4">
      <c r="A249" s="33" t="s">
        <v>208</v>
      </c>
      <c r="B249" s="33" t="s">
        <v>35</v>
      </c>
      <c r="C249" s="34">
        <v>46076.4418055556</v>
      </c>
      <c r="D249" s="33">
        <v>1</v>
      </c>
    </row>
    <row r="250" spans="1:4">
      <c r="A250" s="33" t="s">
        <v>271</v>
      </c>
      <c r="B250" s="33" t="s">
        <v>35</v>
      </c>
      <c r="C250" s="34">
        <v>46076.4418171296</v>
      </c>
      <c r="D250" s="33">
        <v>1</v>
      </c>
    </row>
    <row r="251" spans="1:4">
      <c r="A251" s="33" t="s">
        <v>211</v>
      </c>
      <c r="B251" s="33" t="s">
        <v>35</v>
      </c>
      <c r="C251" s="34">
        <v>46076.4418287037</v>
      </c>
      <c r="D251" s="33">
        <v>1</v>
      </c>
    </row>
    <row r="252" spans="1:4">
      <c r="A252" s="33" t="s">
        <v>194</v>
      </c>
      <c r="B252" s="33" t="s">
        <v>26</v>
      </c>
      <c r="C252" s="34">
        <v>46076.4440162037</v>
      </c>
      <c r="D252" s="33">
        <v>1</v>
      </c>
    </row>
    <row r="253" spans="1:4">
      <c r="A253" s="33" t="s">
        <v>281</v>
      </c>
      <c r="B253" s="33" t="s">
        <v>26</v>
      </c>
      <c r="C253" s="34">
        <v>46076.4498611111</v>
      </c>
      <c r="D253" s="33">
        <v>1</v>
      </c>
    </row>
    <row r="254" spans="1:4">
      <c r="A254" s="33" t="s">
        <v>282</v>
      </c>
      <c r="B254" s="33" t="s">
        <v>26</v>
      </c>
      <c r="C254" s="34">
        <v>46076.5292013889</v>
      </c>
      <c r="D254" s="33">
        <v>1</v>
      </c>
    </row>
    <row r="255" spans="1:4">
      <c r="A255" s="33" t="s">
        <v>280</v>
      </c>
      <c r="B255" s="33" t="s">
        <v>26</v>
      </c>
      <c r="C255" s="34">
        <v>46077.6278009259</v>
      </c>
      <c r="D255" s="33">
        <v>1</v>
      </c>
    </row>
    <row r="256" spans="1:4">
      <c r="A256" s="33" t="s">
        <v>283</v>
      </c>
      <c r="B256" s="33" t="s">
        <v>26</v>
      </c>
      <c r="C256" s="34">
        <v>46077.649212963</v>
      </c>
      <c r="D256" s="33">
        <v>1</v>
      </c>
    </row>
    <row r="257" spans="1:4">
      <c r="A257" s="33" t="s">
        <v>191</v>
      </c>
      <c r="B257" s="33" t="s">
        <v>26</v>
      </c>
      <c r="C257" s="34">
        <v>46078.7244097222</v>
      </c>
      <c r="D257" s="33">
        <v>1</v>
      </c>
    </row>
    <row r="258" spans="1:4">
      <c r="A258" s="33" t="s">
        <v>173</v>
      </c>
      <c r="B258" s="33" t="s">
        <v>26</v>
      </c>
      <c r="C258" s="34">
        <v>46078.7262615741</v>
      </c>
      <c r="D258" s="33">
        <v>1</v>
      </c>
    </row>
    <row r="259" spans="1:4">
      <c r="A259" s="33" t="s">
        <v>284</v>
      </c>
      <c r="B259" s="33" t="s">
        <v>26</v>
      </c>
      <c r="C259" s="34">
        <v>46078.7269560185</v>
      </c>
      <c r="D259" s="33">
        <v>1</v>
      </c>
    </row>
    <row r="260" spans="1:4">
      <c r="A260" s="33" t="s">
        <v>25</v>
      </c>
      <c r="B260" s="33" t="s">
        <v>26</v>
      </c>
      <c r="C260" s="34">
        <v>46078.72875</v>
      </c>
      <c r="D260" s="33">
        <v>1</v>
      </c>
    </row>
    <row r="261" spans="1:4">
      <c r="A261" s="33" t="s">
        <v>161</v>
      </c>
      <c r="B261" s="33" t="s">
        <v>26</v>
      </c>
      <c r="C261" s="34">
        <v>46078.7304976852</v>
      </c>
      <c r="D261" s="33">
        <v>1</v>
      </c>
    </row>
    <row r="262" spans="1:4">
      <c r="A262" s="33" t="s">
        <v>227</v>
      </c>
      <c r="B262" s="33" t="s">
        <v>26</v>
      </c>
      <c r="C262" s="34">
        <v>46078.7305092593</v>
      </c>
      <c r="D262" s="33">
        <v>2</v>
      </c>
    </row>
    <row r="263" spans="1:4">
      <c r="A263" s="33" t="s">
        <v>285</v>
      </c>
      <c r="B263" s="33" t="s">
        <v>26</v>
      </c>
      <c r="C263" s="34">
        <v>46078.7389699074</v>
      </c>
      <c r="D263" s="33">
        <v>1</v>
      </c>
    </row>
    <row r="264" spans="1:4">
      <c r="A264" s="33" t="s">
        <v>286</v>
      </c>
      <c r="B264" s="33" t="s">
        <v>26</v>
      </c>
      <c r="C264" s="34">
        <v>46078.7400578704</v>
      </c>
      <c r="D264" s="33">
        <v>1</v>
      </c>
    </row>
    <row r="265" spans="1:4">
      <c r="A265" s="33" t="s">
        <v>218</v>
      </c>
      <c r="B265" s="33" t="s">
        <v>26</v>
      </c>
      <c r="C265" s="34">
        <v>46078.7407523148</v>
      </c>
      <c r="D265" s="33">
        <v>1</v>
      </c>
    </row>
    <row r="266" spans="1:4">
      <c r="A266" s="33" t="s">
        <v>287</v>
      </c>
      <c r="B266" s="33" t="s">
        <v>26</v>
      </c>
      <c r="C266" s="34">
        <v>46078.7415856482</v>
      </c>
      <c r="D266" s="33">
        <v>1</v>
      </c>
    </row>
    <row r="267" spans="1:4">
      <c r="A267" s="33" t="s">
        <v>288</v>
      </c>
      <c r="B267" s="33" t="s">
        <v>26</v>
      </c>
      <c r="C267" s="34">
        <v>46079.5343402778</v>
      </c>
      <c r="D267" s="33">
        <v>1</v>
      </c>
    </row>
    <row r="268" spans="1:4">
      <c r="A268" s="33" t="s">
        <v>157</v>
      </c>
      <c r="B268" s="33" t="s">
        <v>35</v>
      </c>
      <c r="C268" s="34">
        <v>46079.5433796296</v>
      </c>
      <c r="D268" s="33">
        <v>1</v>
      </c>
    </row>
    <row r="269" spans="1:4">
      <c r="A269" s="33" t="s">
        <v>289</v>
      </c>
      <c r="B269" s="33" t="s">
        <v>26</v>
      </c>
      <c r="C269" s="34">
        <v>46085.3968981481</v>
      </c>
      <c r="D269" s="33">
        <v>1</v>
      </c>
    </row>
    <row r="270" spans="1:4">
      <c r="A270" s="33" t="s">
        <v>172</v>
      </c>
      <c r="B270" s="33" t="s">
        <v>26</v>
      </c>
      <c r="C270" s="34">
        <v>46085.3974652778</v>
      </c>
      <c r="D270" s="33">
        <v>1</v>
      </c>
    </row>
    <row r="271" spans="1:4">
      <c r="A271" s="33" t="s">
        <v>154</v>
      </c>
      <c r="B271" s="33" t="s">
        <v>26</v>
      </c>
      <c r="C271" s="34">
        <v>46085.4012037037</v>
      </c>
      <c r="D271" s="33">
        <v>1</v>
      </c>
    </row>
    <row r="272" spans="1:4">
      <c r="A272" s="33" t="s">
        <v>203</v>
      </c>
      <c r="B272" s="33" t="s">
        <v>26</v>
      </c>
      <c r="C272" s="34">
        <v>46085.4012152778</v>
      </c>
      <c r="D272" s="33">
        <v>1</v>
      </c>
    </row>
    <row r="273" spans="1:4">
      <c r="A273" s="33" t="s">
        <v>290</v>
      </c>
      <c r="B273" s="33" t="s">
        <v>26</v>
      </c>
      <c r="C273" s="34">
        <v>46085.4012268519</v>
      </c>
      <c r="D273" s="33">
        <v>1</v>
      </c>
    </row>
    <row r="274" spans="1:4">
      <c r="A274" s="33" t="s">
        <v>150</v>
      </c>
      <c r="B274" s="33" t="s">
        <v>26</v>
      </c>
      <c r="C274" s="34">
        <v>46085.4028240741</v>
      </c>
      <c r="D274" s="33">
        <v>1</v>
      </c>
    </row>
    <row r="275" spans="1:4">
      <c r="A275" s="33" t="s">
        <v>67</v>
      </c>
      <c r="B275" s="33" t="s">
        <v>26</v>
      </c>
      <c r="C275" s="34">
        <v>46085.4034606482</v>
      </c>
      <c r="D275" s="33">
        <v>7</v>
      </c>
    </row>
    <row r="276" spans="1:4">
      <c r="A276" s="33" t="s">
        <v>174</v>
      </c>
      <c r="B276" s="33" t="s">
        <v>26</v>
      </c>
      <c r="C276" s="34">
        <v>46085.4034722222</v>
      </c>
      <c r="D276" s="33">
        <v>4</v>
      </c>
    </row>
    <row r="277" spans="1:4">
      <c r="A277" s="33" t="s">
        <v>291</v>
      </c>
      <c r="B277" s="33" t="s">
        <v>26</v>
      </c>
      <c r="C277" s="34">
        <v>46085.4115277778</v>
      </c>
      <c r="D277" s="33">
        <v>1</v>
      </c>
    </row>
    <row r="278" spans="1:4">
      <c r="A278" s="33" t="s">
        <v>292</v>
      </c>
      <c r="B278" s="33" t="s">
        <v>26</v>
      </c>
      <c r="C278" s="34">
        <v>46085.4115393519</v>
      </c>
      <c r="D278" s="33">
        <v>1</v>
      </c>
    </row>
    <row r="279" spans="1:4">
      <c r="A279" s="33" t="s">
        <v>218</v>
      </c>
      <c r="B279" s="33" t="s">
        <v>26</v>
      </c>
      <c r="C279" s="34">
        <v>46085.4126157407</v>
      </c>
      <c r="D279" s="33">
        <v>1</v>
      </c>
    </row>
    <row r="280" spans="1:4">
      <c r="A280" s="33" t="s">
        <v>157</v>
      </c>
      <c r="B280" s="33" t="s">
        <v>35</v>
      </c>
      <c r="C280" s="34">
        <v>46085.413287037</v>
      </c>
      <c r="D280" s="33">
        <v>1</v>
      </c>
    </row>
    <row r="281" spans="1:4">
      <c r="A281" s="33" t="s">
        <v>28</v>
      </c>
      <c r="B281" s="33" t="s">
        <v>26</v>
      </c>
      <c r="C281" s="34">
        <v>46085.414375</v>
      </c>
      <c r="D281" s="33">
        <v>1</v>
      </c>
    </row>
    <row r="282" spans="1:4">
      <c r="A282" s="33" t="s">
        <v>198</v>
      </c>
      <c r="B282" s="33" t="s">
        <v>26</v>
      </c>
      <c r="C282" s="34">
        <v>46085.4143865741</v>
      </c>
      <c r="D282" s="33">
        <v>1</v>
      </c>
    </row>
    <row r="283" spans="1:4">
      <c r="A283" s="33" t="s">
        <v>27</v>
      </c>
      <c r="B283" s="33" t="s">
        <v>26</v>
      </c>
      <c r="C283" s="34">
        <v>46085.415474537</v>
      </c>
      <c r="D283" s="33">
        <v>1</v>
      </c>
    </row>
    <row r="284" spans="1:4">
      <c r="A284" s="33" t="s">
        <v>220</v>
      </c>
      <c r="B284" s="33" t="s">
        <v>35</v>
      </c>
      <c r="C284" s="34">
        <v>46085.4160069445</v>
      </c>
      <c r="D284" s="33">
        <v>1</v>
      </c>
    </row>
    <row r="285" spans="1:4">
      <c r="A285" s="33" t="s">
        <v>150</v>
      </c>
      <c r="B285" s="33" t="s">
        <v>26</v>
      </c>
      <c r="C285" s="34">
        <v>46085.4171180556</v>
      </c>
      <c r="D285" s="33">
        <v>1</v>
      </c>
    </row>
    <row r="286" spans="1:4">
      <c r="A286" s="33" t="s">
        <v>151</v>
      </c>
      <c r="B286" s="33" t="s">
        <v>26</v>
      </c>
      <c r="C286" s="34">
        <v>46085.4171296296</v>
      </c>
      <c r="D286" s="33">
        <v>1</v>
      </c>
    </row>
    <row r="287" spans="1:4">
      <c r="A287" s="33" t="s">
        <v>151</v>
      </c>
      <c r="B287" s="33" t="s">
        <v>26</v>
      </c>
      <c r="C287" s="34">
        <v>46085.4203356481</v>
      </c>
      <c r="D287" s="33">
        <v>1</v>
      </c>
    </row>
    <row r="288" spans="1:4">
      <c r="A288" s="33" t="s">
        <v>173</v>
      </c>
      <c r="B288" s="33" t="s">
        <v>35</v>
      </c>
      <c r="C288" s="34">
        <v>46090.4134837963</v>
      </c>
      <c r="D288" s="33">
        <v>1</v>
      </c>
    </row>
    <row r="289" spans="1:4">
      <c r="A289" s="33" t="s">
        <v>293</v>
      </c>
      <c r="B289" s="33" t="s">
        <v>26</v>
      </c>
      <c r="C289" s="34">
        <v>46090.4147453704</v>
      </c>
      <c r="D289" s="33">
        <v>1</v>
      </c>
    </row>
    <row r="290" spans="1:4">
      <c r="A290" s="33" t="s">
        <v>294</v>
      </c>
      <c r="B290" s="33" t="s">
        <v>26</v>
      </c>
      <c r="C290" s="34">
        <v>46090.4206597222</v>
      </c>
      <c r="D290" s="33">
        <v>1</v>
      </c>
    </row>
    <row r="291" spans="1:4">
      <c r="A291" s="33" t="s">
        <v>295</v>
      </c>
      <c r="B291" s="33" t="s">
        <v>26</v>
      </c>
      <c r="C291" s="34">
        <v>46090.4211574074</v>
      </c>
      <c r="D291" s="33">
        <v>1</v>
      </c>
    </row>
    <row r="292" spans="1:4">
      <c r="A292" s="33" t="s">
        <v>254</v>
      </c>
      <c r="B292" s="33" t="s">
        <v>26</v>
      </c>
      <c r="C292" s="34">
        <v>46090.4240740741</v>
      </c>
      <c r="D292" s="33">
        <v>1</v>
      </c>
    </row>
    <row r="293" spans="1:4">
      <c r="A293" s="33" t="s">
        <v>296</v>
      </c>
      <c r="B293" s="33" t="s">
        <v>26</v>
      </c>
      <c r="C293" s="34">
        <v>46090.4662152778</v>
      </c>
      <c r="D293" s="33">
        <v>1</v>
      </c>
    </row>
    <row r="294" spans="1:4">
      <c r="A294" s="33" t="s">
        <v>297</v>
      </c>
      <c r="B294" s="33" t="s">
        <v>26</v>
      </c>
      <c r="C294" s="34">
        <v>46090.4675115741</v>
      </c>
      <c r="D294" s="33">
        <v>1</v>
      </c>
    </row>
    <row r="295" spans="1:4">
      <c r="A295" s="33" t="s">
        <v>298</v>
      </c>
      <c r="B295" s="33" t="s">
        <v>35</v>
      </c>
      <c r="C295" s="34">
        <v>46090.468900463</v>
      </c>
      <c r="D295" s="33">
        <v>1</v>
      </c>
    </row>
    <row r="296" spans="1:4">
      <c r="A296" s="33" t="s">
        <v>299</v>
      </c>
      <c r="B296" s="33" t="s">
        <v>26</v>
      </c>
      <c r="C296" s="34">
        <v>46090.4697685185</v>
      </c>
      <c r="D296" s="33">
        <v>2</v>
      </c>
    </row>
    <row r="297" spans="1:4">
      <c r="A297" s="33" t="s">
        <v>300</v>
      </c>
      <c r="B297" s="33" t="s">
        <v>26</v>
      </c>
      <c r="C297" s="34">
        <v>46090.4697800926</v>
      </c>
      <c r="D297" s="33">
        <v>1</v>
      </c>
    </row>
    <row r="298" spans="1:4">
      <c r="A298" s="33" t="s">
        <v>25</v>
      </c>
      <c r="B298" s="33" t="s">
        <v>26</v>
      </c>
      <c r="C298" s="34">
        <v>46090.4697916667</v>
      </c>
      <c r="D298" s="33">
        <v>2</v>
      </c>
    </row>
    <row r="299" spans="1:4">
      <c r="A299" s="33" t="s">
        <v>301</v>
      </c>
      <c r="B299" s="33" t="s">
        <v>35</v>
      </c>
      <c r="C299" s="34">
        <v>46090.5750347222</v>
      </c>
      <c r="D299" s="33">
        <v>1</v>
      </c>
    </row>
    <row r="300" spans="1:4">
      <c r="A300" s="33" t="s">
        <v>302</v>
      </c>
      <c r="B300" s="33" t="s">
        <v>35</v>
      </c>
      <c r="C300" s="34">
        <v>46090.5750462963</v>
      </c>
      <c r="D300" s="33">
        <v>1</v>
      </c>
    </row>
    <row r="301" spans="1:4">
      <c r="A301" s="33" t="s">
        <v>303</v>
      </c>
      <c r="B301" s="33" t="s">
        <v>35</v>
      </c>
      <c r="C301" s="34">
        <v>46090.5750578704</v>
      </c>
      <c r="D301" s="33">
        <v>2</v>
      </c>
    </row>
    <row r="302" spans="1:4">
      <c r="A302" s="33" t="s">
        <v>304</v>
      </c>
      <c r="B302" s="33" t="s">
        <v>35</v>
      </c>
      <c r="C302" s="34">
        <v>46090.5750694444</v>
      </c>
      <c r="D302" s="33">
        <v>2</v>
      </c>
    </row>
    <row r="303" spans="1:4">
      <c r="A303" s="33" t="s">
        <v>305</v>
      </c>
      <c r="B303" s="33" t="s">
        <v>182</v>
      </c>
      <c r="C303" s="34">
        <v>46094.800150463</v>
      </c>
      <c r="D303" s="33">
        <v>30</v>
      </c>
    </row>
    <row r="304" spans="1:4">
      <c r="A304" s="33" t="s">
        <v>306</v>
      </c>
      <c r="B304" s="33" t="s">
        <v>26</v>
      </c>
      <c r="C304" s="34">
        <v>46097.445462963</v>
      </c>
      <c r="D304" s="33">
        <v>1</v>
      </c>
    </row>
    <row r="305" spans="1:4">
      <c r="A305" s="33" t="s">
        <v>27</v>
      </c>
      <c r="B305" s="33" t="s">
        <v>26</v>
      </c>
      <c r="C305" s="34">
        <v>46097.445474537</v>
      </c>
      <c r="D305" s="33">
        <v>1</v>
      </c>
    </row>
    <row r="306" spans="1:4">
      <c r="A306" s="33" t="s">
        <v>198</v>
      </c>
      <c r="B306" s="33" t="s">
        <v>26</v>
      </c>
      <c r="C306" s="34">
        <v>46097.4454861111</v>
      </c>
      <c r="D306" s="33">
        <v>1</v>
      </c>
    </row>
    <row r="307" spans="1:4">
      <c r="A307" s="33" t="s">
        <v>307</v>
      </c>
      <c r="B307" s="33" t="s">
        <v>26</v>
      </c>
      <c r="C307" s="34">
        <v>46097.4454976852</v>
      </c>
      <c r="D307" s="33">
        <v>1</v>
      </c>
    </row>
    <row r="308" spans="1:4">
      <c r="A308" s="33" t="s">
        <v>308</v>
      </c>
      <c r="B308" s="33" t="s">
        <v>26</v>
      </c>
      <c r="C308" s="34">
        <v>46097.4555324074</v>
      </c>
      <c r="D308" s="33">
        <v>1</v>
      </c>
    </row>
    <row r="309" spans="1:4">
      <c r="A309" s="33" t="s">
        <v>309</v>
      </c>
      <c r="B309" s="33" t="s">
        <v>26</v>
      </c>
      <c r="C309" s="34">
        <v>46097.4569212963</v>
      </c>
      <c r="D309" s="33">
        <v>1</v>
      </c>
    </row>
    <row r="310" spans="1:4">
      <c r="A310" s="33" t="s">
        <v>310</v>
      </c>
      <c r="B310" s="33" t="s">
        <v>35</v>
      </c>
      <c r="C310" s="34">
        <v>46097.4582175926</v>
      </c>
      <c r="D310" s="33">
        <v>1</v>
      </c>
    </row>
    <row r="311" spans="1:4">
      <c r="A311" s="33" t="s">
        <v>311</v>
      </c>
      <c r="B311" s="33" t="s">
        <v>26</v>
      </c>
      <c r="C311" s="34">
        <v>46097.4589467593</v>
      </c>
      <c r="D311" s="33">
        <v>2</v>
      </c>
    </row>
    <row r="312" spans="1:4">
      <c r="A312" s="33" t="s">
        <v>312</v>
      </c>
      <c r="B312" s="33" t="s">
        <v>26</v>
      </c>
      <c r="C312" s="34">
        <v>46097.4596296296</v>
      </c>
      <c r="D312" s="33">
        <v>1</v>
      </c>
    </row>
    <row r="313" spans="1:4">
      <c r="A313" s="33" t="s">
        <v>27</v>
      </c>
      <c r="B313" s="33" t="s">
        <v>26</v>
      </c>
      <c r="C313" s="34">
        <v>46097.4614351852</v>
      </c>
      <c r="D313" s="33">
        <v>1</v>
      </c>
    </row>
    <row r="314" spans="1:4">
      <c r="A314" s="33" t="s">
        <v>313</v>
      </c>
      <c r="B314" s="33" t="s">
        <v>26</v>
      </c>
      <c r="C314" s="34">
        <v>46097.4618981482</v>
      </c>
      <c r="D314" s="33">
        <v>1</v>
      </c>
    </row>
    <row r="315" spans="1:4">
      <c r="A315" s="33" t="s">
        <v>231</v>
      </c>
      <c r="B315" s="33" t="s">
        <v>26</v>
      </c>
      <c r="C315" s="34">
        <v>46097.4624074074</v>
      </c>
      <c r="D315" s="33">
        <v>2</v>
      </c>
    </row>
    <row r="316" spans="1:4">
      <c r="A316" s="33" t="s">
        <v>174</v>
      </c>
      <c r="B316" s="33" t="s">
        <v>26</v>
      </c>
      <c r="C316" s="34">
        <v>46097.4624189815</v>
      </c>
      <c r="D316" s="33">
        <v>1</v>
      </c>
    </row>
    <row r="317" spans="1:4">
      <c r="A317" s="33" t="s">
        <v>151</v>
      </c>
      <c r="B317" s="33" t="s">
        <v>26</v>
      </c>
      <c r="C317" s="34">
        <v>46097.4624305556</v>
      </c>
      <c r="D317" s="33">
        <v>1</v>
      </c>
    </row>
    <row r="318" spans="1:4">
      <c r="A318" s="33" t="s">
        <v>25</v>
      </c>
      <c r="B318" s="33" t="s">
        <v>26</v>
      </c>
      <c r="C318" s="34">
        <v>46097.4624421296</v>
      </c>
      <c r="D318" s="33">
        <v>1</v>
      </c>
    </row>
    <row r="319" spans="1:4">
      <c r="A319" s="33" t="s">
        <v>175</v>
      </c>
      <c r="B319" s="33" t="s">
        <v>26</v>
      </c>
      <c r="C319" s="34">
        <v>46097.4645717593</v>
      </c>
      <c r="D319" s="33">
        <v>1</v>
      </c>
    </row>
    <row r="320" spans="1:4">
      <c r="A320" s="33" t="s">
        <v>314</v>
      </c>
      <c r="B320" s="33" t="s">
        <v>26</v>
      </c>
      <c r="C320" s="34">
        <v>46097.4645833333</v>
      </c>
      <c r="D320" s="33">
        <v>1</v>
      </c>
    </row>
    <row r="321" spans="1:4">
      <c r="A321" s="33" t="s">
        <v>152</v>
      </c>
      <c r="B321" s="33" t="s">
        <v>26</v>
      </c>
      <c r="C321" s="34">
        <v>46097.4657986111</v>
      </c>
      <c r="D321" s="33">
        <v>1</v>
      </c>
    </row>
    <row r="322" spans="1:4">
      <c r="A322" s="33" t="s">
        <v>149</v>
      </c>
      <c r="B322" s="33" t="s">
        <v>26</v>
      </c>
      <c r="C322" s="34">
        <v>46097.4663657407</v>
      </c>
      <c r="D322" s="33">
        <v>1</v>
      </c>
    </row>
    <row r="323" spans="1:4">
      <c r="A323" s="33" t="s">
        <v>174</v>
      </c>
      <c r="B323" s="33" t="s">
        <v>26</v>
      </c>
      <c r="C323" s="34">
        <v>46097.4669097222</v>
      </c>
      <c r="D323" s="33">
        <v>1</v>
      </c>
    </row>
    <row r="324" spans="1:4">
      <c r="A324" s="33" t="s">
        <v>149</v>
      </c>
      <c r="B324" s="33" t="s">
        <v>26</v>
      </c>
      <c r="C324" s="34">
        <v>46097.4669212963</v>
      </c>
      <c r="D324" s="33">
        <v>1</v>
      </c>
    </row>
    <row r="325" spans="1:4">
      <c r="A325" s="33" t="s">
        <v>266</v>
      </c>
      <c r="B325" s="33" t="s">
        <v>26</v>
      </c>
      <c r="C325" s="34">
        <v>46097.4679976852</v>
      </c>
      <c r="D325" s="33">
        <v>4</v>
      </c>
    </row>
    <row r="326" spans="1:4">
      <c r="A326" s="33" t="s">
        <v>224</v>
      </c>
      <c r="B326" s="33" t="s">
        <v>35</v>
      </c>
      <c r="C326" s="34">
        <v>46098.5470833333</v>
      </c>
      <c r="D326" s="33">
        <v>1</v>
      </c>
    </row>
    <row r="327" spans="1:4">
      <c r="A327" s="33" t="s">
        <v>237</v>
      </c>
      <c r="B327" s="33" t="s">
        <v>35</v>
      </c>
      <c r="C327" s="34">
        <v>46098.5506481482</v>
      </c>
      <c r="D327" s="33">
        <v>1</v>
      </c>
    </row>
    <row r="328" spans="1:4">
      <c r="A328" s="33" t="s">
        <v>208</v>
      </c>
      <c r="B328" s="33" t="s">
        <v>35</v>
      </c>
      <c r="C328" s="34">
        <v>46098.5506597222</v>
      </c>
      <c r="D328" s="33">
        <v>1</v>
      </c>
    </row>
    <row r="329" spans="1:4">
      <c r="A329" s="33" t="s">
        <v>271</v>
      </c>
      <c r="B329" s="33" t="s">
        <v>35</v>
      </c>
      <c r="C329" s="34">
        <v>46098.5506712963</v>
      </c>
      <c r="D329" s="33">
        <v>1</v>
      </c>
    </row>
    <row r="330" spans="1:4">
      <c r="A330" s="33" t="s">
        <v>209</v>
      </c>
      <c r="B330" s="33" t="s">
        <v>35</v>
      </c>
      <c r="C330" s="34">
        <v>46098.5506828704</v>
      </c>
      <c r="D330" s="33">
        <v>1</v>
      </c>
    </row>
    <row r="331" spans="1:4">
      <c r="A331" s="33" t="s">
        <v>211</v>
      </c>
      <c r="B331" s="33" t="s">
        <v>35</v>
      </c>
      <c r="C331" s="34">
        <v>46098.5506944444</v>
      </c>
      <c r="D331" s="33">
        <v>1</v>
      </c>
    </row>
    <row r="332" spans="1:4">
      <c r="A332" s="33" t="s">
        <v>161</v>
      </c>
      <c r="B332" s="33" t="s">
        <v>26</v>
      </c>
      <c r="C332" s="34">
        <v>46098.5535532407</v>
      </c>
      <c r="D332" s="33">
        <v>1</v>
      </c>
    </row>
    <row r="333" spans="1:4">
      <c r="A333" s="33" t="s">
        <v>315</v>
      </c>
      <c r="B333" s="33" t="s">
        <v>35</v>
      </c>
      <c r="C333" s="34">
        <v>46098.5544212963</v>
      </c>
      <c r="D333" s="33">
        <v>1</v>
      </c>
    </row>
    <row r="334" spans="1:4">
      <c r="A334" s="33" t="s">
        <v>316</v>
      </c>
      <c r="B334" s="33" t="s">
        <v>35</v>
      </c>
      <c r="C334" s="34">
        <v>46098.5544328704</v>
      </c>
      <c r="D334" s="33">
        <v>1</v>
      </c>
    </row>
    <row r="335" spans="1:4">
      <c r="A335" s="33" t="s">
        <v>317</v>
      </c>
      <c r="B335" s="33" t="s">
        <v>26</v>
      </c>
      <c r="C335" s="34">
        <v>46099.5826273148</v>
      </c>
      <c r="D335" s="33">
        <v>1</v>
      </c>
    </row>
    <row r="336" spans="1:4">
      <c r="A336" s="33" t="s">
        <v>177</v>
      </c>
      <c r="B336" s="33" t="s">
        <v>26</v>
      </c>
      <c r="C336" s="34">
        <v>46099.5834259259</v>
      </c>
      <c r="D336" s="33">
        <v>1</v>
      </c>
    </row>
    <row r="337" spans="1:4">
      <c r="A337" s="33" t="s">
        <v>318</v>
      </c>
      <c r="B337" s="33" t="s">
        <v>26</v>
      </c>
      <c r="C337" s="34">
        <v>46099.5902777778</v>
      </c>
      <c r="D337" s="33">
        <v>1</v>
      </c>
    </row>
    <row r="338" spans="1:4">
      <c r="A338" s="33" t="s">
        <v>319</v>
      </c>
      <c r="B338" s="33" t="s">
        <v>26</v>
      </c>
      <c r="C338" s="34">
        <v>46099.5996296296</v>
      </c>
      <c r="D338" s="33">
        <v>2</v>
      </c>
    </row>
    <row r="339" spans="1:4">
      <c r="A339" s="33" t="s">
        <v>320</v>
      </c>
      <c r="B339" s="33" t="s">
        <v>26</v>
      </c>
      <c r="C339" s="34">
        <v>46099.600462963</v>
      </c>
      <c r="D339" s="33">
        <v>1</v>
      </c>
    </row>
    <row r="340" spans="1:4">
      <c r="A340" s="33" t="s">
        <v>321</v>
      </c>
      <c r="B340" s="33" t="s">
        <v>26</v>
      </c>
      <c r="C340" s="34">
        <v>46099.6595138889</v>
      </c>
      <c r="D340" s="33">
        <v>1</v>
      </c>
    </row>
    <row r="341" spans="1:4">
      <c r="A341" s="33" t="s">
        <v>224</v>
      </c>
      <c r="B341" s="33" t="s">
        <v>26</v>
      </c>
      <c r="C341" s="34">
        <v>46099.6609490741</v>
      </c>
      <c r="D341" s="33">
        <v>1</v>
      </c>
    </row>
    <row r="342" spans="1:4">
      <c r="A342" s="33" t="s">
        <v>218</v>
      </c>
      <c r="B342" s="33" t="s">
        <v>26</v>
      </c>
      <c r="C342" s="34">
        <v>46099.6617708333</v>
      </c>
      <c r="D342" s="33">
        <v>1</v>
      </c>
    </row>
    <row r="343" spans="1:4">
      <c r="A343" s="33" t="s">
        <v>27</v>
      </c>
      <c r="B343" s="33" t="s">
        <v>26</v>
      </c>
      <c r="C343" s="34">
        <v>46101.5064814815</v>
      </c>
      <c r="D343" s="33">
        <v>1</v>
      </c>
    </row>
    <row r="344" spans="1:4">
      <c r="A344" s="33" t="s">
        <v>149</v>
      </c>
      <c r="B344" s="33" t="s">
        <v>26</v>
      </c>
      <c r="C344" s="34">
        <v>46101.507349537</v>
      </c>
      <c r="D344" s="33">
        <v>2</v>
      </c>
    </row>
    <row r="345" spans="1:4">
      <c r="A345" s="33" t="s">
        <v>175</v>
      </c>
      <c r="B345" s="33" t="s">
        <v>26</v>
      </c>
      <c r="C345" s="34">
        <v>46101.5079282407</v>
      </c>
      <c r="D345" s="33">
        <v>1</v>
      </c>
    </row>
    <row r="346" spans="1:4">
      <c r="A346" s="33" t="s">
        <v>172</v>
      </c>
      <c r="B346" s="33" t="s">
        <v>26</v>
      </c>
      <c r="C346" s="34">
        <v>46101.5084490741</v>
      </c>
      <c r="D346" s="33">
        <v>1</v>
      </c>
    </row>
    <row r="347" spans="1:4">
      <c r="A347" s="33" t="s">
        <v>28</v>
      </c>
      <c r="B347" s="33" t="s">
        <v>26</v>
      </c>
      <c r="C347" s="34">
        <v>46101.5084606482</v>
      </c>
      <c r="D347" s="33">
        <v>1</v>
      </c>
    </row>
    <row r="348" spans="1:4">
      <c r="A348" s="33" t="s">
        <v>213</v>
      </c>
      <c r="B348" s="33" t="s">
        <v>26</v>
      </c>
      <c r="C348" s="34">
        <v>46101.5084722222</v>
      </c>
      <c r="D348" s="33">
        <v>1</v>
      </c>
    </row>
    <row r="349" spans="1:4">
      <c r="A349" s="33" t="s">
        <v>149</v>
      </c>
      <c r="B349" s="33" t="s">
        <v>26</v>
      </c>
      <c r="C349" s="34">
        <v>46101.5103125</v>
      </c>
      <c r="D349" s="33">
        <v>1</v>
      </c>
    </row>
    <row r="350" spans="1:4">
      <c r="A350" s="33" t="s">
        <v>322</v>
      </c>
      <c r="B350" s="33" t="s">
        <v>35</v>
      </c>
      <c r="C350" s="34">
        <v>46101.5109490741</v>
      </c>
      <c r="D350" s="33">
        <v>1</v>
      </c>
    </row>
    <row r="351" spans="1:4">
      <c r="A351" s="33" t="s">
        <v>241</v>
      </c>
      <c r="B351" s="33" t="s">
        <v>26</v>
      </c>
      <c r="C351" s="34">
        <v>46101.5120486111</v>
      </c>
      <c r="D351" s="33">
        <v>1</v>
      </c>
    </row>
    <row r="352" spans="1:4">
      <c r="A352" s="33" t="s">
        <v>49</v>
      </c>
      <c r="B352" s="33" t="s">
        <v>35</v>
      </c>
      <c r="C352" s="34">
        <v>46101.5141666667</v>
      </c>
      <c r="D352" s="33">
        <v>1</v>
      </c>
    </row>
    <row r="353" spans="1:4">
      <c r="A353" s="33" t="s">
        <v>157</v>
      </c>
      <c r="B353" s="33" t="s">
        <v>35</v>
      </c>
      <c r="C353" s="34">
        <v>46101.5141782407</v>
      </c>
      <c r="D353" s="33">
        <v>1</v>
      </c>
    </row>
    <row r="354" spans="1:4">
      <c r="A354" s="33" t="s">
        <v>156</v>
      </c>
      <c r="B354" s="33" t="s">
        <v>35</v>
      </c>
      <c r="C354" s="34">
        <v>46101.5141898148</v>
      </c>
      <c r="D354" s="33">
        <v>1</v>
      </c>
    </row>
    <row r="355" spans="1:4">
      <c r="A355" s="33" t="s">
        <v>158</v>
      </c>
      <c r="B355" s="33" t="s">
        <v>35</v>
      </c>
      <c r="C355" s="34">
        <v>46101.5142013889</v>
      </c>
      <c r="D355" s="33">
        <v>1</v>
      </c>
    </row>
    <row r="356" spans="1:4">
      <c r="A356" s="33" t="s">
        <v>211</v>
      </c>
      <c r="B356" s="33" t="s">
        <v>35</v>
      </c>
      <c r="C356" s="34">
        <v>46104.6090509259</v>
      </c>
      <c r="D356" s="33">
        <v>1</v>
      </c>
    </row>
    <row r="357" spans="1:4">
      <c r="A357" s="33" t="s">
        <v>209</v>
      </c>
      <c r="B357" s="33" t="s">
        <v>35</v>
      </c>
      <c r="C357" s="34">
        <v>46104.6090625</v>
      </c>
      <c r="D357" s="33">
        <v>1</v>
      </c>
    </row>
    <row r="358" spans="1:4">
      <c r="A358" s="33" t="s">
        <v>208</v>
      </c>
      <c r="B358" s="33" t="s">
        <v>35</v>
      </c>
      <c r="C358" s="34">
        <v>46104.6090740741</v>
      </c>
      <c r="D358" s="33">
        <v>1</v>
      </c>
    </row>
    <row r="359" spans="1:4">
      <c r="A359" s="33" t="s">
        <v>237</v>
      </c>
      <c r="B359" s="33" t="s">
        <v>35</v>
      </c>
      <c r="C359" s="34">
        <v>46104.6090856482</v>
      </c>
      <c r="D359" s="33">
        <v>1</v>
      </c>
    </row>
    <row r="360" spans="1:4">
      <c r="A360" s="33" t="s">
        <v>271</v>
      </c>
      <c r="B360" s="33" t="s">
        <v>35</v>
      </c>
      <c r="C360" s="34">
        <v>46104.6090972222</v>
      </c>
      <c r="D360" s="33">
        <v>1</v>
      </c>
    </row>
    <row r="361" spans="1:4">
      <c r="A361" s="33" t="s">
        <v>323</v>
      </c>
      <c r="B361" s="33" t="s">
        <v>26</v>
      </c>
      <c r="C361" s="34">
        <v>46104.6114351852</v>
      </c>
      <c r="D361" s="33">
        <v>1</v>
      </c>
    </row>
    <row r="362" spans="1:4">
      <c r="A362" s="33" t="s">
        <v>191</v>
      </c>
      <c r="B362" s="33" t="s">
        <v>26</v>
      </c>
      <c r="C362" s="34">
        <v>46104.6114467593</v>
      </c>
      <c r="D362" s="33">
        <v>1</v>
      </c>
    </row>
    <row r="363" spans="1:4">
      <c r="A363" s="33" t="s">
        <v>324</v>
      </c>
      <c r="B363" s="33" t="s">
        <v>26</v>
      </c>
      <c r="C363" s="34">
        <v>46104.6127199074</v>
      </c>
      <c r="D363" s="33">
        <v>1</v>
      </c>
    </row>
    <row r="364" spans="1:4">
      <c r="A364" s="33" t="s">
        <v>223</v>
      </c>
      <c r="B364" s="33" t="s">
        <v>26</v>
      </c>
      <c r="C364" s="34">
        <v>46106.6812152778</v>
      </c>
      <c r="D364" s="33">
        <v>1</v>
      </c>
    </row>
    <row r="365" spans="1:4">
      <c r="A365" s="33" t="s">
        <v>149</v>
      </c>
      <c r="B365" s="33" t="s">
        <v>26</v>
      </c>
      <c r="C365" s="34">
        <v>46106.6812268519</v>
      </c>
      <c r="D365" s="33">
        <v>1</v>
      </c>
    </row>
    <row r="366" spans="1:4">
      <c r="A366" s="33" t="s">
        <v>27</v>
      </c>
      <c r="B366" s="33" t="s">
        <v>26</v>
      </c>
      <c r="C366" s="34">
        <v>46106.6834722222</v>
      </c>
      <c r="D366" s="33">
        <v>2</v>
      </c>
    </row>
    <row r="367" spans="1:4">
      <c r="A367" s="33" t="s">
        <v>325</v>
      </c>
      <c r="B367" s="33" t="s">
        <v>26</v>
      </c>
      <c r="C367" s="34">
        <v>46106.6834837963</v>
      </c>
      <c r="D367" s="33">
        <v>1</v>
      </c>
    </row>
    <row r="368" spans="1:4">
      <c r="A368" s="33" t="s">
        <v>326</v>
      </c>
      <c r="B368" s="33" t="s">
        <v>26</v>
      </c>
      <c r="C368" s="34">
        <v>46106.6880902778</v>
      </c>
      <c r="D368" s="33">
        <v>1</v>
      </c>
    </row>
    <row r="369" spans="1:4">
      <c r="A369" s="33" t="s">
        <v>327</v>
      </c>
      <c r="B369" s="33" t="s">
        <v>26</v>
      </c>
      <c r="C369" s="34">
        <v>46106.6881018519</v>
      </c>
      <c r="D369" s="33">
        <v>1</v>
      </c>
    </row>
    <row r="370" spans="1:4">
      <c r="A370" s="33" t="s">
        <v>328</v>
      </c>
      <c r="B370" s="33" t="s">
        <v>26</v>
      </c>
      <c r="C370" s="34">
        <v>46107.8307407407</v>
      </c>
      <c r="D370" s="33">
        <v>1</v>
      </c>
    </row>
    <row r="371" spans="1:4">
      <c r="A371" s="33" t="s">
        <v>320</v>
      </c>
      <c r="B371" s="33" t="s">
        <v>26</v>
      </c>
      <c r="C371" s="34">
        <v>46107.8328125</v>
      </c>
      <c r="D371" s="33">
        <v>1</v>
      </c>
    </row>
    <row r="372" spans="1:4">
      <c r="A372" s="33" t="s">
        <v>165</v>
      </c>
      <c r="B372" s="33" t="s">
        <v>26</v>
      </c>
      <c r="C372" s="34">
        <v>46107.8328240741</v>
      </c>
      <c r="D372" s="33">
        <v>1</v>
      </c>
    </row>
    <row r="373" spans="1:4">
      <c r="A373" s="33" t="s">
        <v>202</v>
      </c>
      <c r="B373" s="33" t="s">
        <v>26</v>
      </c>
      <c r="C373" s="34">
        <v>46111.5315509259</v>
      </c>
      <c r="D373" s="33">
        <v>1</v>
      </c>
    </row>
    <row r="374" spans="1:4">
      <c r="A374" s="33" t="s">
        <v>307</v>
      </c>
      <c r="B374" s="33" t="s">
        <v>26</v>
      </c>
      <c r="C374" s="34">
        <v>46111.5336226852</v>
      </c>
      <c r="D374" s="33">
        <v>1</v>
      </c>
    </row>
    <row r="375" spans="1:4">
      <c r="A375" s="33" t="s">
        <v>318</v>
      </c>
      <c r="B375" s="33" t="s">
        <v>26</v>
      </c>
      <c r="C375" s="34">
        <v>46111.5336342593</v>
      </c>
      <c r="D375" s="33">
        <v>1</v>
      </c>
    </row>
    <row r="376" spans="1:4">
      <c r="A376" s="33" t="s">
        <v>153</v>
      </c>
      <c r="B376" s="33" t="s">
        <v>26</v>
      </c>
      <c r="C376" s="34">
        <v>46111.5355787037</v>
      </c>
      <c r="D376" s="33">
        <v>1</v>
      </c>
    </row>
    <row r="377" spans="1:4">
      <c r="A377" s="33" t="s">
        <v>329</v>
      </c>
      <c r="B377" s="33" t="s">
        <v>26</v>
      </c>
      <c r="C377" s="34">
        <v>46111.5377777778</v>
      </c>
      <c r="D377" s="33">
        <v>1</v>
      </c>
    </row>
    <row r="378" spans="1:4">
      <c r="A378" s="33" t="s">
        <v>149</v>
      </c>
      <c r="B378" s="33" t="s">
        <v>26</v>
      </c>
      <c r="C378" s="34">
        <v>46111.5394675926</v>
      </c>
      <c r="D378" s="33">
        <v>1</v>
      </c>
    </row>
    <row r="379" spans="1:4">
      <c r="A379" s="33" t="s">
        <v>202</v>
      </c>
      <c r="B379" s="33" t="s">
        <v>26</v>
      </c>
      <c r="C379" s="34">
        <v>46111.5400462963</v>
      </c>
      <c r="D379" s="33">
        <v>1</v>
      </c>
    </row>
    <row r="380" spans="1:4">
      <c r="A380" s="33" t="s">
        <v>317</v>
      </c>
      <c r="B380" s="33" t="s">
        <v>26</v>
      </c>
      <c r="C380" s="34">
        <v>46111.5408217593</v>
      </c>
      <c r="D380" s="33">
        <v>1</v>
      </c>
    </row>
    <row r="381" spans="1:4">
      <c r="A381" s="33" t="s">
        <v>159</v>
      </c>
      <c r="B381" s="33" t="s">
        <v>26</v>
      </c>
      <c r="C381" s="34">
        <v>46119.3393287037</v>
      </c>
      <c r="D381" s="33">
        <v>2</v>
      </c>
    </row>
    <row r="382" spans="1:4">
      <c r="A382" s="33" t="s">
        <v>330</v>
      </c>
      <c r="B382" s="33" t="s">
        <v>26</v>
      </c>
      <c r="C382" s="34">
        <v>46119.3407291667</v>
      </c>
      <c r="D382" s="33">
        <v>1</v>
      </c>
    </row>
    <row r="383" spans="1:4">
      <c r="A383" s="33" t="s">
        <v>155</v>
      </c>
      <c r="B383" s="33" t="s">
        <v>26</v>
      </c>
      <c r="C383" s="34">
        <v>46119.3493171296</v>
      </c>
      <c r="D383" s="33">
        <v>2</v>
      </c>
    </row>
    <row r="384" spans="1:4">
      <c r="A384" s="33" t="s">
        <v>25</v>
      </c>
      <c r="B384" s="33" t="s">
        <v>26</v>
      </c>
      <c r="C384" s="34">
        <v>46119.3501388889</v>
      </c>
      <c r="D384" s="33">
        <v>1</v>
      </c>
    </row>
    <row r="385" spans="1:4">
      <c r="A385" s="33" t="s">
        <v>194</v>
      </c>
      <c r="B385" s="33" t="s">
        <v>26</v>
      </c>
      <c r="C385" s="34">
        <v>46119.3723842593</v>
      </c>
      <c r="D385" s="33">
        <v>2</v>
      </c>
    </row>
    <row r="386" spans="1:4">
      <c r="A386" s="33" t="s">
        <v>220</v>
      </c>
      <c r="B386" s="33" t="s">
        <v>35</v>
      </c>
      <c r="C386" s="34">
        <v>46119.3733680556</v>
      </c>
      <c r="D386" s="33">
        <v>1</v>
      </c>
    </row>
    <row r="387" spans="1:4">
      <c r="A387" s="33" t="s">
        <v>151</v>
      </c>
      <c r="B387" s="33" t="s">
        <v>26</v>
      </c>
      <c r="C387" s="34">
        <v>46119.3740509259</v>
      </c>
      <c r="D387" s="33">
        <v>1</v>
      </c>
    </row>
    <row r="388" spans="1:4">
      <c r="A388" s="33" t="s">
        <v>331</v>
      </c>
      <c r="B388" s="33" t="s">
        <v>26</v>
      </c>
      <c r="C388" s="34">
        <v>46119.3745717593</v>
      </c>
      <c r="D388" s="33">
        <v>1</v>
      </c>
    </row>
    <row r="389" spans="1:4">
      <c r="A389" s="33" t="s">
        <v>251</v>
      </c>
      <c r="B389" s="33" t="s">
        <v>35</v>
      </c>
      <c r="C389" s="34">
        <v>46119.3754398148</v>
      </c>
      <c r="D389" s="33">
        <v>1</v>
      </c>
    </row>
    <row r="390" spans="1:4">
      <c r="A390" s="33" t="s">
        <v>332</v>
      </c>
      <c r="B390" s="33" t="s">
        <v>35</v>
      </c>
      <c r="C390" s="34">
        <v>46120.5650462963</v>
      </c>
      <c r="D390" s="33">
        <v>1</v>
      </c>
    </row>
    <row r="391" spans="1:4">
      <c r="A391" s="33" t="s">
        <v>25</v>
      </c>
      <c r="B391" s="33" t="s">
        <v>26</v>
      </c>
      <c r="C391" s="34">
        <v>46120.5665740741</v>
      </c>
      <c r="D391" s="33">
        <v>1</v>
      </c>
    </row>
    <row r="392" spans="1:4">
      <c r="A392" s="33" t="s">
        <v>333</v>
      </c>
      <c r="B392" s="33" t="s">
        <v>26</v>
      </c>
      <c r="C392" s="34">
        <v>46120.5678587963</v>
      </c>
      <c r="D392" s="33">
        <v>1</v>
      </c>
    </row>
    <row r="393" spans="1:4">
      <c r="A393" s="33" t="s">
        <v>334</v>
      </c>
      <c r="B393" s="33" t="s">
        <v>26</v>
      </c>
      <c r="C393" s="34">
        <v>46120.5678703704</v>
      </c>
      <c r="D393" s="33">
        <v>1</v>
      </c>
    </row>
    <row r="394" spans="1:4">
      <c r="A394" s="33" t="s">
        <v>228</v>
      </c>
      <c r="B394" s="33" t="s">
        <v>35</v>
      </c>
      <c r="C394" s="34">
        <v>46120.5698148148</v>
      </c>
      <c r="D394" s="33">
        <v>1</v>
      </c>
    </row>
    <row r="395" spans="1:4">
      <c r="A395" s="33" t="s">
        <v>335</v>
      </c>
      <c r="B395" s="33" t="s">
        <v>26</v>
      </c>
      <c r="C395" s="34">
        <v>46120.5768287037</v>
      </c>
      <c r="D395" s="33">
        <v>1</v>
      </c>
    </row>
    <row r="396" spans="1:4">
      <c r="A396" s="33" t="s">
        <v>336</v>
      </c>
      <c r="B396" s="33" t="s">
        <v>35</v>
      </c>
      <c r="C396" s="34">
        <v>46121.5356134259</v>
      </c>
      <c r="D396" s="33">
        <v>1</v>
      </c>
    </row>
    <row r="397" spans="1:4">
      <c r="A397" s="33" t="s">
        <v>337</v>
      </c>
      <c r="B397" s="33" t="s">
        <v>35</v>
      </c>
      <c r="C397" s="34">
        <v>46121.535625</v>
      </c>
      <c r="D397" s="33">
        <v>1</v>
      </c>
    </row>
    <row r="398" spans="1:4">
      <c r="A398" s="33" t="s">
        <v>338</v>
      </c>
      <c r="B398" s="33" t="s">
        <v>35</v>
      </c>
      <c r="C398" s="34">
        <v>46121.5356365741</v>
      </c>
      <c r="D398" s="33">
        <v>2</v>
      </c>
    </row>
    <row r="399" spans="1:4">
      <c r="A399" s="33" t="s">
        <v>339</v>
      </c>
      <c r="B399" s="33" t="s">
        <v>35</v>
      </c>
      <c r="C399" s="34">
        <v>46121.5356481482</v>
      </c>
      <c r="D399" s="33">
        <v>1</v>
      </c>
    </row>
    <row r="400" spans="1:4">
      <c r="A400" s="33" t="s">
        <v>340</v>
      </c>
      <c r="B400" s="33" t="s">
        <v>35</v>
      </c>
      <c r="C400" s="34">
        <v>46121.5356597222</v>
      </c>
      <c r="D400" s="33">
        <v>1</v>
      </c>
    </row>
    <row r="401" spans="1:4">
      <c r="A401" s="33" t="s">
        <v>341</v>
      </c>
      <c r="B401" s="33" t="s">
        <v>35</v>
      </c>
      <c r="C401" s="34">
        <v>46121.5356712963</v>
      </c>
      <c r="D401" s="33">
        <v>1</v>
      </c>
    </row>
    <row r="402" spans="1:4">
      <c r="A402" s="33" t="s">
        <v>342</v>
      </c>
      <c r="B402" s="33" t="s">
        <v>35</v>
      </c>
      <c r="C402" s="34">
        <v>46121.5356828704</v>
      </c>
      <c r="D402" s="33">
        <v>2</v>
      </c>
    </row>
    <row r="403" spans="1:4">
      <c r="A403" s="33" t="s">
        <v>343</v>
      </c>
      <c r="B403" s="33" t="s">
        <v>35</v>
      </c>
      <c r="C403" s="34">
        <v>46121.5356944444</v>
      </c>
      <c r="D403" s="33">
        <v>2</v>
      </c>
    </row>
    <row r="404" spans="1:4">
      <c r="A404" s="33" t="s">
        <v>344</v>
      </c>
      <c r="B404" s="33" t="s">
        <v>35</v>
      </c>
      <c r="C404" s="34">
        <v>46121.5357060185</v>
      </c>
      <c r="D404" s="33">
        <v>1</v>
      </c>
    </row>
    <row r="405" spans="1:4">
      <c r="A405" s="33" t="s">
        <v>345</v>
      </c>
      <c r="B405" s="33" t="s">
        <v>35</v>
      </c>
      <c r="C405" s="34">
        <v>46121.5357175926</v>
      </c>
      <c r="D405" s="33">
        <v>1</v>
      </c>
    </row>
    <row r="406" spans="1:4">
      <c r="A406" s="33" t="s">
        <v>346</v>
      </c>
      <c r="B406" s="33" t="s">
        <v>35</v>
      </c>
      <c r="C406" s="34">
        <v>46121.5357291667</v>
      </c>
      <c r="D406" s="33">
        <v>4</v>
      </c>
    </row>
    <row r="407" spans="1:4">
      <c r="A407" s="33" t="s">
        <v>347</v>
      </c>
      <c r="B407" s="33" t="s">
        <v>35</v>
      </c>
      <c r="C407" s="34">
        <v>46121.5357407407</v>
      </c>
      <c r="D407" s="33">
        <v>14</v>
      </c>
    </row>
    <row r="408" spans="1:4">
      <c r="A408" s="33" t="s">
        <v>348</v>
      </c>
      <c r="B408" s="33" t="s">
        <v>35</v>
      </c>
      <c r="C408" s="34">
        <v>46121.5357523148</v>
      </c>
      <c r="D408" s="33">
        <v>1</v>
      </c>
    </row>
    <row r="409" spans="1:4">
      <c r="A409" s="33" t="s">
        <v>349</v>
      </c>
      <c r="B409" s="33" t="s">
        <v>35</v>
      </c>
      <c r="C409" s="34">
        <v>46121.5357638889</v>
      </c>
      <c r="D409" s="33">
        <v>1</v>
      </c>
    </row>
    <row r="410" spans="1:4">
      <c r="A410" s="33" t="s">
        <v>350</v>
      </c>
      <c r="B410" s="33" t="s">
        <v>35</v>
      </c>
      <c r="C410" s="34">
        <v>46122.3865393519</v>
      </c>
      <c r="D410" s="33">
        <v>1</v>
      </c>
    </row>
    <row r="411" spans="1:4">
      <c r="A411" s="33" t="s">
        <v>351</v>
      </c>
      <c r="B411" s="33" t="s">
        <v>26</v>
      </c>
      <c r="C411" s="34">
        <v>46122.3871296296</v>
      </c>
      <c r="D411" s="33">
        <v>1</v>
      </c>
    </row>
    <row r="412" spans="1:4">
      <c r="A412" s="33" t="s">
        <v>352</v>
      </c>
      <c r="B412" s="33" t="s">
        <v>26</v>
      </c>
      <c r="C412" s="34">
        <v>46122.3901736111</v>
      </c>
      <c r="D412" s="33">
        <v>1</v>
      </c>
    </row>
    <row r="413" spans="1:4">
      <c r="A413" s="33" t="s">
        <v>27</v>
      </c>
      <c r="B413" s="33" t="s">
        <v>26</v>
      </c>
      <c r="C413" s="34">
        <v>46122.3908449074</v>
      </c>
      <c r="D413" s="33">
        <v>1</v>
      </c>
    </row>
    <row r="414" spans="1:4">
      <c r="A414" s="33" t="s">
        <v>353</v>
      </c>
      <c r="B414" s="33" t="s">
        <v>26</v>
      </c>
      <c r="C414" s="34">
        <v>46122.3914467593</v>
      </c>
      <c r="D414" s="33">
        <v>1</v>
      </c>
    </row>
    <row r="415" spans="1:4">
      <c r="A415" s="33" t="s">
        <v>354</v>
      </c>
      <c r="B415" s="33" t="s">
        <v>26</v>
      </c>
      <c r="C415" s="34">
        <v>46122.3914583333</v>
      </c>
      <c r="D415" s="33">
        <v>1</v>
      </c>
    </row>
    <row r="416" spans="1:4">
      <c r="A416" s="33" t="s">
        <v>355</v>
      </c>
      <c r="B416" s="33" t="s">
        <v>26</v>
      </c>
      <c r="C416" s="34">
        <v>46122.3914699074</v>
      </c>
      <c r="D416" s="33">
        <v>1</v>
      </c>
    </row>
    <row r="417" spans="1:4">
      <c r="A417" s="33" t="s">
        <v>356</v>
      </c>
      <c r="B417" s="33" t="s">
        <v>26</v>
      </c>
      <c r="C417" s="34">
        <v>46122.3914814815</v>
      </c>
      <c r="D417" s="33">
        <v>1</v>
      </c>
    </row>
    <row r="418" spans="1:4">
      <c r="A418" s="33" t="s">
        <v>198</v>
      </c>
      <c r="B418" s="33" t="s">
        <v>26</v>
      </c>
      <c r="C418" s="34">
        <v>46122.3914930556</v>
      </c>
      <c r="D418" s="33">
        <v>1</v>
      </c>
    </row>
    <row r="419" spans="1:4">
      <c r="A419" s="33" t="s">
        <v>27</v>
      </c>
      <c r="B419" s="33" t="s">
        <v>26</v>
      </c>
      <c r="C419" s="34">
        <v>46122.3942939815</v>
      </c>
      <c r="D419" s="33">
        <v>1</v>
      </c>
    </row>
    <row r="420" spans="1:4">
      <c r="A420" s="33" t="s">
        <v>357</v>
      </c>
      <c r="B420" s="33" t="s">
        <v>26</v>
      </c>
      <c r="C420" s="34">
        <v>46122.3947685185</v>
      </c>
      <c r="D420" s="33">
        <v>1</v>
      </c>
    </row>
    <row r="421" spans="1:4">
      <c r="A421" s="33" t="s">
        <v>178</v>
      </c>
      <c r="B421" s="33" t="s">
        <v>26</v>
      </c>
      <c r="C421" s="34">
        <v>46122.3947800926</v>
      </c>
      <c r="D421" s="33">
        <v>1</v>
      </c>
    </row>
    <row r="422" spans="1:4">
      <c r="A422" s="33" t="s">
        <v>358</v>
      </c>
      <c r="B422" s="33" t="s">
        <v>26</v>
      </c>
      <c r="C422" s="34">
        <v>46122.3947916667</v>
      </c>
      <c r="D422" s="33">
        <v>1</v>
      </c>
    </row>
    <row r="423" spans="1:4">
      <c r="A423" s="33" t="s">
        <v>247</v>
      </c>
      <c r="B423" s="33" t="s">
        <v>26</v>
      </c>
      <c r="C423" s="34">
        <v>46122.3948032407</v>
      </c>
      <c r="D423" s="33">
        <v>2</v>
      </c>
    </row>
    <row r="424" spans="1:4">
      <c r="A424" s="33" t="s">
        <v>27</v>
      </c>
      <c r="B424" s="33" t="s">
        <v>26</v>
      </c>
      <c r="C424" s="34">
        <v>46122.3948148148</v>
      </c>
      <c r="D424" s="33">
        <v>1</v>
      </c>
    </row>
    <row r="425" spans="1:4">
      <c r="A425" s="33" t="s">
        <v>359</v>
      </c>
      <c r="B425" s="33" t="s">
        <v>26</v>
      </c>
      <c r="C425" s="34">
        <v>46122.3948263889</v>
      </c>
      <c r="D425" s="33">
        <v>1</v>
      </c>
    </row>
    <row r="426" spans="1:4">
      <c r="A426" s="33" t="s">
        <v>360</v>
      </c>
      <c r="B426" s="33" t="s">
        <v>26</v>
      </c>
      <c r="C426" s="34">
        <v>46122.394837963</v>
      </c>
      <c r="D426" s="33">
        <v>1</v>
      </c>
    </row>
    <row r="427" spans="1:4">
      <c r="A427" s="33" t="s">
        <v>361</v>
      </c>
      <c r="B427" s="33" t="s">
        <v>26</v>
      </c>
      <c r="C427" s="34">
        <v>46122.4006365741</v>
      </c>
      <c r="D427" s="33">
        <v>1</v>
      </c>
    </row>
    <row r="428" spans="1:4">
      <c r="A428" s="33" t="s">
        <v>149</v>
      </c>
      <c r="B428" s="33" t="s">
        <v>26</v>
      </c>
      <c r="C428" s="34">
        <v>46122.4006481482</v>
      </c>
      <c r="D428" s="33">
        <v>1</v>
      </c>
    </row>
    <row r="429" spans="1:4">
      <c r="A429" s="33" t="s">
        <v>362</v>
      </c>
      <c r="B429" s="33" t="s">
        <v>26</v>
      </c>
      <c r="C429" s="34">
        <v>46122.4063310185</v>
      </c>
      <c r="D429" s="33">
        <v>1</v>
      </c>
    </row>
    <row r="430" spans="1:4">
      <c r="A430" s="33" t="s">
        <v>363</v>
      </c>
      <c r="B430" s="33" t="s">
        <v>26</v>
      </c>
      <c r="C430" s="34">
        <v>46122.4071875</v>
      </c>
      <c r="D430" s="33">
        <v>2</v>
      </c>
    </row>
    <row r="431" spans="1:4">
      <c r="A431" s="33" t="s">
        <v>149</v>
      </c>
      <c r="B431" s="33" t="s">
        <v>26</v>
      </c>
      <c r="C431" s="34">
        <v>46122.4071990741</v>
      </c>
      <c r="D431" s="33">
        <v>1</v>
      </c>
    </row>
    <row r="432" spans="1:4">
      <c r="A432" s="33" t="s">
        <v>151</v>
      </c>
      <c r="B432" s="33" t="s">
        <v>26</v>
      </c>
      <c r="C432" s="34">
        <v>46122.4072106482</v>
      </c>
      <c r="D432" s="33">
        <v>1</v>
      </c>
    </row>
    <row r="433" spans="1:4">
      <c r="A433" s="33" t="s">
        <v>325</v>
      </c>
      <c r="B433" s="33" t="s">
        <v>26</v>
      </c>
      <c r="C433" s="34">
        <v>46122.4072222222</v>
      </c>
      <c r="D433" s="33">
        <v>2</v>
      </c>
    </row>
    <row r="434" spans="1:4">
      <c r="A434" s="33" t="s">
        <v>191</v>
      </c>
      <c r="B434" s="33" t="s">
        <v>26</v>
      </c>
      <c r="C434" s="34">
        <v>46125.5688310185</v>
      </c>
      <c r="D434" s="33">
        <v>1</v>
      </c>
    </row>
    <row r="435" spans="1:4">
      <c r="A435" s="33" t="s">
        <v>306</v>
      </c>
      <c r="B435" s="33" t="s">
        <v>26</v>
      </c>
      <c r="C435" s="34">
        <v>46126.5539930556</v>
      </c>
      <c r="D435" s="33">
        <v>1</v>
      </c>
    </row>
    <row r="436" spans="1:4">
      <c r="A436" s="33" t="s">
        <v>364</v>
      </c>
      <c r="B436" s="33" t="s">
        <v>26</v>
      </c>
      <c r="C436" s="34">
        <v>46126.5540046296</v>
      </c>
      <c r="D436" s="33">
        <v>1</v>
      </c>
    </row>
    <row r="437" spans="1:4">
      <c r="A437" s="33" t="s">
        <v>49</v>
      </c>
      <c r="B437" s="33" t="s">
        <v>35</v>
      </c>
      <c r="C437" s="34">
        <v>46126.555474537</v>
      </c>
      <c r="D437" s="33">
        <v>1</v>
      </c>
    </row>
    <row r="438" spans="1:4">
      <c r="A438" s="33" t="s">
        <v>156</v>
      </c>
      <c r="B438" s="33" t="s">
        <v>35</v>
      </c>
      <c r="C438" s="34">
        <v>46126.5554861111</v>
      </c>
      <c r="D438" s="33">
        <v>1</v>
      </c>
    </row>
    <row r="439" spans="1:4">
      <c r="A439" s="33" t="s">
        <v>157</v>
      </c>
      <c r="B439" s="33" t="s">
        <v>35</v>
      </c>
      <c r="C439" s="34">
        <v>46126.5554976852</v>
      </c>
      <c r="D439" s="33">
        <v>1</v>
      </c>
    </row>
    <row r="440" spans="1:4">
      <c r="A440" s="33" t="s">
        <v>158</v>
      </c>
      <c r="B440" s="33" t="s">
        <v>35</v>
      </c>
      <c r="C440" s="34">
        <v>46126.5555092593</v>
      </c>
      <c r="D440" s="33">
        <v>1</v>
      </c>
    </row>
    <row r="441" spans="1:4">
      <c r="A441" s="33" t="s">
        <v>247</v>
      </c>
      <c r="B441" s="33" t="s">
        <v>26</v>
      </c>
      <c r="C441" s="34">
        <v>46126.6906944444</v>
      </c>
      <c r="D441" s="33">
        <v>1</v>
      </c>
    </row>
    <row r="442" spans="1:4">
      <c r="A442" s="33" t="s">
        <v>365</v>
      </c>
      <c r="B442" s="33" t="s">
        <v>26</v>
      </c>
      <c r="C442" s="34">
        <v>46126.6947453704</v>
      </c>
      <c r="D442" s="33">
        <v>1</v>
      </c>
    </row>
    <row r="443" spans="1:4">
      <c r="A443" s="33" t="s">
        <v>366</v>
      </c>
      <c r="B443" s="33" t="s">
        <v>26</v>
      </c>
      <c r="C443" s="34">
        <v>46128.5329282407</v>
      </c>
      <c r="D443" s="33">
        <v>1</v>
      </c>
    </row>
    <row r="444" spans="1:4">
      <c r="A444" s="33" t="s">
        <v>225</v>
      </c>
      <c r="B444" s="33" t="s">
        <v>26</v>
      </c>
      <c r="C444" s="34">
        <v>46128.5381365741</v>
      </c>
      <c r="D444" s="33">
        <v>1</v>
      </c>
    </row>
    <row r="445" spans="1:4">
      <c r="A445" s="33" t="s">
        <v>367</v>
      </c>
      <c r="B445" s="33" t="s">
        <v>26</v>
      </c>
      <c r="C445" s="34">
        <v>46132.420474537</v>
      </c>
      <c r="D445" s="33">
        <v>1</v>
      </c>
    </row>
    <row r="446" spans="1:4">
      <c r="A446" s="33" t="s">
        <v>157</v>
      </c>
      <c r="B446" s="33" t="s">
        <v>26</v>
      </c>
      <c r="C446" s="34">
        <v>46132.4211342593</v>
      </c>
      <c r="D446" s="33">
        <v>1</v>
      </c>
    </row>
    <row r="447" spans="1:4">
      <c r="A447" s="33" t="s">
        <v>208</v>
      </c>
      <c r="B447" s="33" t="s">
        <v>35</v>
      </c>
      <c r="C447" s="34">
        <v>46132.4236226852</v>
      </c>
      <c r="D447" s="33">
        <v>1</v>
      </c>
    </row>
    <row r="448" spans="1:4">
      <c r="A448" s="33" t="s">
        <v>209</v>
      </c>
      <c r="B448" s="33" t="s">
        <v>35</v>
      </c>
      <c r="C448" s="34">
        <v>46132.4236342593</v>
      </c>
      <c r="D448" s="33">
        <v>1</v>
      </c>
    </row>
    <row r="449" spans="1:4">
      <c r="A449" s="33" t="s">
        <v>237</v>
      </c>
      <c r="B449" s="33" t="s">
        <v>35</v>
      </c>
      <c r="C449" s="34">
        <v>46132.4236458333</v>
      </c>
      <c r="D449" s="33">
        <v>1</v>
      </c>
    </row>
    <row r="450" spans="1:4">
      <c r="A450" s="33" t="s">
        <v>211</v>
      </c>
      <c r="B450" s="33" t="s">
        <v>35</v>
      </c>
      <c r="C450" s="34">
        <v>46132.4236574074</v>
      </c>
      <c r="D450" s="33">
        <v>1</v>
      </c>
    </row>
    <row r="451" spans="1:4">
      <c r="A451" s="33" t="s">
        <v>368</v>
      </c>
      <c r="B451" s="33" t="s">
        <v>35</v>
      </c>
      <c r="C451" s="34">
        <v>46132.4258564815</v>
      </c>
      <c r="D451" s="33">
        <v>1</v>
      </c>
    </row>
    <row r="452" spans="1:4">
      <c r="A452" s="33" t="s">
        <v>368</v>
      </c>
      <c r="B452" s="33" t="s">
        <v>35</v>
      </c>
      <c r="C452" s="34">
        <v>46132.432349537</v>
      </c>
      <c r="D452" s="33">
        <v>1</v>
      </c>
    </row>
    <row r="453" spans="1:4">
      <c r="A453" s="33" t="s">
        <v>368</v>
      </c>
      <c r="B453" s="33" t="s">
        <v>35</v>
      </c>
      <c r="C453" s="34">
        <v>46132.4332060185</v>
      </c>
      <c r="D453" s="33">
        <v>1</v>
      </c>
    </row>
    <row r="454" spans="1:4">
      <c r="A454" s="33" t="s">
        <v>368</v>
      </c>
      <c r="B454" s="33" t="s">
        <v>35</v>
      </c>
      <c r="C454" s="34">
        <v>46132.4338310185</v>
      </c>
      <c r="D454" s="33">
        <v>1</v>
      </c>
    </row>
    <row r="455" spans="1:4">
      <c r="A455" s="33" t="s">
        <v>368</v>
      </c>
      <c r="B455" s="33" t="s">
        <v>35</v>
      </c>
      <c r="C455" s="34">
        <v>46132.4343402778</v>
      </c>
      <c r="D455" s="33">
        <v>1</v>
      </c>
    </row>
    <row r="456" spans="1:4">
      <c r="A456" s="33" t="s">
        <v>298</v>
      </c>
      <c r="B456" s="33" t="s">
        <v>35</v>
      </c>
      <c r="C456" s="34">
        <v>46132.4348958333</v>
      </c>
      <c r="D456" s="33">
        <v>1</v>
      </c>
    </row>
    <row r="457" spans="1:4">
      <c r="A457" s="33" t="s">
        <v>369</v>
      </c>
      <c r="B457" s="33" t="s">
        <v>35</v>
      </c>
      <c r="C457" s="34">
        <v>46132.6425347222</v>
      </c>
      <c r="D457" s="33">
        <v>1</v>
      </c>
    </row>
    <row r="458" spans="1:4">
      <c r="A458" s="33" t="s">
        <v>370</v>
      </c>
      <c r="B458" s="33" t="s">
        <v>26</v>
      </c>
      <c r="C458" s="34">
        <v>46132.6447453704</v>
      </c>
      <c r="D458" s="33">
        <v>1</v>
      </c>
    </row>
    <row r="459" spans="1:4">
      <c r="A459" s="33" t="s">
        <v>371</v>
      </c>
      <c r="B459" s="33" t="s">
        <v>26</v>
      </c>
      <c r="C459" s="34">
        <v>46139.3724884259</v>
      </c>
      <c r="D459" s="33">
        <v>1</v>
      </c>
    </row>
    <row r="460" spans="1:4">
      <c r="A460" s="33" t="s">
        <v>372</v>
      </c>
      <c r="B460" s="33" t="s">
        <v>26</v>
      </c>
      <c r="C460" s="34">
        <v>46139.3730092593</v>
      </c>
      <c r="D460" s="33">
        <v>1</v>
      </c>
    </row>
    <row r="461" spans="1:4">
      <c r="A461" s="33" t="s">
        <v>373</v>
      </c>
      <c r="B461" s="33" t="s">
        <v>26</v>
      </c>
      <c r="C461" s="34">
        <v>46139.3736689815</v>
      </c>
      <c r="D461" s="33">
        <v>1</v>
      </c>
    </row>
    <row r="462" spans="1:4">
      <c r="A462" s="33" t="s">
        <v>374</v>
      </c>
      <c r="B462" s="33" t="s">
        <v>26</v>
      </c>
      <c r="C462" s="34">
        <v>46139.375</v>
      </c>
      <c r="D462" s="33">
        <v>1</v>
      </c>
    </row>
    <row r="463" spans="1:4">
      <c r="A463" s="33" t="s">
        <v>220</v>
      </c>
      <c r="B463" s="33" t="s">
        <v>35</v>
      </c>
      <c r="C463" s="34">
        <v>46139.3750115741</v>
      </c>
      <c r="D463" s="33">
        <v>1</v>
      </c>
    </row>
    <row r="464" spans="1:4">
      <c r="A464" s="33" t="s">
        <v>169</v>
      </c>
      <c r="B464" s="33" t="s">
        <v>26</v>
      </c>
      <c r="C464" s="34">
        <v>46139.3924305556</v>
      </c>
      <c r="D464" s="33">
        <v>1</v>
      </c>
    </row>
    <row r="465" spans="1:4">
      <c r="A465" s="33" t="s">
        <v>331</v>
      </c>
      <c r="B465" s="33" t="s">
        <v>26</v>
      </c>
      <c r="C465" s="34">
        <v>46142.5631481482</v>
      </c>
      <c r="D465" s="33">
        <v>1</v>
      </c>
    </row>
    <row r="466" spans="1:4">
      <c r="A466" s="33" t="s">
        <v>28</v>
      </c>
      <c r="B466" s="33" t="s">
        <v>26</v>
      </c>
      <c r="C466" s="34">
        <v>46142.5653125</v>
      </c>
      <c r="D466" s="33">
        <v>1</v>
      </c>
    </row>
    <row r="467" spans="1:4">
      <c r="A467" s="33" t="s">
        <v>290</v>
      </c>
      <c r="B467" s="33" t="s">
        <v>26</v>
      </c>
      <c r="C467" s="34">
        <v>46142.5653240741</v>
      </c>
      <c r="D467" s="33">
        <v>1</v>
      </c>
    </row>
    <row r="468" spans="1:4">
      <c r="A468" s="33" t="s">
        <v>149</v>
      </c>
      <c r="B468" s="33" t="s">
        <v>26</v>
      </c>
      <c r="C468" s="34">
        <v>46142.5653356482</v>
      </c>
      <c r="D468" s="33">
        <v>1</v>
      </c>
    </row>
    <row r="469" spans="1:4">
      <c r="A469" s="33" t="s">
        <v>175</v>
      </c>
      <c r="B469" s="33" t="s">
        <v>26</v>
      </c>
      <c r="C469" s="34">
        <v>46142.5668865741</v>
      </c>
      <c r="D469" s="33">
        <v>1</v>
      </c>
    </row>
    <row r="470" spans="1:4">
      <c r="A470" s="33" t="s">
        <v>164</v>
      </c>
      <c r="B470" s="33" t="s">
        <v>35</v>
      </c>
      <c r="C470" s="34">
        <v>46142.5668981482</v>
      </c>
      <c r="D470" s="33">
        <v>1</v>
      </c>
    </row>
    <row r="471" spans="1:4">
      <c r="A471" s="33" t="s">
        <v>375</v>
      </c>
      <c r="B471" s="33" t="s">
        <v>26</v>
      </c>
      <c r="C471" s="34">
        <v>46142.5684259259</v>
      </c>
      <c r="D471" s="33">
        <v>1</v>
      </c>
    </row>
    <row r="472" spans="1:4">
      <c r="A472" s="33" t="s">
        <v>220</v>
      </c>
      <c r="B472" s="33" t="s">
        <v>35</v>
      </c>
      <c r="C472" s="34">
        <v>46142.569837963</v>
      </c>
      <c r="D472" s="33">
        <v>1</v>
      </c>
    </row>
    <row r="473" spans="1:4">
      <c r="A473" s="33" t="s">
        <v>247</v>
      </c>
      <c r="B473" s="33" t="s">
        <v>26</v>
      </c>
      <c r="C473" s="34">
        <v>46142.571412037</v>
      </c>
      <c r="D473" s="33">
        <v>1</v>
      </c>
    </row>
    <row r="474" spans="1:4">
      <c r="A474" s="33" t="s">
        <v>376</v>
      </c>
      <c r="B474" s="33" t="s">
        <v>26</v>
      </c>
      <c r="C474" s="34">
        <v>46142.5727430556</v>
      </c>
      <c r="D474" s="33">
        <v>1</v>
      </c>
    </row>
    <row r="475" spans="1:4">
      <c r="A475" s="33" t="s">
        <v>231</v>
      </c>
      <c r="B475" s="33" t="s">
        <v>26</v>
      </c>
      <c r="C475" s="34">
        <v>46142.5734143519</v>
      </c>
      <c r="D475" s="33">
        <v>1</v>
      </c>
    </row>
    <row r="476" spans="1:4">
      <c r="A476" s="33" t="s">
        <v>165</v>
      </c>
      <c r="B476" s="33" t="s">
        <v>26</v>
      </c>
      <c r="C476" s="34">
        <v>46146.6393518519</v>
      </c>
      <c r="D476" s="33">
        <v>1</v>
      </c>
    </row>
    <row r="477" spans="1:4">
      <c r="A477" s="33" t="s">
        <v>29</v>
      </c>
      <c r="B477" s="33" t="s">
        <v>26</v>
      </c>
      <c r="C477" s="34">
        <v>46146.640162037</v>
      </c>
      <c r="D477" s="33">
        <v>1</v>
      </c>
    </row>
    <row r="478" spans="1:4">
      <c r="A478" s="33" t="s">
        <v>351</v>
      </c>
      <c r="B478" s="33" t="s">
        <v>26</v>
      </c>
      <c r="C478" s="34">
        <v>46146.6408101852</v>
      </c>
      <c r="D478" s="33">
        <v>1</v>
      </c>
    </row>
    <row r="479" spans="1:4">
      <c r="A479" s="33" t="s">
        <v>368</v>
      </c>
      <c r="B479" s="33" t="s">
        <v>26</v>
      </c>
      <c r="C479" s="34">
        <v>46146.6415856482</v>
      </c>
      <c r="D479" s="33">
        <v>1</v>
      </c>
    </row>
    <row r="480" spans="1:4">
      <c r="A480" s="33" t="s">
        <v>368</v>
      </c>
      <c r="B480" s="33" t="s">
        <v>26</v>
      </c>
      <c r="C480" s="34">
        <v>46146.6422800926</v>
      </c>
      <c r="D480" s="33">
        <v>1</v>
      </c>
    </row>
    <row r="481" spans="1:4">
      <c r="A481" s="33" t="s">
        <v>211</v>
      </c>
      <c r="B481" s="33" t="s">
        <v>35</v>
      </c>
      <c r="C481" s="34">
        <v>46146.6429166667</v>
      </c>
      <c r="D481" s="33">
        <v>1</v>
      </c>
    </row>
    <row r="482" spans="1:4">
      <c r="A482" s="33" t="s">
        <v>208</v>
      </c>
      <c r="B482" s="33" t="s">
        <v>35</v>
      </c>
      <c r="C482" s="34">
        <v>46146.6429282407</v>
      </c>
      <c r="D482" s="33">
        <v>1</v>
      </c>
    </row>
    <row r="483" spans="1:4">
      <c r="A483" s="33" t="s">
        <v>209</v>
      </c>
      <c r="B483" s="33" t="s">
        <v>35</v>
      </c>
      <c r="C483" s="34">
        <v>46146.6429398148</v>
      </c>
      <c r="D483" s="33">
        <v>1</v>
      </c>
    </row>
    <row r="484" spans="1:4">
      <c r="A484" s="33" t="s">
        <v>237</v>
      </c>
      <c r="B484" s="33" t="s">
        <v>35</v>
      </c>
      <c r="C484" s="34">
        <v>46146.6429513889</v>
      </c>
      <c r="D484" s="33">
        <v>1</v>
      </c>
    </row>
    <row r="485" spans="1:4">
      <c r="A485" s="33" t="s">
        <v>271</v>
      </c>
      <c r="B485" s="33" t="s">
        <v>35</v>
      </c>
      <c r="C485" s="34">
        <v>46146.642962963</v>
      </c>
      <c r="D485" s="33">
        <v>1</v>
      </c>
    </row>
    <row r="486" spans="1:4">
      <c r="A486" s="33" t="s">
        <v>377</v>
      </c>
      <c r="B486" s="33" t="s">
        <v>26</v>
      </c>
      <c r="C486" s="34">
        <v>46146.6456712963</v>
      </c>
      <c r="D486" s="33">
        <v>1</v>
      </c>
    </row>
    <row r="487" spans="1:4">
      <c r="A487" s="33" t="s">
        <v>159</v>
      </c>
      <c r="B487" s="33" t="s">
        <v>26</v>
      </c>
      <c r="C487" s="34">
        <v>46146.6475347222</v>
      </c>
      <c r="D487" s="33">
        <v>1</v>
      </c>
    </row>
    <row r="488" spans="1:4">
      <c r="A488" s="33" t="s">
        <v>202</v>
      </c>
      <c r="B488" s="33" t="s">
        <v>26</v>
      </c>
      <c r="C488" s="34">
        <v>46146.6475462963</v>
      </c>
      <c r="D488" s="33">
        <v>1</v>
      </c>
    </row>
    <row r="489" spans="1:4">
      <c r="A489" s="33" t="s">
        <v>25</v>
      </c>
      <c r="B489" s="33" t="s">
        <v>26</v>
      </c>
      <c r="C489" s="34">
        <v>46146.6485300926</v>
      </c>
      <c r="D489" s="33">
        <v>1</v>
      </c>
    </row>
    <row r="490" spans="1:4">
      <c r="A490" s="33" t="s">
        <v>28</v>
      </c>
      <c r="B490" s="33" t="s">
        <v>26</v>
      </c>
      <c r="C490" s="34">
        <v>46146.6485416667</v>
      </c>
      <c r="D490" s="33">
        <v>1</v>
      </c>
    </row>
    <row r="491" spans="1:4">
      <c r="A491" s="33" t="s">
        <v>194</v>
      </c>
      <c r="B491" s="33" t="s">
        <v>26</v>
      </c>
      <c r="C491" s="34">
        <v>46146.6496643519</v>
      </c>
      <c r="D491" s="33">
        <v>1</v>
      </c>
    </row>
    <row r="492" spans="1:4">
      <c r="A492" s="33" t="s">
        <v>218</v>
      </c>
      <c r="B492" s="33" t="s">
        <v>26</v>
      </c>
      <c r="C492" s="34">
        <v>46149.6225347222</v>
      </c>
      <c r="D492" s="33">
        <v>1</v>
      </c>
    </row>
    <row r="493" spans="1:4">
      <c r="A493" s="33" t="s">
        <v>149</v>
      </c>
      <c r="B493" s="33" t="s">
        <v>26</v>
      </c>
      <c r="C493" s="34">
        <v>46149.6225462963</v>
      </c>
      <c r="D493" s="33">
        <v>1</v>
      </c>
    </row>
    <row r="494" spans="1:4">
      <c r="A494" s="33" t="s">
        <v>202</v>
      </c>
      <c r="B494" s="33" t="s">
        <v>26</v>
      </c>
      <c r="C494" s="34">
        <v>46149.6238657407</v>
      </c>
      <c r="D494" s="33">
        <v>2</v>
      </c>
    </row>
    <row r="495" spans="1:4">
      <c r="A495" s="33" t="s">
        <v>378</v>
      </c>
      <c r="B495" s="33" t="s">
        <v>26</v>
      </c>
      <c r="C495" s="34">
        <v>46149.6238773148</v>
      </c>
      <c r="D495" s="33">
        <v>1</v>
      </c>
    </row>
    <row r="496" spans="1:4">
      <c r="A496" s="33" t="s">
        <v>379</v>
      </c>
      <c r="B496" s="33" t="s">
        <v>26</v>
      </c>
      <c r="C496" s="34">
        <v>46149.6255671296</v>
      </c>
      <c r="D496" s="33">
        <v>1</v>
      </c>
    </row>
    <row r="497" spans="1:4">
      <c r="A497" s="33" t="s">
        <v>218</v>
      </c>
      <c r="B497" s="33" t="s">
        <v>26</v>
      </c>
      <c r="C497" s="34">
        <v>46154.3706365741</v>
      </c>
      <c r="D497" s="33">
        <v>1</v>
      </c>
    </row>
    <row r="498" spans="1:4">
      <c r="A498" s="33" t="s">
        <v>218</v>
      </c>
      <c r="B498" s="33" t="s">
        <v>35</v>
      </c>
      <c r="C498" s="34">
        <v>46154.3715162037</v>
      </c>
      <c r="D498" s="33">
        <v>1</v>
      </c>
    </row>
    <row r="499" spans="1:4">
      <c r="A499" s="33" t="s">
        <v>155</v>
      </c>
      <c r="B499" s="33" t="s">
        <v>26</v>
      </c>
      <c r="C499" s="34">
        <v>46154.3727893519</v>
      </c>
      <c r="D499" s="33">
        <v>1</v>
      </c>
    </row>
    <row r="500" spans="1:4">
      <c r="A500" s="35" t="s">
        <v>218</v>
      </c>
      <c r="B500" s="35" t="s">
        <v>35</v>
      </c>
      <c r="C500" s="36">
        <v>46154.3763657407</v>
      </c>
      <c r="D500" s="35">
        <v>1</v>
      </c>
    </row>
    <row r="501" spans="1:4">
      <c r="A501" s="35" t="s">
        <v>161</v>
      </c>
      <c r="B501" s="35" t="s">
        <v>26</v>
      </c>
      <c r="C501" s="36">
        <v>46154.377025463</v>
      </c>
      <c r="D501" s="35">
        <v>1</v>
      </c>
    </row>
    <row r="502" spans="1:4">
      <c r="A502" s="35" t="s">
        <v>380</v>
      </c>
      <c r="B502" s="35" t="s">
        <v>26</v>
      </c>
      <c r="C502" s="36">
        <v>46154.3775925926</v>
      </c>
      <c r="D502" s="35">
        <v>1</v>
      </c>
    </row>
    <row r="503" spans="1:4">
      <c r="A503" s="35" t="s">
        <v>28</v>
      </c>
      <c r="B503" s="35" t="s">
        <v>26</v>
      </c>
      <c r="C503" s="36">
        <v>46154.3793055556</v>
      </c>
      <c r="D503" s="35">
        <v>1</v>
      </c>
    </row>
    <row r="504" spans="1:4">
      <c r="A504" s="35" t="s">
        <v>179</v>
      </c>
      <c r="B504" s="35" t="s">
        <v>26</v>
      </c>
      <c r="C504" s="36">
        <v>46154.3793171296</v>
      </c>
      <c r="D504" s="35">
        <v>1</v>
      </c>
    </row>
    <row r="505" spans="1:4">
      <c r="A505" s="35" t="s">
        <v>381</v>
      </c>
      <c r="B505" s="35" t="s">
        <v>26</v>
      </c>
      <c r="C505" s="36">
        <v>46154.3849074074</v>
      </c>
      <c r="D505" s="35">
        <v>1</v>
      </c>
    </row>
    <row r="506" spans="1:4">
      <c r="A506" s="35" t="s">
        <v>191</v>
      </c>
      <c r="B506" s="35" t="s">
        <v>26</v>
      </c>
      <c r="C506" s="36">
        <v>46154.5703587963</v>
      </c>
      <c r="D506" s="35">
        <v>1</v>
      </c>
    </row>
    <row r="507" spans="1:4">
      <c r="A507" s="35" t="s">
        <v>212</v>
      </c>
      <c r="B507" s="35" t="s">
        <v>35</v>
      </c>
      <c r="C507" s="36">
        <v>46154.5730092593</v>
      </c>
      <c r="D507" s="35">
        <v>1</v>
      </c>
    </row>
    <row r="508" spans="1:4">
      <c r="A508" s="35" t="s">
        <v>382</v>
      </c>
      <c r="B508" s="35" t="s">
        <v>182</v>
      </c>
      <c r="C508" s="36">
        <v>46162.3888888889</v>
      </c>
      <c r="D508" s="35">
        <v>4</v>
      </c>
    </row>
    <row r="509" spans="1:4">
      <c r="A509" s="35" t="s">
        <v>383</v>
      </c>
      <c r="B509" s="35" t="s">
        <v>26</v>
      </c>
      <c r="C509" s="36">
        <v>46162.6091319445</v>
      </c>
      <c r="D509" s="35">
        <v>1</v>
      </c>
    </row>
    <row r="510" spans="1:4">
      <c r="A510" s="35" t="s">
        <v>384</v>
      </c>
      <c r="B510" s="35" t="s">
        <v>26</v>
      </c>
      <c r="C510" s="36">
        <v>46162.611412037</v>
      </c>
      <c r="D510" s="35">
        <v>1</v>
      </c>
    </row>
    <row r="511" spans="1:4">
      <c r="A511" s="35" t="s">
        <v>375</v>
      </c>
      <c r="B511" s="35" t="s">
        <v>26</v>
      </c>
      <c r="C511" s="36">
        <v>46162.6183217593</v>
      </c>
      <c r="D511" s="35">
        <v>1</v>
      </c>
    </row>
    <row r="512" spans="1:4">
      <c r="A512" s="35" t="s">
        <v>29</v>
      </c>
      <c r="B512" s="35" t="s">
        <v>26</v>
      </c>
      <c r="C512" s="36">
        <v>46162.6183333333</v>
      </c>
      <c r="D512" s="35">
        <v>1</v>
      </c>
    </row>
    <row r="513" spans="1:4">
      <c r="A513" s="35" t="s">
        <v>375</v>
      </c>
      <c r="B513" s="35" t="s">
        <v>26</v>
      </c>
      <c r="C513" s="36">
        <v>46162.6271875</v>
      </c>
      <c r="D513" s="35">
        <v>1</v>
      </c>
    </row>
    <row r="514" spans="1:4">
      <c r="A514" s="35" t="s">
        <v>385</v>
      </c>
      <c r="B514" s="35" t="s">
        <v>35</v>
      </c>
      <c r="C514" s="36">
        <v>46162.6283333333</v>
      </c>
      <c r="D514" s="35">
        <v>1</v>
      </c>
    </row>
    <row r="515" spans="1:4">
      <c r="A515" s="35" t="s">
        <v>151</v>
      </c>
      <c r="B515" s="35" t="s">
        <v>26</v>
      </c>
      <c r="C515" s="36">
        <v>46162.6301967593</v>
      </c>
      <c r="D515" s="35">
        <v>1</v>
      </c>
    </row>
    <row r="516" spans="1:4">
      <c r="A516" s="35" t="s">
        <v>49</v>
      </c>
      <c r="B516" s="35" t="s">
        <v>35</v>
      </c>
      <c r="C516" s="36">
        <v>46162.6315393519</v>
      </c>
      <c r="D516" s="35">
        <v>1</v>
      </c>
    </row>
    <row r="517" spans="1:4">
      <c r="A517" s="35" t="s">
        <v>158</v>
      </c>
      <c r="B517" s="35" t="s">
        <v>35</v>
      </c>
      <c r="C517" s="36">
        <v>46162.6315509259</v>
      </c>
      <c r="D517" s="35">
        <v>1</v>
      </c>
    </row>
    <row r="518" spans="1:4">
      <c r="A518" s="35" t="s">
        <v>157</v>
      </c>
      <c r="B518" s="35" t="s">
        <v>26</v>
      </c>
      <c r="C518" s="36">
        <v>46162.6315625</v>
      </c>
      <c r="D518" s="35">
        <v>1</v>
      </c>
    </row>
    <row r="519" spans="1:4">
      <c r="A519" s="35" t="s">
        <v>386</v>
      </c>
      <c r="B519" s="35" t="s">
        <v>35</v>
      </c>
      <c r="C519" s="36">
        <v>46162.6372106482</v>
      </c>
      <c r="D519" s="35">
        <v>1</v>
      </c>
    </row>
    <row r="520" spans="1:4">
      <c r="A520" s="35" t="s">
        <v>212</v>
      </c>
      <c r="B520" s="35" t="s">
        <v>26</v>
      </c>
      <c r="C520" s="36">
        <v>46162.638287037</v>
      </c>
      <c r="D520" s="35">
        <v>1</v>
      </c>
    </row>
    <row r="521" spans="1:4">
      <c r="A521" s="35" t="s">
        <v>387</v>
      </c>
      <c r="B521" s="35" t="s">
        <v>26</v>
      </c>
      <c r="C521" s="36">
        <v>46162.6484722222</v>
      </c>
      <c r="D521" s="35">
        <v>1</v>
      </c>
    </row>
    <row r="522" spans="1:4">
      <c r="A522" s="35" t="s">
        <v>388</v>
      </c>
      <c r="B522" s="35" t="s">
        <v>26</v>
      </c>
      <c r="C522" s="36">
        <v>46162.6484837963</v>
      </c>
      <c r="D522" s="35">
        <v>2</v>
      </c>
    </row>
    <row r="523" spans="1:4">
      <c r="A523" s="35" t="s">
        <v>191</v>
      </c>
      <c r="B523" s="35" t="s">
        <v>26</v>
      </c>
      <c r="C523" s="36">
        <v>46163.5782638889</v>
      </c>
      <c r="D523" s="35">
        <v>1</v>
      </c>
    </row>
    <row r="524" spans="1:4">
      <c r="A524" s="35" t="s">
        <v>237</v>
      </c>
      <c r="B524" s="35" t="s">
        <v>35</v>
      </c>
      <c r="C524" s="36">
        <v>46163.5798958333</v>
      </c>
      <c r="D524" s="35">
        <v>1</v>
      </c>
    </row>
    <row r="525" spans="1:4">
      <c r="A525" s="35" t="s">
        <v>209</v>
      </c>
      <c r="B525" s="35" t="s">
        <v>35</v>
      </c>
      <c r="C525" s="36">
        <v>46163.5799074074</v>
      </c>
      <c r="D525" s="35">
        <v>1</v>
      </c>
    </row>
    <row r="526" spans="1:4">
      <c r="A526" s="35" t="s">
        <v>271</v>
      </c>
      <c r="B526" s="35" t="s">
        <v>35</v>
      </c>
      <c r="C526" s="36">
        <v>46163.5799189815</v>
      </c>
      <c r="D526" s="35">
        <v>1</v>
      </c>
    </row>
    <row r="527" spans="1:4">
      <c r="A527" s="35" t="s">
        <v>208</v>
      </c>
      <c r="B527" s="35" t="s">
        <v>35</v>
      </c>
      <c r="C527" s="36">
        <v>46163.5799305556</v>
      </c>
      <c r="D527" s="35">
        <v>1</v>
      </c>
    </row>
    <row r="528" spans="1:4">
      <c r="A528" s="35" t="s">
        <v>211</v>
      </c>
      <c r="B528" s="35" t="s">
        <v>35</v>
      </c>
      <c r="C528" s="36">
        <v>46163.5799421296</v>
      </c>
      <c r="D528" s="35">
        <v>1</v>
      </c>
    </row>
    <row r="529" spans="1:4">
      <c r="A529" s="35" t="s">
        <v>389</v>
      </c>
      <c r="B529" s="35" t="s">
        <v>390</v>
      </c>
      <c r="C529" s="36">
        <v>46164.3819444445</v>
      </c>
      <c r="D529" s="35">
        <v>4</v>
      </c>
    </row>
    <row r="530" spans="1:4">
      <c r="A530" s="35" t="s">
        <v>382</v>
      </c>
      <c r="B530" s="35" t="s">
        <v>182</v>
      </c>
      <c r="C530" s="36">
        <v>46170.3923611111</v>
      </c>
      <c r="D530" s="35">
        <v>40</v>
      </c>
    </row>
    <row r="531" spans="1:4">
      <c r="A531" s="35" t="s">
        <v>27</v>
      </c>
      <c r="B531" s="35" t="s">
        <v>26</v>
      </c>
      <c r="C531" s="36">
        <v>46170.6078125</v>
      </c>
      <c r="D531" s="35">
        <v>1</v>
      </c>
    </row>
    <row r="532" spans="1:4">
      <c r="A532" s="35" t="s">
        <v>161</v>
      </c>
      <c r="B532" s="35" t="s">
        <v>26</v>
      </c>
      <c r="C532" s="36">
        <v>46170.6091087963</v>
      </c>
      <c r="D532" s="35">
        <v>1</v>
      </c>
    </row>
    <row r="533" spans="1:4">
      <c r="A533" s="35" t="s">
        <v>172</v>
      </c>
      <c r="B533" s="35" t="s">
        <v>26</v>
      </c>
      <c r="C533" s="36">
        <v>46170.6091203704</v>
      </c>
      <c r="D533" s="35">
        <v>1</v>
      </c>
    </row>
    <row r="534" spans="1:4">
      <c r="A534" s="35" t="s">
        <v>164</v>
      </c>
      <c r="B534" s="35" t="s">
        <v>35</v>
      </c>
      <c r="C534" s="36">
        <v>46170.6091319445</v>
      </c>
      <c r="D534" s="35">
        <v>1</v>
      </c>
    </row>
    <row r="535" spans="1:4">
      <c r="A535" s="35" t="s">
        <v>391</v>
      </c>
      <c r="B535" s="35" t="s">
        <v>26</v>
      </c>
      <c r="C535" s="36">
        <v>46170.6132291667</v>
      </c>
      <c r="D535" s="35">
        <v>1</v>
      </c>
    </row>
    <row r="536" spans="1:4">
      <c r="A536" s="35" t="s">
        <v>392</v>
      </c>
      <c r="B536" s="35" t="s">
        <v>26</v>
      </c>
      <c r="C536" s="36">
        <v>46171.6456828704</v>
      </c>
      <c r="D536" s="35">
        <v>1</v>
      </c>
    </row>
    <row r="537" spans="1:4">
      <c r="A537" s="35" t="s">
        <v>393</v>
      </c>
      <c r="B537" s="35" t="s">
        <v>26</v>
      </c>
      <c r="C537" s="36">
        <v>46172.3916666667</v>
      </c>
      <c r="D537" s="35">
        <v>350</v>
      </c>
    </row>
    <row r="538" spans="1:4">
      <c r="A538" s="35" t="s">
        <v>394</v>
      </c>
      <c r="B538" s="35" t="s">
        <v>35</v>
      </c>
      <c r="C538" s="36">
        <v>46172.39375</v>
      </c>
      <c r="D538" s="35">
        <v>10</v>
      </c>
    </row>
    <row r="539" spans="1:4">
      <c r="A539" s="35" t="s">
        <v>395</v>
      </c>
      <c r="B539" s="35" t="s">
        <v>26</v>
      </c>
      <c r="C539" s="36">
        <v>46174.6148842593</v>
      </c>
      <c r="D539" s="35">
        <v>20</v>
      </c>
    </row>
    <row r="540" spans="1:4">
      <c r="A540" s="35" t="s">
        <v>40</v>
      </c>
      <c r="B540" s="35" t="s">
        <v>26</v>
      </c>
      <c r="C540" s="36">
        <v>46174.6362384259</v>
      </c>
      <c r="D540" s="35">
        <v>2</v>
      </c>
    </row>
    <row r="541" spans="1:4">
      <c r="A541" s="35" t="s">
        <v>235</v>
      </c>
      <c r="B541" s="35" t="s">
        <v>26</v>
      </c>
      <c r="C541" s="36">
        <v>46175.646412037</v>
      </c>
      <c r="D541" s="35">
        <v>1</v>
      </c>
    </row>
    <row r="542" spans="1:4">
      <c r="A542" s="35" t="s">
        <v>396</v>
      </c>
      <c r="B542" s="35" t="s">
        <v>26</v>
      </c>
      <c r="C542" s="36">
        <v>46175.6493981482</v>
      </c>
      <c r="D542" s="35">
        <v>1</v>
      </c>
    </row>
    <row r="543" spans="1:4">
      <c r="A543" s="35" t="s">
        <v>288</v>
      </c>
      <c r="B543" s="35" t="s">
        <v>26</v>
      </c>
      <c r="C543" s="36">
        <v>46176.5873148148</v>
      </c>
      <c r="D543" s="35">
        <v>1</v>
      </c>
    </row>
    <row r="544" spans="1:4">
      <c r="A544" s="35" t="s">
        <v>397</v>
      </c>
      <c r="B544" s="35" t="s">
        <v>26</v>
      </c>
      <c r="C544" s="36">
        <v>46176.5873263889</v>
      </c>
      <c r="D544" s="35">
        <v>1</v>
      </c>
    </row>
    <row r="545" spans="1:4">
      <c r="A545" s="35" t="s">
        <v>398</v>
      </c>
      <c r="B545" s="35" t="s">
        <v>26</v>
      </c>
      <c r="C545" s="36">
        <v>46181.6666666667</v>
      </c>
      <c r="D545" s="35">
        <v>1</v>
      </c>
    </row>
    <row r="546" spans="1:4">
      <c r="A546" s="35" t="s">
        <v>399</v>
      </c>
      <c r="B546" s="35" t="s">
        <v>26</v>
      </c>
      <c r="C546" s="36">
        <v>46181.8533101852</v>
      </c>
      <c r="D546" s="35">
        <v>1</v>
      </c>
    </row>
    <row r="547" spans="1:4">
      <c r="A547" s="35" t="s">
        <v>149</v>
      </c>
      <c r="B547" s="35" t="s">
        <v>26</v>
      </c>
      <c r="C547" s="36">
        <v>46181.8665972222</v>
      </c>
      <c r="D547" s="35">
        <v>2</v>
      </c>
    </row>
    <row r="548" spans="1:4">
      <c r="A548" s="35" t="s">
        <v>325</v>
      </c>
      <c r="B548" s="35" t="s">
        <v>26</v>
      </c>
      <c r="C548" s="36">
        <v>46181.8737384259</v>
      </c>
      <c r="D548" s="35">
        <v>4</v>
      </c>
    </row>
    <row r="549" spans="1:4">
      <c r="A549" s="35" t="s">
        <v>356</v>
      </c>
      <c r="B549" s="35" t="s">
        <v>26</v>
      </c>
      <c r="C549" s="36">
        <v>46181.87625</v>
      </c>
      <c r="D549" s="35">
        <v>1</v>
      </c>
    </row>
    <row r="550" spans="1:4">
      <c r="A550" s="35" t="s">
        <v>400</v>
      </c>
      <c r="B550" s="35" t="s">
        <v>26</v>
      </c>
      <c r="C550" s="36">
        <v>46181.8798263889</v>
      </c>
      <c r="D550" s="35">
        <v>4</v>
      </c>
    </row>
    <row r="551" spans="1:4">
      <c r="A551" s="35" t="s">
        <v>172</v>
      </c>
      <c r="B551" s="35" t="s">
        <v>26</v>
      </c>
      <c r="C551" s="36">
        <v>46181.8848726852</v>
      </c>
      <c r="D551" s="35">
        <v>1</v>
      </c>
    </row>
    <row r="552" spans="1:4">
      <c r="A552" s="35" t="s">
        <v>400</v>
      </c>
      <c r="B552" s="35" t="s">
        <v>26</v>
      </c>
      <c r="C552" s="36">
        <v>46181.8848842593</v>
      </c>
      <c r="D552" s="35">
        <v>1</v>
      </c>
    </row>
    <row r="553" spans="1:4">
      <c r="A553" s="35" t="s">
        <v>401</v>
      </c>
      <c r="B553" s="35" t="s">
        <v>26</v>
      </c>
      <c r="C553" s="36">
        <v>46181.8863888889</v>
      </c>
      <c r="D553" s="35">
        <v>1</v>
      </c>
    </row>
    <row r="554" spans="1:4">
      <c r="A554" s="35" t="s">
        <v>193</v>
      </c>
      <c r="B554" s="35" t="s">
        <v>26</v>
      </c>
      <c r="C554" s="36">
        <v>46190.6524884259</v>
      </c>
      <c r="D554" s="35">
        <v>1</v>
      </c>
    </row>
    <row r="555" spans="1:4">
      <c r="A555" s="35" t="s">
        <v>402</v>
      </c>
      <c r="B555" s="35" t="s">
        <v>26</v>
      </c>
      <c r="C555" s="36">
        <v>46190.6525</v>
      </c>
      <c r="D555" s="35">
        <v>1</v>
      </c>
    </row>
    <row r="556" spans="1:4">
      <c r="A556" s="35" t="s">
        <v>403</v>
      </c>
      <c r="B556" s="35" t="s">
        <v>26</v>
      </c>
      <c r="C556" s="36">
        <v>46190.6525115741</v>
      </c>
      <c r="D556" s="35">
        <v>1</v>
      </c>
    </row>
    <row r="557" spans="1:4">
      <c r="A557" s="35" t="s">
        <v>358</v>
      </c>
      <c r="B557" s="35" t="s">
        <v>26</v>
      </c>
      <c r="C557" s="36">
        <v>46190.6709375</v>
      </c>
      <c r="D557" s="35">
        <v>1</v>
      </c>
    </row>
    <row r="558" spans="1:4">
      <c r="A558" s="35" t="s">
        <v>232</v>
      </c>
      <c r="B558" s="35" t="s">
        <v>26</v>
      </c>
      <c r="C558" s="36">
        <v>46190.6709490741</v>
      </c>
      <c r="D558" s="35">
        <v>1</v>
      </c>
    </row>
    <row r="559" spans="1:4">
      <c r="A559" s="35" t="s">
        <v>404</v>
      </c>
      <c r="B559" s="35" t="s">
        <v>26</v>
      </c>
      <c r="C559" s="36">
        <v>46190.6728935185</v>
      </c>
      <c r="D559" s="35">
        <v>1</v>
      </c>
    </row>
    <row r="560" spans="1:4">
      <c r="A560" s="35" t="s">
        <v>405</v>
      </c>
      <c r="B560" s="35" t="s">
        <v>26</v>
      </c>
      <c r="C560" s="36">
        <v>46190.6758912037</v>
      </c>
      <c r="D560" s="35">
        <v>1</v>
      </c>
    </row>
    <row r="561" spans="1:4">
      <c r="A561" s="35" t="s">
        <v>406</v>
      </c>
      <c r="B561" s="35" t="s">
        <v>26</v>
      </c>
      <c r="C561" s="36">
        <v>46190.8053587963</v>
      </c>
      <c r="D561" s="35">
        <v>1</v>
      </c>
    </row>
    <row r="562" spans="1:4">
      <c r="A562" s="35" t="s">
        <v>407</v>
      </c>
      <c r="B562" s="35" t="s">
        <v>26</v>
      </c>
      <c r="C562" s="36">
        <v>46190.8064351852</v>
      </c>
      <c r="D562" s="35">
        <v>1</v>
      </c>
    </row>
    <row r="563" spans="1:4">
      <c r="A563" s="35" t="s">
        <v>187</v>
      </c>
      <c r="B563" s="35" t="s">
        <v>26</v>
      </c>
      <c r="C563" s="36">
        <v>46190.8074421296</v>
      </c>
      <c r="D563" s="35">
        <v>1</v>
      </c>
    </row>
    <row r="564" spans="1:4">
      <c r="A564" s="35" t="s">
        <v>187</v>
      </c>
      <c r="B564" s="35" t="s">
        <v>26</v>
      </c>
      <c r="C564" s="36">
        <v>46190.8090856482</v>
      </c>
      <c r="D564" s="35">
        <v>1</v>
      </c>
    </row>
    <row r="565" spans="1:4">
      <c r="A565" s="35" t="s">
        <v>408</v>
      </c>
      <c r="B565" s="35" t="s">
        <v>26</v>
      </c>
      <c r="C565" s="36">
        <v>46191.7009837963</v>
      </c>
      <c r="D565" s="35">
        <v>1</v>
      </c>
    </row>
    <row r="566" spans="1:4">
      <c r="A566" s="35" t="s">
        <v>409</v>
      </c>
      <c r="B566" s="35" t="s">
        <v>26</v>
      </c>
      <c r="C566" s="36">
        <v>46191.7061226852</v>
      </c>
      <c r="D566" s="35">
        <v>1</v>
      </c>
    </row>
    <row r="567" spans="1:4">
      <c r="A567" s="35" t="s">
        <v>410</v>
      </c>
      <c r="B567" s="35" t="s">
        <v>26</v>
      </c>
      <c r="C567" s="36">
        <v>46191.7126736111</v>
      </c>
      <c r="D567" s="35">
        <v>1</v>
      </c>
    </row>
    <row r="568" spans="1:4">
      <c r="A568" s="35" t="s">
        <v>411</v>
      </c>
      <c r="B568" s="35" t="s">
        <v>26</v>
      </c>
      <c r="C568" s="36">
        <v>46191.7180671296</v>
      </c>
      <c r="D568" s="35">
        <v>2</v>
      </c>
    </row>
    <row r="569" spans="1:4">
      <c r="A569" s="35" t="s">
        <v>412</v>
      </c>
      <c r="B569" s="35" t="s">
        <v>26</v>
      </c>
      <c r="C569" s="36">
        <v>46192.6541666667</v>
      </c>
      <c r="D569" s="35">
        <v>1</v>
      </c>
    </row>
    <row r="570" spans="1:4">
      <c r="A570" s="35" t="s">
        <v>412</v>
      </c>
      <c r="B570" s="35" t="s">
        <v>26</v>
      </c>
      <c r="C570" s="36">
        <v>46192.6694444444</v>
      </c>
      <c r="D570" s="35">
        <v>1</v>
      </c>
    </row>
    <row r="571" spans="1:4">
      <c r="A571" s="35" t="s">
        <v>412</v>
      </c>
      <c r="B571" s="35" t="s">
        <v>26</v>
      </c>
      <c r="C571" s="36">
        <v>46192.6743055556</v>
      </c>
      <c r="D571" s="35">
        <v>1</v>
      </c>
    </row>
    <row r="572" spans="1:4">
      <c r="A572" s="35" t="s">
        <v>413</v>
      </c>
      <c r="B572" s="35" t="s">
        <v>26</v>
      </c>
      <c r="C572" s="36">
        <v>46194.4277777778</v>
      </c>
      <c r="D572" s="35">
        <v>5</v>
      </c>
    </row>
    <row r="573" spans="1:4">
      <c r="A573" s="35" t="s">
        <v>413</v>
      </c>
      <c r="B573" s="35" t="s">
        <v>414</v>
      </c>
      <c r="C573" s="36">
        <v>46195.6355092593</v>
      </c>
      <c r="D573" s="35">
        <v>30</v>
      </c>
    </row>
    <row r="574" spans="1:4">
      <c r="A574" s="35" t="s">
        <v>413</v>
      </c>
      <c r="B574" s="35" t="s">
        <v>35</v>
      </c>
      <c r="C574" s="36">
        <v>46195.6355208333</v>
      </c>
      <c r="D574" s="35">
        <v>40</v>
      </c>
    </row>
    <row r="575" spans="1:4">
      <c r="A575" s="35" t="s">
        <v>415</v>
      </c>
      <c r="B575" s="35" t="s">
        <v>26</v>
      </c>
      <c r="C575" s="36">
        <v>46195.65625</v>
      </c>
      <c r="D575" s="35">
        <v>1</v>
      </c>
    </row>
    <row r="576" spans="1:4">
      <c r="A576" s="35" t="s">
        <v>416</v>
      </c>
      <c r="B576" s="35" t="s">
        <v>26</v>
      </c>
      <c r="C576" s="36">
        <v>46195.6659722222</v>
      </c>
      <c r="D576" s="35">
        <v>2</v>
      </c>
    </row>
    <row r="577" spans="1:4">
      <c r="A577" s="35" t="s">
        <v>417</v>
      </c>
      <c r="B577" s="35" t="s">
        <v>26</v>
      </c>
      <c r="C577" s="36">
        <v>46195.675</v>
      </c>
      <c r="D577" s="35">
        <v>1</v>
      </c>
    </row>
    <row r="578" spans="1:4">
      <c r="A578" s="35" t="s">
        <v>418</v>
      </c>
      <c r="B578" s="35" t="s">
        <v>26</v>
      </c>
      <c r="C578" s="36">
        <v>46195.6798611111</v>
      </c>
      <c r="D578" s="35">
        <v>1</v>
      </c>
    </row>
    <row r="579" spans="1:4">
      <c r="A579" s="35" t="s">
        <v>419</v>
      </c>
      <c r="B579" s="35" t="s">
        <v>26</v>
      </c>
      <c r="C579" s="36">
        <v>46195.6798726852</v>
      </c>
      <c r="D579" s="35">
        <v>1</v>
      </c>
    </row>
    <row r="580" spans="1:4">
      <c r="A580" s="35" t="s">
        <v>413</v>
      </c>
      <c r="B580" s="35" t="s">
        <v>26</v>
      </c>
      <c r="C580" s="36">
        <v>46196.4291666667</v>
      </c>
      <c r="D580" s="35">
        <v>5</v>
      </c>
    </row>
    <row r="581" spans="1:4">
      <c r="A581" s="35" t="s">
        <v>420</v>
      </c>
      <c r="B581" s="35" t="s">
        <v>26</v>
      </c>
      <c r="C581" s="36">
        <v>46196.6847222222</v>
      </c>
      <c r="D581" s="35">
        <v>1</v>
      </c>
    </row>
    <row r="582" spans="1:4">
      <c r="A582" s="35" t="s">
        <v>421</v>
      </c>
      <c r="B582" s="35" t="s">
        <v>26</v>
      </c>
      <c r="C582" s="36">
        <v>46196.6847337963</v>
      </c>
      <c r="D582" s="35">
        <v>1</v>
      </c>
    </row>
    <row r="583" spans="1:4">
      <c r="A583" s="35" t="s">
        <v>366</v>
      </c>
      <c r="B583" s="35" t="s">
        <v>26</v>
      </c>
      <c r="C583" s="36">
        <v>46196.6875</v>
      </c>
      <c r="D583" s="35">
        <v>1</v>
      </c>
    </row>
    <row r="584" spans="1:4">
      <c r="A584" s="35" t="s">
        <v>422</v>
      </c>
      <c r="B584" s="35" t="s">
        <v>26</v>
      </c>
      <c r="C584" s="36">
        <v>46196.7034722222</v>
      </c>
      <c r="D584" s="35">
        <v>1</v>
      </c>
    </row>
    <row r="585" spans="1:4">
      <c r="A585" s="35" t="s">
        <v>423</v>
      </c>
      <c r="B585" s="35" t="s">
        <v>26</v>
      </c>
      <c r="C585" s="36">
        <v>46196.7034837963</v>
      </c>
      <c r="D585" s="35">
        <v>1</v>
      </c>
    </row>
    <row r="586" spans="1:4">
      <c r="A586" s="35" t="s">
        <v>412</v>
      </c>
      <c r="B586" s="35" t="s">
        <v>26</v>
      </c>
      <c r="C586" s="36">
        <v>46196.7034953704</v>
      </c>
      <c r="D586" s="35">
        <v>1</v>
      </c>
    </row>
    <row r="587" spans="1:4">
      <c r="A587" s="35" t="s">
        <v>424</v>
      </c>
      <c r="B587" s="35" t="s">
        <v>35</v>
      </c>
      <c r="C587" s="36">
        <v>46197.6895833333</v>
      </c>
      <c r="D587" s="35">
        <v>1</v>
      </c>
    </row>
    <row r="588" spans="1:4">
      <c r="A588" s="35" t="s">
        <v>218</v>
      </c>
      <c r="B588" s="35" t="s">
        <v>35</v>
      </c>
      <c r="C588" s="36">
        <v>46198.6402777778</v>
      </c>
      <c r="D588" s="35">
        <v>1</v>
      </c>
    </row>
    <row r="589" spans="1:4">
      <c r="A589" s="35" t="s">
        <v>425</v>
      </c>
      <c r="B589" s="35" t="s">
        <v>26</v>
      </c>
      <c r="C589" s="36">
        <v>46198.6576388889</v>
      </c>
      <c r="D589" s="35">
        <v>4</v>
      </c>
    </row>
    <row r="590" spans="1:4">
      <c r="A590" s="35" t="s">
        <v>389</v>
      </c>
      <c r="B590" s="35" t="s">
        <v>38</v>
      </c>
      <c r="C590" s="36">
        <v>46198.6625</v>
      </c>
      <c r="D590" s="35">
        <v>1</v>
      </c>
    </row>
    <row r="591" spans="1:4">
      <c r="A591" s="35" t="s">
        <v>426</v>
      </c>
      <c r="B591" s="35" t="s">
        <v>26</v>
      </c>
      <c r="C591" s="36">
        <v>46198.6701388889</v>
      </c>
      <c r="D591" s="35">
        <v>1</v>
      </c>
    </row>
    <row r="592" spans="1:4">
      <c r="A592" s="35" t="s">
        <v>181</v>
      </c>
      <c r="B592" s="35" t="s">
        <v>38</v>
      </c>
      <c r="C592" s="36">
        <v>46199.6722222222</v>
      </c>
      <c r="D592" s="35">
        <v>5</v>
      </c>
    </row>
    <row r="593" spans="1:4">
      <c r="A593" s="35" t="s">
        <v>260</v>
      </c>
      <c r="B593" s="35" t="s">
        <v>38</v>
      </c>
      <c r="C593" s="36">
        <v>46199.6722337963</v>
      </c>
      <c r="D593" s="35">
        <v>4</v>
      </c>
    </row>
    <row r="594" spans="1:4">
      <c r="A594" s="35" t="s">
        <v>261</v>
      </c>
      <c r="B594" s="35" t="s">
        <v>38</v>
      </c>
      <c r="C594" s="36">
        <v>46199.6722453704</v>
      </c>
      <c r="D594" s="35">
        <v>1</v>
      </c>
    </row>
    <row r="595" spans="1:4">
      <c r="A595" s="35" t="s">
        <v>264</v>
      </c>
      <c r="B595" s="35" t="s">
        <v>38</v>
      </c>
      <c r="C595" s="36">
        <v>46199.6722569445</v>
      </c>
      <c r="D595" s="35">
        <v>1</v>
      </c>
    </row>
    <row r="596" spans="1:4">
      <c r="A596" s="35" t="s">
        <v>262</v>
      </c>
      <c r="B596" s="35" t="s">
        <v>38</v>
      </c>
      <c r="C596" s="36">
        <v>46199.6722685185</v>
      </c>
      <c r="D596" s="35">
        <v>2</v>
      </c>
    </row>
    <row r="597" spans="1:4">
      <c r="A597" s="35" t="s">
        <v>258</v>
      </c>
      <c r="B597" s="35" t="s">
        <v>38</v>
      </c>
      <c r="C597" s="36">
        <v>46199.6722800926</v>
      </c>
      <c r="D597" s="35">
        <v>1</v>
      </c>
    </row>
    <row r="598" spans="1:4">
      <c r="A598" s="35" t="s">
        <v>427</v>
      </c>
      <c r="B598" s="35" t="s">
        <v>38</v>
      </c>
      <c r="C598" s="36">
        <v>46199.6722916667</v>
      </c>
      <c r="D598" s="35">
        <v>1</v>
      </c>
    </row>
    <row r="599" spans="1:4">
      <c r="A599" s="35" t="s">
        <v>428</v>
      </c>
      <c r="B599" s="35" t="s">
        <v>26</v>
      </c>
      <c r="C599" s="36">
        <v>46199.6756944444</v>
      </c>
      <c r="D599" s="35">
        <v>3</v>
      </c>
    </row>
    <row r="600" spans="1:4">
      <c r="A600" s="35" t="s">
        <v>429</v>
      </c>
      <c r="B600" s="35" t="s">
        <v>26</v>
      </c>
      <c r="C600" s="36">
        <v>46199.6757060185</v>
      </c>
      <c r="D600" s="35">
        <v>1</v>
      </c>
    </row>
    <row r="601" spans="1:4">
      <c r="A601" s="35" t="s">
        <v>430</v>
      </c>
      <c r="B601" s="35" t="s">
        <v>26</v>
      </c>
      <c r="C601" s="36">
        <v>46199.6757175926</v>
      </c>
      <c r="D601" s="35">
        <v>1</v>
      </c>
    </row>
    <row r="602" spans="1:4">
      <c r="A602" s="35" t="s">
        <v>431</v>
      </c>
      <c r="B602" s="35" t="s">
        <v>26</v>
      </c>
      <c r="C602" s="36">
        <v>46199.6757291667</v>
      </c>
      <c r="D602" s="35">
        <v>2</v>
      </c>
    </row>
    <row r="603" spans="1:4">
      <c r="A603" s="35" t="s">
        <v>425</v>
      </c>
      <c r="B603" s="35" t="s">
        <v>26</v>
      </c>
      <c r="C603" s="36">
        <v>46199.6757407407</v>
      </c>
      <c r="D603" s="35">
        <v>3</v>
      </c>
    </row>
    <row r="604" spans="1:4">
      <c r="A604" s="35" t="s">
        <v>425</v>
      </c>
      <c r="B604" s="35" t="s">
        <v>26</v>
      </c>
      <c r="C604" s="36">
        <v>46199.68125</v>
      </c>
      <c r="D604" s="35">
        <v>1</v>
      </c>
    </row>
    <row r="605" spans="1:4">
      <c r="A605" s="35" t="s">
        <v>181</v>
      </c>
      <c r="B605" s="35" t="s">
        <v>38</v>
      </c>
      <c r="C605" s="36">
        <v>46199.6812615741</v>
      </c>
      <c r="D605" s="35">
        <v>5</v>
      </c>
    </row>
    <row r="606" spans="1:4">
      <c r="A606" s="35" t="s">
        <v>432</v>
      </c>
      <c r="B606" s="35" t="s">
        <v>26</v>
      </c>
      <c r="C606" s="36">
        <v>46202.64375</v>
      </c>
      <c r="D606" s="35">
        <v>1</v>
      </c>
    </row>
    <row r="607" spans="1:4">
      <c r="A607" s="35" t="s">
        <v>433</v>
      </c>
      <c r="B607" s="35" t="s">
        <v>26</v>
      </c>
      <c r="C607" s="36">
        <v>46202.66875</v>
      </c>
      <c r="D607" s="35">
        <v>1</v>
      </c>
    </row>
    <row r="608" spans="1:4">
      <c r="A608" s="35" t="s">
        <v>413</v>
      </c>
      <c r="B608" s="35" t="s">
        <v>26</v>
      </c>
      <c r="C608" s="36">
        <v>46203.426875</v>
      </c>
      <c r="D608" s="35">
        <v>1336.002</v>
      </c>
    </row>
    <row r="609" spans="1:4">
      <c r="A609" s="35" t="s">
        <v>434</v>
      </c>
      <c r="B609" s="35" t="s">
        <v>26</v>
      </c>
      <c r="C609" s="36">
        <v>46203.6424305556</v>
      </c>
      <c r="D609" s="35">
        <v>1</v>
      </c>
    </row>
    <row r="610" spans="1:4">
      <c r="A610" s="35" t="s">
        <v>435</v>
      </c>
      <c r="B610" s="35" t="s">
        <v>26</v>
      </c>
      <c r="C610" s="36">
        <v>46203.6424421296</v>
      </c>
      <c r="D610" s="35">
        <v>1</v>
      </c>
    </row>
    <row r="611" spans="1:4">
      <c r="A611" s="35" t="s">
        <v>413</v>
      </c>
      <c r="B611" s="35" t="s">
        <v>26</v>
      </c>
      <c r="C611" s="36">
        <v>46203.6468634259</v>
      </c>
      <c r="D611" s="35">
        <v>5</v>
      </c>
    </row>
    <row r="612" spans="1:4">
      <c r="A612" s="35" t="s">
        <v>413</v>
      </c>
      <c r="B612" s="35" t="s">
        <v>26</v>
      </c>
      <c r="C612" s="36">
        <v>46203.6497337963</v>
      </c>
      <c r="D612" s="35">
        <v>5</v>
      </c>
    </row>
    <row r="613" spans="1:4">
      <c r="A613" s="35" t="s">
        <v>436</v>
      </c>
      <c r="B613" s="35" t="s">
        <v>414</v>
      </c>
      <c r="C613" s="36">
        <v>46203.6506134259</v>
      </c>
      <c r="D613" s="35">
        <v>1</v>
      </c>
    </row>
    <row r="614" spans="1:4">
      <c r="A614" s="35" t="s">
        <v>437</v>
      </c>
      <c r="B614" s="35" t="s">
        <v>26</v>
      </c>
      <c r="C614" s="36">
        <v>46203.6551041667</v>
      </c>
      <c r="D614" s="35">
        <v>1</v>
      </c>
    </row>
    <row r="615" spans="1:4">
      <c r="A615" s="35" t="s">
        <v>438</v>
      </c>
      <c r="B615" s="35" t="s">
        <v>26</v>
      </c>
      <c r="C615" s="36">
        <v>46203.6551157407</v>
      </c>
      <c r="D615" s="35">
        <v>1</v>
      </c>
    </row>
    <row r="616" spans="1:4">
      <c r="A616" s="35" t="s">
        <v>181</v>
      </c>
      <c r="B616" s="35" t="s">
        <v>38</v>
      </c>
      <c r="C616" s="36">
        <v>46203.6578472222</v>
      </c>
      <c r="D616" s="35">
        <v>4</v>
      </c>
    </row>
    <row r="617" spans="1:4">
      <c r="A617" s="35" t="s">
        <v>439</v>
      </c>
      <c r="B617" s="35" t="s">
        <v>38</v>
      </c>
      <c r="C617" s="36">
        <v>46203.6578587963</v>
      </c>
      <c r="D617" s="35">
        <v>1</v>
      </c>
    </row>
    <row r="618" spans="1:4">
      <c r="A618" s="35" t="s">
        <v>440</v>
      </c>
      <c r="B618" s="35" t="s">
        <v>26</v>
      </c>
      <c r="C618" s="36">
        <v>46203.6578703704</v>
      </c>
      <c r="D618" s="35">
        <v>1</v>
      </c>
    </row>
    <row r="619" spans="1:4">
      <c r="A619" s="35" t="s">
        <v>264</v>
      </c>
      <c r="B619" s="35" t="s">
        <v>26</v>
      </c>
      <c r="C619" s="36">
        <v>46203.6578819445</v>
      </c>
      <c r="D619" s="35">
        <v>1</v>
      </c>
    </row>
    <row r="620" spans="1:4">
      <c r="A620" s="35" t="s">
        <v>258</v>
      </c>
      <c r="B620" s="35" t="s">
        <v>26</v>
      </c>
      <c r="C620" s="36">
        <v>46203.6826388889</v>
      </c>
      <c r="D620" s="35">
        <v>1</v>
      </c>
    </row>
    <row r="621" spans="1:4">
      <c r="A621" s="35" t="s">
        <v>181</v>
      </c>
      <c r="B621" s="35" t="s">
        <v>38</v>
      </c>
      <c r="C621" s="36">
        <v>46203.682650463</v>
      </c>
      <c r="D621" s="35">
        <v>4</v>
      </c>
    </row>
    <row r="622" spans="1:4">
      <c r="A622" s="35" t="s">
        <v>262</v>
      </c>
      <c r="B622" s="35" t="s">
        <v>38</v>
      </c>
      <c r="C622" s="36">
        <v>46203.682662037</v>
      </c>
      <c r="D622" s="35">
        <v>1</v>
      </c>
    </row>
    <row r="623" spans="1:4">
      <c r="A623" s="35" t="s">
        <v>425</v>
      </c>
      <c r="B623" s="35" t="s">
        <v>26</v>
      </c>
      <c r="C623" s="36">
        <v>46203.6846527778</v>
      </c>
      <c r="D623" s="35">
        <v>1</v>
      </c>
    </row>
    <row r="624" spans="1:4">
      <c r="A624" s="35" t="s">
        <v>441</v>
      </c>
      <c r="B624" s="35" t="s">
        <v>38</v>
      </c>
      <c r="C624" s="36">
        <v>46203.6846643519</v>
      </c>
      <c r="D624" s="35">
        <v>1</v>
      </c>
    </row>
    <row r="625" spans="1:4">
      <c r="A625" s="35" t="s">
        <v>261</v>
      </c>
      <c r="B625" s="35" t="s">
        <v>38</v>
      </c>
      <c r="C625" s="36">
        <v>46203.6846759259</v>
      </c>
      <c r="D625" s="35">
        <v>1</v>
      </c>
    </row>
    <row r="626" spans="1:4">
      <c r="A626" s="35" t="s">
        <v>442</v>
      </c>
      <c r="B626" s="35" t="s">
        <v>26</v>
      </c>
      <c r="C626" s="36">
        <v>46203.6885300926</v>
      </c>
      <c r="D626" s="35">
        <v>1</v>
      </c>
    </row>
    <row r="627" spans="1:4">
      <c r="A627" s="35" t="s">
        <v>389</v>
      </c>
      <c r="B627" s="35" t="s">
        <v>38</v>
      </c>
      <c r="C627" s="36">
        <v>46203.6885416667</v>
      </c>
      <c r="D627" s="35">
        <v>1</v>
      </c>
    </row>
    <row r="628" spans="1:4">
      <c r="A628" s="35" t="s">
        <v>258</v>
      </c>
      <c r="B628" s="35" t="s">
        <v>38</v>
      </c>
      <c r="C628" s="36">
        <v>46203.6902083333</v>
      </c>
      <c r="D628" s="35">
        <v>2</v>
      </c>
    </row>
    <row r="629" spans="1:4">
      <c r="A629" s="35" t="s">
        <v>443</v>
      </c>
      <c r="B629" s="35" t="s">
        <v>26</v>
      </c>
      <c r="C629" s="36">
        <v>46205.358587963</v>
      </c>
      <c r="D629" s="35">
        <v>1</v>
      </c>
    </row>
    <row r="630" spans="1:4">
      <c r="A630" s="35" t="s">
        <v>149</v>
      </c>
      <c r="B630" s="35" t="s">
        <v>26</v>
      </c>
      <c r="C630" s="36">
        <v>46205.5940046296</v>
      </c>
      <c r="D630" s="35">
        <v>1</v>
      </c>
    </row>
    <row r="631" spans="1:4">
      <c r="A631" s="35" t="s">
        <v>278</v>
      </c>
      <c r="B631" s="35" t="s">
        <v>35</v>
      </c>
      <c r="C631" s="36">
        <v>46205.5955324074</v>
      </c>
      <c r="D631" s="35">
        <v>2</v>
      </c>
    </row>
    <row r="632" spans="1:4">
      <c r="A632" s="35" t="s">
        <v>149</v>
      </c>
      <c r="B632" s="35" t="s">
        <v>26</v>
      </c>
      <c r="C632" s="36">
        <v>46205.5965856482</v>
      </c>
      <c r="D632" s="35">
        <v>1</v>
      </c>
    </row>
    <row r="633" spans="1:4">
      <c r="A633" s="35" t="s">
        <v>248</v>
      </c>
      <c r="B633" s="35" t="s">
        <v>26</v>
      </c>
      <c r="C633" s="36">
        <v>46205.5971643519</v>
      </c>
      <c r="D633" s="35">
        <v>1</v>
      </c>
    </row>
    <row r="634" spans="1:4">
      <c r="A634" s="35" t="s">
        <v>25</v>
      </c>
      <c r="B634" s="35" t="s">
        <v>26</v>
      </c>
      <c r="C634" s="36">
        <v>46205.5971759259</v>
      </c>
      <c r="D634" s="35">
        <v>1</v>
      </c>
    </row>
    <row r="635" spans="1:4">
      <c r="A635" s="35" t="s">
        <v>164</v>
      </c>
      <c r="B635" s="35" t="s">
        <v>35</v>
      </c>
      <c r="C635" s="36">
        <v>46205.6032060185</v>
      </c>
      <c r="D635" s="35">
        <v>1</v>
      </c>
    </row>
    <row r="636" spans="1:4">
      <c r="A636" s="35" t="s">
        <v>444</v>
      </c>
      <c r="B636" s="35" t="s">
        <v>26</v>
      </c>
      <c r="C636" s="36">
        <v>46205.6043402778</v>
      </c>
      <c r="D636" s="35">
        <v>1</v>
      </c>
    </row>
    <row r="637" spans="1:4">
      <c r="A637" s="35" t="s">
        <v>358</v>
      </c>
      <c r="B637" s="35" t="s">
        <v>26</v>
      </c>
      <c r="C637" s="36">
        <v>46205.6062037037</v>
      </c>
      <c r="D637" s="35">
        <v>1</v>
      </c>
    </row>
    <row r="638" spans="1:4">
      <c r="A638" s="35" t="s">
        <v>445</v>
      </c>
      <c r="B638" s="35" t="s">
        <v>35</v>
      </c>
      <c r="C638" s="36">
        <v>46205.6062152778</v>
      </c>
      <c r="D638" s="35">
        <v>1</v>
      </c>
    </row>
    <row r="639" spans="1:4">
      <c r="A639" s="35" t="s">
        <v>179</v>
      </c>
      <c r="B639" s="35" t="s">
        <v>26</v>
      </c>
      <c r="C639" s="36">
        <v>46205.7098611111</v>
      </c>
      <c r="D639" s="35">
        <v>1</v>
      </c>
    </row>
    <row r="640" spans="1:4">
      <c r="A640" s="35" t="s">
        <v>446</v>
      </c>
      <c r="B640" s="35" t="s">
        <v>26</v>
      </c>
      <c r="C640" s="36">
        <v>46205.7098726852</v>
      </c>
      <c r="D640" s="35">
        <v>1</v>
      </c>
    </row>
    <row r="641" spans="1:4">
      <c r="A641" s="35" t="s">
        <v>447</v>
      </c>
      <c r="B641" s="35" t="s">
        <v>26</v>
      </c>
      <c r="C641" s="36">
        <v>46205.7098842593</v>
      </c>
      <c r="D641" s="35">
        <v>1</v>
      </c>
    </row>
    <row r="642" spans="1:4">
      <c r="A642" s="35" t="s">
        <v>233</v>
      </c>
      <c r="B642" s="35" t="s">
        <v>26</v>
      </c>
      <c r="C642" s="36">
        <v>46205.7098958333</v>
      </c>
      <c r="D642" s="35">
        <v>2</v>
      </c>
    </row>
    <row r="643" spans="1:4">
      <c r="A643" s="35" t="s">
        <v>176</v>
      </c>
      <c r="B643" s="35" t="s">
        <v>26</v>
      </c>
      <c r="C643" s="36">
        <v>46205.7099074074</v>
      </c>
      <c r="D643" s="35">
        <v>1</v>
      </c>
    </row>
    <row r="644" spans="1:4">
      <c r="A644" s="35" t="s">
        <v>448</v>
      </c>
      <c r="B644" s="35" t="s">
        <v>26</v>
      </c>
      <c r="C644" s="36">
        <v>46206.7861111111</v>
      </c>
      <c r="D644" s="35">
        <v>2</v>
      </c>
    </row>
    <row r="645" spans="1:4">
      <c r="A645" s="35" t="s">
        <v>449</v>
      </c>
      <c r="B645" s="35" t="s">
        <v>26</v>
      </c>
      <c r="C645" s="36">
        <v>46206.7895833333</v>
      </c>
      <c r="D645" s="35">
        <v>2</v>
      </c>
    </row>
    <row r="646" spans="1:4">
      <c r="A646" s="35" t="s">
        <v>450</v>
      </c>
      <c r="B646" s="35" t="s">
        <v>38</v>
      </c>
      <c r="C646" s="36">
        <v>46206.7895949074</v>
      </c>
      <c r="D646" s="35">
        <v>6</v>
      </c>
    </row>
    <row r="647" spans="1:4">
      <c r="A647" s="35" t="s">
        <v>265</v>
      </c>
      <c r="B647" s="35" t="s">
        <v>26</v>
      </c>
      <c r="C647" s="36">
        <v>46206.7916666667</v>
      </c>
      <c r="D647" s="35">
        <v>5</v>
      </c>
    </row>
    <row r="648" spans="1:4">
      <c r="A648" s="35" t="s">
        <v>451</v>
      </c>
      <c r="B648" s="35" t="s">
        <v>38</v>
      </c>
      <c r="C648" s="36">
        <v>46206.7923611111</v>
      </c>
      <c r="D648" s="35">
        <v>4</v>
      </c>
    </row>
    <row r="649" spans="1:4">
      <c r="A649" s="35" t="s">
        <v>258</v>
      </c>
      <c r="B649" s="35" t="s">
        <v>26</v>
      </c>
      <c r="C649" s="36">
        <v>46207.7298611111</v>
      </c>
      <c r="D649" s="35">
        <v>1</v>
      </c>
    </row>
    <row r="650" spans="1:4">
      <c r="A650" s="35" t="s">
        <v>451</v>
      </c>
      <c r="B650" s="35" t="s">
        <v>38</v>
      </c>
      <c r="C650" s="36">
        <v>46207.7298726852</v>
      </c>
      <c r="D650" s="35">
        <v>4</v>
      </c>
    </row>
    <row r="651" spans="1:4">
      <c r="A651" s="35" t="s">
        <v>259</v>
      </c>
      <c r="B651" s="35" t="s">
        <v>38</v>
      </c>
      <c r="C651" s="36">
        <v>46209.4043287037</v>
      </c>
      <c r="D651" s="35">
        <v>5</v>
      </c>
    </row>
    <row r="652" spans="1:4">
      <c r="A652" s="35" t="s">
        <v>42</v>
      </c>
      <c r="B652" s="35" t="s">
        <v>26</v>
      </c>
      <c r="C652" s="36">
        <v>46209.4043402778</v>
      </c>
      <c r="D652" s="35">
        <v>1</v>
      </c>
    </row>
    <row r="653" spans="1:4">
      <c r="A653" s="35" t="s">
        <v>264</v>
      </c>
      <c r="B653" s="35" t="s">
        <v>26</v>
      </c>
      <c r="C653" s="36">
        <v>46209.4043518519</v>
      </c>
      <c r="D653" s="35">
        <v>1</v>
      </c>
    </row>
    <row r="654" spans="1:4">
      <c r="A654" s="35" t="s">
        <v>452</v>
      </c>
      <c r="B654" s="35" t="s">
        <v>26</v>
      </c>
      <c r="C654" s="36">
        <v>46209.4112962963</v>
      </c>
      <c r="D654" s="35">
        <v>1</v>
      </c>
    </row>
    <row r="655" spans="1:4">
      <c r="A655" s="35" t="s">
        <v>453</v>
      </c>
      <c r="B655" s="35" t="s">
        <v>26</v>
      </c>
      <c r="C655" s="36">
        <v>46209.4135069445</v>
      </c>
      <c r="D655" s="35">
        <v>1</v>
      </c>
    </row>
    <row r="656" spans="1:4">
      <c r="A656" s="35" t="s">
        <v>454</v>
      </c>
      <c r="B656" s="35" t="s">
        <v>26</v>
      </c>
      <c r="C656" s="36">
        <v>46209.4145833333</v>
      </c>
      <c r="D656" s="35">
        <v>1</v>
      </c>
    </row>
    <row r="657" spans="1:4">
      <c r="A657" s="35" t="s">
        <v>413</v>
      </c>
      <c r="B657" s="35" t="s">
        <v>26</v>
      </c>
      <c r="C657" s="36">
        <v>46209.4155208333</v>
      </c>
      <c r="D657" s="35">
        <v>5</v>
      </c>
    </row>
    <row r="658" spans="1:4">
      <c r="A658" s="35" t="s">
        <v>455</v>
      </c>
      <c r="B658" s="35" t="s">
        <v>26</v>
      </c>
      <c r="C658" s="36">
        <v>46209.7833333333</v>
      </c>
      <c r="D658" s="35">
        <v>2</v>
      </c>
    </row>
    <row r="659" spans="1:4">
      <c r="A659" s="35" t="s">
        <v>456</v>
      </c>
      <c r="B659" s="35" t="s">
        <v>26</v>
      </c>
      <c r="C659" s="36">
        <v>46209.7833449074</v>
      </c>
      <c r="D659" s="35">
        <v>1</v>
      </c>
    </row>
    <row r="660" spans="1:4">
      <c r="A660" s="35" t="s">
        <v>457</v>
      </c>
      <c r="B660" s="35" t="s">
        <v>26</v>
      </c>
      <c r="C660" s="36">
        <v>46210.3714236111</v>
      </c>
      <c r="D660" s="35">
        <v>2</v>
      </c>
    </row>
    <row r="661" spans="1:4">
      <c r="A661" s="35" t="s">
        <v>258</v>
      </c>
      <c r="B661" s="35" t="s">
        <v>26</v>
      </c>
      <c r="C661" s="36">
        <v>46210.3730671296</v>
      </c>
      <c r="D661" s="35">
        <v>2</v>
      </c>
    </row>
    <row r="662" spans="1:4">
      <c r="A662" s="35" t="s">
        <v>458</v>
      </c>
      <c r="B662" s="35" t="s">
        <v>38</v>
      </c>
      <c r="C662" s="36">
        <v>46210.3730787037</v>
      </c>
      <c r="D662" s="35">
        <v>1</v>
      </c>
    </row>
    <row r="663" spans="1:4">
      <c r="A663" s="35" t="s">
        <v>413</v>
      </c>
      <c r="B663" s="35" t="s">
        <v>26</v>
      </c>
      <c r="C663" s="36">
        <v>46210.3760648148</v>
      </c>
      <c r="D663" s="35">
        <v>5</v>
      </c>
    </row>
    <row r="664" spans="1:4">
      <c r="A664" s="35" t="s">
        <v>389</v>
      </c>
      <c r="B664" s="35" t="s">
        <v>38</v>
      </c>
      <c r="C664" s="36">
        <v>46210.3774074074</v>
      </c>
      <c r="D664" s="35">
        <v>4</v>
      </c>
    </row>
    <row r="665" spans="1:4">
      <c r="A665" s="35" t="s">
        <v>256</v>
      </c>
      <c r="B665" s="35" t="s">
        <v>390</v>
      </c>
      <c r="C665" s="36">
        <v>46210.3774189815</v>
      </c>
      <c r="D665" s="35">
        <v>3</v>
      </c>
    </row>
    <row r="666" spans="1:4">
      <c r="A666" s="35" t="s">
        <v>459</v>
      </c>
      <c r="B666" s="35" t="s">
        <v>26</v>
      </c>
      <c r="C666" s="36">
        <v>46210.7805555556</v>
      </c>
      <c r="D666" s="35">
        <v>2</v>
      </c>
    </row>
    <row r="667" spans="1:4">
      <c r="A667" s="35" t="s">
        <v>460</v>
      </c>
      <c r="B667" s="35" t="s">
        <v>26</v>
      </c>
      <c r="C667" s="36">
        <v>46210.7819444445</v>
      </c>
      <c r="D667" s="35">
        <v>1</v>
      </c>
    </row>
    <row r="668" spans="1:4">
      <c r="A668" s="35" t="s">
        <v>413</v>
      </c>
      <c r="B668" s="35" t="s">
        <v>26</v>
      </c>
      <c r="C668" s="36">
        <v>46211.3770833333</v>
      </c>
      <c r="D668" s="35">
        <v>20</v>
      </c>
    </row>
    <row r="669" spans="1:4">
      <c r="A669" s="35" t="s">
        <v>397</v>
      </c>
      <c r="B669" s="35" t="s">
        <v>26</v>
      </c>
      <c r="C669" s="36">
        <v>46211.4142939815</v>
      </c>
      <c r="D669" s="35">
        <v>1</v>
      </c>
    </row>
    <row r="670" spans="1:4">
      <c r="A670" s="35" t="s">
        <v>209</v>
      </c>
      <c r="B670" s="35" t="s">
        <v>35</v>
      </c>
      <c r="C670" s="36">
        <v>46211.4221759259</v>
      </c>
      <c r="D670" s="35">
        <v>1</v>
      </c>
    </row>
    <row r="671" spans="1:4">
      <c r="A671" s="35" t="s">
        <v>461</v>
      </c>
      <c r="B671" s="35" t="s">
        <v>26</v>
      </c>
      <c r="C671" s="36">
        <v>46211.7021180556</v>
      </c>
      <c r="D671" s="35">
        <v>1</v>
      </c>
    </row>
    <row r="672" spans="1:4">
      <c r="A672" s="35" t="s">
        <v>462</v>
      </c>
      <c r="B672" s="35" t="s">
        <v>35</v>
      </c>
      <c r="C672" s="36">
        <v>46211.7055555556</v>
      </c>
      <c r="D672" s="35">
        <v>1</v>
      </c>
    </row>
    <row r="673" spans="1:4">
      <c r="A673" s="35" t="s">
        <v>463</v>
      </c>
      <c r="B673" s="35" t="s">
        <v>26</v>
      </c>
      <c r="C673" s="36">
        <v>46211.7369212963</v>
      </c>
      <c r="D673" s="35">
        <v>2</v>
      </c>
    </row>
    <row r="674" spans="1:4">
      <c r="A674" s="35" t="s">
        <v>413</v>
      </c>
      <c r="B674" s="35" t="s">
        <v>26</v>
      </c>
      <c r="C674" s="36">
        <v>46212.3742476852</v>
      </c>
      <c r="D674" s="35">
        <v>5</v>
      </c>
    </row>
    <row r="675" spans="1:4">
      <c r="A675" s="35" t="s">
        <v>464</v>
      </c>
      <c r="B675" s="35" t="s">
        <v>35</v>
      </c>
      <c r="C675" s="36">
        <v>46212.4498611111</v>
      </c>
      <c r="D675" s="35">
        <v>1</v>
      </c>
    </row>
    <row r="676" spans="1:4">
      <c r="A676" s="35" t="s">
        <v>465</v>
      </c>
      <c r="B676" s="35" t="s">
        <v>35</v>
      </c>
      <c r="C676" s="36">
        <v>46212.4498726852</v>
      </c>
      <c r="D676" s="35">
        <v>1</v>
      </c>
    </row>
    <row r="677" spans="1:4">
      <c r="A677" s="35" t="s">
        <v>163</v>
      </c>
      <c r="B677" s="35" t="s">
        <v>26</v>
      </c>
      <c r="C677" s="36">
        <v>46212.7044675926</v>
      </c>
      <c r="D677" s="35">
        <v>1</v>
      </c>
    </row>
    <row r="678" spans="1:4">
      <c r="A678" s="35" t="s">
        <v>413</v>
      </c>
      <c r="B678" s="35" t="s">
        <v>26</v>
      </c>
      <c r="C678" s="36">
        <v>46212.7070023148</v>
      </c>
      <c r="D678" s="35">
        <v>5</v>
      </c>
    </row>
    <row r="679" spans="1:4">
      <c r="A679" s="35" t="s">
        <v>466</v>
      </c>
      <c r="B679" s="35" t="s">
        <v>26</v>
      </c>
      <c r="C679" s="36">
        <v>46212.7092939815</v>
      </c>
      <c r="D679" s="35">
        <v>4</v>
      </c>
    </row>
    <row r="680" spans="1:4">
      <c r="A680" s="35" t="s">
        <v>467</v>
      </c>
      <c r="B680" s="35" t="s">
        <v>35</v>
      </c>
      <c r="C680" s="36">
        <v>46212.7097222222</v>
      </c>
      <c r="D680" s="35">
        <v>1</v>
      </c>
    </row>
    <row r="681" spans="1:4">
      <c r="A681" s="35" t="s">
        <v>223</v>
      </c>
      <c r="B681" s="35" t="s">
        <v>26</v>
      </c>
      <c r="C681" s="36">
        <v>46212.7097337963</v>
      </c>
      <c r="D681" s="35">
        <v>1</v>
      </c>
    </row>
    <row r="682" spans="1:4">
      <c r="A682" s="35" t="s">
        <v>468</v>
      </c>
      <c r="B682" s="35" t="s">
        <v>35</v>
      </c>
      <c r="C682" s="36">
        <v>46212.7097453704</v>
      </c>
      <c r="D682" s="35">
        <v>1</v>
      </c>
    </row>
    <row r="683" spans="1:4">
      <c r="A683" s="35" t="s">
        <v>218</v>
      </c>
      <c r="B683" s="35" t="s">
        <v>35</v>
      </c>
      <c r="C683" s="36">
        <v>46213.5930555556</v>
      </c>
      <c r="D683" s="35">
        <v>1</v>
      </c>
    </row>
    <row r="684" spans="1:4">
      <c r="A684" s="35" t="s">
        <v>280</v>
      </c>
      <c r="B684" s="35" t="s">
        <v>26</v>
      </c>
      <c r="C684" s="36">
        <v>46213.6020833333</v>
      </c>
      <c r="D684" s="35">
        <v>1</v>
      </c>
    </row>
    <row r="685" spans="1:4">
      <c r="A685" s="35" t="s">
        <v>278</v>
      </c>
      <c r="B685" s="35" t="s">
        <v>35</v>
      </c>
      <c r="C685" s="36">
        <v>46216.3735300926</v>
      </c>
      <c r="D685" s="35">
        <v>1</v>
      </c>
    </row>
    <row r="686" spans="1:4">
      <c r="A686" s="35" t="s">
        <v>469</v>
      </c>
      <c r="B686" s="35" t="s">
        <v>35</v>
      </c>
      <c r="C686" s="36">
        <v>46216.3745717593</v>
      </c>
      <c r="D686" s="35">
        <v>1</v>
      </c>
    </row>
    <row r="687" spans="1:4">
      <c r="A687" s="35" t="s">
        <v>470</v>
      </c>
      <c r="B687" s="35" t="s">
        <v>26</v>
      </c>
      <c r="C687" s="36">
        <v>46216.3756828704</v>
      </c>
      <c r="D687" s="35">
        <v>1</v>
      </c>
    </row>
    <row r="688" spans="1:4">
      <c r="A688" s="35" t="s">
        <v>25</v>
      </c>
      <c r="B688" s="35" t="s">
        <v>26</v>
      </c>
      <c r="C688" s="36">
        <v>46216.4458333333</v>
      </c>
      <c r="D688" s="35">
        <v>1</v>
      </c>
    </row>
    <row r="689" spans="1:4">
      <c r="A689" s="35" t="s">
        <v>325</v>
      </c>
      <c r="B689" s="35" t="s">
        <v>26</v>
      </c>
      <c r="C689" s="36">
        <v>46216.5569444444</v>
      </c>
      <c r="D689" s="35">
        <v>1</v>
      </c>
    </row>
    <row r="690" spans="1:4">
      <c r="A690" s="35" t="s">
        <v>470</v>
      </c>
      <c r="B690" s="35" t="s">
        <v>26</v>
      </c>
      <c r="C690" s="36">
        <v>46216.6600347222</v>
      </c>
      <c r="D690" s="35">
        <v>1</v>
      </c>
    </row>
    <row r="691" spans="1:4">
      <c r="A691" s="35" t="s">
        <v>470</v>
      </c>
      <c r="B691" s="35" t="s">
        <v>26</v>
      </c>
      <c r="C691" s="36">
        <v>46216.6612962963</v>
      </c>
      <c r="D691" s="35">
        <v>1</v>
      </c>
    </row>
    <row r="692" spans="1:4">
      <c r="A692" s="35" t="s">
        <v>270</v>
      </c>
      <c r="B692" s="35" t="s">
        <v>26</v>
      </c>
      <c r="C692" s="36">
        <v>46216.8115046296</v>
      </c>
      <c r="D692" s="35">
        <v>1</v>
      </c>
    </row>
    <row r="693" spans="1:4">
      <c r="A693" s="35" t="s">
        <v>389</v>
      </c>
      <c r="B693" s="35" t="s">
        <v>38</v>
      </c>
      <c r="C693" s="36">
        <v>46216.8127777778</v>
      </c>
      <c r="D693" s="35">
        <v>1</v>
      </c>
    </row>
    <row r="694" spans="1:4">
      <c r="A694" s="35" t="s">
        <v>471</v>
      </c>
      <c r="B694" s="35" t="s">
        <v>26</v>
      </c>
      <c r="C694" s="36">
        <v>46216.8137037037</v>
      </c>
      <c r="D694" s="35">
        <v>3</v>
      </c>
    </row>
    <row r="695" spans="1:4">
      <c r="A695" s="35" t="s">
        <v>258</v>
      </c>
      <c r="B695" s="35" t="s">
        <v>26</v>
      </c>
      <c r="C695" s="36">
        <v>46216.8137152778</v>
      </c>
      <c r="D695" s="35">
        <v>2</v>
      </c>
    </row>
    <row r="696" spans="1:4">
      <c r="A696" s="35" t="s">
        <v>413</v>
      </c>
      <c r="B696" s="35" t="s">
        <v>26</v>
      </c>
      <c r="C696" s="36">
        <v>46217.4043287037</v>
      </c>
      <c r="D696" s="35">
        <v>5</v>
      </c>
    </row>
    <row r="697" spans="1:4">
      <c r="A697" s="35" t="s">
        <v>25</v>
      </c>
      <c r="B697" s="35" t="s">
        <v>26</v>
      </c>
      <c r="C697" s="36">
        <v>46217.4258333333</v>
      </c>
      <c r="D697" s="35">
        <v>1</v>
      </c>
    </row>
    <row r="698" spans="1:4">
      <c r="A698" s="35" t="s">
        <v>472</v>
      </c>
      <c r="B698" s="35" t="s">
        <v>35</v>
      </c>
      <c r="C698" s="36">
        <v>46217.4280671296</v>
      </c>
      <c r="D698" s="35">
        <v>1</v>
      </c>
    </row>
    <row r="699" spans="1:4">
      <c r="A699" s="35" t="s">
        <v>473</v>
      </c>
      <c r="B699" s="35" t="s">
        <v>26</v>
      </c>
      <c r="C699" s="36">
        <v>46217.4291087963</v>
      </c>
      <c r="D699" s="35">
        <v>1</v>
      </c>
    </row>
    <row r="700" spans="1:4">
      <c r="A700" s="35" t="s">
        <v>474</v>
      </c>
      <c r="B700" s="35" t="s">
        <v>26</v>
      </c>
      <c r="C700" s="36">
        <v>46217.4291203704</v>
      </c>
      <c r="D700" s="35">
        <v>1</v>
      </c>
    </row>
    <row r="701" spans="1:4">
      <c r="A701" s="35" t="s">
        <v>27</v>
      </c>
      <c r="B701" s="35" t="s">
        <v>26</v>
      </c>
      <c r="C701" s="36">
        <v>46217.4412731482</v>
      </c>
      <c r="D701" s="35">
        <v>1</v>
      </c>
    </row>
    <row r="702" spans="1:4">
      <c r="A702" s="35" t="s">
        <v>161</v>
      </c>
      <c r="B702" s="35" t="s">
        <v>26</v>
      </c>
      <c r="C702" s="36">
        <v>46217.4412847222</v>
      </c>
      <c r="D702" s="35">
        <v>1</v>
      </c>
    </row>
    <row r="703" spans="1:4">
      <c r="A703" s="35" t="s">
        <v>158</v>
      </c>
      <c r="B703" s="35" t="s">
        <v>35</v>
      </c>
      <c r="C703" s="36">
        <v>46217.4429398148</v>
      </c>
      <c r="D703" s="35">
        <v>1</v>
      </c>
    </row>
    <row r="704" spans="1:4">
      <c r="A704" s="35" t="s">
        <v>49</v>
      </c>
      <c r="B704" s="35" t="s">
        <v>35</v>
      </c>
      <c r="C704" s="36">
        <v>46217.4429513889</v>
      </c>
      <c r="D704" s="35">
        <v>1</v>
      </c>
    </row>
    <row r="705" spans="1:4">
      <c r="A705" s="35" t="s">
        <v>156</v>
      </c>
      <c r="B705" s="35" t="s">
        <v>35</v>
      </c>
      <c r="C705" s="36">
        <v>46217.442962963</v>
      </c>
      <c r="D705" s="35">
        <v>1</v>
      </c>
    </row>
    <row r="706" spans="1:4">
      <c r="A706" s="35" t="s">
        <v>475</v>
      </c>
      <c r="B706" s="35" t="s">
        <v>26</v>
      </c>
      <c r="C706" s="36">
        <v>46217.6090277778</v>
      </c>
      <c r="D706" s="35">
        <v>5</v>
      </c>
    </row>
    <row r="707" spans="1:4">
      <c r="A707" s="35" t="s">
        <v>428</v>
      </c>
      <c r="B707" s="35" t="s">
        <v>26</v>
      </c>
      <c r="C707" s="36">
        <v>46217.6090393519</v>
      </c>
      <c r="D707" s="35">
        <v>2</v>
      </c>
    </row>
    <row r="708" spans="1:4">
      <c r="A708" s="35" t="s">
        <v>476</v>
      </c>
      <c r="B708" s="35" t="s">
        <v>26</v>
      </c>
      <c r="C708" s="36">
        <v>46217.6090509259</v>
      </c>
      <c r="D708" s="35">
        <v>4</v>
      </c>
    </row>
    <row r="709" spans="1:4">
      <c r="A709" s="35" t="s">
        <v>431</v>
      </c>
      <c r="B709" s="35" t="s">
        <v>26</v>
      </c>
      <c r="C709" s="36">
        <v>46217.6090625</v>
      </c>
      <c r="D709" s="35">
        <v>1</v>
      </c>
    </row>
    <row r="710" spans="1:4">
      <c r="A710" s="35" t="s">
        <v>412</v>
      </c>
      <c r="B710" s="35" t="s">
        <v>26</v>
      </c>
      <c r="C710" s="36">
        <v>46219.5625</v>
      </c>
      <c r="D710" s="35">
        <v>1</v>
      </c>
    </row>
    <row r="711" spans="1:4">
      <c r="A711" s="35" t="s">
        <v>477</v>
      </c>
      <c r="B711" s="35" t="s">
        <v>26</v>
      </c>
      <c r="C711" s="36">
        <v>46220.6</v>
      </c>
      <c r="D711" s="35">
        <v>3</v>
      </c>
    </row>
    <row r="712" spans="1:4">
      <c r="A712" s="35" t="s">
        <v>389</v>
      </c>
      <c r="B712" s="35" t="s">
        <v>38</v>
      </c>
      <c r="C712" s="36">
        <v>46220.6039814815</v>
      </c>
      <c r="D712" s="35">
        <v>1</v>
      </c>
    </row>
    <row r="713" spans="1:4">
      <c r="A713" s="35" t="s">
        <v>478</v>
      </c>
      <c r="B713" s="35" t="s">
        <v>26</v>
      </c>
      <c r="C713" s="36">
        <v>46220.6052546296</v>
      </c>
      <c r="D713" s="35">
        <v>1</v>
      </c>
    </row>
    <row r="714" spans="1:4">
      <c r="A714" s="35" t="s">
        <v>181</v>
      </c>
      <c r="B714" s="35" t="s">
        <v>38</v>
      </c>
      <c r="C714" s="36">
        <v>46220.6052662037</v>
      </c>
      <c r="D714" s="35">
        <v>4</v>
      </c>
    </row>
    <row r="715" spans="1:4">
      <c r="A715" s="35" t="s">
        <v>441</v>
      </c>
      <c r="B715" s="35" t="s">
        <v>38</v>
      </c>
      <c r="C715" s="36">
        <v>46220.6052777778</v>
      </c>
      <c r="D715" s="35">
        <v>1</v>
      </c>
    </row>
    <row r="716" spans="1:4">
      <c r="A716" s="35" t="s">
        <v>413</v>
      </c>
      <c r="B716" s="35" t="s">
        <v>26</v>
      </c>
      <c r="C716" s="36">
        <v>46220.6071875</v>
      </c>
      <c r="D716" s="35">
        <v>5</v>
      </c>
    </row>
    <row r="717" spans="1:4">
      <c r="A717" s="35" t="s">
        <v>477</v>
      </c>
      <c r="B717" s="35" t="s">
        <v>26</v>
      </c>
      <c r="C717" s="36">
        <v>46220.6084143519</v>
      </c>
      <c r="D717" s="35">
        <v>1</v>
      </c>
    </row>
    <row r="718" spans="1:4">
      <c r="A718" s="35" t="s">
        <v>193</v>
      </c>
      <c r="B718" s="35" t="s">
        <v>26</v>
      </c>
      <c r="C718" s="36">
        <v>46222.6576388889</v>
      </c>
      <c r="D718" s="35">
        <v>2</v>
      </c>
    </row>
    <row r="719" spans="1:4">
      <c r="A719" s="35" t="s">
        <v>479</v>
      </c>
      <c r="B719" s="35" t="s">
        <v>26</v>
      </c>
      <c r="C719" s="36">
        <v>46222.657650463</v>
      </c>
      <c r="D719" s="35">
        <v>1</v>
      </c>
    </row>
    <row r="720" spans="1:4">
      <c r="A720" s="35" t="s">
        <v>280</v>
      </c>
      <c r="B720" s="35" t="s">
        <v>26</v>
      </c>
      <c r="C720" s="36">
        <v>46222.657662037</v>
      </c>
      <c r="D720" s="35">
        <v>1</v>
      </c>
    </row>
    <row r="721" spans="1:4">
      <c r="A721" s="35" t="s">
        <v>480</v>
      </c>
      <c r="B721" s="35" t="s">
        <v>26</v>
      </c>
      <c r="C721" s="36">
        <v>46222.6576736111</v>
      </c>
      <c r="D721" s="35">
        <v>1</v>
      </c>
    </row>
    <row r="722" spans="1:4">
      <c r="A722" s="35" t="s">
        <v>193</v>
      </c>
      <c r="B722" s="35" t="s">
        <v>26</v>
      </c>
      <c r="C722" s="36">
        <v>46223.8635069444</v>
      </c>
      <c r="D722" s="35">
        <v>1</v>
      </c>
    </row>
    <row r="723" spans="1:4">
      <c r="A723" s="35" t="s">
        <v>479</v>
      </c>
      <c r="B723" s="35" t="s">
        <v>26</v>
      </c>
      <c r="C723" s="36">
        <v>46223.8645138889</v>
      </c>
      <c r="D723" s="35">
        <v>1</v>
      </c>
    </row>
    <row r="724" spans="1:4">
      <c r="A724" s="35" t="s">
        <v>211</v>
      </c>
      <c r="B724" s="35" t="s">
        <v>35</v>
      </c>
      <c r="C724" s="36">
        <v>46223.866099537</v>
      </c>
      <c r="D724" s="35">
        <v>1</v>
      </c>
    </row>
    <row r="725" spans="1:4">
      <c r="A725" s="35" t="s">
        <v>209</v>
      </c>
      <c r="B725" s="35" t="s">
        <v>35</v>
      </c>
      <c r="C725" s="36">
        <v>46223.8661111111</v>
      </c>
      <c r="D725" s="35">
        <v>1</v>
      </c>
    </row>
    <row r="726" spans="1:4">
      <c r="A726" s="35" t="s">
        <v>208</v>
      </c>
      <c r="B726" s="35" t="s">
        <v>35</v>
      </c>
      <c r="C726" s="36">
        <v>46223.8661226852</v>
      </c>
      <c r="D726" s="35">
        <v>1</v>
      </c>
    </row>
    <row r="727" spans="1:4">
      <c r="A727" s="35" t="s">
        <v>237</v>
      </c>
      <c r="B727" s="35" t="s">
        <v>35</v>
      </c>
      <c r="C727" s="36">
        <v>46223.8661342593</v>
      </c>
      <c r="D727" s="35">
        <v>1</v>
      </c>
    </row>
    <row r="728" spans="1:4">
      <c r="A728" s="35" t="s">
        <v>211</v>
      </c>
      <c r="B728" s="35" t="s">
        <v>35</v>
      </c>
      <c r="C728" s="36">
        <v>46223.8685185185</v>
      </c>
      <c r="D728" s="35">
        <v>1</v>
      </c>
    </row>
    <row r="729" spans="1:4">
      <c r="A729" s="35" t="s">
        <v>209</v>
      </c>
      <c r="B729" s="35" t="s">
        <v>35</v>
      </c>
      <c r="C729" s="36">
        <v>46223.8685300926</v>
      </c>
      <c r="D729" s="35">
        <v>1</v>
      </c>
    </row>
    <row r="730" spans="1:4">
      <c r="A730" s="35" t="s">
        <v>208</v>
      </c>
      <c r="B730" s="35" t="s">
        <v>35</v>
      </c>
      <c r="C730" s="36">
        <v>46223.8685416667</v>
      </c>
      <c r="D730" s="35">
        <v>1</v>
      </c>
    </row>
    <row r="731" spans="1:4">
      <c r="A731" s="35" t="s">
        <v>237</v>
      </c>
      <c r="B731" s="35" t="s">
        <v>35</v>
      </c>
      <c r="C731" s="36">
        <v>46223.8685532407</v>
      </c>
      <c r="D731" s="35">
        <v>1</v>
      </c>
    </row>
    <row r="732" spans="1:4">
      <c r="A732" s="35" t="s">
        <v>181</v>
      </c>
      <c r="B732" s="35" t="s">
        <v>38</v>
      </c>
      <c r="C732" s="36">
        <v>46223.8705324074</v>
      </c>
      <c r="D732" s="35">
        <v>4</v>
      </c>
    </row>
    <row r="733" spans="1:4">
      <c r="A733" s="35" t="s">
        <v>259</v>
      </c>
      <c r="B733" s="35" t="s">
        <v>38</v>
      </c>
      <c r="C733" s="36">
        <v>46223.8705439815</v>
      </c>
      <c r="D733" s="35">
        <v>4</v>
      </c>
    </row>
    <row r="734" spans="1:4">
      <c r="A734" s="35" t="s">
        <v>260</v>
      </c>
      <c r="B734" s="35" t="s">
        <v>38</v>
      </c>
      <c r="C734" s="36">
        <v>46223.8705555556</v>
      </c>
      <c r="D734" s="35">
        <v>3</v>
      </c>
    </row>
    <row r="735" spans="1:4">
      <c r="A735" s="35" t="s">
        <v>481</v>
      </c>
      <c r="B735" s="35" t="s">
        <v>38</v>
      </c>
      <c r="C735" s="36">
        <v>46223.8705671296</v>
      </c>
      <c r="D735" s="35">
        <v>2</v>
      </c>
    </row>
    <row r="736" spans="1:4">
      <c r="A736" s="35" t="s">
        <v>261</v>
      </c>
      <c r="B736" s="35" t="s">
        <v>38</v>
      </c>
      <c r="C736" s="36">
        <v>46223.8705787037</v>
      </c>
      <c r="D736" s="35">
        <v>1</v>
      </c>
    </row>
    <row r="737" spans="1:4">
      <c r="A737" s="35" t="s">
        <v>264</v>
      </c>
      <c r="B737" s="35" t="s">
        <v>38</v>
      </c>
      <c r="C737" s="36">
        <v>46223.8705902778</v>
      </c>
      <c r="D737" s="35">
        <v>1</v>
      </c>
    </row>
    <row r="738" spans="1:4">
      <c r="A738" s="35" t="s">
        <v>482</v>
      </c>
      <c r="B738" s="35" t="s">
        <v>182</v>
      </c>
      <c r="C738" s="36">
        <v>46223.8706018519</v>
      </c>
      <c r="D738" s="35">
        <v>1</v>
      </c>
    </row>
    <row r="739" spans="1:4">
      <c r="A739" s="35" t="s">
        <v>483</v>
      </c>
      <c r="B739" s="35" t="s">
        <v>26</v>
      </c>
      <c r="C739" s="36">
        <v>46223.8751041667</v>
      </c>
      <c r="D739" s="35">
        <v>3</v>
      </c>
    </row>
    <row r="740" spans="1:4">
      <c r="A740" s="35" t="s">
        <v>484</v>
      </c>
      <c r="B740" s="35" t="s">
        <v>26</v>
      </c>
      <c r="C740" s="36">
        <v>46223.8751157407</v>
      </c>
      <c r="D740" s="35">
        <v>4</v>
      </c>
    </row>
    <row r="741" spans="1:4">
      <c r="A741" s="35" t="s">
        <v>485</v>
      </c>
      <c r="B741" s="35" t="s">
        <v>26</v>
      </c>
      <c r="C741" s="36">
        <v>46223.8763425926</v>
      </c>
      <c r="D741" s="35">
        <v>2</v>
      </c>
    </row>
    <row r="742" spans="1:4">
      <c r="A742" s="35" t="s">
        <v>486</v>
      </c>
      <c r="B742" s="35" t="s">
        <v>26</v>
      </c>
      <c r="C742" s="36">
        <v>46223.8763541667</v>
      </c>
      <c r="D742" s="35">
        <v>1</v>
      </c>
    </row>
    <row r="743" spans="1:4">
      <c r="A743" s="35" t="s">
        <v>258</v>
      </c>
      <c r="B743" s="35" t="s">
        <v>26</v>
      </c>
      <c r="C743" s="36">
        <v>46223.8763657407</v>
      </c>
      <c r="D743" s="35">
        <v>1</v>
      </c>
    </row>
    <row r="744" spans="1:4">
      <c r="A744" s="35" t="s">
        <v>441</v>
      </c>
      <c r="B744" s="35" t="s">
        <v>38</v>
      </c>
      <c r="C744" s="36">
        <v>46223.8763773148</v>
      </c>
      <c r="D744" s="35">
        <v>1</v>
      </c>
    </row>
    <row r="745" spans="1:4">
      <c r="A745" s="35" t="s">
        <v>487</v>
      </c>
      <c r="B745" s="35" t="s">
        <v>26</v>
      </c>
      <c r="C745" s="36">
        <v>46223.8783796296</v>
      </c>
      <c r="D745" s="35">
        <v>1</v>
      </c>
    </row>
    <row r="746" spans="1:4">
      <c r="A746" s="35" t="s">
        <v>485</v>
      </c>
      <c r="B746" s="35" t="s">
        <v>26</v>
      </c>
      <c r="C746" s="36">
        <v>46223.8783912037</v>
      </c>
      <c r="D746" s="35">
        <v>1</v>
      </c>
    </row>
    <row r="747" spans="1:4">
      <c r="A747" s="35" t="s">
        <v>488</v>
      </c>
      <c r="B747" s="35" t="s">
        <v>26</v>
      </c>
      <c r="C747" s="36">
        <v>46223.8798263889</v>
      </c>
      <c r="D747" s="35">
        <v>4</v>
      </c>
    </row>
    <row r="748" spans="1:4">
      <c r="A748" s="35" t="s">
        <v>489</v>
      </c>
      <c r="B748" s="35" t="s">
        <v>26</v>
      </c>
      <c r="C748" s="36">
        <v>46224.3796527778</v>
      </c>
      <c r="D748" s="35">
        <v>1</v>
      </c>
    </row>
    <row r="749" spans="1:4">
      <c r="A749" s="35" t="s">
        <v>325</v>
      </c>
      <c r="B749" s="35" t="s">
        <v>26</v>
      </c>
      <c r="C749" s="36">
        <v>46224.5638888889</v>
      </c>
      <c r="D749" s="35">
        <v>5</v>
      </c>
    </row>
    <row r="750" spans="1:4">
      <c r="A750" s="35" t="s">
        <v>490</v>
      </c>
      <c r="B750" s="35" t="s">
        <v>26</v>
      </c>
      <c r="C750" s="36">
        <v>46225.3528356482</v>
      </c>
      <c r="D750" s="35">
        <v>1</v>
      </c>
    </row>
    <row r="751" spans="1:4">
      <c r="A751" s="35" t="s">
        <v>159</v>
      </c>
      <c r="B751" s="35" t="s">
        <v>26</v>
      </c>
      <c r="C751" s="36">
        <v>46225.3536458333</v>
      </c>
      <c r="D751" s="35">
        <v>1</v>
      </c>
    </row>
    <row r="752" spans="1:4">
      <c r="A752" s="35" t="s">
        <v>218</v>
      </c>
      <c r="B752" s="35" t="s">
        <v>35</v>
      </c>
      <c r="C752" s="36">
        <v>46225.3984606482</v>
      </c>
      <c r="D752" s="35">
        <v>1</v>
      </c>
    </row>
    <row r="753" spans="1:4">
      <c r="A753" s="35" t="s">
        <v>224</v>
      </c>
      <c r="B753" s="35" t="s">
        <v>35</v>
      </c>
      <c r="C753" s="36">
        <v>46225.4145138889</v>
      </c>
      <c r="D753" s="35">
        <v>1</v>
      </c>
    </row>
    <row r="754" spans="1:4">
      <c r="A754" s="35" t="s">
        <v>491</v>
      </c>
      <c r="B754" s="35" t="s">
        <v>38</v>
      </c>
      <c r="C754" s="36">
        <v>46227.7256944445</v>
      </c>
      <c r="D754" s="35">
        <v>1</v>
      </c>
    </row>
    <row r="755" spans="1:4">
      <c r="A755" s="35" t="s">
        <v>451</v>
      </c>
      <c r="B755" s="35" t="s">
        <v>38</v>
      </c>
      <c r="C755" s="36">
        <v>46227.7263888889</v>
      </c>
      <c r="D755" s="35">
        <v>4</v>
      </c>
    </row>
    <row r="756" spans="1:4">
      <c r="A756" s="35" t="s">
        <v>258</v>
      </c>
      <c r="B756" s="35" t="s">
        <v>26</v>
      </c>
      <c r="C756" s="36">
        <v>46230.7315162037</v>
      </c>
      <c r="D756" s="35">
        <v>1</v>
      </c>
    </row>
    <row r="757" spans="1:4">
      <c r="A757" s="35" t="s">
        <v>441</v>
      </c>
      <c r="B757" s="35" t="s">
        <v>38</v>
      </c>
      <c r="C757" s="36">
        <v>46230.7315277778</v>
      </c>
      <c r="D757" s="35">
        <v>1</v>
      </c>
    </row>
    <row r="758" spans="1:4">
      <c r="A758" s="35" t="s">
        <v>413</v>
      </c>
      <c r="B758" s="35" t="s">
        <v>26</v>
      </c>
      <c r="C758" s="36">
        <v>46230.7325347222</v>
      </c>
      <c r="D758" s="35">
        <v>5</v>
      </c>
    </row>
    <row r="759" spans="1:4">
      <c r="A759" s="35" t="s">
        <v>413</v>
      </c>
      <c r="B759" s="35" t="s">
        <v>26</v>
      </c>
      <c r="C759" s="36">
        <v>46230.7343171296</v>
      </c>
      <c r="D759" s="35">
        <v>5</v>
      </c>
    </row>
    <row r="760" spans="1:4">
      <c r="A760" s="35" t="s">
        <v>413</v>
      </c>
      <c r="B760" s="35" t="s">
        <v>26</v>
      </c>
      <c r="C760" s="36">
        <v>46230.7353935185</v>
      </c>
      <c r="D760" s="35">
        <v>5</v>
      </c>
    </row>
    <row r="761" spans="1:4">
      <c r="A761" s="35" t="s">
        <v>220</v>
      </c>
      <c r="B761" s="35" t="s">
        <v>35</v>
      </c>
      <c r="C761" s="36">
        <v>46231.3858564815</v>
      </c>
      <c r="D761" s="35">
        <v>1</v>
      </c>
    </row>
    <row r="762" spans="1:4">
      <c r="A762" s="35" t="s">
        <v>227</v>
      </c>
      <c r="B762" s="35" t="s">
        <v>26</v>
      </c>
      <c r="C762" s="36">
        <v>46231.3866550926</v>
      </c>
      <c r="D762" s="35">
        <v>1</v>
      </c>
    </row>
    <row r="763" spans="1:4">
      <c r="A763" s="35" t="s">
        <v>218</v>
      </c>
      <c r="B763" s="35" t="s">
        <v>35</v>
      </c>
      <c r="C763" s="36">
        <v>46231.3900462963</v>
      </c>
      <c r="D763" s="35">
        <v>1</v>
      </c>
    </row>
    <row r="764" spans="1:4">
      <c r="A764" s="35" t="s">
        <v>152</v>
      </c>
      <c r="B764" s="35" t="s">
        <v>26</v>
      </c>
      <c r="C764" s="36">
        <v>46231.3930439815</v>
      </c>
      <c r="D764" s="35">
        <v>1</v>
      </c>
    </row>
    <row r="765" spans="1:4">
      <c r="A765" s="35" t="s">
        <v>492</v>
      </c>
      <c r="B765" s="35" t="s">
        <v>26</v>
      </c>
      <c r="C765" s="36">
        <v>46231.394212963</v>
      </c>
      <c r="D765" s="35">
        <v>1</v>
      </c>
    </row>
    <row r="766" spans="1:4">
      <c r="A766" s="35" t="s">
        <v>278</v>
      </c>
      <c r="B766" s="35" t="s">
        <v>35</v>
      </c>
      <c r="C766" s="36">
        <v>46231.3950462963</v>
      </c>
      <c r="D766" s="35">
        <v>1</v>
      </c>
    </row>
    <row r="767" spans="1:4">
      <c r="A767" s="35" t="s">
        <v>493</v>
      </c>
      <c r="B767" s="35" t="s">
        <v>26</v>
      </c>
      <c r="C767" s="36">
        <v>46231.3959027778</v>
      </c>
      <c r="D767" s="35">
        <v>1</v>
      </c>
    </row>
    <row r="768" spans="1:4">
      <c r="A768" s="35" t="s">
        <v>494</v>
      </c>
      <c r="B768" s="35" t="s">
        <v>26</v>
      </c>
      <c r="C768" s="36">
        <v>46231.3969328704</v>
      </c>
      <c r="D768" s="35">
        <v>1</v>
      </c>
    </row>
    <row r="769" spans="1:4">
      <c r="A769" s="35" t="s">
        <v>495</v>
      </c>
      <c r="B769" s="35" t="s">
        <v>26</v>
      </c>
      <c r="C769" s="36">
        <v>46231.3969444444</v>
      </c>
      <c r="D769" s="35">
        <v>1</v>
      </c>
    </row>
    <row r="770" spans="1:4">
      <c r="A770" s="35" t="s">
        <v>496</v>
      </c>
      <c r="B770" s="35" t="s">
        <v>26</v>
      </c>
      <c r="C770" s="36">
        <v>46231.4503472222</v>
      </c>
      <c r="D770" s="35">
        <v>1</v>
      </c>
    </row>
    <row r="771" spans="1:4">
      <c r="A771" s="35" t="s">
        <v>214</v>
      </c>
      <c r="B771" s="35" t="s">
        <v>26</v>
      </c>
      <c r="C771" s="36">
        <v>46231.4509953704</v>
      </c>
      <c r="D771" s="35">
        <v>2</v>
      </c>
    </row>
    <row r="772" spans="1:4">
      <c r="A772" s="35" t="s">
        <v>199</v>
      </c>
      <c r="B772" s="35" t="s">
        <v>35</v>
      </c>
      <c r="C772" s="36">
        <v>46232.3357638889</v>
      </c>
      <c r="D772" s="35">
        <v>2</v>
      </c>
    </row>
    <row r="773" spans="1:4">
      <c r="A773" s="35" t="s">
        <v>200</v>
      </c>
      <c r="B773" s="35" t="s">
        <v>35</v>
      </c>
      <c r="C773" s="36">
        <v>46232.335775463</v>
      </c>
      <c r="D773" s="35">
        <v>2</v>
      </c>
    </row>
    <row r="774" spans="1:4">
      <c r="A774" s="35" t="s">
        <v>497</v>
      </c>
      <c r="B774" s="35" t="s">
        <v>26</v>
      </c>
      <c r="C774" s="36">
        <v>46232.4520833333</v>
      </c>
      <c r="D774" s="35">
        <v>1</v>
      </c>
    </row>
    <row r="775" spans="1:4">
      <c r="A775" s="35" t="s">
        <v>30</v>
      </c>
      <c r="B775" s="35" t="s">
        <v>26</v>
      </c>
      <c r="C775" s="36">
        <v>46232.4534722222</v>
      </c>
      <c r="D775" s="35">
        <v>1</v>
      </c>
    </row>
    <row r="776" spans="1:4">
      <c r="A776" s="35" t="s">
        <v>323</v>
      </c>
      <c r="B776" s="35" t="s">
        <v>26</v>
      </c>
      <c r="C776" s="36">
        <v>46232.4534837963</v>
      </c>
      <c r="D776" s="35">
        <v>1</v>
      </c>
    </row>
    <row r="777" spans="1:4">
      <c r="A777" s="35" t="s">
        <v>498</v>
      </c>
      <c r="B777" s="35" t="s">
        <v>26</v>
      </c>
      <c r="C777" s="36">
        <v>46232.4590277778</v>
      </c>
      <c r="D777" s="35">
        <v>1</v>
      </c>
    </row>
    <row r="778" spans="1:4">
      <c r="A778" s="35" t="s">
        <v>499</v>
      </c>
      <c r="B778" s="35" t="s">
        <v>51</v>
      </c>
      <c r="C778" s="36">
        <v>46232.7125</v>
      </c>
      <c r="D778" s="35">
        <v>30</v>
      </c>
    </row>
    <row r="779" spans="1:4">
      <c r="A779" s="35" t="s">
        <v>500</v>
      </c>
      <c r="B779" s="35" t="s">
        <v>51</v>
      </c>
      <c r="C779" s="36">
        <v>46232.7125115741</v>
      </c>
      <c r="D779" s="35">
        <v>3</v>
      </c>
    </row>
    <row r="780" spans="1:4">
      <c r="A780" s="35" t="s">
        <v>501</v>
      </c>
      <c r="B780" s="35" t="s">
        <v>51</v>
      </c>
      <c r="C780" s="36">
        <v>46232.7125231482</v>
      </c>
      <c r="D780" s="35">
        <v>5</v>
      </c>
    </row>
    <row r="781" spans="1:4">
      <c r="A781" s="35" t="s">
        <v>502</v>
      </c>
      <c r="B781" s="35" t="s">
        <v>38</v>
      </c>
      <c r="C781" s="36">
        <v>46232.7125347222</v>
      </c>
      <c r="D781" s="35">
        <v>3</v>
      </c>
    </row>
    <row r="782" spans="1:4">
      <c r="A782" s="35" t="s">
        <v>503</v>
      </c>
      <c r="B782" s="35" t="s">
        <v>26</v>
      </c>
      <c r="C782" s="36">
        <v>46233.4601041667</v>
      </c>
      <c r="D782" s="35">
        <v>1</v>
      </c>
    </row>
    <row r="783" spans="1:4">
      <c r="A783" s="35" t="s">
        <v>269</v>
      </c>
      <c r="B783" s="35" t="s">
        <v>26</v>
      </c>
      <c r="C783" s="36">
        <v>46233.7094791667</v>
      </c>
      <c r="D783" s="35">
        <v>1</v>
      </c>
    </row>
    <row r="784" spans="1:4">
      <c r="A784" s="35" t="s">
        <v>431</v>
      </c>
      <c r="B784" s="35" t="s">
        <v>26</v>
      </c>
      <c r="C784" s="36">
        <v>46233.7114467593</v>
      </c>
      <c r="D784" s="35">
        <v>20</v>
      </c>
    </row>
    <row r="785" spans="1:4">
      <c r="A785" s="35" t="s">
        <v>66</v>
      </c>
      <c r="B785" s="35" t="s">
        <v>26</v>
      </c>
      <c r="C785" s="36">
        <v>46234.4475925926</v>
      </c>
      <c r="D785" s="35">
        <v>1</v>
      </c>
    </row>
    <row r="786" spans="1:4">
      <c r="A786" s="35" t="s">
        <v>233</v>
      </c>
      <c r="B786" s="35" t="s">
        <v>26</v>
      </c>
      <c r="C786" s="36">
        <v>46234.4486226852</v>
      </c>
      <c r="D786" s="35">
        <v>2</v>
      </c>
    </row>
    <row r="787" spans="1:4">
      <c r="A787" s="35" t="s">
        <v>149</v>
      </c>
      <c r="B787" s="35" t="s">
        <v>26</v>
      </c>
      <c r="C787" s="36">
        <v>46234.4486342593</v>
      </c>
      <c r="D787" s="35">
        <v>1</v>
      </c>
    </row>
    <row r="788" spans="1:4">
      <c r="A788" s="35" t="s">
        <v>504</v>
      </c>
      <c r="B788" s="35" t="s">
        <v>26</v>
      </c>
      <c r="C788" s="36">
        <v>46234.4486458333</v>
      </c>
      <c r="D788" s="35">
        <v>2</v>
      </c>
    </row>
    <row r="789" spans="1:4">
      <c r="A789" s="35" t="s">
        <v>149</v>
      </c>
      <c r="B789" s="35" t="s">
        <v>26</v>
      </c>
      <c r="C789" s="36">
        <v>46234.452037037</v>
      </c>
      <c r="D789" s="35">
        <v>1</v>
      </c>
    </row>
    <row r="790" spans="1:4">
      <c r="A790" s="35" t="s">
        <v>325</v>
      </c>
      <c r="B790" s="35" t="s">
        <v>26</v>
      </c>
      <c r="C790" s="36">
        <v>46234.4527546296</v>
      </c>
      <c r="D790" s="35">
        <v>1</v>
      </c>
    </row>
    <row r="791" spans="1:4">
      <c r="A791" s="35" t="s">
        <v>505</v>
      </c>
      <c r="B791" s="35" t="s">
        <v>26</v>
      </c>
      <c r="C791" s="36">
        <v>46237.586099537</v>
      </c>
      <c r="D791" s="35">
        <v>1</v>
      </c>
    </row>
    <row r="792" spans="1:4">
      <c r="A792" s="35" t="s">
        <v>506</v>
      </c>
      <c r="B792" s="35" t="s">
        <v>26</v>
      </c>
      <c r="C792" s="36">
        <v>46238.5800231482</v>
      </c>
      <c r="D792" s="35">
        <v>1</v>
      </c>
    </row>
    <row r="793" spans="1:4">
      <c r="A793" s="35" t="s">
        <v>507</v>
      </c>
      <c r="B793" s="35" t="s">
        <v>26</v>
      </c>
      <c r="C793" s="36">
        <v>46238.7266550926</v>
      </c>
      <c r="D793" s="35">
        <v>2</v>
      </c>
    </row>
    <row r="794" spans="1:4">
      <c r="A794" s="35" t="s">
        <v>413</v>
      </c>
      <c r="B794" s="35" t="s">
        <v>26</v>
      </c>
      <c r="C794" s="36">
        <v>46238.7274652778</v>
      </c>
      <c r="D794" s="35">
        <v>5</v>
      </c>
    </row>
    <row r="795" spans="1:4">
      <c r="A795" s="35" t="s">
        <v>27</v>
      </c>
      <c r="B795" s="35" t="s">
        <v>26</v>
      </c>
      <c r="C795" s="36">
        <v>46239.6136574074</v>
      </c>
      <c r="D795" s="35">
        <v>1</v>
      </c>
    </row>
    <row r="796" spans="1:4">
      <c r="A796" s="35" t="s">
        <v>149</v>
      </c>
      <c r="B796" s="35" t="s">
        <v>26</v>
      </c>
      <c r="C796" s="36">
        <v>46239.6143981482</v>
      </c>
      <c r="D796" s="35">
        <v>1</v>
      </c>
    </row>
    <row r="797" spans="1:4">
      <c r="A797" s="35" t="s">
        <v>28</v>
      </c>
      <c r="B797" s="35" t="s">
        <v>26</v>
      </c>
      <c r="C797" s="36">
        <v>46239.6149768519</v>
      </c>
      <c r="D797" s="35">
        <v>1</v>
      </c>
    </row>
    <row r="798" spans="1:4">
      <c r="A798" s="35" t="s">
        <v>413</v>
      </c>
      <c r="B798" s="35" t="s">
        <v>26</v>
      </c>
      <c r="C798" s="36">
        <v>46239.6930555556</v>
      </c>
      <c r="D798" s="35">
        <v>5</v>
      </c>
    </row>
    <row r="799" spans="1:4">
      <c r="A799" s="35" t="s">
        <v>413</v>
      </c>
      <c r="B799" s="35" t="s">
        <v>26</v>
      </c>
      <c r="C799" s="36">
        <v>46239.6944444445</v>
      </c>
      <c r="D799" s="35">
        <v>5</v>
      </c>
    </row>
    <row r="800" spans="1:4">
      <c r="A800" s="35" t="s">
        <v>413</v>
      </c>
      <c r="B800" s="35" t="s">
        <v>26</v>
      </c>
      <c r="C800" s="36">
        <v>46239.6958333333</v>
      </c>
      <c r="D800" s="35">
        <v>5</v>
      </c>
    </row>
    <row r="801" spans="1:4">
      <c r="A801" s="35" t="s">
        <v>508</v>
      </c>
      <c r="B801" s="35" t="s">
        <v>35</v>
      </c>
      <c r="C801" s="36">
        <v>46240.6669675926</v>
      </c>
      <c r="D801" s="35">
        <v>2</v>
      </c>
    </row>
    <row r="802" spans="1:4">
      <c r="A802" s="35" t="s">
        <v>509</v>
      </c>
      <c r="B802" s="35" t="s">
        <v>35</v>
      </c>
      <c r="C802" s="36">
        <v>46240.6669791667</v>
      </c>
      <c r="D802" s="35">
        <v>1</v>
      </c>
    </row>
    <row r="803" spans="1:4">
      <c r="A803" s="35" t="s">
        <v>510</v>
      </c>
      <c r="B803" s="35" t="s">
        <v>35</v>
      </c>
      <c r="C803" s="36">
        <v>46240.6669907407</v>
      </c>
      <c r="D803" s="35">
        <v>1</v>
      </c>
    </row>
    <row r="804" spans="1:4">
      <c r="A804" s="35" t="s">
        <v>511</v>
      </c>
      <c r="B804" s="35" t="s">
        <v>35</v>
      </c>
      <c r="C804" s="36">
        <v>46240.6670023148</v>
      </c>
      <c r="D804" s="35">
        <v>1</v>
      </c>
    </row>
    <row r="805" spans="1:4">
      <c r="A805" s="35" t="s">
        <v>512</v>
      </c>
      <c r="B805" s="35" t="s">
        <v>35</v>
      </c>
      <c r="C805" s="36">
        <v>46240.670775463</v>
      </c>
      <c r="D805" s="35">
        <v>1</v>
      </c>
    </row>
    <row r="806" spans="1:4">
      <c r="A806" s="35" t="s">
        <v>513</v>
      </c>
      <c r="B806" s="35" t="s">
        <v>26</v>
      </c>
      <c r="C806" s="36">
        <v>46240.6714236111</v>
      </c>
      <c r="D806" s="35">
        <v>1</v>
      </c>
    </row>
    <row r="807" spans="1:4">
      <c r="A807" s="35" t="s">
        <v>278</v>
      </c>
      <c r="B807" s="35" t="s">
        <v>35</v>
      </c>
      <c r="C807" s="36">
        <v>46240.6714351852</v>
      </c>
      <c r="D807" s="35">
        <v>1</v>
      </c>
    </row>
    <row r="808" spans="1:4">
      <c r="A808" s="35" t="s">
        <v>149</v>
      </c>
      <c r="B808" s="35" t="s">
        <v>26</v>
      </c>
      <c r="C808" s="36">
        <v>46240.6726388889</v>
      </c>
      <c r="D808" s="35">
        <v>1</v>
      </c>
    </row>
    <row r="809" spans="1:4">
      <c r="A809" s="35" t="s">
        <v>155</v>
      </c>
      <c r="B809" s="35" t="s">
        <v>26</v>
      </c>
      <c r="C809" s="36">
        <v>46240.6734143519</v>
      </c>
      <c r="D809" s="35">
        <v>2</v>
      </c>
    </row>
    <row r="810" spans="1:4">
      <c r="A810" s="35" t="s">
        <v>514</v>
      </c>
      <c r="B810" s="35" t="s">
        <v>26</v>
      </c>
      <c r="C810" s="36">
        <v>46240.6767476852</v>
      </c>
      <c r="D810" s="35">
        <v>1</v>
      </c>
    </row>
    <row r="811" spans="1:4">
      <c r="A811" s="35" t="s">
        <v>218</v>
      </c>
      <c r="B811" s="35" t="s">
        <v>35</v>
      </c>
      <c r="C811" s="36">
        <v>46240.6802083333</v>
      </c>
      <c r="D811" s="35">
        <v>1</v>
      </c>
    </row>
    <row r="812" spans="1:4">
      <c r="A812" s="35" t="s">
        <v>25</v>
      </c>
      <c r="B812" s="35" t="s">
        <v>26</v>
      </c>
      <c r="C812" s="36">
        <v>46240.6883333333</v>
      </c>
      <c r="D812" s="35">
        <v>1</v>
      </c>
    </row>
    <row r="813" spans="1:4">
      <c r="A813" s="35" t="s">
        <v>515</v>
      </c>
      <c r="B813" s="35" t="s">
        <v>26</v>
      </c>
      <c r="C813" s="36">
        <v>46241.556875</v>
      </c>
      <c r="D813" s="35">
        <v>1</v>
      </c>
    </row>
    <row r="814" spans="1:4">
      <c r="A814" s="35" t="s">
        <v>516</v>
      </c>
      <c r="B814" s="35" t="s">
        <v>26</v>
      </c>
      <c r="C814" s="36">
        <v>46244.5786342593</v>
      </c>
      <c r="D814" s="35">
        <v>1</v>
      </c>
    </row>
    <row r="815" spans="1:4">
      <c r="A815" s="35" t="s">
        <v>517</v>
      </c>
      <c r="B815" s="35" t="s">
        <v>26</v>
      </c>
      <c r="C815" s="36">
        <v>46244.5804861111</v>
      </c>
      <c r="D815" s="35">
        <v>1</v>
      </c>
    </row>
    <row r="816" spans="1:4">
      <c r="A816" s="35" t="s">
        <v>220</v>
      </c>
      <c r="B816" s="35" t="s">
        <v>35</v>
      </c>
      <c r="C816" s="36">
        <v>46244.581412037</v>
      </c>
      <c r="D816" s="35">
        <v>1</v>
      </c>
    </row>
    <row r="817" spans="1:4">
      <c r="A817" s="35" t="s">
        <v>501</v>
      </c>
      <c r="B817" s="35" t="s">
        <v>26</v>
      </c>
      <c r="C817" s="36">
        <v>46244.6769328704</v>
      </c>
      <c r="D817" s="35">
        <v>30</v>
      </c>
    </row>
    <row r="818" spans="1:4">
      <c r="A818" s="35" t="s">
        <v>485</v>
      </c>
      <c r="B818" s="35" t="s">
        <v>26</v>
      </c>
      <c r="C818" s="36">
        <v>46244.6769444444</v>
      </c>
      <c r="D818" s="35">
        <v>10</v>
      </c>
    </row>
    <row r="819" spans="1:4">
      <c r="A819" s="35" t="s">
        <v>502</v>
      </c>
      <c r="B819" s="35" t="s">
        <v>38</v>
      </c>
      <c r="C819" s="36">
        <v>46244.6769560185</v>
      </c>
      <c r="D819" s="35">
        <v>7</v>
      </c>
    </row>
    <row r="820" spans="1:4">
      <c r="A820" s="35" t="s">
        <v>258</v>
      </c>
      <c r="B820" s="35" t="s">
        <v>38</v>
      </c>
      <c r="C820" s="36">
        <v>46244.6769675926</v>
      </c>
      <c r="D820" s="35">
        <v>1</v>
      </c>
    </row>
    <row r="821" spans="1:4">
      <c r="A821" s="35" t="s">
        <v>499</v>
      </c>
      <c r="B821" s="35" t="s">
        <v>51</v>
      </c>
      <c r="C821" s="36">
        <v>46244.6769791667</v>
      </c>
      <c r="D821" s="35">
        <v>40</v>
      </c>
    </row>
    <row r="822" spans="1:4">
      <c r="A822" s="35" t="s">
        <v>518</v>
      </c>
      <c r="B822" s="35" t="s">
        <v>51</v>
      </c>
      <c r="C822" s="36">
        <v>46244.6769907407</v>
      </c>
      <c r="D822" s="35">
        <v>1</v>
      </c>
    </row>
    <row r="823" spans="1:4">
      <c r="A823" s="35" t="s">
        <v>519</v>
      </c>
      <c r="B823" s="35" t="s">
        <v>26</v>
      </c>
      <c r="C823" s="36">
        <v>46244.6770023148</v>
      </c>
      <c r="D823" s="35">
        <v>2</v>
      </c>
    </row>
    <row r="824" spans="1:4">
      <c r="A824" s="35" t="s">
        <v>520</v>
      </c>
      <c r="B824" s="35" t="s">
        <v>26</v>
      </c>
      <c r="C824" s="36">
        <v>46244.6770138889</v>
      </c>
      <c r="D824" s="35">
        <v>1</v>
      </c>
    </row>
    <row r="825" spans="1:4">
      <c r="A825" s="35" t="s">
        <v>521</v>
      </c>
      <c r="B825" s="35" t="s">
        <v>26</v>
      </c>
      <c r="C825" s="36">
        <v>46244.6825694444</v>
      </c>
      <c r="D825" s="35">
        <v>1</v>
      </c>
    </row>
    <row r="826" spans="1:4">
      <c r="A826" s="35" t="s">
        <v>522</v>
      </c>
      <c r="B826" s="35" t="s">
        <v>26</v>
      </c>
      <c r="C826" s="36">
        <v>46244.684837963</v>
      </c>
      <c r="D826" s="35">
        <v>1</v>
      </c>
    </row>
    <row r="827" spans="1:4">
      <c r="A827" s="35" t="s">
        <v>523</v>
      </c>
      <c r="B827" s="35" t="s">
        <v>26</v>
      </c>
      <c r="C827" s="36">
        <v>46244.6859375</v>
      </c>
      <c r="D827" s="35">
        <v>1</v>
      </c>
    </row>
    <row r="828" spans="1:4">
      <c r="A828" s="35" t="s">
        <v>524</v>
      </c>
      <c r="B828" s="35" t="s">
        <v>35</v>
      </c>
      <c r="C828" s="36">
        <v>46245.6522106482</v>
      </c>
      <c r="D828" s="35">
        <v>1</v>
      </c>
    </row>
    <row r="829" spans="1:4">
      <c r="A829" s="35" t="s">
        <v>525</v>
      </c>
      <c r="B829" s="35" t="s">
        <v>26</v>
      </c>
      <c r="C829" s="36">
        <v>46245.6603819444</v>
      </c>
      <c r="D829" s="35">
        <v>1</v>
      </c>
    </row>
    <row r="830" spans="1:4">
      <c r="A830" s="35" t="s">
        <v>526</v>
      </c>
      <c r="B830" s="35" t="s">
        <v>26</v>
      </c>
      <c r="C830" s="36">
        <v>46245.6621990741</v>
      </c>
      <c r="D830" s="35">
        <v>1</v>
      </c>
    </row>
    <row r="831" spans="1:4">
      <c r="A831" s="35" t="s">
        <v>527</v>
      </c>
      <c r="B831" s="35" t="s">
        <v>26</v>
      </c>
      <c r="C831" s="36">
        <v>46245.6630555556</v>
      </c>
      <c r="D831" s="35">
        <v>1</v>
      </c>
    </row>
    <row r="832" spans="1:4">
      <c r="A832" s="35" t="s">
        <v>528</v>
      </c>
      <c r="B832" s="35" t="s">
        <v>26</v>
      </c>
      <c r="C832" s="36">
        <v>46245.6638888889</v>
      </c>
      <c r="D832" s="35">
        <v>1</v>
      </c>
    </row>
    <row r="833" spans="1:4">
      <c r="A833" s="35" t="s">
        <v>529</v>
      </c>
      <c r="B833" s="35" t="s">
        <v>26</v>
      </c>
      <c r="C833" s="36">
        <v>46247.4361805556</v>
      </c>
      <c r="D833" s="35">
        <v>1</v>
      </c>
    </row>
    <row r="834" spans="1:4">
      <c r="A834" s="35" t="s">
        <v>530</v>
      </c>
      <c r="B834" s="35" t="s">
        <v>26</v>
      </c>
      <c r="C834" s="36">
        <v>46247.4375925926</v>
      </c>
      <c r="D834" s="35">
        <v>1</v>
      </c>
    </row>
    <row r="835" spans="1:4">
      <c r="A835" s="35" t="s">
        <v>531</v>
      </c>
      <c r="B835" s="35" t="s">
        <v>26</v>
      </c>
      <c r="C835" s="36">
        <v>46247.4376041667</v>
      </c>
      <c r="D835" s="35">
        <v>1</v>
      </c>
    </row>
    <row r="836" spans="1:4">
      <c r="A836" s="35" t="s">
        <v>532</v>
      </c>
      <c r="B836" s="35" t="s">
        <v>51</v>
      </c>
      <c r="C836" s="36">
        <v>46247.4434259259</v>
      </c>
      <c r="D836" s="35">
        <v>100</v>
      </c>
    </row>
    <row r="837" spans="1:4">
      <c r="A837" s="35" t="s">
        <v>533</v>
      </c>
      <c r="B837" s="35" t="s">
        <v>182</v>
      </c>
      <c r="C837" s="36">
        <v>46247.4434375</v>
      </c>
      <c r="D837" s="35">
        <v>14</v>
      </c>
    </row>
    <row r="838" spans="1:4">
      <c r="A838" s="35" t="s">
        <v>499</v>
      </c>
      <c r="B838" s="35" t="s">
        <v>182</v>
      </c>
      <c r="C838" s="36">
        <v>46247.4434490741</v>
      </c>
      <c r="D838" s="35">
        <v>47.88</v>
      </c>
    </row>
    <row r="839" spans="1:4">
      <c r="A839" s="35" t="s">
        <v>382</v>
      </c>
      <c r="B839" s="35" t="s">
        <v>182</v>
      </c>
      <c r="C839" s="36">
        <v>46247.4434606481</v>
      </c>
      <c r="D839" s="35">
        <v>10</v>
      </c>
    </row>
    <row r="840" spans="1:4">
      <c r="A840" s="35" t="s">
        <v>534</v>
      </c>
      <c r="B840" s="35" t="s">
        <v>26</v>
      </c>
      <c r="C840" s="36">
        <v>46247.4493055556</v>
      </c>
      <c r="D840" s="35">
        <v>1</v>
      </c>
    </row>
    <row r="841" spans="1:4">
      <c r="A841" s="35" t="s">
        <v>519</v>
      </c>
      <c r="B841" s="35" t="s">
        <v>26</v>
      </c>
      <c r="C841" s="36">
        <v>46247.4493171296</v>
      </c>
      <c r="D841" s="35">
        <v>200</v>
      </c>
    </row>
    <row r="842" spans="1:4">
      <c r="A842" s="35" t="s">
        <v>535</v>
      </c>
      <c r="B842" s="35" t="s">
        <v>26</v>
      </c>
      <c r="C842" s="36">
        <v>46247.4791203704</v>
      </c>
      <c r="D842" s="35">
        <v>1</v>
      </c>
    </row>
    <row r="843" spans="1:4">
      <c r="A843" s="35" t="s">
        <v>536</v>
      </c>
      <c r="B843" s="35" t="s">
        <v>35</v>
      </c>
      <c r="C843" s="36">
        <v>46247.6068518519</v>
      </c>
      <c r="D843" s="35">
        <v>1</v>
      </c>
    </row>
    <row r="844" spans="1:4">
      <c r="A844" s="35" t="s">
        <v>537</v>
      </c>
      <c r="B844" s="35" t="s">
        <v>26</v>
      </c>
      <c r="C844" s="36">
        <v>46247.6080671296</v>
      </c>
      <c r="D844" s="35">
        <v>1</v>
      </c>
    </row>
    <row r="845" spans="1:4">
      <c r="A845" s="35" t="s">
        <v>538</v>
      </c>
      <c r="B845" s="35" t="s">
        <v>26</v>
      </c>
      <c r="C845" s="36">
        <v>46247.6080787037</v>
      </c>
      <c r="D845" s="35">
        <v>1</v>
      </c>
    </row>
    <row r="846" spans="1:4">
      <c r="A846" s="35" t="s">
        <v>539</v>
      </c>
      <c r="B846" s="35" t="s">
        <v>26</v>
      </c>
      <c r="C846" s="36">
        <v>46247.6135300926</v>
      </c>
      <c r="D846" s="35">
        <v>2</v>
      </c>
    </row>
    <row r="847" spans="1:4">
      <c r="A847" s="35" t="s">
        <v>413</v>
      </c>
      <c r="B847" s="35" t="s">
        <v>26</v>
      </c>
      <c r="C847" s="36">
        <v>46247.6965277778</v>
      </c>
      <c r="D847" s="35">
        <v>5</v>
      </c>
    </row>
    <row r="848" spans="1:4">
      <c r="A848" s="35" t="s">
        <v>540</v>
      </c>
      <c r="B848" s="35" t="s">
        <v>390</v>
      </c>
      <c r="C848" s="36">
        <v>46248.3922569445</v>
      </c>
      <c r="D848" s="35">
        <v>81</v>
      </c>
    </row>
    <row r="849" spans="1:4">
      <c r="A849" s="35" t="s">
        <v>191</v>
      </c>
      <c r="B849" s="35" t="s">
        <v>26</v>
      </c>
      <c r="C849" s="36">
        <v>46248.6223611111</v>
      </c>
      <c r="D849" s="35">
        <v>1</v>
      </c>
    </row>
    <row r="850" spans="1:4">
      <c r="A850" s="35" t="s">
        <v>376</v>
      </c>
      <c r="B850" s="35" t="s">
        <v>26</v>
      </c>
      <c r="C850" s="36">
        <v>46248.6223726852</v>
      </c>
      <c r="D850" s="35">
        <v>1</v>
      </c>
    </row>
    <row r="851" spans="1:4">
      <c r="A851" s="35" t="s">
        <v>541</v>
      </c>
      <c r="B851" s="35" t="s">
        <v>26</v>
      </c>
      <c r="C851" s="36">
        <v>46248.6223842593</v>
      </c>
      <c r="D851" s="35">
        <v>1</v>
      </c>
    </row>
    <row r="852" spans="1:4">
      <c r="A852" s="35" t="s">
        <v>218</v>
      </c>
      <c r="B852" s="35" t="s">
        <v>35</v>
      </c>
      <c r="C852" s="36">
        <v>46248.6344444445</v>
      </c>
      <c r="D852" s="35">
        <v>1</v>
      </c>
    </row>
    <row r="853" spans="1:4">
      <c r="A853" s="35" t="s">
        <v>542</v>
      </c>
      <c r="B853" s="35" t="s">
        <v>26</v>
      </c>
      <c r="C853" s="36">
        <v>46248.6352546296</v>
      </c>
      <c r="D853" s="35">
        <v>1</v>
      </c>
    </row>
    <row r="854" spans="1:4">
      <c r="A854" s="35" t="s">
        <v>543</v>
      </c>
      <c r="B854" s="35" t="s">
        <v>26</v>
      </c>
      <c r="C854" s="36">
        <v>46251.429525463</v>
      </c>
      <c r="D854" s="35">
        <v>1</v>
      </c>
    </row>
    <row r="855" spans="1:4">
      <c r="A855" s="35" t="s">
        <v>544</v>
      </c>
      <c r="B855" s="35" t="s">
        <v>26</v>
      </c>
      <c r="C855" s="36">
        <v>46251.429537037</v>
      </c>
      <c r="D855" s="35">
        <v>1</v>
      </c>
    </row>
    <row r="856" spans="1:4">
      <c r="A856" s="35" t="s">
        <v>476</v>
      </c>
      <c r="B856" s="35" t="s">
        <v>182</v>
      </c>
      <c r="C856" s="36">
        <v>46251.4920717593</v>
      </c>
      <c r="D856" s="35">
        <v>1</v>
      </c>
    </row>
    <row r="857" spans="1:4">
      <c r="A857" s="35" t="s">
        <v>545</v>
      </c>
      <c r="B857" s="35" t="s">
        <v>182</v>
      </c>
      <c r="C857" s="36">
        <v>46251.4920833333</v>
      </c>
      <c r="D857" s="35">
        <v>1</v>
      </c>
    </row>
    <row r="858" spans="1:4">
      <c r="A858" s="35" t="s">
        <v>546</v>
      </c>
      <c r="B858" s="35" t="s">
        <v>182</v>
      </c>
      <c r="C858" s="36">
        <v>46251.4920949074</v>
      </c>
      <c r="D858" s="35">
        <v>1</v>
      </c>
    </row>
    <row r="859" spans="1:4">
      <c r="A859" s="35" t="s">
        <v>430</v>
      </c>
      <c r="B859" s="35" t="s">
        <v>182</v>
      </c>
      <c r="C859" s="36">
        <v>46251.4921064815</v>
      </c>
      <c r="D859" s="35">
        <v>2</v>
      </c>
    </row>
    <row r="860" spans="1:4">
      <c r="A860" s="35" t="s">
        <v>499</v>
      </c>
      <c r="B860" s="35" t="s">
        <v>51</v>
      </c>
      <c r="C860" s="36">
        <v>46251.6525</v>
      </c>
      <c r="D860" s="35">
        <v>40</v>
      </c>
    </row>
    <row r="861" spans="1:4">
      <c r="A861" s="35" t="s">
        <v>532</v>
      </c>
      <c r="B861" s="35" t="s">
        <v>51</v>
      </c>
      <c r="C861" s="36">
        <v>46251.6525115741</v>
      </c>
      <c r="D861" s="35">
        <v>10</v>
      </c>
    </row>
    <row r="862" spans="1:4">
      <c r="A862" s="35" t="s">
        <v>485</v>
      </c>
      <c r="B862" s="35" t="s">
        <v>547</v>
      </c>
      <c r="C862" s="36">
        <v>46251.6525231482</v>
      </c>
      <c r="D862" s="35">
        <v>7</v>
      </c>
    </row>
    <row r="863" spans="1:4">
      <c r="A863" s="35" t="s">
        <v>548</v>
      </c>
      <c r="B863" s="35" t="s">
        <v>51</v>
      </c>
      <c r="C863" s="36">
        <v>46251.6525347222</v>
      </c>
      <c r="D863" s="35">
        <v>6</v>
      </c>
    </row>
    <row r="864" spans="1:4">
      <c r="A864" s="35" t="s">
        <v>549</v>
      </c>
      <c r="B864" s="35" t="s">
        <v>26</v>
      </c>
      <c r="C864" s="36">
        <v>46251.6557060185</v>
      </c>
      <c r="D864" s="35">
        <v>1</v>
      </c>
    </row>
    <row r="865" spans="1:4">
      <c r="A865" s="35" t="s">
        <v>550</v>
      </c>
      <c r="B865" s="35" t="s">
        <v>26</v>
      </c>
      <c r="C865" s="36">
        <v>46251.6960185185</v>
      </c>
      <c r="D865" s="35">
        <v>1</v>
      </c>
    </row>
    <row r="866" spans="1:4">
      <c r="A866" s="35" t="s">
        <v>413</v>
      </c>
      <c r="B866" s="35" t="s">
        <v>26</v>
      </c>
      <c r="C866" s="36">
        <v>46251.6972222222</v>
      </c>
      <c r="D866" s="35">
        <v>5</v>
      </c>
    </row>
    <row r="867" spans="1:4">
      <c r="A867" s="35" t="s">
        <v>551</v>
      </c>
      <c r="B867" s="35" t="s">
        <v>26</v>
      </c>
      <c r="C867" s="36">
        <v>46251.7295833333</v>
      </c>
      <c r="D867" s="35">
        <v>37</v>
      </c>
    </row>
    <row r="868" spans="1:4">
      <c r="A868" s="35" t="s">
        <v>552</v>
      </c>
      <c r="B868" s="35" t="s">
        <v>26</v>
      </c>
      <c r="C868" s="36">
        <v>46251.7295949074</v>
      </c>
      <c r="D868" s="35">
        <v>7</v>
      </c>
    </row>
    <row r="869" spans="1:4">
      <c r="A869" s="35" t="s">
        <v>553</v>
      </c>
      <c r="B869" s="35" t="s">
        <v>26</v>
      </c>
      <c r="C869" s="36">
        <v>46251.7296064815</v>
      </c>
      <c r="D869" s="35">
        <v>16</v>
      </c>
    </row>
    <row r="870" spans="1:4">
      <c r="A870" s="35" t="s">
        <v>554</v>
      </c>
      <c r="B870" s="35" t="s">
        <v>26</v>
      </c>
      <c r="C870" s="36">
        <v>46251.7296180556</v>
      </c>
      <c r="D870" s="35">
        <v>40</v>
      </c>
    </row>
    <row r="871" spans="1:4">
      <c r="A871" s="35" t="s">
        <v>555</v>
      </c>
      <c r="B871" s="35" t="s">
        <v>26</v>
      </c>
      <c r="C871" s="36">
        <v>46251.7296296296</v>
      </c>
      <c r="D871" s="35">
        <v>14</v>
      </c>
    </row>
    <row r="872" spans="1:4">
      <c r="A872" s="35" t="s">
        <v>556</v>
      </c>
      <c r="B872" s="35" t="s">
        <v>26</v>
      </c>
      <c r="C872" s="36">
        <v>46251.7296412037</v>
      </c>
      <c r="D872" s="35">
        <v>2</v>
      </c>
    </row>
    <row r="873" spans="1:4">
      <c r="A873" s="35" t="s">
        <v>557</v>
      </c>
      <c r="B873" s="35" t="s">
        <v>35</v>
      </c>
      <c r="C873" s="36">
        <v>46251.7376157407</v>
      </c>
      <c r="D873" s="35">
        <v>2</v>
      </c>
    </row>
    <row r="874" spans="1:4">
      <c r="A874" s="35" t="s">
        <v>552</v>
      </c>
      <c r="B874" s="35" t="s">
        <v>35</v>
      </c>
      <c r="C874" s="36">
        <v>46251.7376273148</v>
      </c>
      <c r="D874" s="35">
        <v>1</v>
      </c>
    </row>
    <row r="875" spans="1:4">
      <c r="A875" s="35" t="s">
        <v>551</v>
      </c>
      <c r="B875" s="35" t="s">
        <v>35</v>
      </c>
      <c r="C875" s="36">
        <v>46251.7376388889</v>
      </c>
      <c r="D875" s="35">
        <v>2</v>
      </c>
    </row>
    <row r="876" spans="1:4">
      <c r="A876" s="35" t="s">
        <v>558</v>
      </c>
      <c r="B876" s="35" t="s">
        <v>26</v>
      </c>
      <c r="C876" s="36">
        <v>46251.7415162037</v>
      </c>
      <c r="D876" s="35">
        <v>20</v>
      </c>
    </row>
    <row r="877" spans="1:4">
      <c r="A877" s="35" t="s">
        <v>559</v>
      </c>
      <c r="B877" s="35" t="s">
        <v>26</v>
      </c>
      <c r="C877" s="36">
        <v>46251.7494212963</v>
      </c>
      <c r="D877" s="35">
        <v>60</v>
      </c>
    </row>
    <row r="878" spans="1:4">
      <c r="A878" s="35" t="s">
        <v>560</v>
      </c>
      <c r="B878" s="35" t="s">
        <v>26</v>
      </c>
      <c r="C878" s="36">
        <v>46251.7494328704</v>
      </c>
      <c r="D878" s="35">
        <v>2</v>
      </c>
    </row>
    <row r="879" spans="1:4">
      <c r="A879" s="35" t="s">
        <v>561</v>
      </c>
      <c r="B879" s="35" t="s">
        <v>26</v>
      </c>
      <c r="C879" s="36">
        <v>46251.7494444445</v>
      </c>
      <c r="D879" s="35">
        <v>6</v>
      </c>
    </row>
    <row r="880" spans="1:4">
      <c r="A880" s="35" t="s">
        <v>562</v>
      </c>
      <c r="B880" s="35" t="s">
        <v>26</v>
      </c>
      <c r="C880" s="36">
        <v>46251.7494560185</v>
      </c>
      <c r="D880" s="35">
        <v>6</v>
      </c>
    </row>
    <row r="881" spans="1:4">
      <c r="A881" s="35" t="s">
        <v>40</v>
      </c>
      <c r="B881" s="35" t="s">
        <v>26</v>
      </c>
      <c r="C881" s="36">
        <v>46251.7494675926</v>
      </c>
      <c r="D881" s="35">
        <v>165</v>
      </c>
    </row>
    <row r="882" spans="1:4">
      <c r="A882" s="35" t="s">
        <v>563</v>
      </c>
      <c r="B882" s="35" t="s">
        <v>26</v>
      </c>
      <c r="C882" s="36">
        <v>46251.7494791667</v>
      </c>
      <c r="D882" s="35">
        <v>1</v>
      </c>
    </row>
    <row r="883" spans="1:4">
      <c r="A883" s="35" t="s">
        <v>564</v>
      </c>
      <c r="B883" s="35" t="s">
        <v>26</v>
      </c>
      <c r="C883" s="36">
        <v>46251.7494907407</v>
      </c>
      <c r="D883" s="35">
        <v>1</v>
      </c>
    </row>
    <row r="884" spans="1:4">
      <c r="A884" s="35" t="s">
        <v>565</v>
      </c>
      <c r="B884" s="35" t="s">
        <v>26</v>
      </c>
      <c r="C884" s="36">
        <v>46251.7495023148</v>
      </c>
      <c r="D884" s="35">
        <v>2</v>
      </c>
    </row>
    <row r="885" spans="1:4">
      <c r="A885" s="35" t="s">
        <v>566</v>
      </c>
      <c r="B885" s="35" t="s">
        <v>26</v>
      </c>
      <c r="C885" s="36">
        <v>46251.7495138889</v>
      </c>
      <c r="D885" s="35">
        <v>4</v>
      </c>
    </row>
    <row r="886" spans="1:4">
      <c r="A886" s="35" t="s">
        <v>567</v>
      </c>
      <c r="B886" s="35" t="s">
        <v>26</v>
      </c>
      <c r="C886" s="36">
        <v>46251.749525463</v>
      </c>
      <c r="D886" s="35">
        <v>2</v>
      </c>
    </row>
    <row r="887" spans="1:4">
      <c r="A887" s="35" t="s">
        <v>568</v>
      </c>
      <c r="B887" s="35" t="s">
        <v>26</v>
      </c>
      <c r="C887" s="36">
        <v>46251.7552430556</v>
      </c>
      <c r="D887" s="35">
        <v>7</v>
      </c>
    </row>
    <row r="888" spans="1:4">
      <c r="A888" s="35" t="s">
        <v>569</v>
      </c>
      <c r="B888" s="35" t="s">
        <v>26</v>
      </c>
      <c r="C888" s="36">
        <v>46251.7556712963</v>
      </c>
      <c r="D888" s="35">
        <v>11</v>
      </c>
    </row>
    <row r="889" spans="1:4">
      <c r="A889" s="35" t="s">
        <v>570</v>
      </c>
      <c r="B889" s="35" t="s">
        <v>26</v>
      </c>
      <c r="C889" s="36">
        <v>46251.7556828704</v>
      </c>
      <c r="D889" s="35">
        <v>31</v>
      </c>
    </row>
    <row r="890" spans="1:4">
      <c r="A890" s="35" t="s">
        <v>571</v>
      </c>
      <c r="B890" s="35" t="s">
        <v>26</v>
      </c>
      <c r="C890" s="36">
        <v>46251.7556944444</v>
      </c>
      <c r="D890" s="35">
        <v>1</v>
      </c>
    </row>
    <row r="891" spans="1:4">
      <c r="A891" s="35" t="s">
        <v>572</v>
      </c>
      <c r="B891" s="35" t="s">
        <v>26</v>
      </c>
      <c r="C891" s="36">
        <v>46251.7557060185</v>
      </c>
      <c r="D891" s="35">
        <v>10</v>
      </c>
    </row>
    <row r="892" spans="1:4">
      <c r="A892" s="35" t="s">
        <v>573</v>
      </c>
      <c r="B892" s="35" t="s">
        <v>26</v>
      </c>
      <c r="C892" s="36">
        <v>46251.7557175926</v>
      </c>
      <c r="D892" s="35">
        <v>53</v>
      </c>
    </row>
    <row r="893" spans="1:4">
      <c r="A893" s="35" t="s">
        <v>574</v>
      </c>
      <c r="B893" s="35" t="s">
        <v>26</v>
      </c>
      <c r="C893" s="36">
        <v>46251.7557291667</v>
      </c>
      <c r="D893" s="35">
        <v>12</v>
      </c>
    </row>
    <row r="894" spans="1:4">
      <c r="A894" s="35" t="s">
        <v>575</v>
      </c>
      <c r="B894" s="35" t="s">
        <v>26</v>
      </c>
      <c r="C894" s="36">
        <v>46251.7557407407</v>
      </c>
      <c r="D894" s="35">
        <v>1</v>
      </c>
    </row>
    <row r="895" spans="1:4">
      <c r="A895" s="35" t="s">
        <v>576</v>
      </c>
      <c r="B895" s="35" t="s">
        <v>26</v>
      </c>
      <c r="C895" s="36">
        <v>46251.7557523148</v>
      </c>
      <c r="D895" s="35">
        <v>4</v>
      </c>
    </row>
    <row r="896" spans="1:4">
      <c r="A896" s="35" t="s">
        <v>577</v>
      </c>
      <c r="B896" s="35" t="s">
        <v>26</v>
      </c>
      <c r="C896" s="36">
        <v>46251.7557638889</v>
      </c>
      <c r="D896" s="35">
        <v>2</v>
      </c>
    </row>
    <row r="897" spans="1:4">
      <c r="A897" s="35" t="s">
        <v>578</v>
      </c>
      <c r="B897" s="35" t="s">
        <v>26</v>
      </c>
      <c r="C897" s="36">
        <v>46251.755775463</v>
      </c>
      <c r="D897" s="35">
        <v>1</v>
      </c>
    </row>
    <row r="898" spans="1:4">
      <c r="A898" s="35" t="s">
        <v>579</v>
      </c>
      <c r="B898" s="35" t="s">
        <v>26</v>
      </c>
      <c r="C898" s="36">
        <v>46251.755787037</v>
      </c>
      <c r="D898" s="35">
        <v>2</v>
      </c>
    </row>
    <row r="899" spans="1:4">
      <c r="A899" s="35" t="s">
        <v>580</v>
      </c>
      <c r="B899" s="35" t="s">
        <v>26</v>
      </c>
      <c r="C899" s="36">
        <v>46251.7557986111</v>
      </c>
      <c r="D899" s="35">
        <v>3</v>
      </c>
    </row>
    <row r="900" spans="1:4">
      <c r="A900" s="35" t="s">
        <v>581</v>
      </c>
      <c r="B900" s="35" t="s">
        <v>26</v>
      </c>
      <c r="C900" s="36">
        <v>46251.7558101852</v>
      </c>
      <c r="D900" s="35">
        <v>4</v>
      </c>
    </row>
    <row r="901" spans="1:4">
      <c r="A901" s="35" t="s">
        <v>582</v>
      </c>
      <c r="B901" s="35" t="s">
        <v>26</v>
      </c>
      <c r="C901" s="36">
        <v>46251.7558217593</v>
      </c>
      <c r="D901" s="35">
        <v>3</v>
      </c>
    </row>
    <row r="902" spans="1:4">
      <c r="A902" s="35" t="s">
        <v>470</v>
      </c>
      <c r="B902" s="35" t="s">
        <v>26</v>
      </c>
      <c r="C902" s="36">
        <v>46252.3479398148</v>
      </c>
      <c r="D902" s="35">
        <v>247</v>
      </c>
    </row>
    <row r="903" spans="1:4">
      <c r="A903" s="35" t="s">
        <v>583</v>
      </c>
      <c r="B903" s="35" t="s">
        <v>26</v>
      </c>
      <c r="C903" s="36">
        <v>46252.3479513889</v>
      </c>
      <c r="D903" s="35">
        <v>10</v>
      </c>
    </row>
    <row r="904" spans="1:4">
      <c r="A904" s="35" t="s">
        <v>584</v>
      </c>
      <c r="B904" s="35" t="s">
        <v>26</v>
      </c>
      <c r="C904" s="36">
        <v>46252.347962963</v>
      </c>
      <c r="D904" s="35">
        <v>12</v>
      </c>
    </row>
    <row r="905" spans="1:4">
      <c r="A905" s="35" t="s">
        <v>585</v>
      </c>
      <c r="B905" s="35" t="s">
        <v>26</v>
      </c>
      <c r="C905" s="36">
        <v>46252.347974537</v>
      </c>
      <c r="D905" s="35">
        <v>1</v>
      </c>
    </row>
    <row r="906" spans="1:4">
      <c r="A906" s="35" t="s">
        <v>586</v>
      </c>
      <c r="B906" s="35" t="s">
        <v>26</v>
      </c>
      <c r="C906" s="36">
        <v>46252.3479861111</v>
      </c>
      <c r="D906" s="35">
        <v>50</v>
      </c>
    </row>
    <row r="907" spans="1:4">
      <c r="A907" s="35" t="s">
        <v>587</v>
      </c>
      <c r="B907" s="35" t="s">
        <v>26</v>
      </c>
      <c r="C907" s="36">
        <v>46252.3479976852</v>
      </c>
      <c r="D907" s="35">
        <v>155</v>
      </c>
    </row>
    <row r="908" spans="1:4">
      <c r="A908" s="35" t="s">
        <v>588</v>
      </c>
      <c r="B908" s="35" t="s">
        <v>26</v>
      </c>
      <c r="C908" s="36">
        <v>46252.3480092593</v>
      </c>
      <c r="D908" s="35">
        <v>30</v>
      </c>
    </row>
    <row r="909" spans="1:4">
      <c r="A909" s="35" t="s">
        <v>589</v>
      </c>
      <c r="B909" s="35" t="s">
        <v>26</v>
      </c>
      <c r="C909" s="36">
        <v>46252.3480208333</v>
      </c>
      <c r="D909" s="35">
        <v>150</v>
      </c>
    </row>
    <row r="910" spans="1:4">
      <c r="A910" s="35" t="s">
        <v>590</v>
      </c>
      <c r="B910" s="35" t="s">
        <v>26</v>
      </c>
      <c r="C910" s="36">
        <v>46252.3480324074</v>
      </c>
      <c r="D910" s="35">
        <v>58</v>
      </c>
    </row>
    <row r="911" spans="1:4">
      <c r="A911" s="35" t="s">
        <v>591</v>
      </c>
      <c r="B911" s="35" t="s">
        <v>26</v>
      </c>
      <c r="C911" s="36">
        <v>46252.3480439815</v>
      </c>
      <c r="D911" s="35">
        <v>44</v>
      </c>
    </row>
    <row r="912" spans="1:4">
      <c r="A912" s="35" t="s">
        <v>592</v>
      </c>
      <c r="B912" s="35" t="s">
        <v>26</v>
      </c>
      <c r="C912" s="36">
        <v>46252.3480555556</v>
      </c>
      <c r="D912" s="35">
        <v>110</v>
      </c>
    </row>
    <row r="913" spans="1:4">
      <c r="A913" s="35" t="s">
        <v>593</v>
      </c>
      <c r="B913" s="35" t="s">
        <v>26</v>
      </c>
      <c r="C913" s="36">
        <v>46252.3558333333</v>
      </c>
      <c r="D913" s="35">
        <v>94</v>
      </c>
    </row>
    <row r="914" spans="1:4">
      <c r="A914" s="35" t="s">
        <v>149</v>
      </c>
      <c r="B914" s="35" t="s">
        <v>26</v>
      </c>
      <c r="C914" s="36">
        <v>46252.3558449074</v>
      </c>
      <c r="D914" s="35">
        <v>37.98</v>
      </c>
    </row>
    <row r="915" spans="1:4">
      <c r="A915" s="35" t="s">
        <v>594</v>
      </c>
      <c r="B915" s="35" t="s">
        <v>26</v>
      </c>
      <c r="C915" s="36">
        <v>46252.3558564815</v>
      </c>
      <c r="D915" s="35">
        <v>10</v>
      </c>
    </row>
    <row r="916" spans="1:4">
      <c r="A916" s="35" t="s">
        <v>595</v>
      </c>
      <c r="B916" s="35" t="s">
        <v>26</v>
      </c>
      <c r="C916" s="36">
        <v>46252.362962963</v>
      </c>
      <c r="D916" s="35">
        <v>4</v>
      </c>
    </row>
    <row r="917" spans="1:4">
      <c r="A917" s="35" t="s">
        <v>596</v>
      </c>
      <c r="B917" s="35" t="s">
        <v>26</v>
      </c>
      <c r="C917" s="36">
        <v>46252.362974537</v>
      </c>
      <c r="D917" s="35">
        <v>2</v>
      </c>
    </row>
    <row r="918" spans="1:4">
      <c r="A918" s="35" t="s">
        <v>597</v>
      </c>
      <c r="B918" s="35" t="s">
        <v>26</v>
      </c>
      <c r="C918" s="36">
        <v>46252.3629861111</v>
      </c>
      <c r="D918" s="35">
        <v>20</v>
      </c>
    </row>
    <row r="919" spans="1:4">
      <c r="A919" s="35" t="s">
        <v>598</v>
      </c>
      <c r="B919" s="35" t="s">
        <v>26</v>
      </c>
      <c r="C919" s="36">
        <v>46252.3629976852</v>
      </c>
      <c r="D919" s="35">
        <v>8</v>
      </c>
    </row>
    <row r="920" spans="1:4">
      <c r="A920" s="35" t="s">
        <v>599</v>
      </c>
      <c r="B920" s="35" t="s">
        <v>26</v>
      </c>
      <c r="C920" s="36">
        <v>46252.3669907407</v>
      </c>
      <c r="D920" s="35">
        <v>8</v>
      </c>
    </row>
    <row r="921" spans="1:4">
      <c r="A921" s="35" t="s">
        <v>600</v>
      </c>
      <c r="B921" s="35" t="s">
        <v>26</v>
      </c>
      <c r="C921" s="36">
        <v>46252.3675462963</v>
      </c>
      <c r="D921" s="35">
        <v>6</v>
      </c>
    </row>
    <row r="922" spans="1:4">
      <c r="A922" s="35" t="s">
        <v>601</v>
      </c>
      <c r="B922" s="35" t="s">
        <v>26</v>
      </c>
      <c r="C922" s="36">
        <v>46252.3675578704</v>
      </c>
      <c r="D922" s="35">
        <v>5</v>
      </c>
    </row>
    <row r="923" spans="1:4">
      <c r="A923" s="35" t="s">
        <v>602</v>
      </c>
      <c r="B923" s="35" t="s">
        <v>26</v>
      </c>
      <c r="C923" s="36">
        <v>46252.3675694445</v>
      </c>
      <c r="D923" s="35">
        <v>18</v>
      </c>
    </row>
    <row r="924" spans="1:4">
      <c r="A924" s="35" t="s">
        <v>603</v>
      </c>
      <c r="B924" s="35" t="s">
        <v>26</v>
      </c>
      <c r="C924" s="36">
        <v>46252.3675810185</v>
      </c>
      <c r="D924" s="35">
        <v>2</v>
      </c>
    </row>
    <row r="925" spans="1:4">
      <c r="A925" s="35" t="s">
        <v>604</v>
      </c>
      <c r="B925" s="35" t="s">
        <v>26</v>
      </c>
      <c r="C925" s="36">
        <v>46252.3675925926</v>
      </c>
      <c r="D925" s="35">
        <v>2</v>
      </c>
    </row>
    <row r="926" spans="1:4">
      <c r="A926" s="35" t="s">
        <v>605</v>
      </c>
      <c r="B926" s="35" t="s">
        <v>26</v>
      </c>
      <c r="C926" s="36">
        <v>46252.3676041667</v>
      </c>
      <c r="D926" s="35">
        <v>3</v>
      </c>
    </row>
    <row r="927" spans="1:4">
      <c r="A927" s="35" t="s">
        <v>606</v>
      </c>
      <c r="B927" s="35" t="s">
        <v>26</v>
      </c>
      <c r="C927" s="36">
        <v>46252.4103240741</v>
      </c>
      <c r="D927" s="35">
        <v>4</v>
      </c>
    </row>
    <row r="928" spans="1:4">
      <c r="A928" s="35" t="s">
        <v>268</v>
      </c>
      <c r="B928" s="35" t="s">
        <v>26</v>
      </c>
      <c r="C928" s="36">
        <v>46252.4103356482</v>
      </c>
      <c r="D928" s="35">
        <v>10</v>
      </c>
    </row>
    <row r="929" spans="1:4">
      <c r="A929" s="35" t="s">
        <v>607</v>
      </c>
      <c r="B929" s="35" t="s">
        <v>26</v>
      </c>
      <c r="C929" s="36">
        <v>46252.4103472222</v>
      </c>
      <c r="D929" s="35">
        <v>16</v>
      </c>
    </row>
    <row r="930" spans="1:4">
      <c r="A930" s="35" t="s">
        <v>608</v>
      </c>
      <c r="B930" s="35" t="s">
        <v>26</v>
      </c>
      <c r="C930" s="36">
        <v>46252.4136458333</v>
      </c>
      <c r="D930" s="35">
        <v>37</v>
      </c>
    </row>
    <row r="931" spans="1:4">
      <c r="A931" s="35" t="s">
        <v>382</v>
      </c>
      <c r="B931" s="35" t="s">
        <v>182</v>
      </c>
      <c r="C931" s="36">
        <v>46252.4197453704</v>
      </c>
      <c r="D931" s="35">
        <v>46</v>
      </c>
    </row>
    <row r="932" spans="1:4">
      <c r="A932" s="35" t="s">
        <v>431</v>
      </c>
      <c r="B932" s="35" t="s">
        <v>182</v>
      </c>
      <c r="C932" s="36">
        <v>46252.4197569444</v>
      </c>
      <c r="D932" s="35">
        <v>1781</v>
      </c>
    </row>
    <row r="933" spans="1:4">
      <c r="A933" s="35" t="s">
        <v>609</v>
      </c>
      <c r="B933" s="35" t="s">
        <v>26</v>
      </c>
      <c r="C933" s="36">
        <v>46252.4322685185</v>
      </c>
      <c r="D933" s="35">
        <v>3</v>
      </c>
    </row>
    <row r="934" spans="1:4">
      <c r="A934" s="35" t="s">
        <v>610</v>
      </c>
      <c r="B934" s="35" t="s">
        <v>26</v>
      </c>
      <c r="C934" s="36">
        <v>46252.4322800926</v>
      </c>
      <c r="D934" s="35">
        <v>2</v>
      </c>
    </row>
    <row r="935" spans="1:4">
      <c r="A935" s="35" t="s">
        <v>611</v>
      </c>
      <c r="B935" s="35" t="s">
        <v>26</v>
      </c>
      <c r="C935" s="36">
        <v>46252.4322916667</v>
      </c>
      <c r="D935" s="35">
        <v>3</v>
      </c>
    </row>
    <row r="936" spans="1:4">
      <c r="A936" s="35" t="s">
        <v>612</v>
      </c>
      <c r="B936" s="35" t="s">
        <v>26</v>
      </c>
      <c r="C936" s="36">
        <v>46252.4373842593</v>
      </c>
      <c r="D936" s="35">
        <v>60</v>
      </c>
    </row>
    <row r="937" spans="1:4">
      <c r="A937" s="35" t="s">
        <v>425</v>
      </c>
      <c r="B937" s="35" t="s">
        <v>26</v>
      </c>
      <c r="C937" s="36">
        <v>46252.4373958333</v>
      </c>
      <c r="D937" s="35">
        <v>131</v>
      </c>
    </row>
    <row r="938" spans="1:4">
      <c r="A938" s="35" t="s">
        <v>439</v>
      </c>
      <c r="B938" s="35" t="s">
        <v>26</v>
      </c>
      <c r="C938" s="36">
        <v>46252.4385300926</v>
      </c>
      <c r="D938" s="35">
        <v>52</v>
      </c>
    </row>
    <row r="939" spans="1:4">
      <c r="A939" s="35" t="s">
        <v>475</v>
      </c>
      <c r="B939" s="35" t="s">
        <v>390</v>
      </c>
      <c r="C939" s="36">
        <v>46252.4453240741</v>
      </c>
      <c r="D939" s="35">
        <v>7</v>
      </c>
    </row>
    <row r="940" spans="1:4">
      <c r="A940" s="35" t="s">
        <v>613</v>
      </c>
      <c r="B940" s="35" t="s">
        <v>390</v>
      </c>
      <c r="C940" s="36">
        <v>46252.4453356482</v>
      </c>
      <c r="D940" s="35">
        <v>1</v>
      </c>
    </row>
    <row r="941" spans="1:4">
      <c r="A941" s="35" t="s">
        <v>614</v>
      </c>
      <c r="B941" s="35" t="s">
        <v>390</v>
      </c>
      <c r="C941" s="36">
        <v>46252.447337963</v>
      </c>
      <c r="D941" s="35">
        <v>24</v>
      </c>
    </row>
    <row r="942" spans="1:4">
      <c r="A942" s="35" t="s">
        <v>476</v>
      </c>
      <c r="B942" s="35" t="s">
        <v>26</v>
      </c>
      <c r="C942" s="36">
        <v>46252.4499074074</v>
      </c>
      <c r="D942" s="35">
        <v>19</v>
      </c>
    </row>
    <row r="943" spans="1:4">
      <c r="A943" s="35" t="s">
        <v>476</v>
      </c>
      <c r="B943" s="35" t="s">
        <v>182</v>
      </c>
      <c r="C943" s="36">
        <v>46252.4519444444</v>
      </c>
      <c r="D943" s="35">
        <v>261</v>
      </c>
    </row>
    <row r="944" spans="1:4">
      <c r="A944" s="35" t="s">
        <v>545</v>
      </c>
      <c r="B944" s="35" t="s">
        <v>182</v>
      </c>
      <c r="C944" s="36">
        <v>46252.4519560185</v>
      </c>
      <c r="D944" s="35">
        <v>22</v>
      </c>
    </row>
    <row r="945" spans="1:4">
      <c r="A945" s="35" t="s">
        <v>546</v>
      </c>
      <c r="B945" s="35" t="s">
        <v>182</v>
      </c>
      <c r="C945" s="36">
        <v>46252.4519675926</v>
      </c>
      <c r="D945" s="35">
        <v>23</v>
      </c>
    </row>
    <row r="946" spans="1:4">
      <c r="A946" s="35" t="s">
        <v>305</v>
      </c>
      <c r="B946" s="35" t="s">
        <v>182</v>
      </c>
      <c r="C946" s="36">
        <v>46252.4519791667</v>
      </c>
      <c r="D946" s="35">
        <v>5</v>
      </c>
    </row>
    <row r="947" spans="1:4">
      <c r="A947" s="35" t="s">
        <v>615</v>
      </c>
      <c r="B947" s="35" t="s">
        <v>182</v>
      </c>
      <c r="C947" s="36">
        <v>46252.4519907407</v>
      </c>
      <c r="D947" s="35">
        <v>7</v>
      </c>
    </row>
    <row r="948" spans="1:4">
      <c r="A948" s="35" t="s">
        <v>616</v>
      </c>
      <c r="B948" s="35" t="s">
        <v>182</v>
      </c>
      <c r="C948" s="36">
        <v>46252.4520023148</v>
      </c>
      <c r="D948" s="35">
        <v>20</v>
      </c>
    </row>
    <row r="949" spans="1:4">
      <c r="A949" s="35" t="s">
        <v>617</v>
      </c>
      <c r="B949" s="35" t="s">
        <v>182</v>
      </c>
      <c r="C949" s="36">
        <v>46252.4520138889</v>
      </c>
      <c r="D949" s="35">
        <v>20</v>
      </c>
    </row>
    <row r="950" spans="1:4">
      <c r="A950" s="35" t="s">
        <v>618</v>
      </c>
      <c r="B950" s="35" t="s">
        <v>182</v>
      </c>
      <c r="C950" s="36">
        <v>46252.452025463</v>
      </c>
      <c r="D950" s="35">
        <v>8</v>
      </c>
    </row>
    <row r="951" spans="1:4">
      <c r="A951" s="35" t="s">
        <v>619</v>
      </c>
      <c r="B951" s="35" t="s">
        <v>182</v>
      </c>
      <c r="C951" s="36">
        <v>46252.452037037</v>
      </c>
      <c r="D951" s="35">
        <v>9</v>
      </c>
    </row>
    <row r="952" spans="1:4">
      <c r="A952" s="35" t="s">
        <v>620</v>
      </c>
      <c r="B952" s="35" t="s">
        <v>182</v>
      </c>
      <c r="C952" s="36">
        <v>46252.4520486111</v>
      </c>
      <c r="D952" s="35">
        <v>2</v>
      </c>
    </row>
    <row r="953" spans="1:4">
      <c r="A953" s="35" t="s">
        <v>621</v>
      </c>
      <c r="B953" s="35" t="s">
        <v>26</v>
      </c>
      <c r="C953" s="36">
        <v>46252.4607986111</v>
      </c>
      <c r="D953" s="35">
        <v>4</v>
      </c>
    </row>
    <row r="954" spans="1:4">
      <c r="A954" s="35" t="s">
        <v>258</v>
      </c>
      <c r="B954" s="35" t="s">
        <v>26</v>
      </c>
      <c r="C954" s="36">
        <v>46252.4608101852</v>
      </c>
      <c r="D954" s="35">
        <v>57</v>
      </c>
    </row>
    <row r="955" spans="1:4">
      <c r="A955" s="35" t="s">
        <v>622</v>
      </c>
      <c r="B955" s="35" t="s">
        <v>26</v>
      </c>
      <c r="C955" s="36">
        <v>46252.4608217593</v>
      </c>
      <c r="D955" s="35">
        <v>3</v>
      </c>
    </row>
    <row r="956" spans="1:4">
      <c r="A956" s="35" t="s">
        <v>623</v>
      </c>
      <c r="B956" s="35" t="s">
        <v>26</v>
      </c>
      <c r="C956" s="36">
        <v>46252.4608333333</v>
      </c>
      <c r="D956" s="35">
        <v>4</v>
      </c>
    </row>
    <row r="957" spans="1:4">
      <c r="A957" s="35" t="s">
        <v>624</v>
      </c>
      <c r="B957" s="35" t="s">
        <v>26</v>
      </c>
      <c r="C957" s="36">
        <v>46252.4608449074</v>
      </c>
      <c r="D957" s="35">
        <v>2</v>
      </c>
    </row>
    <row r="958" spans="1:4">
      <c r="A958" s="35" t="s">
        <v>625</v>
      </c>
      <c r="B958" s="35" t="s">
        <v>26</v>
      </c>
      <c r="C958" s="36">
        <v>46252.4608564815</v>
      </c>
      <c r="D958" s="35">
        <v>1</v>
      </c>
    </row>
    <row r="959" spans="1:4">
      <c r="A959" s="35" t="s">
        <v>440</v>
      </c>
      <c r="B959" s="35" t="s">
        <v>26</v>
      </c>
      <c r="C959" s="36">
        <v>46252.4608680556</v>
      </c>
      <c r="D959" s="35">
        <v>11</v>
      </c>
    </row>
    <row r="960" spans="1:4">
      <c r="A960" s="35" t="s">
        <v>626</v>
      </c>
      <c r="B960" s="35" t="s">
        <v>26</v>
      </c>
      <c r="C960" s="36">
        <v>46252.4639467593</v>
      </c>
      <c r="D960" s="35">
        <v>19</v>
      </c>
    </row>
    <row r="961" spans="1:4">
      <c r="A961" s="35" t="s">
        <v>627</v>
      </c>
      <c r="B961" s="35" t="s">
        <v>26</v>
      </c>
      <c r="C961" s="36">
        <v>46252.4639583333</v>
      </c>
      <c r="D961" s="35">
        <v>40</v>
      </c>
    </row>
    <row r="962" spans="1:4">
      <c r="A962" s="35" t="s">
        <v>262</v>
      </c>
      <c r="B962" s="35" t="s">
        <v>628</v>
      </c>
      <c r="C962" s="36">
        <v>46252.4639699074</v>
      </c>
      <c r="D962" s="35">
        <v>24</v>
      </c>
    </row>
    <row r="963" spans="1:4">
      <c r="A963" s="35" t="s">
        <v>629</v>
      </c>
      <c r="B963" s="35" t="s">
        <v>26</v>
      </c>
      <c r="C963" s="36">
        <v>46252.4639814815</v>
      </c>
      <c r="D963" s="35">
        <v>10</v>
      </c>
    </row>
    <row r="964" spans="1:4">
      <c r="A964" s="35" t="s">
        <v>269</v>
      </c>
      <c r="B964" s="35" t="s">
        <v>26</v>
      </c>
      <c r="C964" s="36">
        <v>46252.469849537</v>
      </c>
      <c r="D964" s="35">
        <v>18</v>
      </c>
    </row>
    <row r="965" spans="1:4">
      <c r="A965" s="35" t="s">
        <v>630</v>
      </c>
      <c r="B965" s="35" t="s">
        <v>26</v>
      </c>
      <c r="C965" s="36">
        <v>46252.4698611111</v>
      </c>
      <c r="D965" s="35">
        <v>5</v>
      </c>
    </row>
    <row r="966" spans="1:4">
      <c r="A966" s="35" t="s">
        <v>534</v>
      </c>
      <c r="B966" s="35" t="s">
        <v>182</v>
      </c>
      <c r="C966" s="36">
        <v>46252.4731712963</v>
      </c>
      <c r="D966" s="35">
        <v>88</v>
      </c>
    </row>
    <row r="967" spans="1:4">
      <c r="A967" s="35" t="s">
        <v>631</v>
      </c>
      <c r="B967" s="35" t="s">
        <v>26</v>
      </c>
      <c r="C967" s="36">
        <v>46252.4743865741</v>
      </c>
      <c r="D967" s="35">
        <v>4</v>
      </c>
    </row>
    <row r="968" spans="1:4">
      <c r="A968" s="35" t="s">
        <v>632</v>
      </c>
      <c r="B968" s="35" t="s">
        <v>182</v>
      </c>
      <c r="C968" s="36">
        <v>46252.4750578704</v>
      </c>
      <c r="D968" s="35">
        <v>5</v>
      </c>
    </row>
    <row r="969" spans="1:4">
      <c r="A969" s="35" t="s">
        <v>482</v>
      </c>
      <c r="B969" s="35" t="s">
        <v>182</v>
      </c>
      <c r="C969" s="36">
        <v>46252.4750694444</v>
      </c>
      <c r="D969" s="35">
        <v>19</v>
      </c>
    </row>
    <row r="970" spans="1:4">
      <c r="A970" s="35" t="s">
        <v>633</v>
      </c>
      <c r="B970" s="35" t="s">
        <v>182</v>
      </c>
      <c r="C970" s="36">
        <v>46252.4750810185</v>
      </c>
      <c r="D970" s="35">
        <v>2</v>
      </c>
    </row>
    <row r="971" spans="1:4">
      <c r="A971" s="35" t="s">
        <v>634</v>
      </c>
      <c r="B971" s="35" t="s">
        <v>182</v>
      </c>
      <c r="C971" s="36">
        <v>46252.4750925926</v>
      </c>
      <c r="D971" s="35">
        <v>4</v>
      </c>
    </row>
    <row r="972" spans="1:4">
      <c r="A972" s="35" t="s">
        <v>635</v>
      </c>
      <c r="B972" s="35" t="s">
        <v>26</v>
      </c>
      <c r="C972" s="36">
        <v>46252.4863194445</v>
      </c>
      <c r="D972" s="35">
        <v>437</v>
      </c>
    </row>
    <row r="973" spans="1:4">
      <c r="A973" s="35" t="s">
        <v>636</v>
      </c>
      <c r="B973" s="35" t="s">
        <v>26</v>
      </c>
      <c r="C973" s="36">
        <v>46252.4863310185</v>
      </c>
      <c r="D973" s="35">
        <v>6</v>
      </c>
    </row>
    <row r="974" spans="1:4">
      <c r="A974" s="35" t="s">
        <v>485</v>
      </c>
      <c r="B974" s="35" t="s">
        <v>26</v>
      </c>
      <c r="C974" s="36">
        <v>46252.4914236111</v>
      </c>
      <c r="D974" s="35">
        <v>627</v>
      </c>
    </row>
    <row r="975" spans="1:4">
      <c r="A975" s="35" t="s">
        <v>637</v>
      </c>
      <c r="B975" s="35" t="s">
        <v>26</v>
      </c>
      <c r="C975" s="36">
        <v>46252.4914351852</v>
      </c>
      <c r="D975" s="35">
        <v>26</v>
      </c>
    </row>
    <row r="976" spans="1:4">
      <c r="A976" s="35" t="s">
        <v>638</v>
      </c>
      <c r="B976" s="35" t="s">
        <v>26</v>
      </c>
      <c r="C976" s="36">
        <v>46252.4914467593</v>
      </c>
      <c r="D976" s="35">
        <v>40</v>
      </c>
    </row>
    <row r="977" spans="1:4">
      <c r="A977" s="35" t="s">
        <v>639</v>
      </c>
      <c r="B977" s="35" t="s">
        <v>26</v>
      </c>
      <c r="C977" s="36">
        <v>46252.4914583333</v>
      </c>
      <c r="D977" s="35">
        <v>200</v>
      </c>
    </row>
    <row r="978" spans="1:4">
      <c r="A978" s="35" t="s">
        <v>640</v>
      </c>
      <c r="B978" s="35" t="s">
        <v>641</v>
      </c>
      <c r="C978" s="36">
        <v>46252.4934490741</v>
      </c>
      <c r="D978" s="35">
        <v>2</v>
      </c>
    </row>
    <row r="979" spans="1:4">
      <c r="A979" s="35" t="s">
        <v>642</v>
      </c>
      <c r="B979" s="35" t="s">
        <v>641</v>
      </c>
      <c r="C979" s="36">
        <v>46252.4934606482</v>
      </c>
      <c r="D979" s="35">
        <v>2</v>
      </c>
    </row>
    <row r="980" spans="1:4">
      <c r="A980" s="35" t="s">
        <v>643</v>
      </c>
      <c r="B980" s="35" t="s">
        <v>641</v>
      </c>
      <c r="C980" s="36">
        <v>46252.4934722222</v>
      </c>
      <c r="D980" s="35">
        <v>2</v>
      </c>
    </row>
    <row r="981" spans="1:4">
      <c r="A981" s="35" t="s">
        <v>644</v>
      </c>
      <c r="B981" s="35" t="s">
        <v>182</v>
      </c>
      <c r="C981" s="36">
        <v>46252.4934837963</v>
      </c>
      <c r="D981" s="35">
        <v>6</v>
      </c>
    </row>
    <row r="982" spans="1:4">
      <c r="A982" s="35" t="s">
        <v>644</v>
      </c>
      <c r="B982" s="35" t="s">
        <v>641</v>
      </c>
      <c r="C982" s="36">
        <v>46252.4934953704</v>
      </c>
      <c r="D982" s="35">
        <v>6</v>
      </c>
    </row>
    <row r="983" spans="1:4">
      <c r="A983" s="35" t="s">
        <v>645</v>
      </c>
      <c r="B983" s="35" t="s">
        <v>26</v>
      </c>
      <c r="C983" s="36">
        <v>46252.4962152778</v>
      </c>
      <c r="D983" s="35">
        <v>2</v>
      </c>
    </row>
    <row r="984" spans="1:4">
      <c r="A984" s="35" t="s">
        <v>646</v>
      </c>
      <c r="B984" s="35" t="s">
        <v>26</v>
      </c>
      <c r="C984" s="36">
        <v>46252.4962268519</v>
      </c>
      <c r="D984" s="35">
        <v>6</v>
      </c>
    </row>
    <row r="985" spans="1:4">
      <c r="A985" s="35" t="s">
        <v>647</v>
      </c>
      <c r="B985" s="35" t="s">
        <v>26</v>
      </c>
      <c r="C985" s="36">
        <v>46252.4962384259</v>
      </c>
      <c r="D985" s="35">
        <v>296</v>
      </c>
    </row>
    <row r="986" spans="1:4">
      <c r="A986" s="35" t="s">
        <v>648</v>
      </c>
      <c r="B986" s="35" t="s">
        <v>26</v>
      </c>
      <c r="C986" s="36">
        <v>46252.5049537037</v>
      </c>
      <c r="D986" s="35">
        <v>2</v>
      </c>
    </row>
    <row r="987" spans="1:4">
      <c r="A987" s="35" t="s">
        <v>649</v>
      </c>
      <c r="B987" s="35" t="s">
        <v>26</v>
      </c>
      <c r="C987" s="36">
        <v>46252.5049652778</v>
      </c>
      <c r="D987" s="35">
        <v>1</v>
      </c>
    </row>
    <row r="988" spans="1:4">
      <c r="A988" s="35" t="s">
        <v>650</v>
      </c>
      <c r="B988" s="35" t="s">
        <v>26</v>
      </c>
      <c r="C988" s="36">
        <v>46252.5049768519</v>
      </c>
      <c r="D988" s="35">
        <v>3</v>
      </c>
    </row>
    <row r="989" spans="1:4">
      <c r="A989" s="35" t="s">
        <v>651</v>
      </c>
      <c r="B989" s="35" t="s">
        <v>26</v>
      </c>
      <c r="C989" s="36">
        <v>46252.5049884259</v>
      </c>
      <c r="D989" s="35">
        <v>4</v>
      </c>
    </row>
    <row r="990" spans="1:4">
      <c r="A990" s="35" t="s">
        <v>652</v>
      </c>
      <c r="B990" s="35" t="s">
        <v>26</v>
      </c>
      <c r="C990" s="36">
        <v>46252.505</v>
      </c>
      <c r="D990" s="35">
        <v>1</v>
      </c>
    </row>
    <row r="991" spans="1:4">
      <c r="A991" s="35" t="s">
        <v>653</v>
      </c>
      <c r="B991" s="35" t="s">
        <v>26</v>
      </c>
      <c r="C991" s="36">
        <v>46252.5050115741</v>
      </c>
      <c r="D991" s="35">
        <v>1</v>
      </c>
    </row>
    <row r="992" spans="1:4">
      <c r="A992" s="35" t="s">
        <v>654</v>
      </c>
      <c r="B992" s="35" t="s">
        <v>26</v>
      </c>
      <c r="C992" s="36">
        <v>46252.5050231482</v>
      </c>
      <c r="D992" s="35">
        <v>3</v>
      </c>
    </row>
    <row r="993" spans="1:4">
      <c r="A993" s="35" t="s">
        <v>655</v>
      </c>
      <c r="B993" s="35" t="s">
        <v>26</v>
      </c>
      <c r="C993" s="36">
        <v>46252.5050347222</v>
      </c>
      <c r="D993" s="35">
        <v>1</v>
      </c>
    </row>
    <row r="994" spans="1:4">
      <c r="A994" s="35" t="s">
        <v>656</v>
      </c>
      <c r="B994" s="35" t="s">
        <v>26</v>
      </c>
      <c r="C994" s="36">
        <v>46252.5528472222</v>
      </c>
      <c r="D994" s="35">
        <v>20</v>
      </c>
    </row>
    <row r="995" spans="1:4">
      <c r="A995" s="35" t="s">
        <v>657</v>
      </c>
      <c r="B995" s="35" t="s">
        <v>26</v>
      </c>
      <c r="C995" s="36">
        <v>46252.5528587963</v>
      </c>
      <c r="D995" s="35">
        <v>6</v>
      </c>
    </row>
    <row r="996" spans="1:4">
      <c r="A996" s="35" t="s">
        <v>658</v>
      </c>
      <c r="B996" s="35" t="s">
        <v>26</v>
      </c>
      <c r="C996" s="36">
        <v>46252.5528703704</v>
      </c>
      <c r="D996" s="35">
        <v>4</v>
      </c>
    </row>
    <row r="997" spans="1:4">
      <c r="A997" s="35" t="s">
        <v>659</v>
      </c>
      <c r="B997" s="35" t="s">
        <v>26</v>
      </c>
      <c r="C997" s="36">
        <v>46252.5528819444</v>
      </c>
      <c r="D997" s="35">
        <v>1</v>
      </c>
    </row>
    <row r="998" spans="1:4">
      <c r="A998" s="35" t="s">
        <v>660</v>
      </c>
      <c r="B998" s="35" t="s">
        <v>26</v>
      </c>
      <c r="C998" s="36">
        <v>46252.5528935185</v>
      </c>
      <c r="D998" s="35">
        <v>1</v>
      </c>
    </row>
    <row r="999" spans="1:4">
      <c r="A999" s="35" t="s">
        <v>661</v>
      </c>
      <c r="B999" s="35" t="s">
        <v>26</v>
      </c>
      <c r="C999" s="36">
        <v>46252.5529050926</v>
      </c>
      <c r="D999" s="35">
        <v>4</v>
      </c>
    </row>
    <row r="1000" spans="1:4">
      <c r="A1000" s="35" t="s">
        <v>662</v>
      </c>
      <c r="B1000" s="35" t="s">
        <v>26</v>
      </c>
      <c r="C1000" s="36">
        <v>46252.5529166667</v>
      </c>
      <c r="D1000" s="35">
        <v>1</v>
      </c>
    </row>
    <row r="1001" spans="1:4">
      <c r="A1001" s="35" t="s">
        <v>663</v>
      </c>
      <c r="B1001" s="35" t="s">
        <v>26</v>
      </c>
      <c r="C1001" s="36">
        <v>46252.5529282407</v>
      </c>
      <c r="D1001" s="35">
        <v>1</v>
      </c>
    </row>
    <row r="1002" spans="1:4">
      <c r="A1002" s="35" t="s">
        <v>664</v>
      </c>
      <c r="B1002" s="35" t="s">
        <v>26</v>
      </c>
      <c r="C1002" s="36">
        <v>46252.5529398148</v>
      </c>
      <c r="D1002" s="35">
        <v>2</v>
      </c>
    </row>
    <row r="1003" spans="1:4">
      <c r="A1003" s="35" t="s">
        <v>665</v>
      </c>
      <c r="B1003" s="35" t="s">
        <v>26</v>
      </c>
      <c r="C1003" s="36">
        <v>46252.5529513889</v>
      </c>
      <c r="D1003" s="35">
        <v>1</v>
      </c>
    </row>
    <row r="1004" spans="1:4">
      <c r="A1004" s="35" t="s">
        <v>666</v>
      </c>
      <c r="B1004" s="35" t="s">
        <v>26</v>
      </c>
      <c r="C1004" s="36">
        <v>46252.552962963</v>
      </c>
      <c r="D1004" s="35">
        <v>1</v>
      </c>
    </row>
    <row r="1005" spans="1:4">
      <c r="A1005" s="35" t="s">
        <v>667</v>
      </c>
      <c r="B1005" s="35" t="s">
        <v>26</v>
      </c>
      <c r="C1005" s="36">
        <v>46252.552974537</v>
      </c>
      <c r="D1005" s="35">
        <v>2</v>
      </c>
    </row>
    <row r="1006" spans="1:4">
      <c r="A1006" s="35" t="s">
        <v>668</v>
      </c>
      <c r="B1006" s="35" t="s">
        <v>26</v>
      </c>
      <c r="C1006" s="36">
        <v>46252.5529861111</v>
      </c>
      <c r="D1006" s="35">
        <v>3</v>
      </c>
    </row>
    <row r="1007" spans="1:4">
      <c r="A1007" s="35" t="s">
        <v>669</v>
      </c>
      <c r="B1007" s="35" t="s">
        <v>26</v>
      </c>
      <c r="C1007" s="36">
        <v>46252.5529976852</v>
      </c>
      <c r="D1007" s="35">
        <v>1</v>
      </c>
    </row>
    <row r="1008" spans="1:4">
      <c r="A1008" s="35" t="s">
        <v>670</v>
      </c>
      <c r="B1008" s="35" t="s">
        <v>26</v>
      </c>
      <c r="C1008" s="36">
        <v>46252.5530092593</v>
      </c>
      <c r="D1008" s="35">
        <v>1</v>
      </c>
    </row>
    <row r="1009" spans="1:4">
      <c r="A1009" s="35" t="s">
        <v>671</v>
      </c>
      <c r="B1009" s="35" t="s">
        <v>26</v>
      </c>
      <c r="C1009" s="36">
        <v>46252.5530208333</v>
      </c>
      <c r="D1009" s="35">
        <v>1</v>
      </c>
    </row>
    <row r="1010" spans="1:4">
      <c r="A1010" s="35" t="s">
        <v>672</v>
      </c>
      <c r="B1010" s="35" t="s">
        <v>26</v>
      </c>
      <c r="C1010" s="36">
        <v>46252.5530324074</v>
      </c>
      <c r="D1010" s="35">
        <v>2</v>
      </c>
    </row>
    <row r="1011" spans="1:4">
      <c r="A1011" s="35" t="s">
        <v>673</v>
      </c>
      <c r="B1011" s="35" t="s">
        <v>26</v>
      </c>
      <c r="C1011" s="36">
        <v>46252.5530439815</v>
      </c>
      <c r="D1011" s="35">
        <v>1</v>
      </c>
    </row>
    <row r="1012" spans="1:4">
      <c r="A1012" s="35" t="s">
        <v>42</v>
      </c>
      <c r="B1012" s="35" t="s">
        <v>26</v>
      </c>
      <c r="C1012" s="36">
        <v>46252.5530555556</v>
      </c>
      <c r="D1012" s="35">
        <v>14</v>
      </c>
    </row>
    <row r="1013" spans="1:4">
      <c r="A1013" s="35" t="s">
        <v>674</v>
      </c>
      <c r="B1013" s="35" t="s">
        <v>26</v>
      </c>
      <c r="C1013" s="36">
        <v>46252.5530671296</v>
      </c>
      <c r="D1013" s="35">
        <v>9</v>
      </c>
    </row>
    <row r="1014" spans="1:4">
      <c r="A1014" s="35" t="s">
        <v>675</v>
      </c>
      <c r="B1014" s="35" t="s">
        <v>26</v>
      </c>
      <c r="C1014" s="36">
        <v>46252.5530787037</v>
      </c>
      <c r="D1014" s="35">
        <v>4</v>
      </c>
    </row>
    <row r="1015" spans="1:4">
      <c r="A1015" s="35" t="s">
        <v>676</v>
      </c>
      <c r="B1015" s="35" t="s">
        <v>26</v>
      </c>
      <c r="C1015" s="36">
        <v>46252.5530902778</v>
      </c>
      <c r="D1015" s="35">
        <v>3</v>
      </c>
    </row>
    <row r="1016" spans="1:4">
      <c r="A1016" s="35" t="s">
        <v>677</v>
      </c>
      <c r="B1016" s="35" t="s">
        <v>26</v>
      </c>
      <c r="C1016" s="36">
        <v>46252.5531018519</v>
      </c>
      <c r="D1016" s="35">
        <v>1</v>
      </c>
    </row>
    <row r="1017" spans="1:4">
      <c r="A1017" s="35" t="s">
        <v>678</v>
      </c>
      <c r="B1017" s="35" t="s">
        <v>26</v>
      </c>
      <c r="C1017" s="36">
        <v>46252.5531134259</v>
      </c>
      <c r="D1017" s="35">
        <v>4</v>
      </c>
    </row>
    <row r="1018" spans="1:4">
      <c r="A1018" s="35" t="s">
        <v>679</v>
      </c>
      <c r="B1018" s="35" t="s">
        <v>26</v>
      </c>
      <c r="C1018" s="36">
        <v>46252.5686921296</v>
      </c>
      <c r="D1018" s="35">
        <v>1</v>
      </c>
    </row>
    <row r="1019" spans="1:4">
      <c r="A1019" s="35" t="s">
        <v>680</v>
      </c>
      <c r="B1019" s="35" t="s">
        <v>26</v>
      </c>
      <c r="C1019" s="36">
        <v>46252.5687037037</v>
      </c>
      <c r="D1019" s="35">
        <v>1</v>
      </c>
    </row>
    <row r="1020" spans="1:4">
      <c r="A1020" s="35" t="s">
        <v>681</v>
      </c>
      <c r="B1020" s="35" t="s">
        <v>26</v>
      </c>
      <c r="C1020" s="36">
        <v>46252.5687152778</v>
      </c>
      <c r="D1020" s="35">
        <v>1</v>
      </c>
    </row>
    <row r="1021" spans="1:4">
      <c r="A1021" s="35" t="s">
        <v>682</v>
      </c>
      <c r="B1021" s="35" t="s">
        <v>26</v>
      </c>
      <c r="C1021" s="36">
        <v>46252.5687268519</v>
      </c>
      <c r="D1021" s="35">
        <v>1</v>
      </c>
    </row>
    <row r="1022" spans="1:4">
      <c r="A1022" s="35" t="s">
        <v>683</v>
      </c>
      <c r="B1022" s="35" t="s">
        <v>26</v>
      </c>
      <c r="C1022" s="36">
        <v>46252.5687384259</v>
      </c>
      <c r="D1022" s="35">
        <v>6</v>
      </c>
    </row>
    <row r="1023" spans="1:4">
      <c r="A1023" s="35" t="s">
        <v>684</v>
      </c>
      <c r="B1023" s="35" t="s">
        <v>26</v>
      </c>
      <c r="C1023" s="36">
        <v>46252.56875</v>
      </c>
      <c r="D1023" s="35">
        <v>1</v>
      </c>
    </row>
    <row r="1024" spans="1:4">
      <c r="A1024" s="35" t="s">
        <v>264</v>
      </c>
      <c r="B1024" s="35" t="s">
        <v>26</v>
      </c>
      <c r="C1024" s="36">
        <v>46252.5687615741</v>
      </c>
      <c r="D1024" s="35">
        <v>22</v>
      </c>
    </row>
    <row r="1025" spans="1:4">
      <c r="A1025" s="35" t="s">
        <v>685</v>
      </c>
      <c r="B1025" s="35" t="s">
        <v>26</v>
      </c>
      <c r="C1025" s="36">
        <v>46252.5687731481</v>
      </c>
      <c r="D1025" s="35">
        <v>15</v>
      </c>
    </row>
    <row r="1026" spans="1:4">
      <c r="A1026" s="35" t="s">
        <v>686</v>
      </c>
      <c r="B1026" s="35" t="s">
        <v>26</v>
      </c>
      <c r="C1026" s="36">
        <v>46252.5687847222</v>
      </c>
      <c r="D1026" s="35">
        <v>1</v>
      </c>
    </row>
    <row r="1027" spans="1:4">
      <c r="A1027" s="35" t="s">
        <v>687</v>
      </c>
      <c r="B1027" s="35" t="s">
        <v>26</v>
      </c>
      <c r="C1027" s="36">
        <v>46252.5687962963</v>
      </c>
      <c r="D1027" s="35">
        <v>2</v>
      </c>
    </row>
    <row r="1028" spans="1:4">
      <c r="A1028" s="35" t="s">
        <v>688</v>
      </c>
      <c r="B1028" s="35" t="s">
        <v>26</v>
      </c>
      <c r="C1028" s="36">
        <v>46252.5688078704</v>
      </c>
      <c r="D1028" s="35">
        <v>1</v>
      </c>
    </row>
    <row r="1029" spans="1:4">
      <c r="A1029" s="35" t="s">
        <v>689</v>
      </c>
      <c r="B1029" s="35" t="s">
        <v>26</v>
      </c>
      <c r="C1029" s="36">
        <v>46252.5688194444</v>
      </c>
      <c r="D1029" s="35">
        <v>3</v>
      </c>
    </row>
    <row r="1030" spans="1:4">
      <c r="A1030" s="35" t="s">
        <v>690</v>
      </c>
      <c r="B1030" s="35" t="s">
        <v>26</v>
      </c>
      <c r="C1030" s="36">
        <v>46252.5688310185</v>
      </c>
      <c r="D1030" s="35">
        <v>1</v>
      </c>
    </row>
    <row r="1031" spans="1:4">
      <c r="A1031" s="35" t="s">
        <v>691</v>
      </c>
      <c r="B1031" s="35" t="s">
        <v>26</v>
      </c>
      <c r="C1031" s="36">
        <v>46252.5688425926</v>
      </c>
      <c r="D1031" s="35">
        <v>1</v>
      </c>
    </row>
    <row r="1032" spans="1:4">
      <c r="A1032" s="35" t="s">
        <v>692</v>
      </c>
      <c r="B1032" s="35" t="s">
        <v>26</v>
      </c>
      <c r="C1032" s="36">
        <v>46252.5688541667</v>
      </c>
      <c r="D1032" s="35">
        <v>23</v>
      </c>
    </row>
    <row r="1033" spans="1:4">
      <c r="A1033" s="35" t="s">
        <v>492</v>
      </c>
      <c r="B1033" s="35" t="s">
        <v>26</v>
      </c>
      <c r="C1033" s="36">
        <v>46252.5688657407</v>
      </c>
      <c r="D1033" s="35">
        <v>3</v>
      </c>
    </row>
    <row r="1034" spans="1:4">
      <c r="A1034" s="35" t="s">
        <v>693</v>
      </c>
      <c r="B1034" s="35" t="s">
        <v>26</v>
      </c>
      <c r="C1034" s="36">
        <v>46252.5688773148</v>
      </c>
      <c r="D1034" s="35">
        <v>2</v>
      </c>
    </row>
    <row r="1035" spans="1:4">
      <c r="A1035" s="35" t="s">
        <v>694</v>
      </c>
      <c r="B1035" s="35" t="s">
        <v>26</v>
      </c>
      <c r="C1035" s="36">
        <v>46252.5688888889</v>
      </c>
      <c r="D1035" s="35">
        <v>2</v>
      </c>
    </row>
    <row r="1036" spans="1:4">
      <c r="A1036" s="35" t="s">
        <v>695</v>
      </c>
      <c r="B1036" s="35" t="s">
        <v>26</v>
      </c>
      <c r="C1036" s="36">
        <v>46252.568900463</v>
      </c>
      <c r="D1036" s="35">
        <v>2</v>
      </c>
    </row>
    <row r="1037" spans="1:4">
      <c r="A1037" s="35" t="s">
        <v>696</v>
      </c>
      <c r="B1037" s="35" t="s">
        <v>26</v>
      </c>
      <c r="C1037" s="36">
        <v>46252.568912037</v>
      </c>
      <c r="D1037" s="35">
        <v>2</v>
      </c>
    </row>
    <row r="1038" spans="1:4">
      <c r="A1038" s="35" t="s">
        <v>697</v>
      </c>
      <c r="B1038" s="35" t="s">
        <v>26</v>
      </c>
      <c r="C1038" s="36">
        <v>46252.5689236111</v>
      </c>
      <c r="D1038" s="35">
        <v>2</v>
      </c>
    </row>
    <row r="1039" spans="1:4">
      <c r="A1039" s="35" t="s">
        <v>698</v>
      </c>
      <c r="B1039" s="35" t="s">
        <v>26</v>
      </c>
      <c r="C1039" s="36">
        <v>46252.5689351852</v>
      </c>
      <c r="D1039" s="35">
        <v>1</v>
      </c>
    </row>
    <row r="1040" spans="1:4">
      <c r="A1040" s="35" t="s">
        <v>699</v>
      </c>
      <c r="B1040" s="35" t="s">
        <v>26</v>
      </c>
      <c r="C1040" s="36">
        <v>46252.5689467593</v>
      </c>
      <c r="D1040" s="35">
        <v>1</v>
      </c>
    </row>
    <row r="1041" spans="1:4">
      <c r="A1041" s="35" t="s">
        <v>700</v>
      </c>
      <c r="B1041" s="35" t="s">
        <v>26</v>
      </c>
      <c r="C1041" s="36">
        <v>46252.5689583333</v>
      </c>
      <c r="D1041" s="35">
        <v>4</v>
      </c>
    </row>
    <row r="1042" spans="1:4">
      <c r="A1042" s="35" t="s">
        <v>701</v>
      </c>
      <c r="B1042" s="35" t="s">
        <v>26</v>
      </c>
      <c r="C1042" s="36">
        <v>46252.5689699074</v>
      </c>
      <c r="D1042" s="35">
        <v>4</v>
      </c>
    </row>
    <row r="1043" spans="1:4">
      <c r="A1043" s="35" t="s">
        <v>702</v>
      </c>
      <c r="B1043" s="35" t="s">
        <v>26</v>
      </c>
      <c r="C1043" s="36">
        <v>46252.5689814815</v>
      </c>
      <c r="D1043" s="35">
        <v>10</v>
      </c>
    </row>
    <row r="1044" spans="1:4">
      <c r="A1044" s="35" t="s">
        <v>703</v>
      </c>
      <c r="B1044" s="35" t="s">
        <v>26</v>
      </c>
      <c r="C1044" s="36">
        <v>46252.5689930556</v>
      </c>
      <c r="D1044" s="35">
        <v>2</v>
      </c>
    </row>
    <row r="1045" spans="1:4">
      <c r="A1045" s="35" t="s">
        <v>704</v>
      </c>
      <c r="B1045" s="35" t="s">
        <v>26</v>
      </c>
      <c r="C1045" s="36">
        <v>46252.5690046296</v>
      </c>
      <c r="D1045" s="35">
        <v>2</v>
      </c>
    </row>
    <row r="1046" spans="1:4">
      <c r="A1046" s="35" t="s">
        <v>705</v>
      </c>
      <c r="B1046" s="35" t="s">
        <v>26</v>
      </c>
      <c r="C1046" s="36">
        <v>46252.5690162037</v>
      </c>
      <c r="D1046" s="35">
        <v>3</v>
      </c>
    </row>
    <row r="1047" spans="1:4">
      <c r="A1047" s="35" t="s">
        <v>706</v>
      </c>
      <c r="B1047" s="35" t="s">
        <v>26</v>
      </c>
      <c r="C1047" s="36">
        <v>46252.5690277778</v>
      </c>
      <c r="D1047" s="35">
        <v>1</v>
      </c>
    </row>
    <row r="1048" spans="1:4">
      <c r="A1048" s="35" t="s">
        <v>707</v>
      </c>
      <c r="B1048" s="35" t="s">
        <v>26</v>
      </c>
      <c r="C1048" s="36">
        <v>46252.5690393519</v>
      </c>
      <c r="D1048" s="35">
        <v>1</v>
      </c>
    </row>
    <row r="1049" spans="1:4">
      <c r="A1049" s="35" t="s">
        <v>708</v>
      </c>
      <c r="B1049" s="35" t="s">
        <v>26</v>
      </c>
      <c r="C1049" s="36">
        <v>46252.5690509259</v>
      </c>
      <c r="D1049" s="35">
        <v>6</v>
      </c>
    </row>
    <row r="1050" spans="1:4">
      <c r="A1050" s="35" t="s">
        <v>709</v>
      </c>
      <c r="B1050" s="35" t="s">
        <v>26</v>
      </c>
      <c r="C1050" s="36">
        <v>46252.5690625</v>
      </c>
      <c r="D1050" s="35">
        <v>1</v>
      </c>
    </row>
    <row r="1051" spans="1:4">
      <c r="A1051" s="35" t="s">
        <v>710</v>
      </c>
      <c r="B1051" s="35" t="s">
        <v>26</v>
      </c>
      <c r="C1051" s="36">
        <v>46252.5690740741</v>
      </c>
      <c r="D1051" s="35">
        <v>1</v>
      </c>
    </row>
    <row r="1052" spans="1:4">
      <c r="A1052" s="35" t="s">
        <v>711</v>
      </c>
      <c r="B1052" s="35" t="s">
        <v>26</v>
      </c>
      <c r="C1052" s="36">
        <v>46252.5690856482</v>
      </c>
      <c r="D1052" s="35">
        <v>7</v>
      </c>
    </row>
    <row r="1053" spans="1:4">
      <c r="A1053" s="35" t="s">
        <v>712</v>
      </c>
      <c r="B1053" s="35" t="s">
        <v>26</v>
      </c>
      <c r="C1053" s="36">
        <v>46252.5690972222</v>
      </c>
      <c r="D1053" s="35">
        <v>1</v>
      </c>
    </row>
    <row r="1054" spans="1:4">
      <c r="A1054" s="35" t="s">
        <v>713</v>
      </c>
      <c r="B1054" s="35" t="s">
        <v>26</v>
      </c>
      <c r="C1054" s="36">
        <v>46252.5691087963</v>
      </c>
      <c r="D1054" s="35">
        <v>1</v>
      </c>
    </row>
    <row r="1055" spans="1:4">
      <c r="A1055" s="35" t="s">
        <v>714</v>
      </c>
      <c r="B1055" s="35" t="s">
        <v>26</v>
      </c>
      <c r="C1055" s="36">
        <v>46252.5691203704</v>
      </c>
      <c r="D1055" s="35">
        <v>1</v>
      </c>
    </row>
    <row r="1056" spans="1:4">
      <c r="A1056" s="35" t="s">
        <v>715</v>
      </c>
      <c r="B1056" s="35" t="s">
        <v>26</v>
      </c>
      <c r="C1056" s="36">
        <v>46252.5691319444</v>
      </c>
      <c r="D1056" s="35">
        <v>6</v>
      </c>
    </row>
    <row r="1057" spans="1:4">
      <c r="A1057" s="35" t="s">
        <v>716</v>
      </c>
      <c r="B1057" s="35" t="s">
        <v>26</v>
      </c>
      <c r="C1057" s="36">
        <v>46252.5691435185</v>
      </c>
      <c r="D1057" s="35">
        <v>2</v>
      </c>
    </row>
    <row r="1058" spans="1:4">
      <c r="A1058" s="35" t="s">
        <v>717</v>
      </c>
      <c r="B1058" s="35" t="s">
        <v>26</v>
      </c>
      <c r="C1058" s="36">
        <v>46252.5691550926</v>
      </c>
      <c r="D1058" s="35">
        <v>1</v>
      </c>
    </row>
    <row r="1059" spans="1:4">
      <c r="A1059" s="35" t="s">
        <v>718</v>
      </c>
      <c r="B1059" s="35" t="s">
        <v>26</v>
      </c>
      <c r="C1059" s="36">
        <v>46252.5691666667</v>
      </c>
      <c r="D1059" s="35">
        <v>9</v>
      </c>
    </row>
    <row r="1060" spans="1:4">
      <c r="A1060" s="35" t="s">
        <v>719</v>
      </c>
      <c r="B1060" s="35" t="s">
        <v>26</v>
      </c>
      <c r="C1060" s="36">
        <v>46252.5691782407</v>
      </c>
      <c r="D1060" s="35">
        <v>1</v>
      </c>
    </row>
    <row r="1061" spans="1:4">
      <c r="A1061" s="35" t="s">
        <v>720</v>
      </c>
      <c r="B1061" s="35" t="s">
        <v>26</v>
      </c>
      <c r="C1061" s="36">
        <v>46252.5691898148</v>
      </c>
      <c r="D1061" s="35">
        <v>1</v>
      </c>
    </row>
    <row r="1062" spans="1:4">
      <c r="A1062" s="35" t="s">
        <v>721</v>
      </c>
      <c r="B1062" s="35" t="s">
        <v>26</v>
      </c>
      <c r="C1062" s="36">
        <v>46252.5692013889</v>
      </c>
      <c r="D1062" s="35">
        <v>18</v>
      </c>
    </row>
    <row r="1063" spans="1:4">
      <c r="A1063" s="35" t="s">
        <v>722</v>
      </c>
      <c r="B1063" s="35" t="s">
        <v>26</v>
      </c>
      <c r="C1063" s="36">
        <v>46252.569212963</v>
      </c>
      <c r="D1063" s="35">
        <v>3</v>
      </c>
    </row>
    <row r="1064" spans="1:4">
      <c r="A1064" s="35" t="s">
        <v>723</v>
      </c>
      <c r="B1064" s="35" t="s">
        <v>26</v>
      </c>
      <c r="C1064" s="36">
        <v>46252.569224537</v>
      </c>
      <c r="D1064" s="35">
        <v>50</v>
      </c>
    </row>
    <row r="1065" spans="1:4">
      <c r="A1065" s="35" t="s">
        <v>724</v>
      </c>
      <c r="B1065" s="35" t="s">
        <v>26</v>
      </c>
      <c r="C1065" s="36">
        <v>46252.5692361111</v>
      </c>
      <c r="D1065" s="35">
        <v>1</v>
      </c>
    </row>
    <row r="1066" spans="1:4">
      <c r="A1066" s="35" t="s">
        <v>725</v>
      </c>
      <c r="B1066" s="35" t="s">
        <v>26</v>
      </c>
      <c r="C1066" s="36">
        <v>46252.5692476852</v>
      </c>
      <c r="D1066" s="35">
        <v>1</v>
      </c>
    </row>
    <row r="1067" spans="1:4">
      <c r="A1067" s="35" t="s">
        <v>726</v>
      </c>
      <c r="B1067" s="35" t="s">
        <v>26</v>
      </c>
      <c r="C1067" s="36">
        <v>46252.5692592593</v>
      </c>
      <c r="D1067" s="35">
        <v>1</v>
      </c>
    </row>
    <row r="1068" spans="1:4">
      <c r="A1068" s="35" t="s">
        <v>727</v>
      </c>
      <c r="B1068" s="35" t="s">
        <v>26</v>
      </c>
      <c r="C1068" s="36">
        <v>46252.5692708333</v>
      </c>
      <c r="D1068" s="35">
        <v>1</v>
      </c>
    </row>
    <row r="1069" spans="1:4">
      <c r="A1069" s="35" t="s">
        <v>728</v>
      </c>
      <c r="B1069" s="35" t="s">
        <v>26</v>
      </c>
      <c r="C1069" s="36">
        <v>46252.5692824074</v>
      </c>
      <c r="D1069" s="35">
        <v>1</v>
      </c>
    </row>
    <row r="1070" spans="1:4">
      <c r="A1070" s="35" t="s">
        <v>729</v>
      </c>
      <c r="B1070" s="35" t="s">
        <v>26</v>
      </c>
      <c r="C1070" s="36">
        <v>46252.5692939815</v>
      </c>
      <c r="D1070" s="35">
        <v>1</v>
      </c>
    </row>
    <row r="1071" spans="1:4">
      <c r="A1071" s="35" t="s">
        <v>730</v>
      </c>
      <c r="B1071" s="35" t="s">
        <v>26</v>
      </c>
      <c r="C1071" s="36">
        <v>46252.5693055556</v>
      </c>
      <c r="D1071" s="35">
        <v>4</v>
      </c>
    </row>
    <row r="1072" spans="1:4">
      <c r="A1072" s="35" t="s">
        <v>731</v>
      </c>
      <c r="B1072" s="35" t="s">
        <v>26</v>
      </c>
      <c r="C1072" s="36">
        <v>46252.5693171296</v>
      </c>
      <c r="D1072" s="35">
        <v>1</v>
      </c>
    </row>
    <row r="1073" spans="1:4">
      <c r="A1073" s="35" t="s">
        <v>732</v>
      </c>
      <c r="B1073" s="35" t="s">
        <v>26</v>
      </c>
      <c r="C1073" s="36">
        <v>46252.5693287037</v>
      </c>
      <c r="D1073" s="35">
        <v>2</v>
      </c>
    </row>
    <row r="1074" spans="1:4">
      <c r="A1074" s="35" t="s">
        <v>733</v>
      </c>
      <c r="B1074" s="35" t="s">
        <v>26</v>
      </c>
      <c r="C1074" s="36">
        <v>46252.5693402778</v>
      </c>
      <c r="D1074" s="35">
        <v>1</v>
      </c>
    </row>
    <row r="1075" spans="1:4">
      <c r="A1075" s="35" t="s">
        <v>734</v>
      </c>
      <c r="B1075" s="35" t="s">
        <v>26</v>
      </c>
      <c r="C1075" s="36">
        <v>46252.5693518519</v>
      </c>
      <c r="D1075" s="35">
        <v>2</v>
      </c>
    </row>
    <row r="1076" spans="1:4">
      <c r="A1076" s="35" t="s">
        <v>735</v>
      </c>
      <c r="B1076" s="35" t="s">
        <v>26</v>
      </c>
      <c r="C1076" s="36">
        <v>46252.5693634259</v>
      </c>
      <c r="D1076" s="35">
        <v>2</v>
      </c>
    </row>
    <row r="1077" spans="1:4">
      <c r="A1077" s="35" t="s">
        <v>736</v>
      </c>
      <c r="B1077" s="35" t="s">
        <v>26</v>
      </c>
      <c r="C1077" s="36">
        <v>46252.569375</v>
      </c>
      <c r="D1077" s="35">
        <v>2</v>
      </c>
    </row>
    <row r="1078" spans="1:4">
      <c r="A1078" s="35" t="s">
        <v>737</v>
      </c>
      <c r="B1078" s="35" t="s">
        <v>26</v>
      </c>
      <c r="C1078" s="36">
        <v>46252.5693865741</v>
      </c>
      <c r="D1078" s="35">
        <v>1</v>
      </c>
    </row>
    <row r="1079" spans="1:4">
      <c r="A1079" s="35" t="s">
        <v>738</v>
      </c>
      <c r="B1079" s="35" t="s">
        <v>26</v>
      </c>
      <c r="C1079" s="36">
        <v>46252.5693981482</v>
      </c>
      <c r="D1079" s="35">
        <v>3</v>
      </c>
    </row>
    <row r="1080" spans="1:4">
      <c r="A1080" s="35" t="s">
        <v>739</v>
      </c>
      <c r="B1080" s="35" t="s">
        <v>26</v>
      </c>
      <c r="C1080" s="36">
        <v>46252.5694097222</v>
      </c>
      <c r="D1080" s="35">
        <v>2</v>
      </c>
    </row>
    <row r="1081" spans="1:4">
      <c r="A1081" s="35" t="s">
        <v>740</v>
      </c>
      <c r="B1081" s="35" t="s">
        <v>26</v>
      </c>
      <c r="C1081" s="36">
        <v>46252.5694212963</v>
      </c>
      <c r="D1081" s="35">
        <v>1</v>
      </c>
    </row>
    <row r="1082" spans="1:4">
      <c r="A1082" s="35" t="s">
        <v>741</v>
      </c>
      <c r="B1082" s="35" t="s">
        <v>26</v>
      </c>
      <c r="C1082" s="36">
        <v>46252.5694328704</v>
      </c>
      <c r="D1082" s="35">
        <v>13</v>
      </c>
    </row>
    <row r="1083" spans="1:4">
      <c r="A1083" s="35" t="s">
        <v>742</v>
      </c>
      <c r="B1083" s="35" t="s">
        <v>26</v>
      </c>
      <c r="C1083" s="36">
        <v>46252.5694444445</v>
      </c>
      <c r="D1083" s="35">
        <v>2</v>
      </c>
    </row>
    <row r="1084" spans="1:4">
      <c r="A1084" s="35" t="s">
        <v>743</v>
      </c>
      <c r="B1084" s="35" t="s">
        <v>26</v>
      </c>
      <c r="C1084" s="36">
        <v>46252.5694560185</v>
      </c>
      <c r="D1084" s="35">
        <v>1</v>
      </c>
    </row>
    <row r="1085" spans="1:4">
      <c r="A1085" s="35" t="s">
        <v>744</v>
      </c>
      <c r="B1085" s="35" t="s">
        <v>26</v>
      </c>
      <c r="C1085" s="36">
        <v>46252.6094097222</v>
      </c>
      <c r="D1085" s="35">
        <v>11</v>
      </c>
    </row>
    <row r="1086" spans="1:4">
      <c r="A1086" s="35" t="s">
        <v>745</v>
      </c>
      <c r="B1086" s="35" t="s">
        <v>26</v>
      </c>
      <c r="C1086" s="36">
        <v>46252.6094212963</v>
      </c>
      <c r="D1086" s="35">
        <v>1</v>
      </c>
    </row>
    <row r="1087" spans="1:4">
      <c r="A1087" s="35" t="s">
        <v>746</v>
      </c>
      <c r="B1087" s="35" t="s">
        <v>26</v>
      </c>
      <c r="C1087" s="36">
        <v>46252.6094328704</v>
      </c>
      <c r="D1087" s="35">
        <v>2</v>
      </c>
    </row>
    <row r="1088" spans="1:4">
      <c r="A1088" s="35" t="s">
        <v>747</v>
      </c>
      <c r="B1088" s="35" t="s">
        <v>26</v>
      </c>
      <c r="C1088" s="36">
        <v>46252.6094444445</v>
      </c>
      <c r="D1088" s="35">
        <v>3</v>
      </c>
    </row>
    <row r="1089" spans="1:4">
      <c r="A1089" s="35" t="s">
        <v>748</v>
      </c>
      <c r="B1089" s="35" t="s">
        <v>26</v>
      </c>
      <c r="C1089" s="36">
        <v>46252.6094560185</v>
      </c>
      <c r="D1089" s="35">
        <v>2</v>
      </c>
    </row>
    <row r="1090" spans="1:4">
      <c r="A1090" s="35" t="s">
        <v>749</v>
      </c>
      <c r="B1090" s="35" t="s">
        <v>26</v>
      </c>
      <c r="C1090" s="36">
        <v>46252.6094675926</v>
      </c>
      <c r="D1090" s="35">
        <v>4</v>
      </c>
    </row>
    <row r="1091" spans="1:4">
      <c r="A1091" s="35" t="s">
        <v>750</v>
      </c>
      <c r="B1091" s="35" t="s">
        <v>26</v>
      </c>
      <c r="C1091" s="36">
        <v>46252.6094791667</v>
      </c>
      <c r="D1091" s="35">
        <v>1</v>
      </c>
    </row>
    <row r="1092" spans="1:4">
      <c r="A1092" s="35" t="s">
        <v>751</v>
      </c>
      <c r="B1092" s="35" t="s">
        <v>26</v>
      </c>
      <c r="C1092" s="36">
        <v>46252.6094907407</v>
      </c>
      <c r="D1092" s="35">
        <v>4</v>
      </c>
    </row>
    <row r="1093" spans="1:4">
      <c r="A1093" s="35" t="s">
        <v>752</v>
      </c>
      <c r="B1093" s="35" t="s">
        <v>26</v>
      </c>
      <c r="C1093" s="36">
        <v>46252.6095023148</v>
      </c>
      <c r="D1093" s="35">
        <v>15</v>
      </c>
    </row>
    <row r="1094" spans="1:4">
      <c r="A1094" s="35" t="s">
        <v>753</v>
      </c>
      <c r="B1094" s="35" t="s">
        <v>26</v>
      </c>
      <c r="C1094" s="36">
        <v>46252.6095138889</v>
      </c>
      <c r="D1094" s="35">
        <v>3</v>
      </c>
    </row>
    <row r="1095" spans="1:4">
      <c r="A1095" s="35" t="s">
        <v>754</v>
      </c>
      <c r="B1095" s="35" t="s">
        <v>26</v>
      </c>
      <c r="C1095" s="36">
        <v>46252.609525463</v>
      </c>
      <c r="D1095" s="35">
        <v>1</v>
      </c>
    </row>
    <row r="1096" spans="1:4">
      <c r="A1096" s="35" t="s">
        <v>755</v>
      </c>
      <c r="B1096" s="35" t="s">
        <v>26</v>
      </c>
      <c r="C1096" s="36">
        <v>46252.609537037</v>
      </c>
      <c r="D1096" s="35">
        <v>1</v>
      </c>
    </row>
    <row r="1097" spans="1:4">
      <c r="A1097" s="35" t="s">
        <v>756</v>
      </c>
      <c r="B1097" s="35" t="s">
        <v>26</v>
      </c>
      <c r="C1097" s="36">
        <v>46252.6095486111</v>
      </c>
      <c r="D1097" s="35">
        <v>2</v>
      </c>
    </row>
    <row r="1098" spans="1:4">
      <c r="A1098" s="35" t="s">
        <v>757</v>
      </c>
      <c r="B1098" s="35" t="s">
        <v>26</v>
      </c>
      <c r="C1098" s="36">
        <v>46252.6095601852</v>
      </c>
      <c r="D1098" s="35">
        <v>1</v>
      </c>
    </row>
    <row r="1099" spans="1:4">
      <c r="A1099" s="35" t="s">
        <v>758</v>
      </c>
      <c r="B1099" s="35" t="s">
        <v>26</v>
      </c>
      <c r="C1099" s="36">
        <v>46252.6095717593</v>
      </c>
      <c r="D1099" s="35">
        <v>20</v>
      </c>
    </row>
    <row r="1100" spans="1:4">
      <c r="A1100" s="35" t="s">
        <v>759</v>
      </c>
      <c r="B1100" s="35" t="s">
        <v>26</v>
      </c>
      <c r="C1100" s="36">
        <v>46252.6095833333</v>
      </c>
      <c r="D1100" s="35">
        <v>1</v>
      </c>
    </row>
    <row r="1101" spans="1:4">
      <c r="A1101" s="35" t="s">
        <v>760</v>
      </c>
      <c r="B1101" s="35" t="s">
        <v>26</v>
      </c>
      <c r="C1101" s="36">
        <v>46252.6095949074</v>
      </c>
      <c r="D1101" s="35">
        <v>3</v>
      </c>
    </row>
    <row r="1102" spans="1:4">
      <c r="A1102" s="35" t="s">
        <v>761</v>
      </c>
      <c r="B1102" s="35" t="s">
        <v>26</v>
      </c>
      <c r="C1102" s="36">
        <v>46252.6096064815</v>
      </c>
      <c r="D1102" s="35">
        <v>1</v>
      </c>
    </row>
    <row r="1103" spans="1:4">
      <c r="A1103" s="35" t="s">
        <v>762</v>
      </c>
      <c r="B1103" s="35" t="s">
        <v>26</v>
      </c>
      <c r="C1103" s="36">
        <v>46252.6096180556</v>
      </c>
      <c r="D1103" s="35">
        <v>1</v>
      </c>
    </row>
    <row r="1104" spans="1:4">
      <c r="A1104" s="35" t="s">
        <v>763</v>
      </c>
      <c r="B1104" s="35" t="s">
        <v>26</v>
      </c>
      <c r="C1104" s="36">
        <v>46252.6096296296</v>
      </c>
      <c r="D1104" s="35">
        <v>1</v>
      </c>
    </row>
    <row r="1105" spans="1:4">
      <c r="A1105" s="35" t="s">
        <v>764</v>
      </c>
      <c r="B1105" s="35" t="s">
        <v>26</v>
      </c>
      <c r="C1105" s="36">
        <v>46252.6096412037</v>
      </c>
      <c r="D1105" s="35">
        <v>2</v>
      </c>
    </row>
    <row r="1106" spans="1:4">
      <c r="A1106" s="35" t="s">
        <v>765</v>
      </c>
      <c r="B1106" s="35" t="s">
        <v>26</v>
      </c>
      <c r="C1106" s="36">
        <v>46252.6096527778</v>
      </c>
      <c r="D1106" s="35">
        <v>1</v>
      </c>
    </row>
    <row r="1107" spans="1:4">
      <c r="A1107" s="35" t="s">
        <v>766</v>
      </c>
      <c r="B1107" s="35" t="s">
        <v>26</v>
      </c>
      <c r="C1107" s="36">
        <v>46252.6096643519</v>
      </c>
      <c r="D1107" s="35">
        <v>1</v>
      </c>
    </row>
    <row r="1108" spans="1:4">
      <c r="A1108" s="35" t="s">
        <v>767</v>
      </c>
      <c r="B1108" s="35" t="s">
        <v>26</v>
      </c>
      <c r="C1108" s="36">
        <v>46252.6096759259</v>
      </c>
      <c r="D1108" s="35">
        <v>1</v>
      </c>
    </row>
    <row r="1109" spans="1:4">
      <c r="A1109" s="35" t="s">
        <v>768</v>
      </c>
      <c r="B1109" s="35" t="s">
        <v>26</v>
      </c>
      <c r="C1109" s="36">
        <v>46252.6096875</v>
      </c>
      <c r="D1109" s="35">
        <v>1</v>
      </c>
    </row>
    <row r="1110" spans="1:4">
      <c r="A1110" s="35" t="s">
        <v>769</v>
      </c>
      <c r="B1110" s="35" t="s">
        <v>26</v>
      </c>
      <c r="C1110" s="36">
        <v>46252.6096990741</v>
      </c>
      <c r="D1110" s="35">
        <v>1</v>
      </c>
    </row>
    <row r="1111" spans="1:4">
      <c r="A1111" s="35" t="s">
        <v>770</v>
      </c>
      <c r="B1111" s="35" t="s">
        <v>26</v>
      </c>
      <c r="C1111" s="36">
        <v>46252.6097106482</v>
      </c>
      <c r="D1111" s="35">
        <v>4</v>
      </c>
    </row>
    <row r="1112" spans="1:4">
      <c r="A1112" s="35" t="s">
        <v>771</v>
      </c>
      <c r="B1112" s="35" t="s">
        <v>26</v>
      </c>
      <c r="C1112" s="36">
        <v>46252.6360185185</v>
      </c>
      <c r="D1112" s="35">
        <v>1</v>
      </c>
    </row>
    <row r="1113" spans="1:4">
      <c r="A1113" s="35" t="s">
        <v>431</v>
      </c>
      <c r="B1113" s="35" t="s">
        <v>26</v>
      </c>
      <c r="C1113" s="36">
        <v>46252.6382986111</v>
      </c>
      <c r="D1113" s="35">
        <v>2</v>
      </c>
    </row>
    <row r="1114" spans="1:4">
      <c r="A1114" s="35" t="s">
        <v>772</v>
      </c>
      <c r="B1114" s="35" t="s">
        <v>26</v>
      </c>
      <c r="C1114" s="36">
        <v>46252.6627777778</v>
      </c>
      <c r="D1114" s="35">
        <v>1</v>
      </c>
    </row>
    <row r="1115" spans="1:4">
      <c r="A1115" s="35" t="s">
        <v>773</v>
      </c>
      <c r="B1115" s="35" t="s">
        <v>26</v>
      </c>
      <c r="C1115" s="36">
        <v>46252.6700694444</v>
      </c>
      <c r="D1115" s="35">
        <v>1</v>
      </c>
    </row>
    <row r="1116" spans="1:4">
      <c r="A1116" s="35" t="s">
        <v>774</v>
      </c>
      <c r="B1116" s="35" t="s">
        <v>390</v>
      </c>
      <c r="C1116" s="36">
        <v>46252.6932986111</v>
      </c>
      <c r="D1116" s="35">
        <v>1</v>
      </c>
    </row>
    <row r="1117" spans="1:4">
      <c r="A1117" s="35" t="s">
        <v>476</v>
      </c>
      <c r="B1117" s="35" t="s">
        <v>182</v>
      </c>
      <c r="C1117" s="36">
        <v>46253.3509143519</v>
      </c>
      <c r="D1117" s="35">
        <v>1</v>
      </c>
    </row>
    <row r="1118" spans="1:4">
      <c r="A1118" s="35" t="s">
        <v>545</v>
      </c>
      <c r="B1118" s="35" t="s">
        <v>182</v>
      </c>
      <c r="C1118" s="36">
        <v>46253.3509259259</v>
      </c>
      <c r="D1118" s="35">
        <v>1</v>
      </c>
    </row>
    <row r="1119" spans="1:4">
      <c r="A1119" s="35" t="s">
        <v>546</v>
      </c>
      <c r="B1119" s="35" t="s">
        <v>182</v>
      </c>
      <c r="C1119" s="36">
        <v>46253.3509375</v>
      </c>
      <c r="D1119" s="35">
        <v>1</v>
      </c>
    </row>
    <row r="1120" spans="1:4">
      <c r="A1120" s="35" t="s">
        <v>632</v>
      </c>
      <c r="B1120" s="35" t="s">
        <v>182</v>
      </c>
      <c r="C1120" s="36">
        <v>46253.3509490741</v>
      </c>
      <c r="D1120" s="35">
        <v>1</v>
      </c>
    </row>
    <row r="1121" spans="1:4">
      <c r="A1121" s="35" t="s">
        <v>482</v>
      </c>
      <c r="B1121" s="35" t="s">
        <v>182</v>
      </c>
      <c r="C1121" s="36">
        <v>46253.3509606482</v>
      </c>
      <c r="D1121" s="35">
        <v>1</v>
      </c>
    </row>
    <row r="1122" spans="1:4">
      <c r="A1122" s="35" t="s">
        <v>518</v>
      </c>
      <c r="B1122" s="35" t="s">
        <v>182</v>
      </c>
      <c r="C1122" s="36">
        <v>46253.3509722222</v>
      </c>
      <c r="D1122" s="35">
        <v>1</v>
      </c>
    </row>
    <row r="1123" spans="1:4">
      <c r="A1123" s="35" t="s">
        <v>534</v>
      </c>
      <c r="B1123" s="35" t="s">
        <v>182</v>
      </c>
      <c r="C1123" s="36">
        <v>46253.3509837963</v>
      </c>
      <c r="D1123" s="35">
        <v>1</v>
      </c>
    </row>
    <row r="1124" spans="1:4">
      <c r="A1124" s="35" t="s">
        <v>775</v>
      </c>
      <c r="B1124" s="35" t="s">
        <v>182</v>
      </c>
      <c r="C1124" s="36">
        <v>46253.3509953704</v>
      </c>
      <c r="D1124" s="35">
        <v>3</v>
      </c>
    </row>
    <row r="1125" spans="1:4">
      <c r="A1125" s="35" t="s">
        <v>776</v>
      </c>
      <c r="B1125" s="35" t="s">
        <v>182</v>
      </c>
      <c r="C1125" s="36">
        <v>46253.3510069445</v>
      </c>
      <c r="D1125" s="35">
        <v>1</v>
      </c>
    </row>
    <row r="1126" spans="1:4">
      <c r="A1126" s="35" t="s">
        <v>33</v>
      </c>
      <c r="B1126" s="35" t="s">
        <v>182</v>
      </c>
      <c r="C1126" s="36">
        <v>46253.3510185185</v>
      </c>
      <c r="D1126" s="35">
        <v>1</v>
      </c>
    </row>
    <row r="1127" spans="1:4">
      <c r="A1127" s="35" t="s">
        <v>777</v>
      </c>
      <c r="B1127" s="35" t="s">
        <v>182</v>
      </c>
      <c r="C1127" s="36">
        <v>46253.3510300926</v>
      </c>
      <c r="D1127" s="35">
        <v>1</v>
      </c>
    </row>
    <row r="1128" spans="1:4">
      <c r="A1128" s="35" t="s">
        <v>429</v>
      </c>
      <c r="B1128" s="35" t="s">
        <v>182</v>
      </c>
      <c r="C1128" s="36">
        <v>46253.3510416667</v>
      </c>
      <c r="D1128" s="35">
        <v>1</v>
      </c>
    </row>
    <row r="1129" spans="1:4">
      <c r="A1129" s="35" t="s">
        <v>430</v>
      </c>
      <c r="B1129" s="35" t="s">
        <v>182</v>
      </c>
      <c r="C1129" s="36">
        <v>46253.3510532407</v>
      </c>
      <c r="D1129" s="35">
        <v>1</v>
      </c>
    </row>
    <row r="1130" spans="1:4">
      <c r="A1130" s="35" t="s">
        <v>269</v>
      </c>
      <c r="B1130" s="35" t="s">
        <v>182</v>
      </c>
      <c r="C1130" s="36">
        <v>46253.3510648148</v>
      </c>
      <c r="D1130" s="35">
        <v>1</v>
      </c>
    </row>
    <row r="1131" spans="1:4">
      <c r="A1131" s="35" t="s">
        <v>305</v>
      </c>
      <c r="B1131" s="35" t="s">
        <v>182</v>
      </c>
      <c r="C1131" s="36">
        <v>46253.3510763889</v>
      </c>
      <c r="D1131" s="35">
        <v>1</v>
      </c>
    </row>
    <row r="1132" spans="1:4">
      <c r="A1132" s="35" t="s">
        <v>778</v>
      </c>
      <c r="B1132" s="35" t="s">
        <v>182</v>
      </c>
      <c r="C1132" s="36">
        <v>46253.351087963</v>
      </c>
      <c r="D1132" s="35">
        <v>1</v>
      </c>
    </row>
    <row r="1133" spans="1:4">
      <c r="A1133" s="35" t="s">
        <v>634</v>
      </c>
      <c r="B1133" s="35" t="s">
        <v>182</v>
      </c>
      <c r="C1133" s="36">
        <v>46253.351099537</v>
      </c>
      <c r="D1133" s="35">
        <v>1</v>
      </c>
    </row>
    <row r="1134" spans="1:4">
      <c r="A1134" s="35" t="s">
        <v>779</v>
      </c>
      <c r="B1134" s="35" t="s">
        <v>26</v>
      </c>
      <c r="C1134" s="36">
        <v>46253.3532638889</v>
      </c>
      <c r="D1134" s="35">
        <v>11</v>
      </c>
    </row>
    <row r="1135" spans="1:4">
      <c r="A1135" s="35" t="s">
        <v>748</v>
      </c>
      <c r="B1135" s="35" t="s">
        <v>26</v>
      </c>
      <c r="C1135" s="36">
        <v>46253.353275463</v>
      </c>
      <c r="D1135" s="35">
        <v>2</v>
      </c>
    </row>
    <row r="1136" spans="1:4">
      <c r="A1136" s="35" t="s">
        <v>780</v>
      </c>
      <c r="B1136" s="35" t="s">
        <v>26</v>
      </c>
      <c r="C1136" s="36">
        <v>46253.353287037</v>
      </c>
      <c r="D1136" s="35">
        <v>4</v>
      </c>
    </row>
    <row r="1137" spans="1:4">
      <c r="A1137" s="35" t="s">
        <v>781</v>
      </c>
      <c r="B1137" s="35" t="s">
        <v>26</v>
      </c>
      <c r="C1137" s="36">
        <v>46253.3532986111</v>
      </c>
      <c r="D1137" s="35">
        <v>2</v>
      </c>
    </row>
    <row r="1138" spans="1:4">
      <c r="A1138" s="35" t="s">
        <v>33</v>
      </c>
      <c r="B1138" s="35" t="s">
        <v>26</v>
      </c>
      <c r="C1138" s="36">
        <v>46253.3533101852</v>
      </c>
      <c r="D1138" s="35">
        <v>1</v>
      </c>
    </row>
    <row r="1139" spans="1:4">
      <c r="A1139" s="35" t="s">
        <v>431</v>
      </c>
      <c r="B1139" s="35" t="s">
        <v>26</v>
      </c>
      <c r="C1139" s="36">
        <v>46253.3736111111</v>
      </c>
      <c r="D1139" s="35">
        <v>40</v>
      </c>
    </row>
    <row r="1140" spans="1:4">
      <c r="A1140" s="35" t="s">
        <v>534</v>
      </c>
      <c r="B1140" s="35" t="s">
        <v>182</v>
      </c>
      <c r="C1140" s="36">
        <v>46253.375</v>
      </c>
      <c r="D1140" s="35">
        <v>6</v>
      </c>
    </row>
    <row r="1141" spans="1:4">
      <c r="A1141" s="35" t="s">
        <v>476</v>
      </c>
      <c r="B1141" s="35" t="s">
        <v>182</v>
      </c>
      <c r="C1141" s="36">
        <v>46253.5451851852</v>
      </c>
      <c r="D1141" s="35">
        <v>2</v>
      </c>
    </row>
    <row r="1142" spans="1:4">
      <c r="A1142" s="35" t="s">
        <v>545</v>
      </c>
      <c r="B1142" s="35" t="s">
        <v>182</v>
      </c>
      <c r="C1142" s="36">
        <v>46253.5451967593</v>
      </c>
      <c r="D1142" s="35">
        <v>2</v>
      </c>
    </row>
    <row r="1143" spans="1:4">
      <c r="A1143" s="35" t="s">
        <v>632</v>
      </c>
      <c r="B1143" s="35" t="s">
        <v>182</v>
      </c>
      <c r="C1143" s="36">
        <v>46253.5452083333</v>
      </c>
      <c r="D1143" s="35">
        <v>1</v>
      </c>
    </row>
    <row r="1144" spans="1:4">
      <c r="A1144" s="35" t="s">
        <v>738</v>
      </c>
      <c r="B1144" s="35" t="s">
        <v>26</v>
      </c>
      <c r="C1144" s="36">
        <v>46253.6354976852</v>
      </c>
      <c r="D1144" s="35">
        <v>1</v>
      </c>
    </row>
    <row r="1145" spans="1:4">
      <c r="A1145" s="35" t="s">
        <v>738</v>
      </c>
      <c r="B1145" s="35" t="s">
        <v>182</v>
      </c>
      <c r="C1145" s="36">
        <v>46253.6360185185</v>
      </c>
      <c r="D1145" s="35">
        <v>3</v>
      </c>
    </row>
    <row r="1146" spans="1:4">
      <c r="A1146" s="35" t="s">
        <v>782</v>
      </c>
      <c r="B1146" s="35" t="s">
        <v>26</v>
      </c>
      <c r="C1146" s="36">
        <v>46253.645</v>
      </c>
      <c r="D1146" s="35">
        <v>34</v>
      </c>
    </row>
    <row r="1147" spans="1:4">
      <c r="A1147" s="35" t="s">
        <v>782</v>
      </c>
      <c r="B1147" s="35" t="s">
        <v>783</v>
      </c>
      <c r="C1147" s="36">
        <v>46253.6455324074</v>
      </c>
      <c r="D1147" s="35">
        <v>4</v>
      </c>
    </row>
    <row r="1148" spans="1:4">
      <c r="A1148" s="35" t="s">
        <v>784</v>
      </c>
      <c r="B1148" s="35" t="s">
        <v>182</v>
      </c>
      <c r="C1148" s="36">
        <v>46253.6455439815</v>
      </c>
      <c r="D1148" s="35">
        <v>2</v>
      </c>
    </row>
    <row r="1149" spans="1:4">
      <c r="A1149" s="35" t="s">
        <v>785</v>
      </c>
      <c r="B1149" s="35" t="s">
        <v>182</v>
      </c>
      <c r="C1149" s="36">
        <v>46253.6455555556</v>
      </c>
      <c r="D1149" s="35">
        <v>1</v>
      </c>
    </row>
    <row r="1150" spans="1:4">
      <c r="A1150" s="35" t="s">
        <v>784</v>
      </c>
      <c r="B1150" s="35" t="s">
        <v>26</v>
      </c>
      <c r="C1150" s="36">
        <v>46253.647650463</v>
      </c>
      <c r="D1150" s="35">
        <v>36</v>
      </c>
    </row>
    <row r="1151" spans="1:4">
      <c r="A1151" s="35" t="s">
        <v>785</v>
      </c>
      <c r="B1151" s="35" t="s">
        <v>26</v>
      </c>
      <c r="C1151" s="36">
        <v>46253.647662037</v>
      </c>
      <c r="D1151" s="35">
        <v>32</v>
      </c>
    </row>
    <row r="1152" spans="1:4">
      <c r="A1152" s="35" t="s">
        <v>786</v>
      </c>
      <c r="B1152" s="35" t="s">
        <v>26</v>
      </c>
      <c r="C1152" s="36">
        <v>46254.3573263889</v>
      </c>
      <c r="D1152" s="35">
        <v>1</v>
      </c>
    </row>
    <row r="1153" spans="1:4">
      <c r="A1153" s="35" t="s">
        <v>530</v>
      </c>
      <c r="B1153" s="35" t="s">
        <v>26</v>
      </c>
      <c r="C1153" s="36">
        <v>46254.3589236111</v>
      </c>
      <c r="D1153" s="35">
        <v>1</v>
      </c>
    </row>
    <row r="1154" spans="1:4">
      <c r="A1154" s="35" t="s">
        <v>787</v>
      </c>
      <c r="B1154" s="35" t="s">
        <v>783</v>
      </c>
      <c r="C1154" s="36">
        <v>46254.4006944444</v>
      </c>
      <c r="D1154" s="35">
        <v>1</v>
      </c>
    </row>
    <row r="1155" spans="1:4">
      <c r="A1155" s="35" t="s">
        <v>788</v>
      </c>
      <c r="B1155" s="35" t="s">
        <v>26</v>
      </c>
      <c r="C1155" s="36">
        <v>46254.4039236111</v>
      </c>
      <c r="D1155" s="35">
        <v>19</v>
      </c>
    </row>
    <row r="1156" spans="1:4">
      <c r="A1156" s="35" t="s">
        <v>789</v>
      </c>
      <c r="B1156" s="35" t="s">
        <v>51</v>
      </c>
      <c r="C1156" s="36">
        <v>46254.4411458333</v>
      </c>
      <c r="D1156" s="35">
        <v>1</v>
      </c>
    </row>
    <row r="1157" spans="1:4">
      <c r="A1157" s="35" t="s">
        <v>790</v>
      </c>
      <c r="B1157" s="35" t="s">
        <v>51</v>
      </c>
      <c r="C1157" s="36">
        <v>46254.444525463</v>
      </c>
      <c r="D1157" s="35">
        <v>1</v>
      </c>
    </row>
    <row r="1158" spans="1:4">
      <c r="A1158" s="35" t="s">
        <v>791</v>
      </c>
      <c r="B1158" s="35" t="s">
        <v>26</v>
      </c>
      <c r="C1158" s="36">
        <v>46254.4588310185</v>
      </c>
      <c r="D1158" s="35">
        <v>1</v>
      </c>
    </row>
    <row r="1159" spans="1:4">
      <c r="A1159" s="35" t="s">
        <v>369</v>
      </c>
      <c r="B1159" s="35" t="s">
        <v>35</v>
      </c>
      <c r="C1159" s="36">
        <v>46254.4975578704</v>
      </c>
      <c r="D1159" s="35">
        <v>1</v>
      </c>
    </row>
    <row r="1160" spans="1:4">
      <c r="A1160" s="35" t="s">
        <v>220</v>
      </c>
      <c r="B1160" s="35" t="s">
        <v>35</v>
      </c>
      <c r="C1160" s="36">
        <v>46254.5714583333</v>
      </c>
      <c r="D1160" s="35">
        <v>1</v>
      </c>
    </row>
    <row r="1161" spans="1:4">
      <c r="A1161" s="35" t="s">
        <v>792</v>
      </c>
      <c r="B1161" s="35" t="s">
        <v>26</v>
      </c>
      <c r="C1161" s="36">
        <v>46254.5725462963</v>
      </c>
      <c r="D1161" s="35">
        <v>1</v>
      </c>
    </row>
    <row r="1162" spans="1:4">
      <c r="A1162" s="35" t="s">
        <v>220</v>
      </c>
      <c r="B1162" s="35" t="s">
        <v>35</v>
      </c>
      <c r="C1162" s="36">
        <v>46254.5776851852</v>
      </c>
      <c r="D1162" s="35">
        <v>1</v>
      </c>
    </row>
    <row r="1163" spans="1:4">
      <c r="A1163" s="35" t="s">
        <v>793</v>
      </c>
      <c r="B1163" s="35" t="s">
        <v>35</v>
      </c>
      <c r="C1163" s="36">
        <v>46254.5917939815</v>
      </c>
      <c r="D1163" s="35">
        <v>1</v>
      </c>
    </row>
    <row r="1164" spans="1:4">
      <c r="A1164" s="35" t="s">
        <v>794</v>
      </c>
      <c r="B1164" s="35" t="s">
        <v>26</v>
      </c>
      <c r="C1164" s="36">
        <v>46254.5979861111</v>
      </c>
      <c r="D1164" s="35">
        <v>1</v>
      </c>
    </row>
    <row r="1165" spans="1:4">
      <c r="A1165" s="35" t="s">
        <v>161</v>
      </c>
      <c r="B1165" s="35" t="s">
        <v>26</v>
      </c>
      <c r="C1165" s="36">
        <v>46254.5988657407</v>
      </c>
      <c r="D1165" s="35">
        <v>1</v>
      </c>
    </row>
    <row r="1166" spans="1:4">
      <c r="A1166" s="35" t="s">
        <v>31</v>
      </c>
      <c r="B1166" s="35" t="s">
        <v>26</v>
      </c>
      <c r="C1166" s="36">
        <v>46254.5996412037</v>
      </c>
      <c r="D1166" s="35">
        <v>1</v>
      </c>
    </row>
    <row r="1167" spans="1:4">
      <c r="A1167" s="35" t="s">
        <v>201</v>
      </c>
      <c r="B1167" s="35" t="s">
        <v>26</v>
      </c>
      <c r="C1167" s="36">
        <v>46254.5996527778</v>
      </c>
      <c r="D1167" s="35">
        <v>1</v>
      </c>
    </row>
    <row r="1168" spans="1:4">
      <c r="A1168" s="35" t="s">
        <v>270</v>
      </c>
      <c r="B1168" s="35" t="s">
        <v>26</v>
      </c>
      <c r="C1168" s="36">
        <v>46254.6109953704</v>
      </c>
      <c r="D1168" s="35">
        <v>1</v>
      </c>
    </row>
    <row r="1169" spans="1:4">
      <c r="A1169" s="35" t="s">
        <v>389</v>
      </c>
      <c r="B1169" s="35" t="s">
        <v>38</v>
      </c>
      <c r="C1169" s="36">
        <v>46254.6118402778</v>
      </c>
      <c r="D1169" s="35">
        <v>4</v>
      </c>
    </row>
    <row r="1170" spans="1:4">
      <c r="A1170" s="35" t="s">
        <v>258</v>
      </c>
      <c r="B1170" s="35" t="s">
        <v>38</v>
      </c>
      <c r="C1170" s="36">
        <v>46254.6176851852</v>
      </c>
      <c r="D1170" s="35">
        <v>1</v>
      </c>
    </row>
    <row r="1171" spans="1:4">
      <c r="A1171" s="35" t="s">
        <v>181</v>
      </c>
      <c r="B1171" s="35" t="s">
        <v>38</v>
      </c>
      <c r="C1171" s="36">
        <v>46254.6176967593</v>
      </c>
      <c r="D1171" s="35">
        <v>25</v>
      </c>
    </row>
    <row r="1172" spans="1:4">
      <c r="A1172" s="35" t="s">
        <v>413</v>
      </c>
      <c r="B1172" s="35" t="s">
        <v>26</v>
      </c>
      <c r="C1172" s="36">
        <v>46254.6298611111</v>
      </c>
      <c r="D1172" s="35">
        <v>5</v>
      </c>
    </row>
    <row r="1173" spans="1:4">
      <c r="A1173" s="35" t="s">
        <v>795</v>
      </c>
      <c r="B1173" s="35" t="s">
        <v>26</v>
      </c>
      <c r="C1173" s="36">
        <v>46254.6578703704</v>
      </c>
      <c r="D1173" s="35">
        <v>1</v>
      </c>
    </row>
    <row r="1174" spans="1:4">
      <c r="A1174" s="35" t="s">
        <v>796</v>
      </c>
      <c r="B1174" s="35" t="s">
        <v>26</v>
      </c>
      <c r="C1174" s="36">
        <v>46254.6578819445</v>
      </c>
      <c r="D1174" s="35">
        <v>1</v>
      </c>
    </row>
    <row r="1175" spans="1:4">
      <c r="A1175" s="35" t="s">
        <v>797</v>
      </c>
      <c r="B1175" s="35" t="s">
        <v>26</v>
      </c>
      <c r="C1175" s="36">
        <v>46254.6593055556</v>
      </c>
      <c r="D1175" s="35">
        <v>1</v>
      </c>
    </row>
    <row r="1176" spans="1:4">
      <c r="A1176" s="35" t="s">
        <v>798</v>
      </c>
      <c r="B1176" s="35" t="s">
        <v>35</v>
      </c>
      <c r="C1176" s="36">
        <v>46254.6614583333</v>
      </c>
      <c r="D1176" s="35">
        <v>1</v>
      </c>
    </row>
    <row r="1177" spans="1:4">
      <c r="A1177" s="35" t="s">
        <v>799</v>
      </c>
      <c r="B1177" s="35" t="s">
        <v>35</v>
      </c>
      <c r="C1177" s="36">
        <v>46254.6614699074</v>
      </c>
      <c r="D1177" s="35">
        <v>1</v>
      </c>
    </row>
    <row r="1178" spans="1:4">
      <c r="A1178" s="35" t="s">
        <v>220</v>
      </c>
      <c r="B1178" s="35" t="s">
        <v>35</v>
      </c>
      <c r="C1178" s="36">
        <v>46254.66375</v>
      </c>
      <c r="D1178" s="35">
        <v>1</v>
      </c>
    </row>
    <row r="1179" spans="1:4">
      <c r="A1179" s="35" t="s">
        <v>800</v>
      </c>
      <c r="B1179" s="35" t="s">
        <v>182</v>
      </c>
      <c r="C1179" s="36">
        <v>46258.388599537</v>
      </c>
      <c r="D1179" s="35">
        <v>2</v>
      </c>
    </row>
    <row r="1180" spans="1:4">
      <c r="A1180" s="35" t="s">
        <v>534</v>
      </c>
      <c r="B1180" s="35" t="s">
        <v>182</v>
      </c>
      <c r="C1180" s="36">
        <v>46258.3886111111</v>
      </c>
      <c r="D1180" s="35">
        <v>1</v>
      </c>
    </row>
    <row r="1181" spans="1:4">
      <c r="A1181" s="35" t="s">
        <v>647</v>
      </c>
      <c r="B1181" s="35" t="s">
        <v>26</v>
      </c>
      <c r="C1181" s="36">
        <v>46258.4792013889</v>
      </c>
      <c r="D1181" s="35">
        <v>1</v>
      </c>
    </row>
    <row r="1182" spans="1:4">
      <c r="A1182" s="35" t="s">
        <v>801</v>
      </c>
      <c r="B1182" s="35" t="s">
        <v>26</v>
      </c>
      <c r="C1182" s="36">
        <v>46258.479212963</v>
      </c>
      <c r="D1182" s="35">
        <v>1</v>
      </c>
    </row>
    <row r="1183" spans="1:4">
      <c r="A1183" s="35" t="s">
        <v>802</v>
      </c>
      <c r="B1183" s="35" t="s">
        <v>26</v>
      </c>
      <c r="C1183" s="36">
        <v>46258.6138888889</v>
      </c>
      <c r="D1183" s="35">
        <v>1</v>
      </c>
    </row>
    <row r="1184" spans="1:4">
      <c r="A1184" s="35" t="s">
        <v>450</v>
      </c>
      <c r="B1184" s="35" t="s">
        <v>38</v>
      </c>
      <c r="C1184" s="36">
        <v>46258.6152777778</v>
      </c>
      <c r="D1184" s="35">
        <v>1</v>
      </c>
    </row>
    <row r="1185" spans="1:4">
      <c r="A1185" s="35" t="s">
        <v>181</v>
      </c>
      <c r="B1185" s="35" t="s">
        <v>38</v>
      </c>
      <c r="C1185" s="36">
        <v>46258.6166666667</v>
      </c>
      <c r="D1185" s="35">
        <v>4</v>
      </c>
    </row>
    <row r="1186" spans="1:4">
      <c r="A1186" s="35" t="s">
        <v>450</v>
      </c>
      <c r="B1186" s="35" t="s">
        <v>38</v>
      </c>
      <c r="C1186" s="36">
        <v>46258.6166782407</v>
      </c>
      <c r="D1186" s="35">
        <v>1</v>
      </c>
    </row>
    <row r="1187" spans="1:4">
      <c r="A1187" s="35" t="s">
        <v>37</v>
      </c>
      <c r="B1187" s="35" t="s">
        <v>38</v>
      </c>
      <c r="C1187" s="36">
        <v>46258.6166898148</v>
      </c>
      <c r="D1187" s="35">
        <v>2</v>
      </c>
    </row>
    <row r="1188" spans="1:4">
      <c r="A1188" s="35" t="s">
        <v>481</v>
      </c>
      <c r="B1188" s="35" t="s">
        <v>38</v>
      </c>
      <c r="C1188" s="36">
        <v>46258.6167013889</v>
      </c>
      <c r="D1188" s="35">
        <v>1</v>
      </c>
    </row>
    <row r="1189" spans="1:4">
      <c r="A1189" s="35" t="s">
        <v>258</v>
      </c>
      <c r="B1189" s="35" t="s">
        <v>38</v>
      </c>
      <c r="C1189" s="36">
        <v>46258.616712963</v>
      </c>
      <c r="D1189" s="35">
        <v>1</v>
      </c>
    </row>
    <row r="1190" spans="1:4">
      <c r="A1190" s="35" t="s">
        <v>803</v>
      </c>
      <c r="B1190" s="35" t="s">
        <v>26</v>
      </c>
      <c r="C1190" s="36">
        <v>46258.6195717593</v>
      </c>
      <c r="D1190" s="35">
        <v>1</v>
      </c>
    </row>
    <row r="1191" spans="1:4">
      <c r="A1191" s="35" t="s">
        <v>804</v>
      </c>
      <c r="B1191" s="35" t="s">
        <v>26</v>
      </c>
      <c r="C1191" s="36">
        <v>46258.6195833333</v>
      </c>
      <c r="D1191" s="35">
        <v>1</v>
      </c>
    </row>
    <row r="1192" spans="1:4">
      <c r="A1192" s="35" t="s">
        <v>805</v>
      </c>
      <c r="B1192" s="35" t="s">
        <v>51</v>
      </c>
      <c r="C1192" s="36">
        <v>46258.6208333333</v>
      </c>
      <c r="D1192" s="35">
        <v>1</v>
      </c>
    </row>
    <row r="1193" spans="1:4">
      <c r="A1193" s="35" t="s">
        <v>501</v>
      </c>
      <c r="B1193" s="35" t="s">
        <v>26</v>
      </c>
      <c r="C1193" s="36">
        <v>46258.6222222222</v>
      </c>
      <c r="D1193" s="35">
        <v>10</v>
      </c>
    </row>
    <row r="1194" spans="1:4">
      <c r="A1194" s="35" t="s">
        <v>550</v>
      </c>
      <c r="B1194" s="35" t="s">
        <v>26</v>
      </c>
      <c r="C1194" s="36">
        <v>46258.6222337963</v>
      </c>
      <c r="D1194" s="35">
        <v>1</v>
      </c>
    </row>
    <row r="1195" spans="1:4">
      <c r="A1195" s="35" t="s">
        <v>806</v>
      </c>
      <c r="B1195" s="35" t="s">
        <v>38</v>
      </c>
      <c r="C1195" s="36">
        <v>46258.6222453704</v>
      </c>
      <c r="D1195" s="35">
        <v>3</v>
      </c>
    </row>
    <row r="1196" spans="1:4">
      <c r="A1196" s="35" t="s">
        <v>258</v>
      </c>
      <c r="B1196" s="35" t="s">
        <v>38</v>
      </c>
      <c r="C1196" s="36">
        <v>46258.6222569444</v>
      </c>
      <c r="D1196" s="35">
        <v>1</v>
      </c>
    </row>
    <row r="1197" spans="1:4">
      <c r="A1197" s="35" t="s">
        <v>500</v>
      </c>
      <c r="B1197" s="35" t="s">
        <v>51</v>
      </c>
      <c r="C1197" s="36">
        <v>46258.6222685185</v>
      </c>
      <c r="D1197" s="35">
        <v>6</v>
      </c>
    </row>
    <row r="1198" spans="1:4">
      <c r="A1198" s="35" t="s">
        <v>613</v>
      </c>
      <c r="B1198" s="35" t="s">
        <v>26</v>
      </c>
      <c r="C1198" s="36">
        <v>46258.6222800926</v>
      </c>
      <c r="D1198" s="35">
        <v>3</v>
      </c>
    </row>
    <row r="1199" spans="1:4">
      <c r="A1199" s="35" t="s">
        <v>787</v>
      </c>
      <c r="B1199" s="35" t="s">
        <v>26</v>
      </c>
      <c r="C1199" s="36">
        <v>46258.6277777778</v>
      </c>
      <c r="D1199" s="35">
        <v>1</v>
      </c>
    </row>
    <row r="1200" spans="1:4">
      <c r="A1200" s="35" t="s">
        <v>37</v>
      </c>
      <c r="B1200" s="35" t="s">
        <v>26</v>
      </c>
      <c r="C1200" s="36">
        <v>46258.6708333333</v>
      </c>
      <c r="D1200" s="35">
        <v>4</v>
      </c>
    </row>
    <row r="1201" spans="1:4">
      <c r="A1201" s="35" t="s">
        <v>471</v>
      </c>
      <c r="B1201" s="35" t="s">
        <v>26</v>
      </c>
      <c r="C1201" s="36">
        <v>46258.6708449074</v>
      </c>
      <c r="D1201" s="35">
        <v>5</v>
      </c>
    </row>
    <row r="1202" spans="1:4">
      <c r="A1202" s="35" t="s">
        <v>258</v>
      </c>
      <c r="B1202" s="35" t="s">
        <v>38</v>
      </c>
      <c r="C1202" s="36">
        <v>46258.6708564815</v>
      </c>
      <c r="D1202" s="35">
        <v>1</v>
      </c>
    </row>
    <row r="1203" spans="1:4">
      <c r="A1203" s="35" t="s">
        <v>181</v>
      </c>
      <c r="B1203" s="35" t="s">
        <v>38</v>
      </c>
      <c r="C1203" s="36">
        <v>46258.6708680556</v>
      </c>
      <c r="D1203" s="35">
        <v>5</v>
      </c>
    </row>
    <row r="1204" spans="1:4">
      <c r="A1204" s="35" t="s">
        <v>425</v>
      </c>
      <c r="B1204" s="35" t="s">
        <v>38</v>
      </c>
      <c r="C1204" s="36">
        <v>46258.6708796296</v>
      </c>
      <c r="D1204" s="35">
        <v>2</v>
      </c>
    </row>
    <row r="1205" spans="1:4">
      <c r="A1205" s="35" t="s">
        <v>450</v>
      </c>
      <c r="B1205" s="35" t="s">
        <v>38</v>
      </c>
      <c r="C1205" s="36">
        <v>46258.6708912037</v>
      </c>
      <c r="D1205" s="35">
        <v>1</v>
      </c>
    </row>
    <row r="1206" spans="1:4">
      <c r="A1206" s="35" t="s">
        <v>807</v>
      </c>
      <c r="B1206" s="35" t="s">
        <v>26</v>
      </c>
      <c r="C1206" s="36">
        <v>46259.3667361111</v>
      </c>
      <c r="D1206" s="35">
        <v>1</v>
      </c>
    </row>
    <row r="1207" spans="1:4">
      <c r="A1207" s="35" t="s">
        <v>808</v>
      </c>
      <c r="B1207" s="35" t="s">
        <v>390</v>
      </c>
      <c r="C1207" s="36">
        <v>46259.4143981482</v>
      </c>
      <c r="D1207" s="35">
        <v>5</v>
      </c>
    </row>
    <row r="1208" spans="1:4">
      <c r="A1208" s="35" t="s">
        <v>808</v>
      </c>
      <c r="B1208" s="35" t="s">
        <v>390</v>
      </c>
      <c r="C1208" s="36">
        <v>46259.4155208333</v>
      </c>
      <c r="D1208" s="35">
        <v>1</v>
      </c>
    </row>
    <row r="1209" spans="1:4">
      <c r="A1209" s="35" t="s">
        <v>476</v>
      </c>
      <c r="B1209" s="35" t="s">
        <v>182</v>
      </c>
      <c r="C1209" s="36">
        <v>46259.5443287037</v>
      </c>
      <c r="D1209" s="35">
        <v>1</v>
      </c>
    </row>
    <row r="1210" spans="1:4">
      <c r="A1210" s="35" t="s">
        <v>484</v>
      </c>
      <c r="B1210" s="35" t="s">
        <v>182</v>
      </c>
      <c r="C1210" s="36">
        <v>46259.5837152778</v>
      </c>
      <c r="D1210" s="35">
        <v>2</v>
      </c>
    </row>
    <row r="1211" spans="1:4">
      <c r="A1211" s="35" t="s">
        <v>809</v>
      </c>
      <c r="B1211" s="35" t="s">
        <v>51</v>
      </c>
      <c r="C1211" s="36">
        <v>46259.5837268519</v>
      </c>
      <c r="D1211" s="35">
        <v>1</v>
      </c>
    </row>
    <row r="1212" spans="1:4">
      <c r="A1212" s="35" t="s">
        <v>810</v>
      </c>
      <c r="B1212" s="35" t="s">
        <v>182</v>
      </c>
      <c r="C1212" s="36">
        <v>46259.6050115741</v>
      </c>
      <c r="D1212" s="35">
        <v>2</v>
      </c>
    </row>
    <row r="1213" spans="1:4">
      <c r="A1213" s="35" t="s">
        <v>811</v>
      </c>
      <c r="B1213" s="35" t="s">
        <v>182</v>
      </c>
      <c r="C1213" s="36">
        <v>46259.6050231482</v>
      </c>
      <c r="D1213" s="35">
        <v>2</v>
      </c>
    </row>
    <row r="1214" spans="1:4">
      <c r="A1214" s="35" t="s">
        <v>430</v>
      </c>
      <c r="B1214" s="35" t="s">
        <v>182</v>
      </c>
      <c r="C1214" s="36">
        <v>46259.6050347222</v>
      </c>
      <c r="D1214" s="35">
        <v>3</v>
      </c>
    </row>
    <row r="1215" spans="1:4">
      <c r="A1215" s="35" t="s">
        <v>800</v>
      </c>
      <c r="B1215" s="35" t="s">
        <v>182</v>
      </c>
      <c r="C1215" s="36">
        <v>46259.6050462963</v>
      </c>
      <c r="D1215" s="35">
        <v>1</v>
      </c>
    </row>
    <row r="1216" spans="1:4">
      <c r="A1216" s="35" t="s">
        <v>616</v>
      </c>
      <c r="B1216" s="35" t="s">
        <v>182</v>
      </c>
      <c r="C1216" s="36">
        <v>46259.6050578704</v>
      </c>
      <c r="D1216" s="35">
        <v>1</v>
      </c>
    </row>
    <row r="1217" spans="1:4">
      <c r="A1217" s="35" t="s">
        <v>518</v>
      </c>
      <c r="B1217" s="35" t="s">
        <v>182</v>
      </c>
      <c r="C1217" s="36">
        <v>46259.6050694444</v>
      </c>
      <c r="D1217" s="35">
        <v>1</v>
      </c>
    </row>
    <row r="1218" spans="1:4">
      <c r="A1218" s="35" t="s">
        <v>630</v>
      </c>
      <c r="B1218" s="35" t="s">
        <v>182</v>
      </c>
      <c r="C1218" s="36">
        <v>46259.6050810185</v>
      </c>
      <c r="D1218" s="35">
        <v>5</v>
      </c>
    </row>
    <row r="1219" spans="1:4">
      <c r="A1219" s="35" t="s">
        <v>800</v>
      </c>
      <c r="B1219" s="35" t="s">
        <v>182</v>
      </c>
      <c r="C1219" s="36">
        <v>46259.6576388889</v>
      </c>
      <c r="D1219" s="35">
        <v>1</v>
      </c>
    </row>
    <row r="1220" spans="1:4">
      <c r="A1220" s="35" t="s">
        <v>452</v>
      </c>
      <c r="B1220" s="35" t="s">
        <v>26</v>
      </c>
      <c r="C1220" s="36">
        <v>46259.6645833333</v>
      </c>
      <c r="D1220" s="35">
        <v>1</v>
      </c>
    </row>
    <row r="1221" spans="1:4">
      <c r="A1221" s="35" t="s">
        <v>812</v>
      </c>
      <c r="B1221" s="35" t="s">
        <v>26</v>
      </c>
      <c r="C1221" s="36">
        <v>46259.6645949074</v>
      </c>
      <c r="D1221" s="35">
        <v>1</v>
      </c>
    </row>
    <row r="1222" spans="1:4">
      <c r="A1222" s="35" t="s">
        <v>813</v>
      </c>
      <c r="B1222" s="35" t="s">
        <v>26</v>
      </c>
      <c r="C1222" s="36">
        <v>46260.4118287037</v>
      </c>
      <c r="D1222" s="35">
        <v>2</v>
      </c>
    </row>
    <row r="1223" spans="1:4">
      <c r="A1223" s="35" t="s">
        <v>814</v>
      </c>
      <c r="B1223" s="35" t="s">
        <v>26</v>
      </c>
      <c r="C1223" s="36">
        <v>46260.4337962963</v>
      </c>
      <c r="D1223" s="35">
        <v>1</v>
      </c>
    </row>
    <row r="1224" spans="1:4">
      <c r="A1224" s="35" t="s">
        <v>269</v>
      </c>
      <c r="B1224" s="35" t="s">
        <v>182</v>
      </c>
      <c r="C1224" s="36">
        <v>46261.402662037</v>
      </c>
      <c r="D1224" s="35">
        <v>1</v>
      </c>
    </row>
    <row r="1225" spans="1:4">
      <c r="A1225" s="35" t="s">
        <v>815</v>
      </c>
      <c r="B1225" s="35" t="s">
        <v>38</v>
      </c>
      <c r="C1225" s="36">
        <v>46261.4705902778</v>
      </c>
      <c r="D1225" s="35">
        <v>10</v>
      </c>
    </row>
    <row r="1226" spans="1:4">
      <c r="A1226" s="35" t="s">
        <v>491</v>
      </c>
      <c r="B1226" s="35" t="s">
        <v>38</v>
      </c>
      <c r="C1226" s="36">
        <v>46261.4706018519</v>
      </c>
      <c r="D1226" s="35">
        <v>24</v>
      </c>
    </row>
    <row r="1227" spans="1:4">
      <c r="A1227" s="35" t="s">
        <v>816</v>
      </c>
      <c r="B1227" s="35" t="s">
        <v>182</v>
      </c>
      <c r="C1227" s="36">
        <v>46261.4723263889</v>
      </c>
      <c r="D1227" s="35">
        <v>2</v>
      </c>
    </row>
    <row r="1228" spans="1:4">
      <c r="A1228" s="35" t="s">
        <v>53</v>
      </c>
      <c r="B1228" s="35" t="s">
        <v>51</v>
      </c>
      <c r="C1228" s="36">
        <v>46261.4733912037</v>
      </c>
      <c r="D1228" s="35">
        <v>1</v>
      </c>
    </row>
    <row r="1229" spans="1:4">
      <c r="A1229" s="35" t="s">
        <v>817</v>
      </c>
      <c r="B1229" s="35" t="s">
        <v>182</v>
      </c>
      <c r="C1229" s="36">
        <v>46261.4749768519</v>
      </c>
      <c r="D1229" s="35">
        <v>2</v>
      </c>
    </row>
    <row r="1230" spans="1:4">
      <c r="A1230" s="35" t="s">
        <v>487</v>
      </c>
      <c r="B1230" s="35" t="s">
        <v>26</v>
      </c>
      <c r="C1230" s="36">
        <v>46261.6673611111</v>
      </c>
      <c r="D1230" s="35">
        <v>1</v>
      </c>
    </row>
    <row r="1231" spans="1:4">
      <c r="A1231" s="35" t="s">
        <v>425</v>
      </c>
      <c r="B1231" s="35" t="s">
        <v>26</v>
      </c>
      <c r="C1231" s="36">
        <v>46261.6673726852</v>
      </c>
      <c r="D1231" s="35">
        <v>1</v>
      </c>
    </row>
    <row r="1232" spans="1:4">
      <c r="A1232" s="35" t="s">
        <v>818</v>
      </c>
      <c r="B1232" s="35" t="s">
        <v>26</v>
      </c>
      <c r="C1232" s="36">
        <v>46261.6673842593</v>
      </c>
      <c r="D1232" s="35">
        <v>3</v>
      </c>
    </row>
    <row r="1233" spans="1:4">
      <c r="A1233" s="35" t="s">
        <v>270</v>
      </c>
      <c r="B1233" s="35" t="s">
        <v>26</v>
      </c>
      <c r="C1233" s="36">
        <v>46261.6673958333</v>
      </c>
      <c r="D1233" s="35">
        <v>1</v>
      </c>
    </row>
    <row r="1234" spans="1:4">
      <c r="A1234" s="35" t="s">
        <v>450</v>
      </c>
      <c r="B1234" s="35" t="s">
        <v>38</v>
      </c>
      <c r="C1234" s="36">
        <v>46262.6319444445</v>
      </c>
      <c r="D1234" s="35">
        <v>1</v>
      </c>
    </row>
    <row r="1235" spans="1:4">
      <c r="A1235" s="35" t="s">
        <v>37</v>
      </c>
      <c r="B1235" s="35" t="s">
        <v>38</v>
      </c>
      <c r="C1235" s="36">
        <v>46262.6319560185</v>
      </c>
      <c r="D1235" s="35">
        <v>1</v>
      </c>
    </row>
    <row r="1236" spans="1:4">
      <c r="A1236" s="35" t="s">
        <v>260</v>
      </c>
      <c r="B1236" s="35" t="s">
        <v>38</v>
      </c>
      <c r="C1236" s="36">
        <v>46262.6319675926</v>
      </c>
      <c r="D1236" s="35">
        <v>1</v>
      </c>
    </row>
    <row r="1237" spans="1:4">
      <c r="A1237" s="35" t="s">
        <v>811</v>
      </c>
      <c r="B1237" s="35" t="s">
        <v>182</v>
      </c>
      <c r="C1237" s="36">
        <v>46262.6907986111</v>
      </c>
      <c r="D1237" s="35">
        <v>80</v>
      </c>
    </row>
    <row r="1238" spans="1:4">
      <c r="A1238" s="35" t="s">
        <v>502</v>
      </c>
      <c r="B1238" s="35" t="s">
        <v>51</v>
      </c>
      <c r="C1238" s="36">
        <v>46262.6908101852</v>
      </c>
      <c r="D1238" s="35">
        <v>4</v>
      </c>
    </row>
    <row r="1239" spans="1:4">
      <c r="A1239" s="35" t="s">
        <v>431</v>
      </c>
      <c r="B1239" s="35" t="s">
        <v>182</v>
      </c>
      <c r="C1239" s="36">
        <v>46262.6908217593</v>
      </c>
      <c r="D1239" s="35">
        <v>10</v>
      </c>
    </row>
    <row r="1240" spans="1:4">
      <c r="A1240" s="35" t="s">
        <v>431</v>
      </c>
      <c r="B1240" s="35" t="s">
        <v>26</v>
      </c>
      <c r="C1240" s="36">
        <v>46262.694837963</v>
      </c>
      <c r="D1240" s="35">
        <v>1</v>
      </c>
    </row>
    <row r="1241" spans="1:4">
      <c r="A1241" s="35" t="s">
        <v>476</v>
      </c>
      <c r="B1241" s="35" t="s">
        <v>182</v>
      </c>
      <c r="C1241" s="36">
        <v>46262.6956481482</v>
      </c>
      <c r="D1241" s="35">
        <v>2</v>
      </c>
    </row>
    <row r="1242" spans="1:4">
      <c r="A1242" s="35" t="s">
        <v>819</v>
      </c>
      <c r="B1242" s="35" t="s">
        <v>182</v>
      </c>
      <c r="C1242" s="36">
        <v>46262.6956597222</v>
      </c>
      <c r="D1242" s="35">
        <v>1</v>
      </c>
    </row>
    <row r="1243" spans="1:4">
      <c r="A1243" s="35" t="s">
        <v>482</v>
      </c>
      <c r="B1243" s="35" t="s">
        <v>182</v>
      </c>
      <c r="C1243" s="36">
        <v>46262.6956712963</v>
      </c>
      <c r="D1243" s="35">
        <v>1</v>
      </c>
    </row>
    <row r="1244" spans="1:4">
      <c r="A1244" s="35" t="s">
        <v>484</v>
      </c>
      <c r="B1244" s="35" t="s">
        <v>26</v>
      </c>
      <c r="C1244" s="36">
        <v>46265.3388194444</v>
      </c>
      <c r="D1244" s="35">
        <v>1</v>
      </c>
    </row>
    <row r="1245" spans="1:4">
      <c r="A1245" s="35" t="s">
        <v>487</v>
      </c>
      <c r="B1245" s="35" t="s">
        <v>182</v>
      </c>
      <c r="C1245" s="36">
        <v>46265.3410416667</v>
      </c>
      <c r="D1245" s="35">
        <v>1</v>
      </c>
    </row>
    <row r="1246" spans="1:4">
      <c r="A1246" s="35" t="s">
        <v>530</v>
      </c>
      <c r="B1246" s="35" t="s">
        <v>26</v>
      </c>
      <c r="C1246" s="36">
        <v>46265.3628935185</v>
      </c>
      <c r="D1246" s="35">
        <v>1</v>
      </c>
    </row>
    <row r="1247" spans="1:4">
      <c r="A1247" s="35" t="s">
        <v>809</v>
      </c>
      <c r="B1247" s="35" t="s">
        <v>51</v>
      </c>
      <c r="C1247" s="36">
        <v>46265.4769097222</v>
      </c>
      <c r="D1247" s="35">
        <v>1</v>
      </c>
    </row>
    <row r="1248" spans="1:4">
      <c r="A1248" s="35" t="s">
        <v>820</v>
      </c>
      <c r="B1248" s="35" t="s">
        <v>26</v>
      </c>
      <c r="C1248" s="36">
        <v>46265.5139236111</v>
      </c>
      <c r="D1248" s="35">
        <v>1</v>
      </c>
    </row>
    <row r="1249" spans="1:4">
      <c r="A1249" s="35" t="s">
        <v>821</v>
      </c>
      <c r="B1249" s="35" t="s">
        <v>26</v>
      </c>
      <c r="C1249" s="36">
        <v>46265.5698842593</v>
      </c>
      <c r="D1249" s="35">
        <v>1</v>
      </c>
    </row>
    <row r="1250" spans="1:4">
      <c r="A1250" s="35" t="s">
        <v>822</v>
      </c>
      <c r="B1250" s="35" t="s">
        <v>26</v>
      </c>
      <c r="C1250" s="36">
        <v>46265.5706365741</v>
      </c>
      <c r="D1250" s="35">
        <v>1</v>
      </c>
    </row>
    <row r="1251" spans="1:4">
      <c r="A1251" s="35" t="s">
        <v>152</v>
      </c>
      <c r="B1251" s="35" t="s">
        <v>26</v>
      </c>
      <c r="C1251" s="36">
        <v>46265.5706481482</v>
      </c>
      <c r="D1251" s="35">
        <v>2</v>
      </c>
    </row>
    <row r="1252" spans="1:4">
      <c r="A1252" s="35" t="s">
        <v>30</v>
      </c>
      <c r="B1252" s="35" t="s">
        <v>26</v>
      </c>
      <c r="C1252" s="36">
        <v>46265.5725</v>
      </c>
      <c r="D1252" s="35">
        <v>1</v>
      </c>
    </row>
    <row r="1253" spans="1:4">
      <c r="A1253" s="35" t="s">
        <v>30</v>
      </c>
      <c r="B1253" s="35" t="s">
        <v>26</v>
      </c>
      <c r="C1253" s="36">
        <v>46265.5731828704</v>
      </c>
      <c r="D1253" s="35">
        <v>1</v>
      </c>
    </row>
    <row r="1254" spans="1:4">
      <c r="A1254" s="35" t="s">
        <v>155</v>
      </c>
      <c r="B1254" s="35" t="s">
        <v>26</v>
      </c>
      <c r="C1254" s="36">
        <v>46265.5740856482</v>
      </c>
      <c r="D1254" s="35">
        <v>2</v>
      </c>
    </row>
    <row r="1255" spans="1:4">
      <c r="A1255" s="35" t="s">
        <v>823</v>
      </c>
      <c r="B1255" s="35" t="s">
        <v>26</v>
      </c>
      <c r="C1255" s="36">
        <v>46265.5795486111</v>
      </c>
      <c r="D1255" s="35">
        <v>1</v>
      </c>
    </row>
    <row r="1256" spans="1:4">
      <c r="A1256" s="35" t="s">
        <v>824</v>
      </c>
      <c r="B1256" s="35" t="s">
        <v>26</v>
      </c>
      <c r="C1256" s="36">
        <v>46265.5824074074</v>
      </c>
      <c r="D1256" s="35">
        <v>2</v>
      </c>
    </row>
    <row r="1257" spans="1:4">
      <c r="A1257" s="35" t="s">
        <v>485</v>
      </c>
      <c r="B1257" s="35" t="s">
        <v>26</v>
      </c>
      <c r="C1257" s="36">
        <v>46265.5834837963</v>
      </c>
      <c r="D1257" s="35">
        <v>20</v>
      </c>
    </row>
    <row r="1258" spans="1:4">
      <c r="A1258" s="35" t="s">
        <v>825</v>
      </c>
      <c r="B1258" s="35" t="s">
        <v>26</v>
      </c>
      <c r="C1258" s="36">
        <v>46265.5834953704</v>
      </c>
      <c r="D1258" s="35">
        <v>1</v>
      </c>
    </row>
    <row r="1259" spans="1:4">
      <c r="A1259" s="35" t="s">
        <v>64</v>
      </c>
      <c r="B1259" s="35" t="s">
        <v>26</v>
      </c>
      <c r="C1259" s="36">
        <v>46265.5863657407</v>
      </c>
      <c r="D1259" s="35">
        <v>4</v>
      </c>
    </row>
    <row r="1260" spans="1:4">
      <c r="A1260" s="35" t="s">
        <v>470</v>
      </c>
      <c r="B1260" s="35" t="s">
        <v>26</v>
      </c>
      <c r="C1260" s="36">
        <v>46265.5906481482</v>
      </c>
      <c r="D1260" s="35">
        <v>1</v>
      </c>
    </row>
    <row r="1261" spans="1:4">
      <c r="A1261" s="35" t="s">
        <v>826</v>
      </c>
      <c r="B1261" s="35" t="s">
        <v>26</v>
      </c>
      <c r="C1261" s="36">
        <v>46265.5921296296</v>
      </c>
      <c r="D1261" s="35">
        <v>1</v>
      </c>
    </row>
    <row r="1262" spans="1:4">
      <c r="A1262" s="35" t="s">
        <v>827</v>
      </c>
      <c r="B1262" s="35" t="s">
        <v>26</v>
      </c>
      <c r="C1262" s="36">
        <v>46265.5930902778</v>
      </c>
      <c r="D1262" s="35">
        <v>1</v>
      </c>
    </row>
    <row r="1263" spans="1:4">
      <c r="A1263" s="35" t="s">
        <v>786</v>
      </c>
      <c r="B1263" s="35" t="s">
        <v>35</v>
      </c>
      <c r="C1263" s="36">
        <v>46265.5931018519</v>
      </c>
      <c r="D1263" s="35">
        <v>1</v>
      </c>
    </row>
    <row r="1264" spans="1:4">
      <c r="A1264" s="35" t="s">
        <v>828</v>
      </c>
      <c r="B1264" s="35" t="s">
        <v>783</v>
      </c>
      <c r="C1264" s="36">
        <v>46265.5961805556</v>
      </c>
      <c r="D1264" s="35">
        <v>1</v>
      </c>
    </row>
    <row r="1265" spans="1:4">
      <c r="A1265" s="35" t="s">
        <v>181</v>
      </c>
      <c r="B1265" s="35" t="s">
        <v>38</v>
      </c>
      <c r="C1265" s="36">
        <v>46265.6069444444</v>
      </c>
      <c r="D1265" s="35">
        <v>2</v>
      </c>
    </row>
    <row r="1266" spans="1:4">
      <c r="A1266" s="35" t="s">
        <v>829</v>
      </c>
      <c r="B1266" s="35" t="s">
        <v>26</v>
      </c>
      <c r="C1266" s="36">
        <v>46265.6097222222</v>
      </c>
      <c r="D1266" s="35">
        <v>1</v>
      </c>
    </row>
    <row r="1267" spans="1:4">
      <c r="A1267" s="35" t="s">
        <v>830</v>
      </c>
      <c r="B1267" s="35" t="s">
        <v>26</v>
      </c>
      <c r="C1267" s="36">
        <v>46265.6097337963</v>
      </c>
      <c r="D1267" s="35">
        <v>1</v>
      </c>
    </row>
    <row r="1268" spans="1:4">
      <c r="A1268" s="35" t="s">
        <v>450</v>
      </c>
      <c r="B1268" s="35" t="s">
        <v>38</v>
      </c>
      <c r="C1268" s="36">
        <v>46265.6097453704</v>
      </c>
      <c r="D1268" s="35">
        <v>4</v>
      </c>
    </row>
    <row r="1269" spans="1:4">
      <c r="A1269" s="35" t="s">
        <v>831</v>
      </c>
      <c r="B1269" s="35" t="s">
        <v>26</v>
      </c>
      <c r="C1269" s="36">
        <v>46265.6701388889</v>
      </c>
      <c r="D1269" s="35">
        <v>2</v>
      </c>
    </row>
    <row r="1270" spans="1:4">
      <c r="A1270" s="35" t="s">
        <v>647</v>
      </c>
      <c r="B1270" s="35" t="s">
        <v>26</v>
      </c>
      <c r="C1270" s="36">
        <v>46266.3517824074</v>
      </c>
      <c r="D1270" s="35">
        <v>1</v>
      </c>
    </row>
    <row r="1271" spans="1:4">
      <c r="A1271" s="35" t="s">
        <v>499</v>
      </c>
      <c r="B1271" s="35" t="s">
        <v>51</v>
      </c>
      <c r="C1271" s="36">
        <v>46266.353287037</v>
      </c>
      <c r="D1271" s="35">
        <v>300</v>
      </c>
    </row>
    <row r="1272" spans="1:4">
      <c r="A1272" s="35" t="s">
        <v>548</v>
      </c>
      <c r="B1272" s="35" t="s">
        <v>51</v>
      </c>
      <c r="C1272" s="36">
        <v>46266.3532986111</v>
      </c>
      <c r="D1272" s="35">
        <v>8</v>
      </c>
    </row>
    <row r="1273" spans="1:4">
      <c r="A1273" s="35" t="s">
        <v>258</v>
      </c>
      <c r="B1273" s="35" t="s">
        <v>182</v>
      </c>
      <c r="C1273" s="36">
        <v>46266.3533101852</v>
      </c>
      <c r="D1273" s="35">
        <v>1</v>
      </c>
    </row>
    <row r="1274" spans="1:4">
      <c r="A1274" s="35" t="s">
        <v>806</v>
      </c>
      <c r="B1274" s="35" t="s">
        <v>51</v>
      </c>
      <c r="C1274" s="36">
        <v>46266.3533217593</v>
      </c>
      <c r="D1274" s="35">
        <v>4</v>
      </c>
    </row>
    <row r="1275" spans="1:4">
      <c r="A1275" s="35" t="s">
        <v>485</v>
      </c>
      <c r="B1275" s="35" t="s">
        <v>26</v>
      </c>
      <c r="C1275" s="36">
        <v>46266.3556944444</v>
      </c>
      <c r="D1275" s="35">
        <v>10</v>
      </c>
    </row>
    <row r="1276" spans="1:4">
      <c r="A1276" s="35" t="s">
        <v>431</v>
      </c>
      <c r="B1276" s="35" t="s">
        <v>182</v>
      </c>
      <c r="C1276" s="36">
        <v>46266.3595601852</v>
      </c>
      <c r="D1276" s="35">
        <v>40</v>
      </c>
    </row>
    <row r="1277" spans="1:4">
      <c r="A1277" s="35" t="s">
        <v>529</v>
      </c>
      <c r="B1277" s="35" t="s">
        <v>26</v>
      </c>
      <c r="C1277" s="36">
        <v>46266.3655092593</v>
      </c>
      <c r="D1277" s="35">
        <v>1</v>
      </c>
    </row>
    <row r="1278" spans="1:4">
      <c r="A1278" s="35" t="s">
        <v>476</v>
      </c>
      <c r="B1278" s="35" t="s">
        <v>182</v>
      </c>
      <c r="C1278" s="36">
        <v>46266.3955439815</v>
      </c>
      <c r="D1278" s="35">
        <v>5</v>
      </c>
    </row>
    <row r="1279" spans="1:4">
      <c r="A1279" s="35" t="s">
        <v>832</v>
      </c>
      <c r="B1279" s="35" t="s">
        <v>182</v>
      </c>
      <c r="C1279" s="36">
        <v>46266.3955555556</v>
      </c>
      <c r="D1279" s="35">
        <v>3</v>
      </c>
    </row>
    <row r="1280" spans="1:4">
      <c r="A1280" s="35" t="s">
        <v>534</v>
      </c>
      <c r="B1280" s="35" t="s">
        <v>182</v>
      </c>
      <c r="C1280" s="36">
        <v>46266.3955671296</v>
      </c>
      <c r="D1280" s="35">
        <v>1</v>
      </c>
    </row>
    <row r="1281" spans="1:4">
      <c r="A1281" s="35" t="s">
        <v>430</v>
      </c>
      <c r="B1281" s="35" t="s">
        <v>182</v>
      </c>
      <c r="C1281" s="36">
        <v>46266.3955787037</v>
      </c>
      <c r="D1281" s="35">
        <v>5</v>
      </c>
    </row>
    <row r="1282" spans="1:4">
      <c r="A1282" s="35" t="s">
        <v>833</v>
      </c>
      <c r="B1282" s="35" t="s">
        <v>182</v>
      </c>
      <c r="C1282" s="36">
        <v>46266.3955902778</v>
      </c>
      <c r="D1282" s="35">
        <v>3</v>
      </c>
    </row>
    <row r="1283" spans="1:4">
      <c r="A1283" s="35" t="s">
        <v>776</v>
      </c>
      <c r="B1283" s="35" t="s">
        <v>182</v>
      </c>
      <c r="C1283" s="36">
        <v>46266.3956018519</v>
      </c>
      <c r="D1283" s="35">
        <v>1</v>
      </c>
    </row>
    <row r="1284" spans="1:4">
      <c r="A1284" s="35" t="s">
        <v>834</v>
      </c>
      <c r="B1284" s="35" t="s">
        <v>26</v>
      </c>
      <c r="C1284" s="36">
        <v>46266.4613541667</v>
      </c>
      <c r="D1284" s="35">
        <v>500</v>
      </c>
    </row>
    <row r="1285" spans="1:4">
      <c r="A1285" s="35" t="s">
        <v>835</v>
      </c>
      <c r="B1285" s="35" t="s">
        <v>390</v>
      </c>
      <c r="C1285" s="36">
        <v>46266.5020949074</v>
      </c>
      <c r="D1285" s="35">
        <v>124.2</v>
      </c>
    </row>
    <row r="1286" spans="1:4">
      <c r="A1286" s="35" t="s">
        <v>836</v>
      </c>
      <c r="B1286" s="35" t="s">
        <v>390</v>
      </c>
      <c r="C1286" s="36">
        <v>46266.5021064815</v>
      </c>
      <c r="D1286" s="35">
        <v>11.5</v>
      </c>
    </row>
    <row r="1287" spans="1:4">
      <c r="A1287" s="35" t="s">
        <v>837</v>
      </c>
      <c r="B1287" s="35" t="s">
        <v>390</v>
      </c>
      <c r="C1287" s="36">
        <v>46266.5021180556</v>
      </c>
      <c r="D1287" s="35">
        <v>3</v>
      </c>
    </row>
    <row r="1288" spans="1:4">
      <c r="A1288" s="35" t="s">
        <v>156</v>
      </c>
      <c r="B1288" s="35" t="s">
        <v>35</v>
      </c>
      <c r="C1288" s="36">
        <v>46266.5986111111</v>
      </c>
      <c r="D1288" s="35">
        <v>1</v>
      </c>
    </row>
    <row r="1289" spans="1:4">
      <c r="A1289" s="35" t="s">
        <v>157</v>
      </c>
      <c r="B1289" s="35" t="s">
        <v>35</v>
      </c>
      <c r="C1289" s="36">
        <v>46266.5986226852</v>
      </c>
      <c r="D1289" s="35">
        <v>1</v>
      </c>
    </row>
    <row r="1290" spans="1:4">
      <c r="A1290" s="35" t="s">
        <v>838</v>
      </c>
      <c r="B1290" s="35" t="s">
        <v>35</v>
      </c>
      <c r="C1290" s="36">
        <v>46266.5986342593</v>
      </c>
      <c r="D1290" s="35">
        <v>1</v>
      </c>
    </row>
    <row r="1291" spans="1:4">
      <c r="A1291" s="35" t="s">
        <v>211</v>
      </c>
      <c r="B1291" s="35" t="s">
        <v>35</v>
      </c>
      <c r="C1291" s="36">
        <v>46266.6587962963</v>
      </c>
      <c r="D1291" s="35">
        <v>1</v>
      </c>
    </row>
    <row r="1292" spans="1:4">
      <c r="A1292" s="35" t="s">
        <v>271</v>
      </c>
      <c r="B1292" s="35" t="s">
        <v>35</v>
      </c>
      <c r="C1292" s="36">
        <v>46266.6588078704</v>
      </c>
      <c r="D1292" s="35">
        <v>1</v>
      </c>
    </row>
    <row r="1293" spans="1:4">
      <c r="A1293" s="35" t="s">
        <v>208</v>
      </c>
      <c r="B1293" s="35" t="s">
        <v>35</v>
      </c>
      <c r="C1293" s="36">
        <v>46266.6588194444</v>
      </c>
      <c r="D1293" s="35">
        <v>1</v>
      </c>
    </row>
    <row r="1294" spans="1:4">
      <c r="A1294" s="35" t="s">
        <v>209</v>
      </c>
      <c r="B1294" s="35" t="s">
        <v>35</v>
      </c>
      <c r="C1294" s="36">
        <v>46266.6588310185</v>
      </c>
      <c r="D1294" s="35">
        <v>1</v>
      </c>
    </row>
    <row r="1295" spans="1:4">
      <c r="A1295" s="35" t="s">
        <v>839</v>
      </c>
      <c r="B1295" s="35" t="s">
        <v>35</v>
      </c>
      <c r="C1295" s="36">
        <v>46266.6588425926</v>
      </c>
      <c r="D1295" s="35">
        <v>1</v>
      </c>
    </row>
    <row r="1296" spans="1:4">
      <c r="A1296" s="35" t="s">
        <v>840</v>
      </c>
      <c r="B1296" s="35" t="s">
        <v>35</v>
      </c>
      <c r="C1296" s="36">
        <v>46266.6984375</v>
      </c>
      <c r="D1296" s="35">
        <v>1</v>
      </c>
    </row>
    <row r="1297" spans="1:4">
      <c r="A1297" s="35" t="s">
        <v>841</v>
      </c>
      <c r="B1297" s="35" t="s">
        <v>26</v>
      </c>
      <c r="C1297" s="36">
        <v>46266.6993518519</v>
      </c>
      <c r="D1297" s="35">
        <v>1</v>
      </c>
    </row>
    <row r="1298" spans="1:4">
      <c r="A1298" s="35" t="s">
        <v>172</v>
      </c>
      <c r="B1298" s="35" t="s">
        <v>26</v>
      </c>
      <c r="C1298" s="36">
        <v>46266.7030208333</v>
      </c>
      <c r="D1298" s="35">
        <v>1</v>
      </c>
    </row>
    <row r="1299" spans="1:4">
      <c r="A1299" s="35" t="s">
        <v>541</v>
      </c>
      <c r="B1299" s="35" t="s">
        <v>26</v>
      </c>
      <c r="C1299" s="36">
        <v>46266.7036689815</v>
      </c>
      <c r="D1299" s="35">
        <v>2</v>
      </c>
    </row>
    <row r="1300" spans="1:4">
      <c r="A1300" s="35" t="s">
        <v>164</v>
      </c>
      <c r="B1300" s="35" t="s">
        <v>35</v>
      </c>
      <c r="C1300" s="36">
        <v>46266.7074537037</v>
      </c>
      <c r="D1300" s="35">
        <v>1</v>
      </c>
    </row>
    <row r="1301" spans="1:4">
      <c r="A1301" s="35" t="s">
        <v>172</v>
      </c>
      <c r="B1301" s="35" t="s">
        <v>26</v>
      </c>
      <c r="C1301" s="36">
        <v>46266.7074652778</v>
      </c>
      <c r="D1301" s="35">
        <v>1</v>
      </c>
    </row>
    <row r="1302" spans="1:4">
      <c r="A1302" s="35" t="s">
        <v>28</v>
      </c>
      <c r="B1302" s="35" t="s">
        <v>26</v>
      </c>
      <c r="C1302" s="36">
        <v>46266.7095949074</v>
      </c>
      <c r="D1302" s="35">
        <v>1</v>
      </c>
    </row>
    <row r="1303" spans="1:4">
      <c r="A1303" s="35" t="s">
        <v>246</v>
      </c>
      <c r="B1303" s="35" t="s">
        <v>26</v>
      </c>
      <c r="C1303" s="36">
        <v>46266.7096064815</v>
      </c>
      <c r="D1303" s="35">
        <v>2</v>
      </c>
    </row>
    <row r="1304" spans="1:4">
      <c r="A1304" s="35" t="s">
        <v>28</v>
      </c>
      <c r="B1304" s="35" t="s">
        <v>26</v>
      </c>
      <c r="C1304" s="36">
        <v>46266.711087963</v>
      </c>
      <c r="D1304" s="35">
        <v>1</v>
      </c>
    </row>
    <row r="1305" spans="1:4">
      <c r="A1305" s="35" t="s">
        <v>433</v>
      </c>
      <c r="B1305" s="35" t="s">
        <v>26</v>
      </c>
      <c r="C1305" s="36">
        <v>46266.711099537</v>
      </c>
      <c r="D1305" s="35">
        <v>1</v>
      </c>
    </row>
    <row r="1306" spans="1:4">
      <c r="A1306" s="35" t="s">
        <v>380</v>
      </c>
      <c r="B1306" s="35" t="s">
        <v>26</v>
      </c>
      <c r="C1306" s="36">
        <v>46266.7134490741</v>
      </c>
      <c r="D1306" s="35">
        <v>1</v>
      </c>
    </row>
    <row r="1307" spans="1:4">
      <c r="A1307" s="35" t="s">
        <v>161</v>
      </c>
      <c r="B1307" s="35" t="s">
        <v>26</v>
      </c>
      <c r="C1307" s="36">
        <v>46266.7134606482</v>
      </c>
      <c r="D1307" s="35">
        <v>1</v>
      </c>
    </row>
    <row r="1308" spans="1:4">
      <c r="A1308" s="35" t="s">
        <v>28</v>
      </c>
      <c r="B1308" s="35" t="s">
        <v>26</v>
      </c>
      <c r="C1308" s="36">
        <v>46266.7148148148</v>
      </c>
      <c r="D1308" s="35">
        <v>1</v>
      </c>
    </row>
    <row r="1309" spans="1:4">
      <c r="A1309" s="35" t="s">
        <v>220</v>
      </c>
      <c r="B1309" s="35" t="s">
        <v>35</v>
      </c>
      <c r="C1309" s="36">
        <v>46266.7161689815</v>
      </c>
      <c r="D1309" s="35">
        <v>1</v>
      </c>
    </row>
    <row r="1310" spans="1:4">
      <c r="A1310" s="35" t="s">
        <v>27</v>
      </c>
      <c r="B1310" s="35" t="s">
        <v>26</v>
      </c>
      <c r="C1310" s="36">
        <v>46266.7168518519</v>
      </c>
      <c r="D1310" s="35">
        <v>1</v>
      </c>
    </row>
    <row r="1311" spans="1:4">
      <c r="A1311" s="35" t="s">
        <v>842</v>
      </c>
      <c r="B1311" s="35" t="s">
        <v>35</v>
      </c>
      <c r="C1311" s="36">
        <v>46266.7182407407</v>
      </c>
      <c r="D1311" s="35">
        <v>1</v>
      </c>
    </row>
    <row r="1312" spans="1:4">
      <c r="A1312" s="35" t="s">
        <v>536</v>
      </c>
      <c r="B1312" s="35" t="s">
        <v>35</v>
      </c>
      <c r="C1312" s="36">
        <v>46266.7182523148</v>
      </c>
      <c r="D1312" s="35">
        <v>1</v>
      </c>
    </row>
    <row r="1313" spans="1:4">
      <c r="A1313" s="35" t="s">
        <v>161</v>
      </c>
      <c r="B1313" s="35" t="s">
        <v>26</v>
      </c>
      <c r="C1313" s="36">
        <v>46266.7182638889</v>
      </c>
      <c r="D1313" s="35">
        <v>1</v>
      </c>
    </row>
    <row r="1314" spans="1:4">
      <c r="A1314" s="35" t="s">
        <v>193</v>
      </c>
      <c r="B1314" s="35" t="s">
        <v>26</v>
      </c>
      <c r="C1314" s="36">
        <v>46266.7204398148</v>
      </c>
      <c r="D1314" s="35">
        <v>1</v>
      </c>
    </row>
    <row r="1315" spans="1:4">
      <c r="A1315" s="35" t="s">
        <v>29</v>
      </c>
      <c r="B1315" s="35" t="s">
        <v>26</v>
      </c>
      <c r="C1315" s="36">
        <v>46266.7211689815</v>
      </c>
      <c r="D1315" s="35">
        <v>1</v>
      </c>
    </row>
    <row r="1316" spans="1:4">
      <c r="A1316" s="35" t="s">
        <v>843</v>
      </c>
      <c r="B1316" s="35" t="s">
        <v>26</v>
      </c>
      <c r="C1316" s="36">
        <v>46266.723287037</v>
      </c>
      <c r="D1316" s="35">
        <v>1</v>
      </c>
    </row>
    <row r="1317" spans="1:4">
      <c r="A1317" s="35" t="s">
        <v>181</v>
      </c>
      <c r="B1317" s="35" t="s">
        <v>38</v>
      </c>
      <c r="C1317" s="36">
        <v>46266.7245601852</v>
      </c>
      <c r="D1317" s="35">
        <v>25</v>
      </c>
    </row>
    <row r="1318" spans="1:4">
      <c r="A1318" s="35" t="s">
        <v>469</v>
      </c>
      <c r="B1318" s="35" t="s">
        <v>35</v>
      </c>
      <c r="C1318" s="36">
        <v>46267.3463657407</v>
      </c>
      <c r="D1318" s="35">
        <v>1</v>
      </c>
    </row>
    <row r="1319" spans="1:4">
      <c r="A1319" s="35" t="s">
        <v>61</v>
      </c>
      <c r="B1319" s="35" t="s">
        <v>26</v>
      </c>
      <c r="C1319" s="36">
        <v>46267.3463773148</v>
      </c>
      <c r="D1319" s="35">
        <v>1</v>
      </c>
    </row>
    <row r="1320" spans="1:4">
      <c r="A1320" s="35" t="s">
        <v>269</v>
      </c>
      <c r="B1320" s="35" t="s">
        <v>26</v>
      </c>
      <c r="C1320" s="36">
        <v>46267.3629398148</v>
      </c>
      <c r="D1320" s="35">
        <v>1</v>
      </c>
    </row>
    <row r="1321" spans="1:4">
      <c r="A1321" s="35" t="s">
        <v>844</v>
      </c>
      <c r="B1321" s="35" t="s">
        <v>26</v>
      </c>
      <c r="C1321" s="36">
        <v>46267.3636226852</v>
      </c>
      <c r="D1321" s="35">
        <v>1</v>
      </c>
    </row>
    <row r="1322" spans="1:4">
      <c r="A1322" s="35" t="s">
        <v>550</v>
      </c>
      <c r="B1322" s="35" t="s">
        <v>26</v>
      </c>
      <c r="C1322" s="36">
        <v>46267.3661689815</v>
      </c>
      <c r="D1322" s="35">
        <v>1</v>
      </c>
    </row>
    <row r="1323" spans="1:4">
      <c r="A1323" s="35" t="s">
        <v>845</v>
      </c>
      <c r="B1323" s="35" t="s">
        <v>26</v>
      </c>
      <c r="C1323" s="36">
        <v>46267.3661805556</v>
      </c>
      <c r="D1323" s="35">
        <v>1</v>
      </c>
    </row>
    <row r="1324" spans="1:4">
      <c r="A1324" s="35" t="s">
        <v>846</v>
      </c>
      <c r="B1324" s="35" t="s">
        <v>26</v>
      </c>
      <c r="C1324" s="36">
        <v>46267.3661921296</v>
      </c>
      <c r="D1324" s="35">
        <v>1</v>
      </c>
    </row>
    <row r="1325" spans="1:4">
      <c r="A1325" s="35" t="s">
        <v>847</v>
      </c>
      <c r="B1325" s="35" t="s">
        <v>26</v>
      </c>
      <c r="C1325" s="36">
        <v>46267.3662037037</v>
      </c>
      <c r="D1325" s="35">
        <v>1</v>
      </c>
    </row>
    <row r="1326" spans="1:4">
      <c r="A1326" s="35" t="s">
        <v>848</v>
      </c>
      <c r="B1326" s="35" t="s">
        <v>26</v>
      </c>
      <c r="C1326" s="36">
        <v>46267.3786689815</v>
      </c>
      <c r="D1326" s="35">
        <v>1</v>
      </c>
    </row>
    <row r="1327" spans="1:4">
      <c r="A1327" s="35" t="s">
        <v>158</v>
      </c>
      <c r="B1327" s="35" t="s">
        <v>35</v>
      </c>
      <c r="C1327" s="36">
        <v>46267.3801041667</v>
      </c>
      <c r="D1327" s="35">
        <v>1</v>
      </c>
    </row>
    <row r="1328" spans="1:4">
      <c r="A1328" s="35" t="s">
        <v>156</v>
      </c>
      <c r="B1328" s="35" t="s">
        <v>35</v>
      </c>
      <c r="C1328" s="36">
        <v>46267.3801157407</v>
      </c>
      <c r="D1328" s="35">
        <v>1</v>
      </c>
    </row>
    <row r="1329" spans="1:4">
      <c r="A1329" s="35" t="s">
        <v>838</v>
      </c>
      <c r="B1329" s="35" t="s">
        <v>35</v>
      </c>
      <c r="C1329" s="36">
        <v>46267.3801273148</v>
      </c>
      <c r="D1329" s="35">
        <v>1</v>
      </c>
    </row>
    <row r="1330" spans="1:4">
      <c r="A1330" s="35" t="s">
        <v>450</v>
      </c>
      <c r="B1330" s="35" t="s">
        <v>38</v>
      </c>
      <c r="C1330" s="36">
        <v>46267.3864814815</v>
      </c>
      <c r="D1330" s="35">
        <v>10</v>
      </c>
    </row>
    <row r="1331" spans="1:4">
      <c r="A1331" s="35" t="s">
        <v>849</v>
      </c>
      <c r="B1331" s="35" t="s">
        <v>26</v>
      </c>
      <c r="C1331" s="36">
        <v>46267.3889467593</v>
      </c>
      <c r="D1331" s="35">
        <v>2</v>
      </c>
    </row>
    <row r="1332" spans="1:4">
      <c r="A1332" s="35" t="s">
        <v>850</v>
      </c>
      <c r="B1332" s="35" t="s">
        <v>26</v>
      </c>
      <c r="C1332" s="36">
        <v>46267.3889583333</v>
      </c>
      <c r="D1332" s="35">
        <v>1</v>
      </c>
    </row>
    <row r="1333" spans="1:4">
      <c r="A1333" s="35" t="s">
        <v>851</v>
      </c>
      <c r="B1333" s="35" t="s">
        <v>26</v>
      </c>
      <c r="C1333" s="36">
        <v>46267.3889699074</v>
      </c>
      <c r="D1333" s="35">
        <v>1</v>
      </c>
    </row>
    <row r="1334" spans="1:4">
      <c r="A1334" s="35" t="s">
        <v>181</v>
      </c>
      <c r="B1334" s="35" t="s">
        <v>38</v>
      </c>
      <c r="C1334" s="36">
        <v>46267.3909722222</v>
      </c>
      <c r="D1334" s="35">
        <v>4</v>
      </c>
    </row>
    <row r="1335" spans="1:4">
      <c r="A1335" s="35" t="s">
        <v>260</v>
      </c>
      <c r="B1335" s="35" t="s">
        <v>26</v>
      </c>
      <c r="C1335" s="36">
        <v>46267.3909837963</v>
      </c>
      <c r="D1335" s="35">
        <v>2</v>
      </c>
    </row>
    <row r="1336" spans="1:4">
      <c r="A1336" s="35" t="s">
        <v>258</v>
      </c>
      <c r="B1336" s="35" t="s">
        <v>38</v>
      </c>
      <c r="C1336" s="36">
        <v>46267.3909953704</v>
      </c>
      <c r="D1336" s="35">
        <v>1</v>
      </c>
    </row>
    <row r="1337" spans="1:4">
      <c r="A1337" s="35" t="s">
        <v>450</v>
      </c>
      <c r="B1337" s="35" t="s">
        <v>38</v>
      </c>
      <c r="C1337" s="36">
        <v>46267.3977893519</v>
      </c>
      <c r="D1337" s="35">
        <v>20</v>
      </c>
    </row>
    <row r="1338" spans="1:4">
      <c r="A1338" s="35" t="s">
        <v>441</v>
      </c>
      <c r="B1338" s="35" t="s">
        <v>38</v>
      </c>
      <c r="C1338" s="36">
        <v>46267.3978009259</v>
      </c>
      <c r="D1338" s="35">
        <v>20</v>
      </c>
    </row>
    <row r="1339" spans="1:4">
      <c r="A1339" s="35" t="s">
        <v>439</v>
      </c>
      <c r="B1339" s="35" t="s">
        <v>38</v>
      </c>
      <c r="C1339" s="36">
        <v>46267.3978125</v>
      </c>
      <c r="D1339" s="35">
        <v>2</v>
      </c>
    </row>
    <row r="1340" spans="1:4">
      <c r="A1340" s="35" t="s">
        <v>471</v>
      </c>
      <c r="B1340" s="35" t="s">
        <v>26</v>
      </c>
      <c r="C1340" s="36">
        <v>46267.3978240741</v>
      </c>
      <c r="D1340" s="35">
        <v>1</v>
      </c>
    </row>
    <row r="1341" spans="1:4">
      <c r="A1341" s="35" t="s">
        <v>852</v>
      </c>
      <c r="B1341" s="35" t="s">
        <v>26</v>
      </c>
      <c r="C1341" s="36">
        <v>46267.4027546296</v>
      </c>
      <c r="D1341" s="35">
        <v>1</v>
      </c>
    </row>
    <row r="1342" spans="1:4">
      <c r="A1342" s="35" t="s">
        <v>853</v>
      </c>
      <c r="B1342" s="35" t="s">
        <v>26</v>
      </c>
      <c r="C1342" s="36">
        <v>46267.4041087963</v>
      </c>
      <c r="D1342" s="35">
        <v>1</v>
      </c>
    </row>
    <row r="1343" spans="1:4">
      <c r="A1343" s="35" t="s">
        <v>854</v>
      </c>
      <c r="B1343" s="35" t="s">
        <v>26</v>
      </c>
      <c r="C1343" s="36">
        <v>46267.4041203704</v>
      </c>
      <c r="D1343" s="35">
        <v>1</v>
      </c>
    </row>
    <row r="1344" spans="1:4">
      <c r="A1344" s="35" t="s">
        <v>855</v>
      </c>
      <c r="B1344" s="35" t="s">
        <v>26</v>
      </c>
      <c r="C1344" s="36">
        <v>46267.4041319444</v>
      </c>
      <c r="D1344" s="35">
        <v>1</v>
      </c>
    </row>
    <row r="1345" spans="1:4">
      <c r="A1345" s="35" t="s">
        <v>856</v>
      </c>
      <c r="B1345" s="35" t="s">
        <v>26</v>
      </c>
      <c r="C1345" s="36">
        <v>46267.4071527778</v>
      </c>
      <c r="D1345" s="35">
        <v>1</v>
      </c>
    </row>
    <row r="1346" spans="1:4">
      <c r="A1346" s="35" t="s">
        <v>857</v>
      </c>
      <c r="B1346" s="35" t="s">
        <v>414</v>
      </c>
      <c r="C1346" s="36">
        <v>46267.4071643519</v>
      </c>
      <c r="D1346" s="35">
        <v>1</v>
      </c>
    </row>
    <row r="1347" spans="1:4">
      <c r="A1347" s="35" t="s">
        <v>470</v>
      </c>
      <c r="B1347" s="35" t="s">
        <v>182</v>
      </c>
      <c r="C1347" s="36">
        <v>46267.4094675926</v>
      </c>
      <c r="D1347" s="35">
        <v>1</v>
      </c>
    </row>
    <row r="1348" spans="1:4">
      <c r="A1348" s="35" t="s">
        <v>802</v>
      </c>
      <c r="B1348" s="35" t="s">
        <v>35</v>
      </c>
      <c r="C1348" s="36">
        <v>46267.4094791667</v>
      </c>
      <c r="D1348" s="35">
        <v>1</v>
      </c>
    </row>
    <row r="1349" spans="1:4">
      <c r="A1349" s="35" t="s">
        <v>196</v>
      </c>
      <c r="B1349" s="35" t="s">
        <v>26</v>
      </c>
      <c r="C1349" s="36">
        <v>46267.4094907407</v>
      </c>
      <c r="D1349" s="35">
        <v>1</v>
      </c>
    </row>
    <row r="1350" spans="1:4">
      <c r="A1350" s="35" t="s">
        <v>389</v>
      </c>
      <c r="B1350" s="35" t="s">
        <v>38</v>
      </c>
      <c r="C1350" s="36">
        <v>46267.5888888889</v>
      </c>
      <c r="D1350" s="35">
        <v>2</v>
      </c>
    </row>
    <row r="1351" spans="1:4">
      <c r="A1351" s="35" t="s">
        <v>261</v>
      </c>
      <c r="B1351" s="35" t="s">
        <v>26</v>
      </c>
      <c r="C1351" s="36">
        <v>46267.5978356482</v>
      </c>
      <c r="D1351" s="35">
        <v>1</v>
      </c>
    </row>
    <row r="1352" spans="1:4">
      <c r="A1352" s="35" t="s">
        <v>413</v>
      </c>
      <c r="B1352" s="35" t="s">
        <v>26</v>
      </c>
      <c r="C1352" s="36">
        <v>46267.6921296296</v>
      </c>
      <c r="D1352" s="35">
        <v>5</v>
      </c>
    </row>
    <row r="1353" spans="1:4">
      <c r="A1353" s="35" t="s">
        <v>168</v>
      </c>
      <c r="B1353" s="35" t="s">
        <v>26</v>
      </c>
      <c r="C1353" s="36">
        <v>46268.3440625</v>
      </c>
      <c r="D1353" s="35">
        <v>1</v>
      </c>
    </row>
    <row r="1354" spans="1:4">
      <c r="A1354" s="35" t="s">
        <v>413</v>
      </c>
      <c r="B1354" s="35" t="s">
        <v>26</v>
      </c>
      <c r="C1354" s="36">
        <v>46268.3528703704</v>
      </c>
      <c r="D1354" s="35">
        <v>25</v>
      </c>
    </row>
    <row r="1355" spans="1:4">
      <c r="A1355" s="35" t="s">
        <v>804</v>
      </c>
      <c r="B1355" s="35" t="s">
        <v>26</v>
      </c>
      <c r="C1355" s="36">
        <v>46268.3739467593</v>
      </c>
      <c r="D1355" s="35">
        <v>10</v>
      </c>
    </row>
    <row r="1356" spans="1:4">
      <c r="A1356" s="35" t="s">
        <v>519</v>
      </c>
      <c r="B1356" s="35" t="s">
        <v>26</v>
      </c>
      <c r="C1356" s="36">
        <v>46268.4249537037</v>
      </c>
      <c r="D1356" s="35">
        <v>1000</v>
      </c>
    </row>
    <row r="1357" spans="1:4">
      <c r="A1357" s="35" t="s">
        <v>858</v>
      </c>
      <c r="B1357" s="35" t="s">
        <v>26</v>
      </c>
      <c r="C1357" s="36">
        <v>46268.425787037</v>
      </c>
      <c r="D1357" s="35">
        <v>1</v>
      </c>
    </row>
    <row r="1358" spans="1:4">
      <c r="A1358" s="35" t="s">
        <v>181</v>
      </c>
      <c r="B1358" s="35" t="s">
        <v>182</v>
      </c>
      <c r="C1358" s="36">
        <v>46268.4260763889</v>
      </c>
      <c r="D1358" s="35">
        <v>1000</v>
      </c>
    </row>
    <row r="1359" spans="1:4">
      <c r="A1359" s="35" t="s">
        <v>832</v>
      </c>
      <c r="B1359" s="35" t="s">
        <v>182</v>
      </c>
      <c r="C1359" s="36">
        <v>46268.426087963</v>
      </c>
      <c r="D1359" s="35">
        <v>1</v>
      </c>
    </row>
    <row r="1360" spans="1:4">
      <c r="A1360" s="35" t="s">
        <v>172</v>
      </c>
      <c r="B1360" s="35" t="s">
        <v>26</v>
      </c>
      <c r="C1360" s="36">
        <v>46268.4268865741</v>
      </c>
      <c r="D1360" s="35">
        <v>1</v>
      </c>
    </row>
    <row r="1361" spans="1:4">
      <c r="A1361" s="35" t="s">
        <v>25</v>
      </c>
      <c r="B1361" s="35" t="s">
        <v>26</v>
      </c>
      <c r="C1361" s="36">
        <v>46268.4274305556</v>
      </c>
      <c r="D1361" s="35">
        <v>1</v>
      </c>
    </row>
    <row r="1362" spans="1:4">
      <c r="A1362" s="35" t="s">
        <v>28</v>
      </c>
      <c r="B1362" s="35" t="s">
        <v>26</v>
      </c>
      <c r="C1362" s="36">
        <v>46268.4280324074</v>
      </c>
      <c r="D1362" s="35">
        <v>1</v>
      </c>
    </row>
    <row r="1363" spans="1:4">
      <c r="A1363" s="35" t="s">
        <v>149</v>
      </c>
      <c r="B1363" s="35" t="s">
        <v>26</v>
      </c>
      <c r="C1363" s="36">
        <v>46268.4295949074</v>
      </c>
      <c r="D1363" s="35">
        <v>1</v>
      </c>
    </row>
    <row r="1364" spans="1:4">
      <c r="A1364" s="35" t="s">
        <v>505</v>
      </c>
      <c r="B1364" s="35" t="s">
        <v>26</v>
      </c>
      <c r="C1364" s="36">
        <v>46268.4347569444</v>
      </c>
      <c r="D1364" s="35">
        <v>1</v>
      </c>
    </row>
    <row r="1365" spans="1:4">
      <c r="A1365" s="35" t="s">
        <v>859</v>
      </c>
      <c r="B1365" s="35" t="s">
        <v>26</v>
      </c>
      <c r="C1365" s="36">
        <v>46268.4347685185</v>
      </c>
      <c r="D1365" s="35">
        <v>1</v>
      </c>
    </row>
    <row r="1366" spans="1:4">
      <c r="A1366" s="35" t="s">
        <v>860</v>
      </c>
      <c r="B1366" s="35" t="s">
        <v>26</v>
      </c>
      <c r="C1366" s="36">
        <v>46268.4369444445</v>
      </c>
      <c r="D1366" s="35">
        <v>1</v>
      </c>
    </row>
    <row r="1367" spans="1:4">
      <c r="A1367" s="35" t="s">
        <v>861</v>
      </c>
      <c r="B1367" s="35" t="s">
        <v>35</v>
      </c>
      <c r="C1367" s="36">
        <v>46268.4369560185</v>
      </c>
      <c r="D1367" s="35">
        <v>1</v>
      </c>
    </row>
    <row r="1368" spans="1:4">
      <c r="A1368" s="35" t="s">
        <v>819</v>
      </c>
      <c r="B1368" s="35" t="s">
        <v>182</v>
      </c>
      <c r="C1368" s="36">
        <v>46268.4764930556</v>
      </c>
      <c r="D1368" s="35">
        <v>1</v>
      </c>
    </row>
    <row r="1369" spans="1:4">
      <c r="A1369" s="35" t="s">
        <v>862</v>
      </c>
      <c r="B1369" s="35" t="s">
        <v>182</v>
      </c>
      <c r="C1369" s="36">
        <v>46268.6033912037</v>
      </c>
      <c r="D1369" s="35">
        <v>1</v>
      </c>
    </row>
    <row r="1370" spans="1:4">
      <c r="A1370" s="35" t="s">
        <v>430</v>
      </c>
      <c r="B1370" s="35" t="s">
        <v>182</v>
      </c>
      <c r="C1370" s="36">
        <v>46268.6034027778</v>
      </c>
      <c r="D1370" s="35">
        <v>10</v>
      </c>
    </row>
    <row r="1371" spans="1:4">
      <c r="A1371" s="35" t="s">
        <v>265</v>
      </c>
      <c r="B1371" s="35" t="s">
        <v>26</v>
      </c>
      <c r="C1371" s="36">
        <v>46268.63125</v>
      </c>
      <c r="D1371" s="35">
        <v>4</v>
      </c>
    </row>
    <row r="1372" spans="1:4">
      <c r="A1372" s="35" t="s">
        <v>262</v>
      </c>
      <c r="B1372" s="35" t="s">
        <v>26</v>
      </c>
      <c r="C1372" s="36">
        <v>46268.6312615741</v>
      </c>
      <c r="D1372" s="35">
        <v>2</v>
      </c>
    </row>
    <row r="1373" spans="1:4">
      <c r="A1373" s="35" t="s">
        <v>491</v>
      </c>
      <c r="B1373" s="35" t="s">
        <v>38</v>
      </c>
      <c r="C1373" s="36">
        <v>46268.6312731481</v>
      </c>
      <c r="D1373" s="35">
        <v>4</v>
      </c>
    </row>
    <row r="1374" spans="1:4">
      <c r="A1374" s="35" t="s">
        <v>259</v>
      </c>
      <c r="B1374" s="35" t="s">
        <v>38</v>
      </c>
      <c r="C1374" s="36">
        <v>46268.6312847222</v>
      </c>
      <c r="D1374" s="35">
        <v>5</v>
      </c>
    </row>
    <row r="1375" spans="1:4">
      <c r="A1375" s="35" t="s">
        <v>181</v>
      </c>
      <c r="B1375" s="35" t="s">
        <v>38</v>
      </c>
      <c r="C1375" s="36">
        <v>46268.6312962963</v>
      </c>
      <c r="D1375" s="35">
        <v>5</v>
      </c>
    </row>
    <row r="1376" spans="1:4">
      <c r="A1376" s="35" t="s">
        <v>632</v>
      </c>
      <c r="B1376" s="35" t="s">
        <v>182</v>
      </c>
      <c r="C1376" s="36">
        <v>46268.6313078704</v>
      </c>
      <c r="D1376" s="35">
        <v>1</v>
      </c>
    </row>
    <row r="1377" spans="1:4">
      <c r="A1377" s="35" t="s">
        <v>545</v>
      </c>
      <c r="B1377" s="35" t="s">
        <v>182</v>
      </c>
      <c r="C1377" s="36">
        <v>46268.6313194444</v>
      </c>
      <c r="D1377" s="35">
        <v>3</v>
      </c>
    </row>
    <row r="1378" spans="1:4">
      <c r="A1378" s="35" t="s">
        <v>863</v>
      </c>
      <c r="B1378" s="35" t="s">
        <v>783</v>
      </c>
      <c r="C1378" s="36">
        <v>46268.6354166667</v>
      </c>
      <c r="D1378" s="35">
        <v>1</v>
      </c>
    </row>
    <row r="1379" spans="1:4">
      <c r="A1379" s="35" t="s">
        <v>864</v>
      </c>
      <c r="B1379" s="35" t="s">
        <v>26</v>
      </c>
      <c r="C1379" s="36">
        <v>46268.6375</v>
      </c>
      <c r="D1379" s="35">
        <v>1</v>
      </c>
    </row>
    <row r="1380" spans="1:4">
      <c r="A1380" s="35" t="s">
        <v>865</v>
      </c>
      <c r="B1380" s="35" t="s">
        <v>783</v>
      </c>
      <c r="C1380" s="36">
        <v>46268.6381944444</v>
      </c>
      <c r="D1380" s="35">
        <v>1</v>
      </c>
    </row>
    <row r="1381" spans="1:4">
      <c r="A1381" s="35" t="s">
        <v>866</v>
      </c>
      <c r="B1381" s="35" t="s">
        <v>26</v>
      </c>
      <c r="C1381" s="36">
        <v>46268.6382060185</v>
      </c>
      <c r="D1381" s="35">
        <v>1</v>
      </c>
    </row>
    <row r="1382" spans="1:4">
      <c r="A1382" s="35" t="s">
        <v>867</v>
      </c>
      <c r="B1382" s="35" t="s">
        <v>26</v>
      </c>
      <c r="C1382" s="36">
        <v>46268.6382175926</v>
      </c>
      <c r="D1382" s="35">
        <v>2</v>
      </c>
    </row>
    <row r="1383" spans="1:4">
      <c r="A1383" s="35" t="s">
        <v>647</v>
      </c>
      <c r="B1383" s="35" t="s">
        <v>26</v>
      </c>
      <c r="C1383" s="36">
        <v>46268.6382291667</v>
      </c>
      <c r="D1383" s="35">
        <v>1</v>
      </c>
    </row>
    <row r="1384" spans="1:4">
      <c r="A1384" s="35" t="s">
        <v>846</v>
      </c>
      <c r="B1384" s="35" t="s">
        <v>26</v>
      </c>
      <c r="C1384" s="36">
        <v>46268.6382407407</v>
      </c>
      <c r="D1384" s="35">
        <v>1</v>
      </c>
    </row>
    <row r="1385" spans="1:4">
      <c r="A1385" s="35" t="s">
        <v>801</v>
      </c>
      <c r="B1385" s="35" t="s">
        <v>26</v>
      </c>
      <c r="C1385" s="36">
        <v>46268.6382523148</v>
      </c>
      <c r="D1385" s="35">
        <v>2</v>
      </c>
    </row>
    <row r="1386" spans="1:4">
      <c r="A1386" s="35" t="s">
        <v>29</v>
      </c>
      <c r="B1386" s="35" t="s">
        <v>26</v>
      </c>
      <c r="C1386" s="36">
        <v>46268.66875</v>
      </c>
      <c r="D1386" s="35">
        <v>1</v>
      </c>
    </row>
    <row r="1387" spans="1:4">
      <c r="A1387" s="35" t="s">
        <v>196</v>
      </c>
      <c r="B1387" s="35" t="s">
        <v>26</v>
      </c>
      <c r="C1387" s="36">
        <v>46268.6799652778</v>
      </c>
      <c r="D1387" s="35">
        <v>100</v>
      </c>
    </row>
    <row r="1388" spans="1:4">
      <c r="A1388" s="35" t="s">
        <v>196</v>
      </c>
      <c r="B1388" s="35" t="s">
        <v>26</v>
      </c>
      <c r="C1388" s="36">
        <v>46268.6819791667</v>
      </c>
      <c r="D1388" s="35">
        <v>84</v>
      </c>
    </row>
    <row r="1389" spans="1:4">
      <c r="A1389" s="35" t="s">
        <v>431</v>
      </c>
      <c r="B1389" s="35" t="s">
        <v>182</v>
      </c>
      <c r="C1389" s="36">
        <v>46268.6830208333</v>
      </c>
      <c r="D1389" s="35">
        <v>50</v>
      </c>
    </row>
    <row r="1390" spans="1:4">
      <c r="A1390" s="35" t="s">
        <v>868</v>
      </c>
      <c r="B1390" s="35" t="s">
        <v>26</v>
      </c>
      <c r="C1390" s="36">
        <v>46269.4508912037</v>
      </c>
      <c r="D1390" s="35">
        <v>18134</v>
      </c>
    </row>
    <row r="1391" spans="1:4">
      <c r="A1391" s="35" t="s">
        <v>435</v>
      </c>
      <c r="B1391" s="35" t="s">
        <v>26</v>
      </c>
      <c r="C1391" s="36">
        <v>46269.6109375</v>
      </c>
      <c r="D1391" s="35">
        <v>1</v>
      </c>
    </row>
    <row r="1392" spans="1:4">
      <c r="A1392" s="35" t="s">
        <v>869</v>
      </c>
      <c r="B1392" s="35" t="s">
        <v>51</v>
      </c>
      <c r="C1392" s="36">
        <v>46269.6130208333</v>
      </c>
      <c r="D1392" s="35">
        <v>2</v>
      </c>
    </row>
    <row r="1393" spans="1:4">
      <c r="A1393" s="35" t="s">
        <v>870</v>
      </c>
      <c r="B1393" s="35" t="s">
        <v>26</v>
      </c>
      <c r="C1393" s="36">
        <v>46269.6130324074</v>
      </c>
      <c r="D1393" s="35">
        <v>1</v>
      </c>
    </row>
    <row r="1394" spans="1:4">
      <c r="A1394" s="35" t="s">
        <v>804</v>
      </c>
      <c r="B1394" s="35" t="s">
        <v>26</v>
      </c>
      <c r="C1394" s="36">
        <v>46269.6130439815</v>
      </c>
      <c r="D1394" s="35">
        <v>1</v>
      </c>
    </row>
    <row r="1395" spans="1:4">
      <c r="A1395" s="35" t="s">
        <v>845</v>
      </c>
      <c r="B1395" s="35" t="s">
        <v>26</v>
      </c>
      <c r="C1395" s="36">
        <v>46269.6130555556</v>
      </c>
      <c r="D1395" s="35">
        <v>1</v>
      </c>
    </row>
    <row r="1396" spans="1:4">
      <c r="A1396" s="35" t="s">
        <v>865</v>
      </c>
      <c r="B1396" s="35" t="s">
        <v>51</v>
      </c>
      <c r="C1396" s="36">
        <v>46269.6130671296</v>
      </c>
      <c r="D1396" s="35">
        <v>1</v>
      </c>
    </row>
    <row r="1397" spans="1:4">
      <c r="A1397" s="35" t="s">
        <v>846</v>
      </c>
      <c r="B1397" s="35" t="s">
        <v>26</v>
      </c>
      <c r="C1397" s="36">
        <v>46269.6130787037</v>
      </c>
      <c r="D1397" s="35">
        <v>1</v>
      </c>
    </row>
    <row r="1398" spans="1:4">
      <c r="A1398" s="35" t="s">
        <v>871</v>
      </c>
      <c r="B1398" s="35" t="s">
        <v>26</v>
      </c>
      <c r="C1398" s="36">
        <v>46269.6130902778</v>
      </c>
      <c r="D1398" s="35">
        <v>1</v>
      </c>
    </row>
    <row r="1399" spans="1:4">
      <c r="A1399" s="35" t="s">
        <v>872</v>
      </c>
      <c r="B1399" s="35" t="s">
        <v>26</v>
      </c>
      <c r="C1399" s="36">
        <v>46269.6131018519</v>
      </c>
      <c r="D1399" s="35">
        <v>1</v>
      </c>
    </row>
    <row r="1400" spans="1:4">
      <c r="A1400" s="35" t="s">
        <v>550</v>
      </c>
      <c r="B1400" s="35" t="s">
        <v>26</v>
      </c>
      <c r="C1400" s="36">
        <v>46269.6131134259</v>
      </c>
      <c r="D1400" s="35">
        <v>1</v>
      </c>
    </row>
    <row r="1401" spans="1:4">
      <c r="A1401" s="35" t="s">
        <v>431</v>
      </c>
      <c r="B1401" s="35" t="s">
        <v>26</v>
      </c>
      <c r="C1401" s="36">
        <v>46269.6200231482</v>
      </c>
      <c r="D1401" s="35">
        <v>3</v>
      </c>
    </row>
    <row r="1402" spans="1:4">
      <c r="A1402" s="35" t="s">
        <v>819</v>
      </c>
      <c r="B1402" s="35" t="s">
        <v>182</v>
      </c>
      <c r="C1402" s="36">
        <v>46269.6200347222</v>
      </c>
      <c r="D1402" s="35">
        <v>6</v>
      </c>
    </row>
    <row r="1403" spans="1:4">
      <c r="A1403" s="35" t="s">
        <v>181</v>
      </c>
      <c r="B1403" s="35" t="s">
        <v>38</v>
      </c>
      <c r="C1403" s="36">
        <v>46269.6259490741</v>
      </c>
      <c r="D1403" s="35">
        <v>4</v>
      </c>
    </row>
    <row r="1404" spans="1:4">
      <c r="A1404" s="35" t="s">
        <v>258</v>
      </c>
      <c r="B1404" s="35" t="s">
        <v>38</v>
      </c>
      <c r="C1404" s="36">
        <v>46269.6259606482</v>
      </c>
      <c r="D1404" s="35">
        <v>2</v>
      </c>
    </row>
    <row r="1405" spans="1:4">
      <c r="A1405" s="35" t="s">
        <v>873</v>
      </c>
      <c r="B1405" s="35" t="s">
        <v>38</v>
      </c>
      <c r="C1405" s="36">
        <v>46269.6259722222</v>
      </c>
      <c r="D1405" s="35">
        <v>1</v>
      </c>
    </row>
    <row r="1406" spans="1:4">
      <c r="A1406" s="35" t="s">
        <v>874</v>
      </c>
      <c r="B1406" s="35" t="s">
        <v>783</v>
      </c>
      <c r="C1406" s="36">
        <v>46269.6259837963</v>
      </c>
      <c r="D1406" s="35">
        <v>2</v>
      </c>
    </row>
    <row r="1407" spans="1:4">
      <c r="A1407" s="35" t="s">
        <v>875</v>
      </c>
      <c r="B1407" s="35" t="s">
        <v>783</v>
      </c>
      <c r="C1407" s="36">
        <v>46269.6259953704</v>
      </c>
      <c r="D1407" s="35">
        <v>2</v>
      </c>
    </row>
    <row r="1408" spans="1:4">
      <c r="A1408" s="35" t="s">
        <v>876</v>
      </c>
      <c r="B1408" s="35" t="s">
        <v>26</v>
      </c>
      <c r="C1408" s="36">
        <v>46269.6424189815</v>
      </c>
      <c r="D1408" s="35">
        <v>1</v>
      </c>
    </row>
    <row r="1409" spans="1:4">
      <c r="A1409" s="35" t="s">
        <v>877</v>
      </c>
      <c r="B1409" s="35" t="s">
        <v>35</v>
      </c>
      <c r="C1409" s="36">
        <v>46269.6709606482</v>
      </c>
      <c r="D1409" s="35">
        <v>1</v>
      </c>
    </row>
    <row r="1410" spans="1:4">
      <c r="A1410" s="35" t="s">
        <v>878</v>
      </c>
      <c r="B1410" s="35" t="s">
        <v>35</v>
      </c>
      <c r="C1410" s="36">
        <v>46269.6771990741</v>
      </c>
      <c r="D1410" s="35">
        <v>1</v>
      </c>
    </row>
    <row r="1411" spans="1:4">
      <c r="A1411" s="35" t="s">
        <v>879</v>
      </c>
      <c r="B1411" s="35" t="s">
        <v>35</v>
      </c>
      <c r="C1411" s="36">
        <v>46269.6957291667</v>
      </c>
      <c r="D1411" s="35">
        <v>1</v>
      </c>
    </row>
    <row r="1412" spans="1:4">
      <c r="A1412" s="35" t="s">
        <v>879</v>
      </c>
      <c r="B1412" s="35" t="s">
        <v>35</v>
      </c>
      <c r="C1412" s="36">
        <v>46269.6974305556</v>
      </c>
      <c r="D1412" s="35">
        <v>1</v>
      </c>
    </row>
    <row r="1413" spans="1:4">
      <c r="A1413" s="35" t="s">
        <v>877</v>
      </c>
      <c r="B1413" s="35" t="s">
        <v>35</v>
      </c>
      <c r="C1413" s="36">
        <v>46269.7013425926</v>
      </c>
      <c r="D1413" s="35">
        <v>1</v>
      </c>
    </row>
    <row r="1414" spans="1:4">
      <c r="A1414" s="35" t="s">
        <v>191</v>
      </c>
      <c r="B1414" s="35" t="s">
        <v>26</v>
      </c>
      <c r="C1414" s="36">
        <v>46273.5569444444</v>
      </c>
      <c r="D1414" s="35">
        <v>1</v>
      </c>
    </row>
    <row r="1415" spans="1:4">
      <c r="A1415" s="35" t="s">
        <v>37</v>
      </c>
      <c r="B1415" s="35" t="s">
        <v>26</v>
      </c>
      <c r="C1415" s="36">
        <v>46273.606412037</v>
      </c>
      <c r="D1415" s="35">
        <v>28</v>
      </c>
    </row>
    <row r="1416" spans="1:4">
      <c r="A1416" s="35" t="s">
        <v>880</v>
      </c>
      <c r="B1416" s="35" t="s">
        <v>26</v>
      </c>
      <c r="C1416" s="36">
        <v>46273.6909606482</v>
      </c>
      <c r="D1416" s="35">
        <v>11</v>
      </c>
    </row>
    <row r="1417" spans="1:4">
      <c r="A1417" s="35" t="s">
        <v>881</v>
      </c>
      <c r="B1417" s="35" t="s">
        <v>26</v>
      </c>
      <c r="C1417" s="36">
        <v>46273.6909722222</v>
      </c>
      <c r="D1417" s="35">
        <v>13</v>
      </c>
    </row>
    <row r="1418" spans="1:4">
      <c r="A1418" s="35" t="s">
        <v>882</v>
      </c>
      <c r="B1418" s="35" t="s">
        <v>26</v>
      </c>
      <c r="C1418" s="36">
        <v>46273.6909837963</v>
      </c>
      <c r="D1418" s="35">
        <v>4</v>
      </c>
    </row>
    <row r="1419" spans="1:4">
      <c r="A1419" s="35" t="s">
        <v>883</v>
      </c>
      <c r="B1419" s="35" t="s">
        <v>26</v>
      </c>
      <c r="C1419" s="36">
        <v>46273.6909953704</v>
      </c>
      <c r="D1419" s="35">
        <v>4</v>
      </c>
    </row>
    <row r="1420" spans="1:4">
      <c r="A1420" s="35" t="s">
        <v>884</v>
      </c>
      <c r="B1420" s="35" t="s">
        <v>26</v>
      </c>
      <c r="C1420" s="36">
        <v>46273.6910069444</v>
      </c>
      <c r="D1420" s="35">
        <v>20</v>
      </c>
    </row>
    <row r="1421" spans="1:4">
      <c r="A1421" s="35" t="s">
        <v>885</v>
      </c>
      <c r="B1421" s="35" t="s">
        <v>26</v>
      </c>
      <c r="C1421" s="36">
        <v>46273.6910185185</v>
      </c>
      <c r="D1421" s="35">
        <v>2</v>
      </c>
    </row>
    <row r="1422" spans="1:4">
      <c r="A1422" s="35" t="s">
        <v>154</v>
      </c>
      <c r="B1422" s="35" t="s">
        <v>26</v>
      </c>
      <c r="C1422" s="36">
        <v>46273.6975462963</v>
      </c>
      <c r="D1422" s="35">
        <v>1</v>
      </c>
    </row>
    <row r="1423" spans="1:4">
      <c r="A1423" s="35" t="s">
        <v>647</v>
      </c>
      <c r="B1423" s="35" t="s">
        <v>26</v>
      </c>
      <c r="C1423" s="36">
        <v>46273.7018287037</v>
      </c>
      <c r="D1423" s="35">
        <v>1</v>
      </c>
    </row>
    <row r="1424" spans="1:4">
      <c r="A1424" s="35" t="s">
        <v>886</v>
      </c>
      <c r="B1424" s="35" t="s">
        <v>783</v>
      </c>
      <c r="C1424" s="36">
        <v>46273.7028587963</v>
      </c>
      <c r="D1424" s="35">
        <v>2</v>
      </c>
    </row>
    <row r="1425" spans="1:4">
      <c r="A1425" s="35" t="s">
        <v>887</v>
      </c>
      <c r="B1425" s="35" t="s">
        <v>26</v>
      </c>
      <c r="C1425" s="36">
        <v>46273.703900463</v>
      </c>
      <c r="D1425" s="35">
        <v>0.01</v>
      </c>
    </row>
    <row r="1426" spans="1:4">
      <c r="A1426" s="35" t="s">
        <v>530</v>
      </c>
      <c r="B1426" s="35" t="s">
        <v>26</v>
      </c>
      <c r="C1426" s="36">
        <v>46273.7047569445</v>
      </c>
      <c r="D1426" s="35">
        <v>1</v>
      </c>
    </row>
    <row r="1427" spans="1:4">
      <c r="A1427" s="35" t="s">
        <v>824</v>
      </c>
      <c r="B1427" s="35" t="s">
        <v>26</v>
      </c>
      <c r="C1427" s="36">
        <v>46273.7052430556</v>
      </c>
      <c r="D1427" s="35">
        <v>3</v>
      </c>
    </row>
    <row r="1428" spans="1:4">
      <c r="A1428" s="35" t="s">
        <v>25</v>
      </c>
      <c r="B1428" s="35" t="s">
        <v>26</v>
      </c>
      <c r="C1428" s="36">
        <v>46273.706712963</v>
      </c>
      <c r="D1428" s="35">
        <v>6</v>
      </c>
    </row>
    <row r="1429" spans="1:4">
      <c r="A1429" s="35" t="s">
        <v>824</v>
      </c>
      <c r="B1429" s="35" t="s">
        <v>26</v>
      </c>
      <c r="C1429" s="36">
        <v>46273.7084027778</v>
      </c>
      <c r="D1429" s="35">
        <v>3</v>
      </c>
    </row>
    <row r="1430" spans="1:4">
      <c r="A1430" s="35" t="s">
        <v>181</v>
      </c>
      <c r="B1430" s="35" t="s">
        <v>38</v>
      </c>
      <c r="C1430" s="36">
        <v>46273.7084143519</v>
      </c>
      <c r="D1430" s="35">
        <v>4</v>
      </c>
    </row>
    <row r="1431" spans="1:4">
      <c r="A1431" s="35" t="s">
        <v>888</v>
      </c>
      <c r="B1431" s="35" t="s">
        <v>26</v>
      </c>
      <c r="C1431" s="36">
        <v>46273.7098032407</v>
      </c>
      <c r="D1431" s="35">
        <v>2</v>
      </c>
    </row>
    <row r="1432" spans="1:4">
      <c r="A1432" s="35" t="s">
        <v>889</v>
      </c>
      <c r="B1432" s="35" t="s">
        <v>35</v>
      </c>
      <c r="C1432" s="36">
        <v>46273.7133333333</v>
      </c>
      <c r="D1432" s="35">
        <v>1</v>
      </c>
    </row>
    <row r="1433" spans="1:4">
      <c r="A1433" s="35" t="s">
        <v>886</v>
      </c>
      <c r="B1433" s="35" t="s">
        <v>783</v>
      </c>
      <c r="C1433" s="36">
        <v>46273.7231828704</v>
      </c>
      <c r="D1433" s="35">
        <v>2</v>
      </c>
    </row>
    <row r="1434" spans="1:4">
      <c r="A1434" s="35" t="s">
        <v>484</v>
      </c>
      <c r="B1434" s="35" t="s">
        <v>26</v>
      </c>
      <c r="C1434" s="36">
        <v>46273.7285416667</v>
      </c>
      <c r="D1434" s="35">
        <v>1</v>
      </c>
    </row>
    <row r="1435" spans="1:4">
      <c r="A1435" s="35" t="s">
        <v>476</v>
      </c>
      <c r="B1435" s="35" t="s">
        <v>182</v>
      </c>
      <c r="C1435" s="36">
        <v>46273.7285532407</v>
      </c>
      <c r="D1435" s="35">
        <v>1</v>
      </c>
    </row>
    <row r="1436" spans="1:4">
      <c r="A1436" s="35" t="s">
        <v>431</v>
      </c>
      <c r="B1436" s="35" t="s">
        <v>182</v>
      </c>
      <c r="C1436" s="36">
        <v>46274.5186342593</v>
      </c>
      <c r="D1436" s="35">
        <v>40</v>
      </c>
    </row>
    <row r="1437" spans="1:4">
      <c r="A1437" s="35" t="s">
        <v>846</v>
      </c>
      <c r="B1437" s="35" t="s">
        <v>26</v>
      </c>
      <c r="C1437" s="36">
        <v>46274.5694444445</v>
      </c>
      <c r="D1437" s="35">
        <v>1</v>
      </c>
    </row>
    <row r="1438" spans="1:4">
      <c r="A1438" s="35" t="s">
        <v>647</v>
      </c>
      <c r="B1438" s="35" t="s">
        <v>26</v>
      </c>
      <c r="C1438" s="36">
        <v>46274.5708333333</v>
      </c>
      <c r="D1438" s="35">
        <v>1</v>
      </c>
    </row>
    <row r="1439" spans="1:4">
      <c r="A1439" s="35" t="s">
        <v>890</v>
      </c>
      <c r="B1439" s="35" t="s">
        <v>26</v>
      </c>
      <c r="C1439" s="36">
        <v>46274.5715277778</v>
      </c>
      <c r="D1439" s="35">
        <v>1</v>
      </c>
    </row>
    <row r="1440" spans="1:4">
      <c r="A1440" s="35" t="s">
        <v>891</v>
      </c>
      <c r="B1440" s="35" t="s">
        <v>26</v>
      </c>
      <c r="C1440" s="36">
        <v>46274.5722222222</v>
      </c>
      <c r="D1440" s="35">
        <v>1</v>
      </c>
    </row>
    <row r="1441" spans="1:4">
      <c r="A1441" s="35" t="s">
        <v>530</v>
      </c>
      <c r="B1441" s="35" t="s">
        <v>26</v>
      </c>
      <c r="C1441" s="36">
        <v>46274.5729166667</v>
      </c>
      <c r="D1441" s="35">
        <v>1</v>
      </c>
    </row>
    <row r="1442" spans="1:4">
      <c r="A1442" s="35" t="s">
        <v>413</v>
      </c>
      <c r="B1442" s="35" t="s">
        <v>26</v>
      </c>
      <c r="C1442" s="36">
        <v>46274.58125</v>
      </c>
      <c r="D1442" s="35">
        <v>1</v>
      </c>
    </row>
    <row r="1443" spans="1:4">
      <c r="A1443" s="35" t="s">
        <v>431</v>
      </c>
      <c r="B1443" s="35" t="s">
        <v>182</v>
      </c>
      <c r="C1443" s="36">
        <v>46274.6645949074</v>
      </c>
      <c r="D1443" s="35">
        <v>2</v>
      </c>
    </row>
    <row r="1444" spans="1:4">
      <c r="A1444" s="35" t="s">
        <v>892</v>
      </c>
      <c r="B1444" s="35" t="s">
        <v>26</v>
      </c>
      <c r="C1444" s="36">
        <v>46275.4918055556</v>
      </c>
      <c r="D1444" s="35">
        <v>1</v>
      </c>
    </row>
    <row r="1445" spans="1:4">
      <c r="A1445" s="35" t="s">
        <v>893</v>
      </c>
      <c r="B1445" s="35" t="s">
        <v>26</v>
      </c>
      <c r="C1445" s="36">
        <v>46275.5560532407</v>
      </c>
      <c r="D1445" s="35">
        <v>1</v>
      </c>
    </row>
    <row r="1446" spans="1:4">
      <c r="A1446" s="35" t="s">
        <v>325</v>
      </c>
      <c r="B1446" s="35" t="s">
        <v>26</v>
      </c>
      <c r="C1446" s="36">
        <v>46275.5612384259</v>
      </c>
      <c r="D1446" s="35">
        <v>1</v>
      </c>
    </row>
    <row r="1447" spans="1:4">
      <c r="A1447" s="35" t="s">
        <v>149</v>
      </c>
      <c r="B1447" s="35" t="s">
        <v>26</v>
      </c>
      <c r="C1447" s="36">
        <v>46275.564525463</v>
      </c>
      <c r="D1447" s="35">
        <v>2</v>
      </c>
    </row>
    <row r="1448" spans="1:4">
      <c r="A1448" s="35" t="s">
        <v>266</v>
      </c>
      <c r="B1448" s="35" t="s">
        <v>26</v>
      </c>
      <c r="C1448" s="36">
        <v>46275.5801157407</v>
      </c>
      <c r="D1448" s="35">
        <v>1</v>
      </c>
    </row>
    <row r="1449" spans="1:4">
      <c r="A1449" s="35" t="s">
        <v>413</v>
      </c>
      <c r="B1449" s="35" t="s">
        <v>26</v>
      </c>
      <c r="C1449" s="36">
        <v>46275.5801273148</v>
      </c>
      <c r="D1449" s="35">
        <v>5</v>
      </c>
    </row>
    <row r="1450" spans="1:4">
      <c r="A1450" s="35" t="s">
        <v>413</v>
      </c>
      <c r="B1450" s="35" t="s">
        <v>26</v>
      </c>
      <c r="C1450" s="36">
        <v>46275.5831944444</v>
      </c>
      <c r="D1450" s="35">
        <v>5</v>
      </c>
    </row>
    <row r="1451" spans="1:4">
      <c r="A1451" s="35" t="s">
        <v>619</v>
      </c>
      <c r="B1451" s="35" t="s">
        <v>26</v>
      </c>
      <c r="C1451" s="36">
        <v>46275.6185416667</v>
      </c>
      <c r="D1451" s="35">
        <v>3</v>
      </c>
    </row>
    <row r="1452" spans="1:4">
      <c r="A1452" s="35" t="s">
        <v>618</v>
      </c>
      <c r="B1452" s="35" t="s">
        <v>26</v>
      </c>
      <c r="C1452" s="36">
        <v>46275.6185532407</v>
      </c>
      <c r="D1452" s="35">
        <v>3</v>
      </c>
    </row>
    <row r="1453" spans="1:4">
      <c r="A1453" s="35" t="s">
        <v>894</v>
      </c>
      <c r="B1453" s="35" t="s">
        <v>26</v>
      </c>
      <c r="C1453" s="36">
        <v>46275.6185648148</v>
      </c>
      <c r="D1453" s="35">
        <v>9</v>
      </c>
    </row>
    <row r="1454" spans="1:4">
      <c r="A1454" s="35" t="s">
        <v>37</v>
      </c>
      <c r="B1454" s="35" t="s">
        <v>38</v>
      </c>
      <c r="C1454" s="36">
        <v>46275.6242939815</v>
      </c>
      <c r="D1454" s="35">
        <v>4</v>
      </c>
    </row>
    <row r="1455" spans="1:4">
      <c r="A1455" s="35" t="s">
        <v>824</v>
      </c>
      <c r="B1455" s="35" t="s">
        <v>26</v>
      </c>
      <c r="C1455" s="36">
        <v>46275.6243055556</v>
      </c>
      <c r="D1455" s="35">
        <v>4</v>
      </c>
    </row>
    <row r="1456" spans="1:4">
      <c r="A1456" s="35" t="s">
        <v>530</v>
      </c>
      <c r="B1456" s="35" t="s">
        <v>26</v>
      </c>
      <c r="C1456" s="36">
        <v>46275.6777777778</v>
      </c>
      <c r="D1456" s="35">
        <v>1</v>
      </c>
    </row>
    <row r="1457" spans="1:4">
      <c r="A1457" s="35" t="s">
        <v>637</v>
      </c>
      <c r="B1457" s="35" t="s">
        <v>26</v>
      </c>
      <c r="C1457" s="36">
        <v>46276.5583333333</v>
      </c>
      <c r="D1457" s="35">
        <v>2</v>
      </c>
    </row>
    <row r="1458" spans="1:4">
      <c r="A1458" s="35" t="s">
        <v>816</v>
      </c>
      <c r="B1458" s="35" t="s">
        <v>182</v>
      </c>
      <c r="C1458" s="36">
        <v>46276.5664351852</v>
      </c>
      <c r="D1458" s="35">
        <v>1</v>
      </c>
    </row>
    <row r="1459" spans="1:4">
      <c r="A1459" s="35" t="s">
        <v>181</v>
      </c>
      <c r="B1459" s="35" t="s">
        <v>38</v>
      </c>
      <c r="C1459" s="36">
        <v>46276.6708333333</v>
      </c>
      <c r="D1459" s="35">
        <v>4</v>
      </c>
    </row>
    <row r="1460" spans="1:4">
      <c r="A1460" s="35" t="s">
        <v>458</v>
      </c>
      <c r="B1460" s="35" t="s">
        <v>38</v>
      </c>
      <c r="C1460" s="36">
        <v>46276.6708449074</v>
      </c>
      <c r="D1460" s="35">
        <v>1</v>
      </c>
    </row>
    <row r="1461" spans="1:4">
      <c r="A1461" s="35" t="s">
        <v>439</v>
      </c>
      <c r="B1461" s="35" t="s">
        <v>38</v>
      </c>
      <c r="C1461" s="36">
        <v>46276.6708564815</v>
      </c>
      <c r="D1461" s="35">
        <v>1</v>
      </c>
    </row>
    <row r="1462" spans="1:4">
      <c r="A1462" s="35" t="s">
        <v>846</v>
      </c>
      <c r="B1462" s="35" t="s">
        <v>26</v>
      </c>
      <c r="C1462" s="36">
        <v>46276.6722222222</v>
      </c>
      <c r="D1462" s="35">
        <v>1</v>
      </c>
    </row>
    <row r="1463" spans="1:4">
      <c r="A1463" s="35" t="s">
        <v>258</v>
      </c>
      <c r="B1463" s="35" t="s">
        <v>38</v>
      </c>
      <c r="C1463" s="36">
        <v>46276.6770833333</v>
      </c>
      <c r="D1463" s="35">
        <v>1</v>
      </c>
    </row>
    <row r="1464" spans="1:4">
      <c r="A1464" s="35" t="s">
        <v>380</v>
      </c>
      <c r="B1464" s="35" t="s">
        <v>26</v>
      </c>
      <c r="C1464" s="36">
        <v>46277.6611111111</v>
      </c>
      <c r="D1464" s="35">
        <v>1</v>
      </c>
    </row>
    <row r="1465" spans="1:4">
      <c r="A1465" s="35" t="s">
        <v>152</v>
      </c>
      <c r="B1465" s="35" t="s">
        <v>26</v>
      </c>
      <c r="C1465" s="36">
        <v>46277.6611226852</v>
      </c>
      <c r="D1465" s="35">
        <v>1</v>
      </c>
    </row>
    <row r="1466" spans="1:4">
      <c r="A1466" s="35" t="s">
        <v>895</v>
      </c>
      <c r="B1466" s="35" t="s">
        <v>26</v>
      </c>
      <c r="C1466" s="36">
        <v>46279.3702083333</v>
      </c>
      <c r="D1466" s="35">
        <v>2</v>
      </c>
    </row>
    <row r="1467" spans="1:4">
      <c r="A1467" s="35" t="s">
        <v>896</v>
      </c>
      <c r="B1467" s="35" t="s">
        <v>26</v>
      </c>
      <c r="C1467" s="36">
        <v>46279.3726388889</v>
      </c>
      <c r="D1467" s="35">
        <v>4</v>
      </c>
    </row>
    <row r="1468" spans="1:4">
      <c r="A1468" s="35" t="s">
        <v>647</v>
      </c>
      <c r="B1468" s="35" t="s">
        <v>26</v>
      </c>
      <c r="C1468" s="36">
        <v>46279.6559027778</v>
      </c>
      <c r="D1468" s="35">
        <v>1</v>
      </c>
    </row>
    <row r="1469" spans="1:4">
      <c r="A1469" s="35" t="s">
        <v>425</v>
      </c>
      <c r="B1469" s="35" t="s">
        <v>26</v>
      </c>
      <c r="C1469" s="36">
        <v>46279.656712963</v>
      </c>
      <c r="D1469" s="35">
        <v>1</v>
      </c>
    </row>
    <row r="1470" spans="1:4">
      <c r="A1470" s="35" t="s">
        <v>499</v>
      </c>
      <c r="B1470" s="35" t="s">
        <v>51</v>
      </c>
      <c r="C1470" s="36">
        <v>46279.6571643519</v>
      </c>
      <c r="D1470" s="35">
        <v>30</v>
      </c>
    </row>
    <row r="1471" spans="1:4">
      <c r="A1471" s="35" t="s">
        <v>502</v>
      </c>
      <c r="B1471" s="35" t="s">
        <v>51</v>
      </c>
      <c r="C1471" s="36">
        <v>46279.6571759259</v>
      </c>
      <c r="D1471" s="35">
        <v>3</v>
      </c>
    </row>
    <row r="1472" spans="1:4">
      <c r="A1472" s="35" t="s">
        <v>485</v>
      </c>
      <c r="B1472" s="35" t="s">
        <v>26</v>
      </c>
      <c r="C1472" s="36">
        <v>46279.6571875</v>
      </c>
      <c r="D1472" s="35">
        <v>10</v>
      </c>
    </row>
    <row r="1473" spans="1:4">
      <c r="A1473" s="35" t="s">
        <v>485</v>
      </c>
      <c r="B1473" s="35" t="s">
        <v>26</v>
      </c>
      <c r="C1473" s="36">
        <v>46279.6607638889</v>
      </c>
      <c r="D1473" s="35">
        <v>1</v>
      </c>
    </row>
    <row r="1474" spans="1:4">
      <c r="A1474" s="35" t="s">
        <v>258</v>
      </c>
      <c r="B1474" s="35" t="s">
        <v>38</v>
      </c>
      <c r="C1474" s="36">
        <v>46279.6662731482</v>
      </c>
      <c r="D1474" s="35">
        <v>1</v>
      </c>
    </row>
    <row r="1475" spans="1:4">
      <c r="A1475" s="35" t="s">
        <v>425</v>
      </c>
      <c r="B1475" s="35" t="s">
        <v>38</v>
      </c>
      <c r="C1475" s="36">
        <v>46279.6662847222</v>
      </c>
      <c r="D1475" s="35">
        <v>1</v>
      </c>
    </row>
    <row r="1476" spans="1:4">
      <c r="A1476" s="35" t="s">
        <v>518</v>
      </c>
      <c r="B1476" s="35" t="s">
        <v>26</v>
      </c>
      <c r="C1476" s="36">
        <v>46280.5743402778</v>
      </c>
      <c r="D1476" s="35">
        <v>1</v>
      </c>
    </row>
    <row r="1477" spans="1:4">
      <c r="A1477" s="35" t="s">
        <v>897</v>
      </c>
      <c r="B1477" s="35" t="s">
        <v>26</v>
      </c>
      <c r="C1477" s="36">
        <v>46280.5743518519</v>
      </c>
      <c r="D1477" s="35">
        <v>3</v>
      </c>
    </row>
    <row r="1478" spans="1:4">
      <c r="A1478" s="35" t="s">
        <v>430</v>
      </c>
      <c r="B1478" s="35" t="s">
        <v>26</v>
      </c>
      <c r="C1478" s="36">
        <v>46280.5743634259</v>
      </c>
      <c r="D1478" s="35">
        <v>1</v>
      </c>
    </row>
    <row r="1479" spans="1:4">
      <c r="A1479" s="35" t="s">
        <v>898</v>
      </c>
      <c r="B1479" s="35" t="s">
        <v>182</v>
      </c>
      <c r="C1479" s="36">
        <v>46280.5769560185</v>
      </c>
      <c r="D1479" s="35">
        <v>1</v>
      </c>
    </row>
    <row r="1480" spans="1:4">
      <c r="A1480" s="35" t="s">
        <v>779</v>
      </c>
      <c r="B1480" s="35" t="s">
        <v>182</v>
      </c>
      <c r="C1480" s="36">
        <v>46280.5769675926</v>
      </c>
      <c r="D1480" s="35">
        <v>1</v>
      </c>
    </row>
    <row r="1481" spans="1:4">
      <c r="A1481" s="35" t="s">
        <v>482</v>
      </c>
      <c r="B1481" s="35" t="s">
        <v>182</v>
      </c>
      <c r="C1481" s="36">
        <v>46280.5769791667</v>
      </c>
      <c r="D1481" s="35">
        <v>1</v>
      </c>
    </row>
    <row r="1482" spans="1:4">
      <c r="A1482" s="35" t="s">
        <v>899</v>
      </c>
      <c r="B1482" s="35" t="s">
        <v>26</v>
      </c>
      <c r="C1482" s="36">
        <v>46281.5978240741</v>
      </c>
      <c r="D1482" s="35">
        <v>1</v>
      </c>
    </row>
    <row r="1483" spans="1:4">
      <c r="A1483" s="35" t="s">
        <v>900</v>
      </c>
      <c r="B1483" s="35" t="s">
        <v>35</v>
      </c>
      <c r="C1483" s="36">
        <v>46281.6029976852</v>
      </c>
      <c r="D1483" s="35">
        <v>0.01</v>
      </c>
    </row>
    <row r="1484" spans="1:4">
      <c r="A1484" s="35" t="s">
        <v>413</v>
      </c>
      <c r="B1484" s="35" t="s">
        <v>26</v>
      </c>
      <c r="C1484" s="36">
        <v>46281.6043287037</v>
      </c>
      <c r="D1484" s="35">
        <v>0.005</v>
      </c>
    </row>
    <row r="1485" spans="1:4">
      <c r="A1485" s="35" t="s">
        <v>900</v>
      </c>
      <c r="B1485" s="35" t="s">
        <v>35</v>
      </c>
      <c r="C1485" s="36">
        <v>46281.6360648148</v>
      </c>
      <c r="D1485" s="35">
        <v>0.99</v>
      </c>
    </row>
    <row r="1486" spans="1:4">
      <c r="A1486" s="35" t="s">
        <v>413</v>
      </c>
      <c r="B1486" s="35" t="s">
        <v>26</v>
      </c>
      <c r="C1486" s="36">
        <v>46281.6371759259</v>
      </c>
      <c r="D1486" s="35">
        <v>4.995</v>
      </c>
    </row>
    <row r="1487" spans="1:4">
      <c r="A1487" s="35" t="s">
        <v>901</v>
      </c>
      <c r="B1487" s="35" t="s">
        <v>26</v>
      </c>
      <c r="C1487" s="36">
        <v>46282.5931712963</v>
      </c>
      <c r="D1487" s="35">
        <v>1</v>
      </c>
    </row>
    <row r="1488" spans="1:4">
      <c r="A1488" s="35" t="s">
        <v>356</v>
      </c>
      <c r="B1488" s="35" t="s">
        <v>26</v>
      </c>
      <c r="C1488" s="36">
        <v>46282.5969097222</v>
      </c>
      <c r="D1488" s="35">
        <v>1</v>
      </c>
    </row>
    <row r="1489" spans="1:4">
      <c r="A1489" s="35" t="s">
        <v>413</v>
      </c>
      <c r="B1489" s="35" t="s">
        <v>26</v>
      </c>
      <c r="C1489" s="36">
        <v>46282.5983564815</v>
      </c>
      <c r="D1489" s="35">
        <v>5</v>
      </c>
    </row>
    <row r="1490" spans="1:4">
      <c r="A1490" s="35" t="s">
        <v>902</v>
      </c>
      <c r="B1490" s="35" t="s">
        <v>26</v>
      </c>
      <c r="C1490" s="36">
        <v>46282.5988541667</v>
      </c>
      <c r="D1490" s="35">
        <v>1</v>
      </c>
    </row>
    <row r="1491" spans="1:4">
      <c r="A1491" s="35" t="s">
        <v>903</v>
      </c>
      <c r="B1491" s="35" t="s">
        <v>26</v>
      </c>
      <c r="C1491" s="36">
        <v>46282.5988657407</v>
      </c>
      <c r="D1491" s="35">
        <v>1</v>
      </c>
    </row>
    <row r="1492" spans="1:4">
      <c r="A1492" s="35" t="s">
        <v>904</v>
      </c>
      <c r="B1492" s="35" t="s">
        <v>26</v>
      </c>
      <c r="C1492" s="36">
        <v>46282.6618518519</v>
      </c>
      <c r="D1492" s="35">
        <v>9</v>
      </c>
    </row>
    <row r="1493" spans="1:4">
      <c r="A1493" s="35" t="s">
        <v>201</v>
      </c>
      <c r="B1493" s="35" t="s">
        <v>26</v>
      </c>
      <c r="C1493" s="36">
        <v>46282.7153356482</v>
      </c>
      <c r="D1493" s="35">
        <v>1</v>
      </c>
    </row>
    <row r="1494" spans="1:4">
      <c r="A1494" s="35" t="s">
        <v>165</v>
      </c>
      <c r="B1494" s="35" t="s">
        <v>26</v>
      </c>
      <c r="C1494" s="36">
        <v>46282.7153472222</v>
      </c>
      <c r="D1494" s="35">
        <v>1</v>
      </c>
    </row>
    <row r="1495" spans="1:4">
      <c r="A1495" s="35" t="s">
        <v>905</v>
      </c>
      <c r="B1495" s="35" t="s">
        <v>35</v>
      </c>
      <c r="C1495" s="36">
        <v>46282.7153587963</v>
      </c>
      <c r="D1495" s="35">
        <v>1</v>
      </c>
    </row>
    <row r="1496" spans="1:4">
      <c r="A1496" s="35" t="s">
        <v>67</v>
      </c>
      <c r="B1496" s="35" t="s">
        <v>26</v>
      </c>
      <c r="C1496" s="36">
        <v>46283</v>
      </c>
      <c r="D1496" s="35">
        <v>1</v>
      </c>
    </row>
    <row r="1497" spans="1:4">
      <c r="A1497" s="35" t="s">
        <v>27</v>
      </c>
      <c r="B1497" s="35" t="s">
        <v>26</v>
      </c>
      <c r="C1497" s="36">
        <v>46283.0000115741</v>
      </c>
      <c r="D1497" s="35">
        <v>1</v>
      </c>
    </row>
    <row r="1498" spans="1:4">
      <c r="A1498" s="35" t="s">
        <v>28</v>
      </c>
      <c r="B1498" s="35" t="s">
        <v>26</v>
      </c>
      <c r="C1498" s="36">
        <v>46283.4878125</v>
      </c>
      <c r="D1498" s="35">
        <v>6</v>
      </c>
    </row>
    <row r="1499" spans="1:4">
      <c r="A1499" s="35" t="s">
        <v>28</v>
      </c>
      <c r="B1499" s="35" t="s">
        <v>26</v>
      </c>
      <c r="C1499" s="36">
        <v>46283.6559259259</v>
      </c>
      <c r="D1499" s="35">
        <v>1</v>
      </c>
    </row>
    <row r="1500" spans="1:4">
      <c r="A1500" s="35" t="s">
        <v>63</v>
      </c>
      <c r="B1500" s="35" t="s">
        <v>26</v>
      </c>
      <c r="C1500" s="36">
        <v>46283.6559375</v>
      </c>
      <c r="D1500" s="35">
        <v>1</v>
      </c>
    </row>
    <row r="1501" spans="1:4">
      <c r="A1501" s="35" t="s">
        <v>66</v>
      </c>
      <c r="B1501" s="35" t="s">
        <v>26</v>
      </c>
      <c r="C1501" s="36">
        <v>46283.6709027778</v>
      </c>
      <c r="D1501" s="35">
        <v>1</v>
      </c>
    </row>
    <row r="1502" spans="1:4">
      <c r="A1502" s="35" t="s">
        <v>67</v>
      </c>
      <c r="B1502" s="35" t="s">
        <v>26</v>
      </c>
      <c r="C1502" s="36">
        <v>46283.6724421296</v>
      </c>
      <c r="D1502" s="35">
        <v>54</v>
      </c>
    </row>
    <row r="1503" spans="1:4">
      <c r="A1503" s="35" t="s">
        <v>27</v>
      </c>
      <c r="B1503" s="35" t="s">
        <v>26</v>
      </c>
      <c r="C1503" s="36">
        <v>46283.691087963</v>
      </c>
      <c r="D1503" s="35">
        <v>39</v>
      </c>
    </row>
    <row r="1504" spans="1:4">
      <c r="A1504" s="35" t="s">
        <v>904</v>
      </c>
      <c r="B1504" s="35" t="s">
        <v>26</v>
      </c>
      <c r="C1504" s="36">
        <v>46283.6954513889</v>
      </c>
      <c r="D1504" s="35">
        <v>1</v>
      </c>
    </row>
    <row r="1505" spans="1:4">
      <c r="A1505" s="35" t="s">
        <v>27</v>
      </c>
      <c r="B1505" s="35" t="s">
        <v>26</v>
      </c>
      <c r="C1505" s="36">
        <v>46283.7041782407</v>
      </c>
      <c r="D1505" s="35">
        <v>1</v>
      </c>
    </row>
    <row r="1506" spans="1:4">
      <c r="A1506" s="35" t="s">
        <v>25</v>
      </c>
      <c r="B1506" s="35" t="s">
        <v>26</v>
      </c>
      <c r="C1506" s="36">
        <v>46283.7103587963</v>
      </c>
      <c r="D1506" s="35">
        <v>58</v>
      </c>
    </row>
    <row r="1507" spans="1:4">
      <c r="A1507" s="35" t="s">
        <v>530</v>
      </c>
      <c r="B1507" s="35" t="s">
        <v>26</v>
      </c>
      <c r="C1507" s="36">
        <v>46283.7133333333</v>
      </c>
      <c r="D1507" s="35">
        <v>1</v>
      </c>
    </row>
    <row r="1508" spans="1:4">
      <c r="A1508" s="35" t="s">
        <v>647</v>
      </c>
      <c r="B1508" s="35" t="s">
        <v>26</v>
      </c>
      <c r="C1508" s="36">
        <v>46283.7704050926</v>
      </c>
      <c r="D1508" s="35">
        <v>1</v>
      </c>
    </row>
    <row r="1509" spans="1:4">
      <c r="A1509" s="35" t="s">
        <v>530</v>
      </c>
      <c r="B1509" s="35" t="s">
        <v>26</v>
      </c>
      <c r="C1509" s="36">
        <v>46283.7715162037</v>
      </c>
      <c r="D1509" s="35">
        <v>1</v>
      </c>
    </row>
    <row r="1510" spans="1:4">
      <c r="A1510" s="35" t="s">
        <v>906</v>
      </c>
      <c r="B1510" s="35" t="s">
        <v>26</v>
      </c>
      <c r="C1510" s="36">
        <v>46283.7721759259</v>
      </c>
      <c r="D1510" s="35">
        <v>1</v>
      </c>
    </row>
    <row r="1511" spans="1:4">
      <c r="A1511" s="35" t="s">
        <v>852</v>
      </c>
      <c r="B1511" s="35" t="s">
        <v>26</v>
      </c>
      <c r="C1511" s="36">
        <v>46283.7829398148</v>
      </c>
      <c r="D1511" s="35">
        <v>1</v>
      </c>
    </row>
    <row r="1512" spans="1:4">
      <c r="A1512" s="35" t="s">
        <v>907</v>
      </c>
      <c r="B1512" s="35" t="s">
        <v>26</v>
      </c>
      <c r="C1512" s="36">
        <v>46283.7835648148</v>
      </c>
      <c r="D1512" s="35">
        <v>2</v>
      </c>
    </row>
    <row r="1513" spans="1:4">
      <c r="A1513" s="35" t="s">
        <v>181</v>
      </c>
      <c r="B1513" s="35" t="s">
        <v>38</v>
      </c>
      <c r="C1513" s="36">
        <v>46283.7848726852</v>
      </c>
      <c r="D1513" s="35">
        <v>4</v>
      </c>
    </row>
    <row r="1514" spans="1:4">
      <c r="A1514" s="37"/>
      <c r="B1514" s="37"/>
      <c r="C1514" s="38"/>
      <c r="D1514" s="37"/>
    </row>
    <row r="1515" spans="1:4">
      <c r="A1515" s="37"/>
      <c r="B1515" s="37"/>
      <c r="C1515" s="38"/>
      <c r="D1515" s="37"/>
    </row>
    <row r="1516" spans="1:4">
      <c r="A1516" s="37"/>
      <c r="B1516" s="37"/>
      <c r="C1516" s="38"/>
      <c r="D1516" s="37"/>
    </row>
    <row r="1517" spans="1:4">
      <c r="A1517" s="37"/>
      <c r="B1517" s="37"/>
      <c r="C1517" s="38"/>
      <c r="D1517" s="37"/>
    </row>
    <row r="1518" spans="1:4">
      <c r="A1518" s="37"/>
      <c r="B1518" s="37"/>
      <c r="C1518" s="38"/>
      <c r="D1518" s="37"/>
    </row>
    <row r="1519" spans="1:4">
      <c r="A1519" s="37"/>
      <c r="B1519" s="37"/>
      <c r="C1519" s="38"/>
      <c r="D1519" s="37"/>
    </row>
    <row r="1520" spans="1:4">
      <c r="A1520" s="37"/>
      <c r="B1520" s="37"/>
      <c r="C1520" s="38"/>
      <c r="D1520" s="37"/>
    </row>
    <row r="1521" spans="1:4">
      <c r="A1521" s="37"/>
      <c r="B1521" s="37"/>
      <c r="C1521" s="38"/>
      <c r="D1521" s="37"/>
    </row>
    <row r="1522" spans="1:4">
      <c r="A1522" s="37"/>
      <c r="B1522" s="37"/>
      <c r="C1522" s="38"/>
      <c r="D1522" s="37"/>
    </row>
    <row r="1523" spans="1:4">
      <c r="A1523" s="37"/>
      <c r="B1523" s="37"/>
      <c r="C1523" s="38"/>
      <c r="D1523" s="37"/>
    </row>
    <row r="1524" spans="1:4">
      <c r="A1524" s="37"/>
      <c r="B1524" s="37"/>
      <c r="C1524" s="38"/>
      <c r="D1524" s="37"/>
    </row>
    <row r="1525" spans="1:4">
      <c r="A1525" s="37"/>
      <c r="B1525" s="37"/>
      <c r="C1525" s="38"/>
      <c r="D1525" s="37"/>
    </row>
    <row r="1526" spans="1:4">
      <c r="A1526" s="37"/>
      <c r="B1526" s="37"/>
      <c r="C1526" s="38"/>
      <c r="D1526" s="37"/>
    </row>
    <row r="1527" spans="1:4">
      <c r="A1527" s="37"/>
      <c r="B1527" s="37"/>
      <c r="C1527" s="38"/>
      <c r="D1527" s="37"/>
    </row>
    <row r="1528" spans="1:4">
      <c r="A1528" s="37"/>
      <c r="B1528" s="37"/>
      <c r="C1528" s="38"/>
      <c r="D1528" s="37"/>
    </row>
    <row r="1529" spans="1:4">
      <c r="A1529" s="37"/>
      <c r="B1529" s="37"/>
      <c r="C1529" s="38"/>
      <c r="D1529" s="37"/>
    </row>
    <row r="1530" spans="1:4">
      <c r="A1530" s="37"/>
      <c r="B1530" s="37"/>
      <c r="C1530" s="38"/>
      <c r="D1530" s="37"/>
    </row>
    <row r="1531" spans="1:4">
      <c r="A1531" s="37"/>
      <c r="B1531" s="37"/>
      <c r="C1531" s="38"/>
      <c r="D1531" s="37"/>
    </row>
    <row r="1532" spans="1:4">
      <c r="A1532" s="37"/>
      <c r="B1532" s="37"/>
      <c r="C1532" s="38"/>
      <c r="D1532" s="37"/>
    </row>
    <row r="1533" spans="1:4">
      <c r="A1533" s="37"/>
      <c r="B1533" s="37"/>
      <c r="C1533" s="38"/>
      <c r="D1533" s="37"/>
    </row>
    <row r="1534" spans="1:4">
      <c r="A1534" s="37"/>
      <c r="B1534" s="37"/>
      <c r="C1534" s="38"/>
      <c r="D1534" s="37"/>
    </row>
    <row r="1535" spans="1:4">
      <c r="A1535" s="37"/>
      <c r="B1535" s="37"/>
      <c r="C1535" s="38"/>
      <c r="D1535" s="37"/>
    </row>
    <row r="1536" spans="1:4">
      <c r="A1536" s="37"/>
      <c r="B1536" s="37"/>
      <c r="C1536" s="38"/>
      <c r="D1536" s="37"/>
    </row>
    <row r="1537" spans="1:4">
      <c r="A1537" s="37"/>
      <c r="B1537" s="37"/>
      <c r="C1537" s="38"/>
      <c r="D1537" s="37"/>
    </row>
    <row r="1538" spans="1:4">
      <c r="A1538" s="37"/>
      <c r="B1538" s="37"/>
      <c r="C1538" s="38"/>
      <c r="D1538" s="37"/>
    </row>
    <row r="1539" spans="1:4">
      <c r="A1539" s="37"/>
      <c r="B1539" s="37"/>
      <c r="C1539" s="38"/>
      <c r="D1539" s="37"/>
    </row>
    <row r="1540" spans="1:4">
      <c r="A1540" s="37"/>
      <c r="B1540" s="37"/>
      <c r="C1540" s="38"/>
      <c r="D1540" s="37"/>
    </row>
    <row r="1541" spans="1:4">
      <c r="A1541" s="37"/>
      <c r="B1541" s="37"/>
      <c r="C1541" s="38"/>
      <c r="D1541" s="37"/>
    </row>
    <row r="1542" spans="1:4">
      <c r="A1542" s="37"/>
      <c r="B1542" s="37"/>
      <c r="C1542" s="38"/>
      <c r="D1542" s="37"/>
    </row>
    <row r="1543" spans="1:4">
      <c r="A1543" s="37"/>
      <c r="B1543" s="37"/>
      <c r="C1543" s="38"/>
      <c r="D1543" s="37"/>
    </row>
    <row r="1544" spans="1:4">
      <c r="A1544" s="37"/>
      <c r="B1544" s="37"/>
      <c r="C1544" s="38"/>
      <c r="D1544" s="37"/>
    </row>
    <row r="1545" spans="1:4">
      <c r="A1545" s="37"/>
      <c r="B1545" s="37"/>
      <c r="C1545" s="38"/>
      <c r="D1545" s="37"/>
    </row>
    <row r="1546" spans="1:4">
      <c r="A1546" s="37"/>
      <c r="B1546" s="37"/>
      <c r="C1546" s="38"/>
      <c r="D1546" s="37"/>
    </row>
    <row r="1547" spans="1:4">
      <c r="A1547" s="37"/>
      <c r="B1547" s="37"/>
      <c r="C1547" s="38"/>
      <c r="D1547" s="37"/>
    </row>
    <row r="1548" spans="1:4">
      <c r="A1548" s="37"/>
      <c r="B1548" s="37"/>
      <c r="C1548" s="38"/>
      <c r="D1548" s="37"/>
    </row>
    <row r="1549" spans="1:4">
      <c r="A1549" s="37"/>
      <c r="B1549" s="37"/>
      <c r="C1549" s="38"/>
      <c r="D1549" s="37"/>
    </row>
    <row r="1550" spans="1:4">
      <c r="A1550" s="37"/>
      <c r="B1550" s="37"/>
      <c r="C1550" s="38"/>
      <c r="D1550" s="37"/>
    </row>
    <row r="1551" spans="1:4">
      <c r="A1551" s="37"/>
      <c r="B1551" s="37"/>
      <c r="C1551" s="38"/>
      <c r="D1551" s="37"/>
    </row>
    <row r="1552" spans="1:4">
      <c r="A1552" s="37"/>
      <c r="B1552" s="37"/>
      <c r="C1552" s="38"/>
      <c r="D1552" s="37"/>
    </row>
    <row r="1553" spans="1:4">
      <c r="A1553" s="37"/>
      <c r="B1553" s="37"/>
      <c r="C1553" s="38"/>
      <c r="D1553" s="37"/>
    </row>
    <row r="1554" spans="1:4">
      <c r="A1554" s="37"/>
      <c r="B1554" s="37"/>
      <c r="C1554" s="38"/>
      <c r="D1554" s="37"/>
    </row>
    <row r="1555" spans="1:4">
      <c r="A1555" s="37"/>
      <c r="B1555" s="37"/>
      <c r="C1555" s="38"/>
      <c r="D1555" s="37"/>
    </row>
    <row r="1556" spans="1:4">
      <c r="A1556" s="37"/>
      <c r="B1556" s="37"/>
      <c r="C1556" s="38"/>
      <c r="D1556" s="37"/>
    </row>
    <row r="1557" spans="1:4">
      <c r="A1557" s="37"/>
      <c r="B1557" s="37"/>
      <c r="C1557" s="38"/>
      <c r="D1557" s="37"/>
    </row>
    <row r="1558" spans="1:4">
      <c r="A1558" s="37"/>
      <c r="B1558" s="37"/>
      <c r="C1558" s="38"/>
      <c r="D1558" s="37"/>
    </row>
    <row r="1559" spans="1:4">
      <c r="A1559" s="37"/>
      <c r="B1559" s="37"/>
      <c r="C1559" s="38"/>
      <c r="D1559" s="37"/>
    </row>
    <row r="1560" spans="1:4">
      <c r="A1560" s="37"/>
      <c r="B1560" s="37"/>
      <c r="C1560" s="38"/>
      <c r="D1560" s="37"/>
    </row>
    <row r="1561" spans="1:4">
      <c r="A1561" s="37"/>
      <c r="B1561" s="37"/>
      <c r="C1561" s="38"/>
      <c r="D1561" s="37"/>
    </row>
    <row r="1562" spans="1:4">
      <c r="A1562" s="37"/>
      <c r="B1562" s="37"/>
      <c r="C1562" s="38"/>
      <c r="D1562" s="37"/>
    </row>
    <row r="1563" spans="1:4">
      <c r="A1563" s="37"/>
      <c r="B1563" s="37"/>
      <c r="C1563" s="38"/>
      <c r="D1563" s="37"/>
    </row>
    <row r="1564" spans="1:4">
      <c r="A1564" s="37"/>
      <c r="B1564" s="37"/>
      <c r="C1564" s="38"/>
      <c r="D1564" s="37"/>
    </row>
    <row r="1565" spans="1:4">
      <c r="A1565" s="37"/>
      <c r="B1565" s="37"/>
      <c r="C1565" s="38"/>
      <c r="D1565" s="37"/>
    </row>
    <row r="1566" spans="1:4">
      <c r="A1566" s="37"/>
      <c r="B1566" s="37"/>
      <c r="C1566" s="38"/>
      <c r="D1566" s="37"/>
    </row>
    <row r="1567" spans="1:4">
      <c r="A1567" s="37"/>
      <c r="B1567" s="37"/>
      <c r="C1567" s="38"/>
      <c r="D1567" s="37"/>
    </row>
    <row r="1568" spans="1:4">
      <c r="A1568" s="37"/>
      <c r="B1568" s="37"/>
      <c r="C1568" s="38"/>
      <c r="D1568" s="37"/>
    </row>
    <row r="1569" spans="1:4">
      <c r="A1569" s="37"/>
      <c r="B1569" s="37"/>
      <c r="C1569" s="38"/>
      <c r="D1569" s="37"/>
    </row>
    <row r="1570" spans="1:4">
      <c r="A1570" s="37"/>
      <c r="B1570" s="37"/>
      <c r="C1570" s="38"/>
      <c r="D1570" s="37"/>
    </row>
    <row r="1571" spans="1:4">
      <c r="A1571" s="37"/>
      <c r="B1571" s="37"/>
      <c r="C1571" s="38"/>
      <c r="D1571" s="37"/>
    </row>
    <row r="1572" spans="1:4">
      <c r="A1572" s="37"/>
      <c r="B1572" s="37"/>
      <c r="C1572" s="38"/>
      <c r="D1572" s="37"/>
    </row>
    <row r="1573" spans="1:4">
      <c r="A1573" s="37"/>
      <c r="B1573" s="37"/>
      <c r="C1573" s="38"/>
      <c r="D1573" s="37"/>
    </row>
    <row r="1574" spans="1:4">
      <c r="A1574" s="37"/>
      <c r="B1574" s="37"/>
      <c r="C1574" s="38"/>
      <c r="D1574" s="37"/>
    </row>
    <row r="1575" spans="1:4">
      <c r="A1575" s="37"/>
      <c r="B1575" s="37"/>
      <c r="C1575" s="38"/>
      <c r="D1575" s="37"/>
    </row>
    <row r="1576" spans="1:4">
      <c r="A1576" s="37"/>
      <c r="B1576" s="37"/>
      <c r="C1576" s="38"/>
      <c r="D1576" s="37"/>
    </row>
    <row r="1577" spans="1:4">
      <c r="A1577" s="37"/>
      <c r="B1577" s="37"/>
      <c r="C1577" s="38"/>
      <c r="D1577" s="37"/>
    </row>
    <row r="1578" spans="1:4">
      <c r="A1578" s="37"/>
      <c r="B1578" s="37"/>
      <c r="C1578" s="38"/>
      <c r="D1578" s="37"/>
    </row>
    <row r="1579" spans="1:4">
      <c r="A1579" s="37"/>
      <c r="B1579" s="37"/>
      <c r="C1579" s="38"/>
      <c r="D1579" s="37"/>
    </row>
    <row r="1580" spans="1:4">
      <c r="A1580" s="37"/>
      <c r="B1580" s="37"/>
      <c r="C1580" s="38"/>
      <c r="D1580" s="37"/>
    </row>
    <row r="1581" spans="1:4">
      <c r="A1581" s="37"/>
      <c r="B1581" s="37"/>
      <c r="C1581" s="38"/>
      <c r="D1581" s="37"/>
    </row>
    <row r="1582" spans="1:4">
      <c r="A1582" s="37"/>
      <c r="B1582" s="37"/>
      <c r="C1582" s="38"/>
      <c r="D1582" s="37"/>
    </row>
    <row r="1583" spans="1:4">
      <c r="A1583" s="37"/>
      <c r="B1583" s="37"/>
      <c r="C1583" s="38"/>
      <c r="D1583" s="37"/>
    </row>
    <row r="1584" spans="1:4">
      <c r="A1584" s="37"/>
      <c r="B1584" s="37"/>
      <c r="C1584" s="38"/>
      <c r="D1584" s="37"/>
    </row>
    <row r="1585" spans="1:4">
      <c r="A1585" s="37"/>
      <c r="B1585" s="37"/>
      <c r="C1585" s="38"/>
      <c r="D1585" s="37"/>
    </row>
    <row r="1586" spans="1:4">
      <c r="A1586" s="37"/>
      <c r="B1586" s="37"/>
      <c r="C1586" s="38"/>
      <c r="D1586" s="37"/>
    </row>
    <row r="1587" spans="1:4">
      <c r="A1587" s="37"/>
      <c r="B1587" s="37"/>
      <c r="C1587" s="38"/>
      <c r="D1587" s="37"/>
    </row>
    <row r="1588" spans="1:4">
      <c r="A1588" s="37"/>
      <c r="B1588" s="37"/>
      <c r="C1588" s="38"/>
      <c r="D1588" s="37"/>
    </row>
    <row r="1589" spans="1:4">
      <c r="A1589" s="37"/>
      <c r="B1589" s="37"/>
      <c r="C1589" s="38"/>
      <c r="D1589" s="37"/>
    </row>
    <row r="1590" spans="1:4">
      <c r="A1590" s="37"/>
      <c r="B1590" s="37"/>
      <c r="C1590" s="38"/>
      <c r="D1590" s="37"/>
    </row>
    <row r="1591" spans="1:4">
      <c r="A1591" s="37"/>
      <c r="B1591" s="37"/>
      <c r="C1591" s="38"/>
      <c r="D1591" s="37"/>
    </row>
    <row r="1592" spans="1:4">
      <c r="A1592" s="37"/>
      <c r="B1592" s="37"/>
      <c r="C1592" s="38"/>
      <c r="D1592" s="37"/>
    </row>
    <row r="1593" spans="1:4">
      <c r="A1593" s="37"/>
      <c r="B1593" s="37"/>
      <c r="C1593" s="38"/>
      <c r="D1593" s="37"/>
    </row>
    <row r="1594" spans="1:4">
      <c r="A1594" s="37"/>
      <c r="B1594" s="37"/>
      <c r="C1594" s="38"/>
      <c r="D1594" s="37"/>
    </row>
    <row r="1595" spans="1:4">
      <c r="A1595" s="37"/>
      <c r="B1595" s="37"/>
      <c r="C1595" s="38"/>
      <c r="D1595" s="37"/>
    </row>
    <row r="1596" spans="1:4">
      <c r="A1596" s="37"/>
      <c r="B1596" s="37"/>
      <c r="C1596" s="38"/>
      <c r="D1596" s="37"/>
    </row>
    <row r="1597" spans="1:4">
      <c r="A1597" s="37"/>
      <c r="B1597" s="37"/>
      <c r="C1597" s="38"/>
      <c r="D1597" s="37"/>
    </row>
    <row r="1598" spans="1:4">
      <c r="A1598" s="37"/>
      <c r="B1598" s="37"/>
      <c r="C1598" s="38"/>
      <c r="D1598" s="37"/>
    </row>
    <row r="1599" spans="1:4">
      <c r="A1599" s="37"/>
      <c r="B1599" s="37"/>
      <c r="C1599" s="38"/>
      <c r="D1599" s="37"/>
    </row>
    <row r="1600" spans="1:4">
      <c r="A1600" s="37"/>
      <c r="B1600" s="37"/>
      <c r="C1600" s="38"/>
      <c r="D1600" s="37"/>
    </row>
    <row r="1601" spans="1:4">
      <c r="A1601" s="37"/>
      <c r="B1601" s="37"/>
      <c r="C1601" s="38"/>
      <c r="D1601" s="37"/>
    </row>
    <row r="1602" spans="1:4">
      <c r="A1602" s="37"/>
      <c r="B1602" s="37"/>
      <c r="C1602" s="38"/>
      <c r="D1602" s="37"/>
    </row>
    <row r="1603" spans="1:4">
      <c r="A1603" s="37"/>
      <c r="B1603" s="37"/>
      <c r="C1603" s="38"/>
      <c r="D1603" s="37"/>
    </row>
    <row r="1604" spans="1:4">
      <c r="A1604" s="37"/>
      <c r="B1604" s="37"/>
      <c r="C1604" s="38"/>
      <c r="D1604" s="37"/>
    </row>
    <row r="1605" spans="1:4">
      <c r="A1605" s="37"/>
      <c r="B1605" s="37"/>
      <c r="C1605" s="38"/>
      <c r="D1605" s="37"/>
    </row>
    <row r="1606" spans="1:4">
      <c r="A1606" s="37"/>
      <c r="B1606" s="37"/>
      <c r="C1606" s="38"/>
      <c r="D1606" s="37"/>
    </row>
    <row r="1607" spans="1:4">
      <c r="A1607" s="37"/>
      <c r="B1607" s="37"/>
      <c r="C1607" s="38"/>
      <c r="D1607" s="37"/>
    </row>
    <row r="1608" spans="1:4">
      <c r="A1608" s="37"/>
      <c r="B1608" s="37"/>
      <c r="C1608" s="38"/>
      <c r="D1608" s="37"/>
    </row>
    <row r="1609" spans="1:4">
      <c r="A1609" s="37"/>
      <c r="B1609" s="37"/>
      <c r="C1609" s="38"/>
      <c r="D1609" s="37"/>
    </row>
    <row r="1610" spans="1:4">
      <c r="A1610" s="37"/>
      <c r="B1610" s="37"/>
      <c r="C1610" s="38"/>
      <c r="D1610" s="37"/>
    </row>
    <row r="1611" spans="1:4">
      <c r="A1611" s="37"/>
      <c r="B1611" s="37"/>
      <c r="C1611" s="38"/>
      <c r="D1611" s="37"/>
    </row>
    <row r="1612" spans="1:4">
      <c r="A1612" s="37"/>
      <c r="B1612" s="37"/>
      <c r="C1612" s="38"/>
      <c r="D1612" s="37"/>
    </row>
    <row r="1613" spans="1:4">
      <c r="A1613" s="37"/>
      <c r="B1613" s="37"/>
      <c r="C1613" s="38"/>
      <c r="D1613" s="37"/>
    </row>
    <row r="1614" spans="1:4">
      <c r="A1614" s="37"/>
      <c r="B1614" s="37"/>
      <c r="C1614" s="38"/>
      <c r="D1614" s="37"/>
    </row>
    <row r="1615" spans="1:4">
      <c r="A1615" s="37"/>
      <c r="B1615" s="37"/>
      <c r="C1615" s="38"/>
      <c r="D1615" s="37"/>
    </row>
    <row r="1616" spans="1:4">
      <c r="A1616" s="37"/>
      <c r="B1616" s="37"/>
      <c r="C1616" s="38"/>
      <c r="D1616" s="37"/>
    </row>
    <row r="1617" spans="1:4">
      <c r="A1617" s="37"/>
      <c r="B1617" s="37"/>
      <c r="C1617" s="38"/>
      <c r="D1617" s="37"/>
    </row>
    <row r="1618" spans="1:4">
      <c r="A1618" s="37"/>
      <c r="B1618" s="37"/>
      <c r="C1618" s="38"/>
      <c r="D1618" s="37"/>
    </row>
    <row r="1619" spans="1:4">
      <c r="A1619" s="37"/>
      <c r="B1619" s="37"/>
      <c r="C1619" s="38"/>
      <c r="D1619" s="37"/>
    </row>
    <row r="1620" spans="1:4">
      <c r="A1620" s="37"/>
      <c r="B1620" s="37"/>
      <c r="C1620" s="38"/>
      <c r="D1620" s="37"/>
    </row>
    <row r="1621" spans="1:4">
      <c r="A1621" s="37"/>
      <c r="B1621" s="37"/>
      <c r="C1621" s="38"/>
      <c r="D1621" s="37"/>
    </row>
    <row r="1622" spans="1:4">
      <c r="A1622" s="37"/>
      <c r="B1622" s="37"/>
      <c r="C1622" s="38"/>
      <c r="D1622" s="37"/>
    </row>
    <row r="1623" spans="1:4">
      <c r="A1623" s="37"/>
      <c r="B1623" s="37"/>
      <c r="C1623" s="38"/>
      <c r="D1623" s="37"/>
    </row>
    <row r="1624" spans="1:4">
      <c r="A1624" s="37"/>
      <c r="B1624" s="37"/>
      <c r="C1624" s="38"/>
      <c r="D1624" s="37"/>
    </row>
    <row r="1625" spans="1:4">
      <c r="A1625" s="37"/>
      <c r="B1625" s="37"/>
      <c r="C1625" s="38"/>
      <c r="D1625" s="37"/>
    </row>
    <row r="1626" spans="1:4">
      <c r="A1626" s="37"/>
      <c r="B1626" s="37"/>
      <c r="C1626" s="38"/>
      <c r="D1626" s="37"/>
    </row>
    <row r="1627" spans="1:4">
      <c r="A1627" s="37"/>
      <c r="B1627" s="37"/>
      <c r="C1627" s="38"/>
      <c r="D1627" s="37"/>
    </row>
    <row r="1628" spans="1:4">
      <c r="A1628" s="37"/>
      <c r="B1628" s="37"/>
      <c r="C1628" s="38"/>
      <c r="D1628" s="37"/>
    </row>
    <row r="1629" spans="1:4">
      <c r="A1629" s="37"/>
      <c r="B1629" s="37"/>
      <c r="C1629" s="38"/>
      <c r="D1629" s="37"/>
    </row>
    <row r="1630" spans="1:4">
      <c r="A1630" s="37"/>
      <c r="B1630" s="37"/>
      <c r="C1630" s="38"/>
      <c r="D1630" s="37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84"/>
  <sheetViews>
    <sheetView workbookViewId="0">
      <pane ySplit="1" topLeftCell="A1005" activePane="bottomLeft" state="frozen"/>
      <selection/>
      <selection pane="bottomLeft" activeCell="A1005" sqref="A1005"/>
    </sheetView>
  </sheetViews>
  <sheetFormatPr defaultColWidth="8.67619047619048" defaultRowHeight="15"/>
  <cols>
    <col min="1" max="1" width="42" customWidth="1"/>
    <col min="2" max="2" width="20" customWidth="1"/>
    <col min="3" max="3" width="41.7142857142857" customWidth="1"/>
    <col min="4" max="4" width="15.847619047619" customWidth="1"/>
    <col min="5" max="5" width="9.57142857142857" customWidth="1"/>
    <col min="6" max="7" width="16.5714285714286" customWidth="1"/>
    <col min="8" max="8" width="17" customWidth="1"/>
    <col min="9" max="9" width="10.5714285714286" customWidth="1"/>
    <col min="10" max="10" width="18.8571428571429" customWidth="1"/>
    <col min="11" max="11" width="14.2857142857143" customWidth="1"/>
    <col min="12" max="12" width="14.5714285714286" customWidth="1"/>
    <col min="13" max="13" width="24.8571428571429" customWidth="1"/>
    <col min="14" max="14" width="19.7142857142857" customWidth="1"/>
  </cols>
  <sheetData>
    <row r="1" ht="23.25" customHeight="1" spans="1:14">
      <c r="A1" s="20" t="s">
        <v>16</v>
      </c>
      <c r="B1" s="20" t="s">
        <v>908</v>
      </c>
      <c r="C1" s="20" t="s">
        <v>134</v>
      </c>
      <c r="D1" s="20" t="s">
        <v>909</v>
      </c>
      <c r="E1" s="20" t="s">
        <v>135</v>
      </c>
      <c r="F1" s="20" t="s">
        <v>910</v>
      </c>
      <c r="G1" s="20" t="s">
        <v>911</v>
      </c>
      <c r="H1" s="20" t="s">
        <v>912</v>
      </c>
      <c r="I1" s="20" t="s">
        <v>913</v>
      </c>
      <c r="J1" s="20" t="s">
        <v>914</v>
      </c>
      <c r="K1" s="20" t="s">
        <v>915</v>
      </c>
      <c r="L1" s="20" t="s">
        <v>916</v>
      </c>
      <c r="M1" s="20" t="s">
        <v>917</v>
      </c>
      <c r="N1" s="20" t="s">
        <v>918</v>
      </c>
    </row>
    <row r="2" spans="1:14">
      <c r="A2" s="21" t="s">
        <v>919</v>
      </c>
      <c r="B2" s="21" t="s">
        <v>920</v>
      </c>
      <c r="C2" s="21" t="s">
        <v>414</v>
      </c>
      <c r="D2" s="21" t="s">
        <v>921</v>
      </c>
      <c r="E2" s="21">
        <v>3</v>
      </c>
      <c r="F2" s="22">
        <v>45803.4424305556</v>
      </c>
      <c r="G2" s="22">
        <v>45819.4616782407</v>
      </c>
      <c r="H2" s="23">
        <v>3176.56</v>
      </c>
      <c r="I2" s="23">
        <v>692.96364</v>
      </c>
      <c r="J2" s="24">
        <v>2078.88</v>
      </c>
      <c r="K2" s="21">
        <v>0</v>
      </c>
      <c r="L2" s="21">
        <v>0</v>
      </c>
      <c r="M2" s="21">
        <f>COUNTIF($A$2:$A$5481,A2)</f>
        <v>2</v>
      </c>
      <c r="N2" s="24">
        <f t="shared" ref="N2:N65" si="0">J2+ROW()/10000000</f>
        <v>2078.8800002</v>
      </c>
    </row>
    <row r="3" spans="1:14">
      <c r="A3" s="21" t="s">
        <v>919</v>
      </c>
      <c r="B3" s="21" t="s">
        <v>920</v>
      </c>
      <c r="C3" s="21" t="s">
        <v>35</v>
      </c>
      <c r="D3" s="21" t="s">
        <v>921</v>
      </c>
      <c r="E3" s="21">
        <v>9</v>
      </c>
      <c r="F3" s="22">
        <v>46111.7941435185</v>
      </c>
      <c r="G3" s="22"/>
      <c r="H3" s="23">
        <v>1798</v>
      </c>
      <c r="I3" s="23">
        <v>696.2488888889</v>
      </c>
      <c r="J3" s="24">
        <v>6266.25</v>
      </c>
      <c r="K3" s="21">
        <v>0</v>
      </c>
      <c r="L3" s="21">
        <v>0</v>
      </c>
      <c r="M3" s="21">
        <f>COUNTIF($A$2:$A$5481,A3)</f>
        <v>2</v>
      </c>
      <c r="N3" s="24">
        <f t="shared" si="0"/>
        <v>6266.2500003</v>
      </c>
    </row>
    <row r="4" spans="1:14">
      <c r="A4" s="21" t="s">
        <v>922</v>
      </c>
      <c r="B4" s="21" t="s">
        <v>920</v>
      </c>
      <c r="C4" s="21" t="s">
        <v>35</v>
      </c>
      <c r="D4" s="21" t="s">
        <v>921</v>
      </c>
      <c r="E4" s="21">
        <v>7</v>
      </c>
      <c r="F4" s="22">
        <v>45805.480625</v>
      </c>
      <c r="G4" s="22"/>
      <c r="H4" s="23">
        <v>614</v>
      </c>
      <c r="I4" s="23">
        <v>565.14286</v>
      </c>
      <c r="J4" s="24">
        <v>3955.98</v>
      </c>
      <c r="K4" s="21">
        <v>0</v>
      </c>
      <c r="L4" s="21">
        <v>0</v>
      </c>
      <c r="M4" s="21">
        <f>COUNTIF($A$2:$A$5481,A4)</f>
        <v>2</v>
      </c>
      <c r="N4" s="24">
        <f t="shared" si="0"/>
        <v>3955.9800004</v>
      </c>
    </row>
    <row r="5" spans="1:14">
      <c r="A5" s="21" t="s">
        <v>922</v>
      </c>
      <c r="B5" s="21" t="s">
        <v>920</v>
      </c>
      <c r="C5" s="21" t="s">
        <v>26</v>
      </c>
      <c r="D5" s="21" t="s">
        <v>921</v>
      </c>
      <c r="E5" s="21">
        <v>3</v>
      </c>
      <c r="F5" s="22">
        <v>46007.5694907407</v>
      </c>
      <c r="G5" s="22"/>
      <c r="H5" s="23">
        <v>593</v>
      </c>
      <c r="I5" s="23">
        <v>669.0666666667</v>
      </c>
      <c r="J5" s="24">
        <v>2007.21</v>
      </c>
      <c r="K5" s="21">
        <v>0</v>
      </c>
      <c r="L5" s="21">
        <v>0</v>
      </c>
      <c r="M5" s="21">
        <f>COUNTIF($A$2:$A$5481,A5)</f>
        <v>2</v>
      </c>
      <c r="N5" s="24">
        <f t="shared" si="0"/>
        <v>2007.2100005</v>
      </c>
    </row>
    <row r="6" spans="1:14">
      <c r="A6" s="21" t="s">
        <v>923</v>
      </c>
      <c r="B6" s="21" t="s">
        <v>920</v>
      </c>
      <c r="C6" s="21" t="s">
        <v>35</v>
      </c>
      <c r="D6" s="21" t="s">
        <v>921</v>
      </c>
      <c r="E6" s="21">
        <v>1</v>
      </c>
      <c r="F6" s="22">
        <v>45329.4507175926</v>
      </c>
      <c r="G6" s="22"/>
      <c r="H6" s="23">
        <v>86.1</v>
      </c>
      <c r="I6" s="23">
        <v>86.1</v>
      </c>
      <c r="J6" s="24">
        <v>86.1</v>
      </c>
      <c r="K6" s="21">
        <v>0</v>
      </c>
      <c r="L6" s="21">
        <v>0</v>
      </c>
      <c r="M6" s="21">
        <f>COUNTIF($A$2:$A$5481,A6)</f>
        <v>1</v>
      </c>
      <c r="N6" s="24">
        <f t="shared" si="0"/>
        <v>86.1000006</v>
      </c>
    </row>
    <row r="7" spans="1:14">
      <c r="A7" s="21" t="s">
        <v>924</v>
      </c>
      <c r="B7" s="21" t="s">
        <v>26</v>
      </c>
      <c r="C7" s="21" t="s">
        <v>26</v>
      </c>
      <c r="D7" s="21" t="s">
        <v>921</v>
      </c>
      <c r="E7" s="21">
        <v>52</v>
      </c>
      <c r="F7" s="22">
        <v>45758.4478009259</v>
      </c>
      <c r="G7" s="22">
        <v>45847.4145601852</v>
      </c>
      <c r="H7" s="23">
        <v>192</v>
      </c>
      <c r="I7" s="23">
        <v>4.86333</v>
      </c>
      <c r="J7" s="24">
        <v>252.72</v>
      </c>
      <c r="K7" s="21">
        <v>0</v>
      </c>
      <c r="L7" s="21">
        <v>0</v>
      </c>
      <c r="M7" s="21">
        <f>COUNTIF($A$2:$A$5481,A7)</f>
        <v>1</v>
      </c>
      <c r="N7" s="24">
        <f t="shared" si="0"/>
        <v>252.7200007</v>
      </c>
    </row>
    <row r="8" spans="1:14">
      <c r="A8" s="21" t="s">
        <v>624</v>
      </c>
      <c r="B8" s="21" t="s">
        <v>26</v>
      </c>
      <c r="C8" s="21" t="s">
        <v>26</v>
      </c>
      <c r="D8" s="21" t="s">
        <v>921</v>
      </c>
      <c r="E8" s="21">
        <v>0</v>
      </c>
      <c r="F8" s="22">
        <v>45338.5930555556</v>
      </c>
      <c r="G8" s="22">
        <v>46252.4608449074</v>
      </c>
      <c r="H8" s="23">
        <v>15.98</v>
      </c>
      <c r="I8" s="23">
        <v>7.99</v>
      </c>
      <c r="J8" s="24">
        <v>0</v>
      </c>
      <c r="K8" s="21">
        <v>0</v>
      </c>
      <c r="L8" s="21">
        <v>0</v>
      </c>
      <c r="M8" s="21">
        <f>COUNTIF($A$2:$A$5481,A8)</f>
        <v>1</v>
      </c>
      <c r="N8" s="24">
        <f t="shared" si="0"/>
        <v>8e-7</v>
      </c>
    </row>
    <row r="9" spans="1:14">
      <c r="A9" s="21" t="s">
        <v>925</v>
      </c>
      <c r="B9" s="21" t="s">
        <v>926</v>
      </c>
      <c r="C9" s="21" t="s">
        <v>38</v>
      </c>
      <c r="D9" s="21" t="s">
        <v>921</v>
      </c>
      <c r="E9" s="21">
        <v>15</v>
      </c>
      <c r="F9" s="22">
        <v>45418.4444444445</v>
      </c>
      <c r="G9" s="22">
        <v>45474.835775463</v>
      </c>
      <c r="H9" s="23">
        <v>776</v>
      </c>
      <c r="I9" s="23">
        <v>93.5</v>
      </c>
      <c r="J9" s="24">
        <v>1402.5</v>
      </c>
      <c r="K9" s="21">
        <v>0</v>
      </c>
      <c r="L9" s="21">
        <v>0</v>
      </c>
      <c r="M9" s="21">
        <f>COUNTIF($A$2:$A$5481,A9)</f>
        <v>1</v>
      </c>
      <c r="N9" s="24">
        <f t="shared" si="0"/>
        <v>1402.5000009</v>
      </c>
    </row>
    <row r="10" spans="1:14">
      <c r="A10" s="21" t="s">
        <v>622</v>
      </c>
      <c r="B10" s="21" t="s">
        <v>26</v>
      </c>
      <c r="C10" s="21" t="s">
        <v>26</v>
      </c>
      <c r="D10" s="21" t="s">
        <v>921</v>
      </c>
      <c r="E10" s="21">
        <v>0</v>
      </c>
      <c r="F10" s="22">
        <v>46120.3576388889</v>
      </c>
      <c r="G10" s="22">
        <v>46252.4608217593</v>
      </c>
      <c r="H10" s="23">
        <v>3.59</v>
      </c>
      <c r="I10" s="23">
        <v>3.53</v>
      </c>
      <c r="J10" s="24">
        <v>0</v>
      </c>
      <c r="K10" s="21">
        <v>0</v>
      </c>
      <c r="L10" s="21">
        <v>0</v>
      </c>
      <c r="M10" s="21">
        <f>COUNTIF($A$2:$A$5481,A10)</f>
        <v>1</v>
      </c>
      <c r="N10" s="24">
        <f t="shared" si="0"/>
        <v>1e-6</v>
      </c>
    </row>
    <row r="11" spans="1:14">
      <c r="A11" s="21" t="s">
        <v>258</v>
      </c>
      <c r="B11" s="21" t="s">
        <v>926</v>
      </c>
      <c r="C11" s="21" t="s">
        <v>51</v>
      </c>
      <c r="D11" s="21" t="s">
        <v>921</v>
      </c>
      <c r="E11" s="21">
        <v>24</v>
      </c>
      <c r="F11" s="22">
        <v>45762.3576967593</v>
      </c>
      <c r="G11" s="22"/>
      <c r="H11" s="23">
        <v>173.76</v>
      </c>
      <c r="I11" s="23">
        <v>7.24</v>
      </c>
      <c r="J11" s="24">
        <v>173.76</v>
      </c>
      <c r="K11" s="21">
        <v>0</v>
      </c>
      <c r="L11" s="21">
        <v>0</v>
      </c>
      <c r="M11" s="21">
        <f>COUNTIF($A$2:$A$5481,A11)</f>
        <v>4</v>
      </c>
      <c r="N11" s="24">
        <f t="shared" si="0"/>
        <v>173.7600011</v>
      </c>
    </row>
    <row r="12" spans="1:14">
      <c r="A12" s="21" t="s">
        <v>258</v>
      </c>
      <c r="B12" s="21" t="s">
        <v>926</v>
      </c>
      <c r="C12" s="21" t="s">
        <v>26</v>
      </c>
      <c r="D12" s="21" t="s">
        <v>921</v>
      </c>
      <c r="E12" s="21">
        <v>0</v>
      </c>
      <c r="F12" s="22">
        <v>45901.763900463</v>
      </c>
      <c r="G12" s="22">
        <v>46252.4608101852</v>
      </c>
      <c r="H12" s="23">
        <v>102</v>
      </c>
      <c r="I12" s="23">
        <v>8.5051858209</v>
      </c>
      <c r="J12" s="24">
        <v>0</v>
      </c>
      <c r="K12" s="21">
        <v>0</v>
      </c>
      <c r="L12" s="21">
        <v>0</v>
      </c>
      <c r="M12" s="21">
        <f>COUNTIF($A$2:$A$5481,A12)</f>
        <v>4</v>
      </c>
      <c r="N12" s="24">
        <f t="shared" si="0"/>
        <v>1.2e-6</v>
      </c>
    </row>
    <row r="13" spans="1:14">
      <c r="A13" s="21" t="s">
        <v>258</v>
      </c>
      <c r="B13" s="21" t="s">
        <v>926</v>
      </c>
      <c r="C13" s="21" t="s">
        <v>38</v>
      </c>
      <c r="D13" s="21" t="s">
        <v>921</v>
      </c>
      <c r="E13" s="21">
        <v>220</v>
      </c>
      <c r="F13" s="22">
        <v>46161.4354166667</v>
      </c>
      <c r="G13" s="22">
        <v>46279.6662731482</v>
      </c>
      <c r="H13" s="23">
        <v>249.6</v>
      </c>
      <c r="I13" s="23">
        <v>8.4250143918</v>
      </c>
      <c r="J13" s="24">
        <v>1854.6</v>
      </c>
      <c r="K13" s="21">
        <v>0</v>
      </c>
      <c r="L13" s="21">
        <v>0</v>
      </c>
      <c r="M13" s="21">
        <f>COUNTIF($A$2:$A$5481,A13)</f>
        <v>4</v>
      </c>
      <c r="N13" s="24">
        <f t="shared" si="0"/>
        <v>1854.6000013</v>
      </c>
    </row>
    <row r="14" spans="1:14">
      <c r="A14" s="21" t="s">
        <v>258</v>
      </c>
      <c r="B14" s="21" t="s">
        <v>926</v>
      </c>
      <c r="C14" s="21" t="s">
        <v>182</v>
      </c>
      <c r="D14" s="21" t="s">
        <v>921</v>
      </c>
      <c r="E14" s="21">
        <v>90</v>
      </c>
      <c r="F14" s="22">
        <v>46251.5368055556</v>
      </c>
      <c r="G14" s="22">
        <v>46266.3533101852</v>
      </c>
      <c r="H14" s="23">
        <v>352.8</v>
      </c>
      <c r="I14" s="23">
        <v>7.35</v>
      </c>
      <c r="J14" s="24">
        <v>661.5</v>
      </c>
      <c r="K14" s="21">
        <v>0</v>
      </c>
      <c r="L14" s="21">
        <v>0</v>
      </c>
      <c r="M14" s="21">
        <f>COUNTIF($A$2:$A$5481,A14)</f>
        <v>4</v>
      </c>
      <c r="N14" s="24">
        <f t="shared" si="0"/>
        <v>661.5000014</v>
      </c>
    </row>
    <row r="15" spans="1:14">
      <c r="A15" s="21" t="s">
        <v>927</v>
      </c>
      <c r="B15" s="21" t="s">
        <v>26</v>
      </c>
      <c r="C15" s="21" t="s">
        <v>26</v>
      </c>
      <c r="D15" s="21" t="s">
        <v>921</v>
      </c>
      <c r="E15" s="21">
        <v>5</v>
      </c>
      <c r="F15" s="22">
        <v>46120.3576388889</v>
      </c>
      <c r="G15" s="22"/>
      <c r="H15" s="23">
        <v>3.59</v>
      </c>
      <c r="I15" s="23">
        <v>3.314</v>
      </c>
      <c r="J15" s="24">
        <v>16.55</v>
      </c>
      <c r="K15" s="21">
        <v>0</v>
      </c>
      <c r="L15" s="21">
        <v>0</v>
      </c>
      <c r="M15" s="21">
        <f>COUNTIF($A$2:$A$5481,A15)</f>
        <v>1</v>
      </c>
      <c r="N15" s="24">
        <f t="shared" si="0"/>
        <v>16.5500015</v>
      </c>
    </row>
    <row r="16" spans="1:14">
      <c r="A16" s="21" t="s">
        <v>928</v>
      </c>
      <c r="B16" s="21" t="s">
        <v>929</v>
      </c>
      <c r="C16" s="21" t="s">
        <v>26</v>
      </c>
      <c r="D16" s="21" t="s">
        <v>921</v>
      </c>
      <c r="E16" s="21">
        <v>2</v>
      </c>
      <c r="F16" s="22">
        <v>45937.5458217593</v>
      </c>
      <c r="G16" s="22"/>
      <c r="H16" s="23">
        <v>481.9</v>
      </c>
      <c r="I16" s="23">
        <v>481.9</v>
      </c>
      <c r="J16" s="24">
        <v>963.8</v>
      </c>
      <c r="K16" s="21">
        <v>0</v>
      </c>
      <c r="L16" s="21">
        <v>0</v>
      </c>
      <c r="M16" s="21">
        <f>COUNTIF($A$2:$A$5481,A16)</f>
        <v>1</v>
      </c>
      <c r="N16" s="24">
        <f t="shared" si="0"/>
        <v>963.8000016</v>
      </c>
    </row>
    <row r="17" spans="1:14">
      <c r="A17" s="21" t="s">
        <v>417</v>
      </c>
      <c r="B17" s="21" t="s">
        <v>920</v>
      </c>
      <c r="C17" s="21" t="s">
        <v>26</v>
      </c>
      <c r="D17" s="21" t="s">
        <v>921</v>
      </c>
      <c r="E17" s="21">
        <v>22</v>
      </c>
      <c r="F17" s="22">
        <v>46057.5859606482</v>
      </c>
      <c r="G17" s="22">
        <v>46195.675</v>
      </c>
      <c r="H17" s="23">
        <v>92</v>
      </c>
      <c r="I17" s="23">
        <v>23.1243478261</v>
      </c>
      <c r="J17" s="24">
        <v>508.64</v>
      </c>
      <c r="K17" s="21">
        <v>0</v>
      </c>
      <c r="L17" s="21">
        <v>0</v>
      </c>
      <c r="M17" s="21">
        <f>COUNTIF($A$2:$A$5481,A17)</f>
        <v>1</v>
      </c>
      <c r="N17" s="24">
        <f t="shared" si="0"/>
        <v>508.6400017</v>
      </c>
    </row>
    <row r="18" spans="1:14">
      <c r="A18" s="21" t="s">
        <v>930</v>
      </c>
      <c r="B18" s="21" t="s">
        <v>929</v>
      </c>
      <c r="C18" s="21" t="s">
        <v>26</v>
      </c>
      <c r="D18" s="21" t="s">
        <v>931</v>
      </c>
      <c r="E18" s="21">
        <v>1</v>
      </c>
      <c r="F18" s="22">
        <v>45327.411712963</v>
      </c>
      <c r="G18" s="22"/>
      <c r="H18" s="23">
        <v>15.27</v>
      </c>
      <c r="I18" s="23">
        <v>15.27</v>
      </c>
      <c r="J18" s="24">
        <v>15.27</v>
      </c>
      <c r="K18" s="21">
        <v>0</v>
      </c>
      <c r="L18" s="21">
        <v>0</v>
      </c>
      <c r="M18" s="21">
        <f>COUNTIF($A$2:$A$5481,A18)</f>
        <v>1</v>
      </c>
      <c r="N18" s="24">
        <f t="shared" si="0"/>
        <v>15.2700018</v>
      </c>
    </row>
    <row r="19" spans="1:14">
      <c r="A19" s="21" t="s">
        <v>932</v>
      </c>
      <c r="B19" s="21" t="s">
        <v>26</v>
      </c>
      <c r="C19" s="21" t="s">
        <v>26</v>
      </c>
      <c r="D19" s="21" t="s">
        <v>921</v>
      </c>
      <c r="E19" s="21">
        <v>1</v>
      </c>
      <c r="F19" s="22">
        <v>46198.6442824074</v>
      </c>
      <c r="G19" s="22"/>
      <c r="H19" s="23">
        <v>386.94</v>
      </c>
      <c r="I19" s="23">
        <v>386.94</v>
      </c>
      <c r="J19" s="24">
        <v>386.94</v>
      </c>
      <c r="K19" s="21">
        <v>0</v>
      </c>
      <c r="L19" s="21">
        <v>0</v>
      </c>
      <c r="M19" s="21">
        <f>COUNTIF($A$2:$A$5481,A19)</f>
        <v>1</v>
      </c>
      <c r="N19" s="24">
        <f t="shared" si="0"/>
        <v>386.9400019</v>
      </c>
    </row>
    <row r="20" spans="1:14">
      <c r="A20" s="21" t="s">
        <v>933</v>
      </c>
      <c r="B20" s="21" t="s">
        <v>929</v>
      </c>
      <c r="C20" s="21" t="s">
        <v>26</v>
      </c>
      <c r="D20" s="21" t="s">
        <v>921</v>
      </c>
      <c r="E20" s="21">
        <v>2</v>
      </c>
      <c r="F20" s="22">
        <v>45749.8311689815</v>
      </c>
      <c r="G20" s="22"/>
      <c r="H20" s="23">
        <v>212.6</v>
      </c>
      <c r="I20" s="23">
        <v>106.3</v>
      </c>
      <c r="J20" s="24">
        <v>212.6</v>
      </c>
      <c r="K20" s="21">
        <v>0</v>
      </c>
      <c r="L20" s="21">
        <v>0</v>
      </c>
      <c r="M20" s="21">
        <f>COUNTIF($A$2:$A$5481,A20)</f>
        <v>1</v>
      </c>
      <c r="N20" s="24">
        <f t="shared" si="0"/>
        <v>212.600002</v>
      </c>
    </row>
    <row r="21" spans="1:14">
      <c r="A21" s="21" t="s">
        <v>934</v>
      </c>
      <c r="B21" s="21" t="s">
        <v>929</v>
      </c>
      <c r="C21" s="21" t="s">
        <v>26</v>
      </c>
      <c r="D21" s="21" t="s">
        <v>921</v>
      </c>
      <c r="E21" s="21">
        <v>2</v>
      </c>
      <c r="F21" s="22">
        <v>45749.8311689815</v>
      </c>
      <c r="G21" s="22"/>
      <c r="H21" s="23">
        <v>89.2</v>
      </c>
      <c r="I21" s="23">
        <v>44.6</v>
      </c>
      <c r="J21" s="24">
        <v>89.2</v>
      </c>
      <c r="K21" s="21">
        <v>0</v>
      </c>
      <c r="L21" s="21">
        <v>0</v>
      </c>
      <c r="M21" s="21">
        <f>COUNTIF($A$2:$A$5481,A21)</f>
        <v>1</v>
      </c>
      <c r="N21" s="24">
        <f t="shared" si="0"/>
        <v>89.2000021</v>
      </c>
    </row>
    <row r="22" spans="1:14">
      <c r="A22" s="21" t="s">
        <v>935</v>
      </c>
      <c r="B22" s="21" t="s">
        <v>26</v>
      </c>
      <c r="C22" s="21" t="s">
        <v>26</v>
      </c>
      <c r="D22" s="21" t="s">
        <v>921</v>
      </c>
      <c r="E22" s="21">
        <v>1</v>
      </c>
      <c r="F22" s="22">
        <v>45608.3607175926</v>
      </c>
      <c r="G22" s="22"/>
      <c r="H22" s="23">
        <v>224.9</v>
      </c>
      <c r="I22" s="23">
        <v>224.9</v>
      </c>
      <c r="J22" s="24">
        <v>224.9</v>
      </c>
      <c r="K22" s="21">
        <v>0</v>
      </c>
      <c r="L22" s="21">
        <v>0</v>
      </c>
      <c r="M22" s="21">
        <f>COUNTIF($A$2:$A$5481,A22)</f>
        <v>1</v>
      </c>
      <c r="N22" s="24">
        <f t="shared" si="0"/>
        <v>224.9000022</v>
      </c>
    </row>
    <row r="23" spans="1:14">
      <c r="A23" s="21" t="s">
        <v>936</v>
      </c>
      <c r="B23" s="21" t="s">
        <v>26</v>
      </c>
      <c r="C23" s="21" t="s">
        <v>26</v>
      </c>
      <c r="D23" s="21" t="s">
        <v>921</v>
      </c>
      <c r="E23" s="21">
        <v>5</v>
      </c>
      <c r="F23" s="22">
        <v>45496.3581944444</v>
      </c>
      <c r="G23" s="22"/>
      <c r="H23" s="23">
        <v>327.5</v>
      </c>
      <c r="I23" s="23">
        <v>65.5</v>
      </c>
      <c r="J23" s="24">
        <v>327.5</v>
      </c>
      <c r="K23" s="21">
        <v>0</v>
      </c>
      <c r="L23" s="21">
        <v>0</v>
      </c>
      <c r="M23" s="21">
        <f>COUNTIF($A$2:$A$5481,A23)</f>
        <v>1</v>
      </c>
      <c r="N23" s="24">
        <f t="shared" si="0"/>
        <v>327.5000023</v>
      </c>
    </row>
    <row r="24" spans="1:14">
      <c r="A24" s="21" t="s">
        <v>937</v>
      </c>
      <c r="B24" s="21" t="s">
        <v>26</v>
      </c>
      <c r="C24" s="21" t="s">
        <v>26</v>
      </c>
      <c r="D24" s="21" t="s">
        <v>921</v>
      </c>
      <c r="E24" s="21">
        <v>1</v>
      </c>
      <c r="F24" s="22">
        <v>45496.3581944444</v>
      </c>
      <c r="G24" s="22"/>
      <c r="H24" s="23">
        <v>65.5</v>
      </c>
      <c r="I24" s="23">
        <v>65.5</v>
      </c>
      <c r="J24" s="24">
        <v>65.5</v>
      </c>
      <c r="K24" s="21">
        <v>0</v>
      </c>
      <c r="L24" s="21">
        <v>0</v>
      </c>
      <c r="M24" s="21">
        <f>COUNTIF($A$2:$A$5481,A24)</f>
        <v>1</v>
      </c>
      <c r="N24" s="24">
        <f t="shared" si="0"/>
        <v>65.5000024</v>
      </c>
    </row>
    <row r="25" spans="1:14">
      <c r="A25" s="21" t="s">
        <v>938</v>
      </c>
      <c r="B25" s="21" t="s">
        <v>929</v>
      </c>
      <c r="C25" s="21" t="s">
        <v>26</v>
      </c>
      <c r="D25" s="21" t="s">
        <v>921</v>
      </c>
      <c r="E25" s="21">
        <v>3</v>
      </c>
      <c r="F25" s="22">
        <v>45695.3769560185</v>
      </c>
      <c r="G25" s="22"/>
      <c r="H25" s="23">
        <v>972</v>
      </c>
      <c r="I25" s="23">
        <v>324</v>
      </c>
      <c r="J25" s="24">
        <v>972</v>
      </c>
      <c r="K25" s="21">
        <v>0</v>
      </c>
      <c r="L25" s="21">
        <v>0</v>
      </c>
      <c r="M25" s="21">
        <f>COUNTIF($A$2:$A$5481,A25)</f>
        <v>1</v>
      </c>
      <c r="N25" s="24">
        <f t="shared" si="0"/>
        <v>972.0000025</v>
      </c>
    </row>
    <row r="26" spans="1:14">
      <c r="A26" s="21" t="s">
        <v>939</v>
      </c>
      <c r="B26" s="21" t="s">
        <v>929</v>
      </c>
      <c r="C26" s="21" t="s">
        <v>414</v>
      </c>
      <c r="D26" s="21" t="s">
        <v>921</v>
      </c>
      <c r="E26" s="21">
        <v>1</v>
      </c>
      <c r="F26" s="22">
        <v>45300.4840277778</v>
      </c>
      <c r="G26" s="22"/>
      <c r="H26" s="23">
        <v>131.65</v>
      </c>
      <c r="I26" s="23">
        <v>131.65</v>
      </c>
      <c r="J26" s="24">
        <v>131.65</v>
      </c>
      <c r="K26" s="21">
        <v>0</v>
      </c>
      <c r="L26" s="21">
        <v>0</v>
      </c>
      <c r="M26" s="21">
        <f>COUNTIF($A$2:$A$5481,A26)</f>
        <v>2</v>
      </c>
      <c r="N26" s="24">
        <f t="shared" si="0"/>
        <v>131.6500026</v>
      </c>
    </row>
    <row r="27" spans="1:14">
      <c r="A27" s="21" t="s">
        <v>939</v>
      </c>
      <c r="B27" s="21" t="s">
        <v>929</v>
      </c>
      <c r="C27" s="21" t="s">
        <v>26</v>
      </c>
      <c r="D27" s="21" t="s">
        <v>921</v>
      </c>
      <c r="E27" s="21">
        <v>8</v>
      </c>
      <c r="F27" s="22">
        <v>46044.3632986111</v>
      </c>
      <c r="G27" s="22"/>
      <c r="H27" s="23">
        <v>390</v>
      </c>
      <c r="I27" s="23">
        <v>174.72</v>
      </c>
      <c r="J27" s="24">
        <v>1397.76</v>
      </c>
      <c r="K27" s="21">
        <v>0</v>
      </c>
      <c r="L27" s="21">
        <v>0</v>
      </c>
      <c r="M27" s="21">
        <f>COUNTIF($A$2:$A$5481,A27)</f>
        <v>2</v>
      </c>
      <c r="N27" s="24">
        <f t="shared" si="0"/>
        <v>1397.7600027</v>
      </c>
    </row>
    <row r="28" spans="1:14">
      <c r="A28" s="21" t="s">
        <v>940</v>
      </c>
      <c r="B28" s="21" t="s">
        <v>920</v>
      </c>
      <c r="C28" s="21" t="s">
        <v>26</v>
      </c>
      <c r="D28" s="21" t="s">
        <v>921</v>
      </c>
      <c r="E28" s="21">
        <v>2</v>
      </c>
      <c r="F28" s="22">
        <v>46251.7298842593</v>
      </c>
      <c r="G28" s="22"/>
      <c r="H28" s="23">
        <v>10.38</v>
      </c>
      <c r="I28" s="23">
        <v>5.19</v>
      </c>
      <c r="J28" s="24">
        <v>10.38</v>
      </c>
      <c r="K28" s="21">
        <v>0</v>
      </c>
      <c r="L28" s="21">
        <v>0</v>
      </c>
      <c r="M28" s="21">
        <f>COUNTIF($A$2:$A$5481,A28)</f>
        <v>1</v>
      </c>
      <c r="N28" s="24">
        <f t="shared" si="0"/>
        <v>10.3800028</v>
      </c>
    </row>
    <row r="29" spans="1:14">
      <c r="A29" s="21" t="s">
        <v>941</v>
      </c>
      <c r="B29" s="21" t="s">
        <v>920</v>
      </c>
      <c r="C29" s="21" t="s">
        <v>35</v>
      </c>
      <c r="D29" s="21" t="s">
        <v>921</v>
      </c>
      <c r="E29" s="21">
        <v>1</v>
      </c>
      <c r="F29" s="22">
        <v>45581.5442824074</v>
      </c>
      <c r="G29" s="22">
        <v>45586.8533680556</v>
      </c>
      <c r="H29" s="23">
        <v>5380</v>
      </c>
      <c r="I29" s="23">
        <v>5390</v>
      </c>
      <c r="J29" s="24">
        <v>5390</v>
      </c>
      <c r="K29" s="21">
        <v>0</v>
      </c>
      <c r="L29" s="21">
        <v>0</v>
      </c>
      <c r="M29" s="21">
        <f>COUNTIF($A$2:$A$5481,A29)</f>
        <v>1</v>
      </c>
      <c r="N29" s="24">
        <f t="shared" si="0"/>
        <v>5390.0000029</v>
      </c>
    </row>
    <row r="30" spans="1:14">
      <c r="A30" s="21" t="s">
        <v>942</v>
      </c>
      <c r="B30" s="21" t="s">
        <v>920</v>
      </c>
      <c r="C30" s="21" t="s">
        <v>26</v>
      </c>
      <c r="D30" s="21" t="s">
        <v>921</v>
      </c>
      <c r="E30" s="21">
        <v>1</v>
      </c>
      <c r="F30" s="22">
        <v>45364.6763888889</v>
      </c>
      <c r="G30" s="22"/>
      <c r="H30" s="23">
        <v>169.4</v>
      </c>
      <c r="I30" s="23">
        <v>169.4</v>
      </c>
      <c r="J30" s="24">
        <v>169.4</v>
      </c>
      <c r="K30" s="21">
        <v>0</v>
      </c>
      <c r="L30" s="21">
        <v>0</v>
      </c>
      <c r="M30" s="21">
        <f>COUNTIF($A$2:$A$5481,A30)</f>
        <v>1</v>
      </c>
      <c r="N30" s="24">
        <f t="shared" si="0"/>
        <v>169.400003</v>
      </c>
    </row>
    <row r="31" spans="1:14">
      <c r="A31" s="21" t="s">
        <v>943</v>
      </c>
      <c r="B31" s="21" t="s">
        <v>920</v>
      </c>
      <c r="C31" s="21" t="s">
        <v>26</v>
      </c>
      <c r="D31" s="21" t="s">
        <v>921</v>
      </c>
      <c r="E31" s="21">
        <v>15</v>
      </c>
      <c r="F31" s="22">
        <v>46216.6027777778</v>
      </c>
      <c r="G31" s="22"/>
      <c r="H31" s="23">
        <v>48.75</v>
      </c>
      <c r="I31" s="23">
        <v>3.25</v>
      </c>
      <c r="J31" s="24">
        <v>48.75</v>
      </c>
      <c r="K31" s="21">
        <v>0</v>
      </c>
      <c r="L31" s="21">
        <v>0</v>
      </c>
      <c r="M31" s="21">
        <f>COUNTIF($A$2:$A$5481,A31)</f>
        <v>1</v>
      </c>
      <c r="N31" s="24">
        <f t="shared" si="0"/>
        <v>48.7500031</v>
      </c>
    </row>
    <row r="32" spans="1:14">
      <c r="A32" s="21" t="s">
        <v>890</v>
      </c>
      <c r="B32" s="21" t="s">
        <v>920</v>
      </c>
      <c r="C32" s="21" t="s">
        <v>26</v>
      </c>
      <c r="D32" s="21" t="s">
        <v>921</v>
      </c>
      <c r="E32" s="21">
        <v>23</v>
      </c>
      <c r="F32" s="22">
        <v>46216.6027777778</v>
      </c>
      <c r="G32" s="22">
        <v>46274.5715277778</v>
      </c>
      <c r="H32" s="23">
        <v>690.48</v>
      </c>
      <c r="I32" s="23">
        <v>28.77</v>
      </c>
      <c r="J32" s="24">
        <v>661.71</v>
      </c>
      <c r="K32" s="21">
        <v>0</v>
      </c>
      <c r="L32" s="21">
        <v>0</v>
      </c>
      <c r="M32" s="21">
        <f>COUNTIF($A$2:$A$5481,A32)</f>
        <v>1</v>
      </c>
      <c r="N32" s="24">
        <f t="shared" si="0"/>
        <v>661.7100032</v>
      </c>
    </row>
    <row r="33" spans="1:14">
      <c r="A33" s="21" t="s">
        <v>944</v>
      </c>
      <c r="B33" s="21" t="s">
        <v>920</v>
      </c>
      <c r="C33" s="21" t="s">
        <v>26</v>
      </c>
      <c r="D33" s="21" t="s">
        <v>921</v>
      </c>
      <c r="E33" s="21">
        <v>24</v>
      </c>
      <c r="F33" s="22">
        <v>46216.6027777778</v>
      </c>
      <c r="G33" s="22"/>
      <c r="H33" s="23">
        <v>1319.52</v>
      </c>
      <c r="I33" s="23">
        <v>54.98</v>
      </c>
      <c r="J33" s="24">
        <v>1319.52</v>
      </c>
      <c r="K33" s="21">
        <v>0</v>
      </c>
      <c r="L33" s="21">
        <v>0</v>
      </c>
      <c r="M33" s="21">
        <f>COUNTIF($A$2:$A$5481,A33)</f>
        <v>1</v>
      </c>
      <c r="N33" s="24">
        <f t="shared" si="0"/>
        <v>1319.5200033</v>
      </c>
    </row>
    <row r="34" spans="1:14">
      <c r="A34" s="21" t="s">
        <v>945</v>
      </c>
      <c r="B34" s="21" t="s">
        <v>920</v>
      </c>
      <c r="C34" s="21" t="s">
        <v>26</v>
      </c>
      <c r="D34" s="21" t="s">
        <v>921</v>
      </c>
      <c r="E34" s="21">
        <v>24</v>
      </c>
      <c r="F34" s="22">
        <v>46216.6027777778</v>
      </c>
      <c r="G34" s="22"/>
      <c r="H34" s="23">
        <v>645.6</v>
      </c>
      <c r="I34" s="23">
        <v>26.9</v>
      </c>
      <c r="J34" s="24">
        <v>645.6</v>
      </c>
      <c r="K34" s="21">
        <v>0</v>
      </c>
      <c r="L34" s="21">
        <v>0</v>
      </c>
      <c r="M34" s="21">
        <f>COUNTIF($A$2:$A$5481,A34)</f>
        <v>1</v>
      </c>
      <c r="N34" s="24">
        <f t="shared" si="0"/>
        <v>645.6000034</v>
      </c>
    </row>
    <row r="35" spans="1:14">
      <c r="A35" s="21" t="s">
        <v>946</v>
      </c>
      <c r="B35" s="21" t="s">
        <v>26</v>
      </c>
      <c r="C35" s="21" t="s">
        <v>26</v>
      </c>
      <c r="D35" s="21" t="s">
        <v>921</v>
      </c>
      <c r="E35" s="21">
        <v>1</v>
      </c>
      <c r="F35" s="22">
        <v>45877.6835416667</v>
      </c>
      <c r="G35" s="22"/>
      <c r="H35" s="23">
        <v>176</v>
      </c>
      <c r="I35" s="23">
        <v>176</v>
      </c>
      <c r="J35" s="24">
        <v>176</v>
      </c>
      <c r="K35" s="21">
        <v>0</v>
      </c>
      <c r="L35" s="21">
        <v>0</v>
      </c>
      <c r="M35" s="21">
        <f>COUNTIF($A$2:$A$5481,A35)</f>
        <v>1</v>
      </c>
      <c r="N35" s="24">
        <f t="shared" si="0"/>
        <v>176.0000035</v>
      </c>
    </row>
    <row r="36" spans="1:14">
      <c r="A36" s="21" t="s">
        <v>947</v>
      </c>
      <c r="B36" s="21" t="s">
        <v>948</v>
      </c>
      <c r="C36" s="21" t="s">
        <v>26</v>
      </c>
      <c r="D36" s="21" t="s">
        <v>921</v>
      </c>
      <c r="E36" s="21">
        <v>4</v>
      </c>
      <c r="F36" s="22">
        <v>46027.6707407407</v>
      </c>
      <c r="G36" s="22"/>
      <c r="H36" s="23">
        <v>95</v>
      </c>
      <c r="I36" s="23">
        <v>47.5</v>
      </c>
      <c r="J36" s="24">
        <v>190</v>
      </c>
      <c r="K36" s="21">
        <v>0</v>
      </c>
      <c r="L36" s="21">
        <v>0</v>
      </c>
      <c r="M36" s="21">
        <f>COUNTIF($A$2:$A$5481,A36)</f>
        <v>1</v>
      </c>
      <c r="N36" s="24">
        <f t="shared" si="0"/>
        <v>190.0000036</v>
      </c>
    </row>
    <row r="37" spans="1:14">
      <c r="A37" s="21" t="s">
        <v>636</v>
      </c>
      <c r="B37" s="21" t="s">
        <v>949</v>
      </c>
      <c r="C37" s="21" t="s">
        <v>26</v>
      </c>
      <c r="D37" s="21" t="s">
        <v>921</v>
      </c>
      <c r="E37" s="21">
        <v>0</v>
      </c>
      <c r="F37" s="22">
        <v>45888.5788425926</v>
      </c>
      <c r="G37" s="22">
        <v>46252.4863310185</v>
      </c>
      <c r="H37" s="23">
        <v>44.94</v>
      </c>
      <c r="I37" s="23">
        <v>7.49</v>
      </c>
      <c r="J37" s="24">
        <v>0</v>
      </c>
      <c r="K37" s="21">
        <v>0</v>
      </c>
      <c r="L37" s="21">
        <v>0</v>
      </c>
      <c r="M37" s="21">
        <f>COUNTIF($A$2:$A$5481,A37)</f>
        <v>1</v>
      </c>
      <c r="N37" s="24">
        <f t="shared" si="0"/>
        <v>3.7e-6</v>
      </c>
    </row>
    <row r="38" spans="1:14">
      <c r="A38" s="21" t="s">
        <v>173</v>
      </c>
      <c r="B38" s="21" t="s">
        <v>920</v>
      </c>
      <c r="C38" s="21" t="s">
        <v>26</v>
      </c>
      <c r="D38" s="21" t="s">
        <v>931</v>
      </c>
      <c r="E38" s="21">
        <v>1</v>
      </c>
      <c r="F38" s="22">
        <v>46036.5900925926</v>
      </c>
      <c r="G38" s="22">
        <v>46078.7262615741</v>
      </c>
      <c r="H38" s="23">
        <v>254</v>
      </c>
      <c r="I38" s="23">
        <v>123.5</v>
      </c>
      <c r="J38" s="24">
        <v>123.5</v>
      </c>
      <c r="K38" s="21">
        <v>0</v>
      </c>
      <c r="L38" s="21">
        <v>0</v>
      </c>
      <c r="M38" s="21">
        <f>COUNTIF($A$2:$A$5481,A38)</f>
        <v>2</v>
      </c>
      <c r="N38" s="24">
        <f t="shared" si="0"/>
        <v>123.5000038</v>
      </c>
    </row>
    <row r="39" spans="1:14">
      <c r="A39" s="21" t="s">
        <v>173</v>
      </c>
      <c r="B39" s="21" t="s">
        <v>920</v>
      </c>
      <c r="C39" s="21" t="s">
        <v>35</v>
      </c>
      <c r="D39" s="21" t="s">
        <v>931</v>
      </c>
      <c r="E39" s="21">
        <v>3</v>
      </c>
      <c r="F39" s="22">
        <v>46065.3384722222</v>
      </c>
      <c r="G39" s="22">
        <v>46090.4134837963</v>
      </c>
      <c r="H39" s="23">
        <v>1480</v>
      </c>
      <c r="I39" s="23">
        <v>370</v>
      </c>
      <c r="J39" s="24">
        <v>1110</v>
      </c>
      <c r="K39" s="21">
        <v>0</v>
      </c>
      <c r="L39" s="21">
        <v>0</v>
      </c>
      <c r="M39" s="21">
        <f>COUNTIF($A$2:$A$5481,A39)</f>
        <v>2</v>
      </c>
      <c r="N39" s="24">
        <f t="shared" si="0"/>
        <v>1110.0000039</v>
      </c>
    </row>
    <row r="40" spans="1:14">
      <c r="A40" s="21" t="s">
        <v>228</v>
      </c>
      <c r="B40" s="21" t="s">
        <v>920</v>
      </c>
      <c r="C40" s="21" t="s">
        <v>26</v>
      </c>
      <c r="D40" s="21" t="s">
        <v>931</v>
      </c>
      <c r="E40" s="21">
        <v>0</v>
      </c>
      <c r="F40" s="22">
        <v>45737.4272685185</v>
      </c>
      <c r="G40" s="22">
        <v>46058.7276273148</v>
      </c>
      <c r="H40" s="23">
        <v>165</v>
      </c>
      <c r="I40" s="23">
        <v>165</v>
      </c>
      <c r="J40" s="24">
        <v>0</v>
      </c>
      <c r="K40" s="21">
        <v>0</v>
      </c>
      <c r="L40" s="21">
        <v>0</v>
      </c>
      <c r="M40" s="21">
        <f>COUNTIF($A$2:$A$5481,A40)</f>
        <v>2</v>
      </c>
      <c r="N40" s="24">
        <f t="shared" si="0"/>
        <v>4e-6</v>
      </c>
    </row>
    <row r="41" spans="1:14">
      <c r="A41" s="21" t="s">
        <v>228</v>
      </c>
      <c r="B41" s="21" t="s">
        <v>920</v>
      </c>
      <c r="C41" s="21" t="s">
        <v>35</v>
      </c>
      <c r="D41" s="21" t="s">
        <v>931</v>
      </c>
      <c r="E41" s="21">
        <v>3</v>
      </c>
      <c r="F41" s="22">
        <v>46065.3384722222</v>
      </c>
      <c r="G41" s="22">
        <v>46120.5698148148</v>
      </c>
      <c r="H41" s="23">
        <v>580</v>
      </c>
      <c r="I41" s="23">
        <v>145</v>
      </c>
      <c r="J41" s="24">
        <v>435</v>
      </c>
      <c r="K41" s="21">
        <v>0</v>
      </c>
      <c r="L41" s="21">
        <v>0</v>
      </c>
      <c r="M41" s="21">
        <f>COUNTIF($A$2:$A$5481,A41)</f>
        <v>2</v>
      </c>
      <c r="N41" s="24">
        <f t="shared" si="0"/>
        <v>435.0000041</v>
      </c>
    </row>
    <row r="42" spans="1:14">
      <c r="A42" s="21" t="s">
        <v>950</v>
      </c>
      <c r="B42" s="21" t="s">
        <v>920</v>
      </c>
      <c r="C42" s="21" t="s">
        <v>26</v>
      </c>
      <c r="D42" s="21" t="s">
        <v>931</v>
      </c>
      <c r="E42" s="21">
        <v>2</v>
      </c>
      <c r="F42" s="22">
        <v>46059.4660416667</v>
      </c>
      <c r="G42" s="22"/>
      <c r="H42" s="23">
        <v>127</v>
      </c>
      <c r="I42" s="23">
        <v>146</v>
      </c>
      <c r="J42" s="24">
        <v>292</v>
      </c>
      <c r="K42" s="21">
        <v>0</v>
      </c>
      <c r="L42" s="21">
        <v>0</v>
      </c>
      <c r="M42" s="21">
        <f>COUNTIF($A$2:$A$5481,A42)</f>
        <v>2</v>
      </c>
      <c r="N42" s="24">
        <f t="shared" si="0"/>
        <v>292.0000042</v>
      </c>
    </row>
    <row r="43" spans="1:14">
      <c r="A43" s="21" t="s">
        <v>950</v>
      </c>
      <c r="B43" s="21" t="s">
        <v>920</v>
      </c>
      <c r="C43" s="21" t="s">
        <v>35</v>
      </c>
      <c r="D43" s="21" t="s">
        <v>931</v>
      </c>
      <c r="E43" s="21">
        <v>4</v>
      </c>
      <c r="F43" s="22">
        <v>46065.3384722222</v>
      </c>
      <c r="G43" s="22"/>
      <c r="H43" s="23">
        <v>580</v>
      </c>
      <c r="I43" s="23">
        <v>145</v>
      </c>
      <c r="J43" s="24">
        <v>580</v>
      </c>
      <c r="K43" s="21">
        <v>0</v>
      </c>
      <c r="L43" s="21">
        <v>0</v>
      </c>
      <c r="M43" s="21">
        <f>COUNTIF($A$2:$A$5481,A43)</f>
        <v>2</v>
      </c>
      <c r="N43" s="24">
        <f t="shared" si="0"/>
        <v>580.0000043</v>
      </c>
    </row>
    <row r="44" spans="1:14">
      <c r="A44" s="21" t="s">
        <v>951</v>
      </c>
      <c r="B44" s="21" t="s">
        <v>920</v>
      </c>
      <c r="C44" s="21" t="s">
        <v>35</v>
      </c>
      <c r="D44" s="21" t="s">
        <v>921</v>
      </c>
      <c r="E44" s="21">
        <v>0</v>
      </c>
      <c r="F44" s="22">
        <v>45272.8756481482</v>
      </c>
      <c r="G44" s="22">
        <v>45638.4543055556</v>
      </c>
      <c r="H44" s="23">
        <v>660</v>
      </c>
      <c r="I44" s="23">
        <v>330</v>
      </c>
      <c r="J44" s="24">
        <v>0</v>
      </c>
      <c r="K44" s="21">
        <v>2</v>
      </c>
      <c r="L44" s="21">
        <v>6</v>
      </c>
      <c r="M44" s="21">
        <f>COUNTIF($A$2:$A$5481,A44)</f>
        <v>1</v>
      </c>
      <c r="N44" s="24">
        <f t="shared" si="0"/>
        <v>4.4e-6</v>
      </c>
    </row>
    <row r="45" spans="1:14">
      <c r="A45" s="21" t="s">
        <v>952</v>
      </c>
      <c r="B45" s="21" t="s">
        <v>920</v>
      </c>
      <c r="C45" s="21" t="s">
        <v>35</v>
      </c>
      <c r="D45" s="21" t="s">
        <v>921</v>
      </c>
      <c r="E45" s="21">
        <v>0</v>
      </c>
      <c r="F45" s="22">
        <v>45272.8805439815</v>
      </c>
      <c r="G45" s="22">
        <v>45566.4220023148</v>
      </c>
      <c r="H45" s="23">
        <v>330</v>
      </c>
      <c r="I45" s="23">
        <v>330</v>
      </c>
      <c r="J45" s="24">
        <v>0</v>
      </c>
      <c r="K45" s="21">
        <v>0</v>
      </c>
      <c r="L45" s="21">
        <v>0</v>
      </c>
      <c r="M45" s="21">
        <f>COUNTIF($A$2:$A$5481,A45)</f>
        <v>2</v>
      </c>
      <c r="N45" s="24">
        <f t="shared" si="0"/>
        <v>4.5e-6</v>
      </c>
    </row>
    <row r="46" spans="1:14">
      <c r="A46" s="21" t="s">
        <v>952</v>
      </c>
      <c r="B46" s="21" t="s">
        <v>920</v>
      </c>
      <c r="C46" s="21" t="s">
        <v>26</v>
      </c>
      <c r="D46" s="21" t="s">
        <v>921</v>
      </c>
      <c r="E46" s="21">
        <v>2</v>
      </c>
      <c r="F46" s="22">
        <v>45784.3956481482</v>
      </c>
      <c r="G46" s="22"/>
      <c r="H46" s="23">
        <v>196</v>
      </c>
      <c r="I46" s="23">
        <v>98</v>
      </c>
      <c r="J46" s="24">
        <v>196</v>
      </c>
      <c r="K46" s="21">
        <v>0</v>
      </c>
      <c r="L46" s="21">
        <v>0</v>
      </c>
      <c r="M46" s="21">
        <f>COUNTIF($A$2:$A$5481,A46)</f>
        <v>2</v>
      </c>
      <c r="N46" s="24">
        <f t="shared" si="0"/>
        <v>196.0000046</v>
      </c>
    </row>
    <row r="47" spans="1:14">
      <c r="A47" s="21" t="s">
        <v>298</v>
      </c>
      <c r="B47" s="21" t="s">
        <v>920</v>
      </c>
      <c r="C47" s="21" t="s">
        <v>26</v>
      </c>
      <c r="D47" s="21" t="s">
        <v>921</v>
      </c>
      <c r="E47" s="21">
        <v>1</v>
      </c>
      <c r="F47" s="22">
        <v>45737.4272685185</v>
      </c>
      <c r="G47" s="22"/>
      <c r="H47" s="23">
        <v>155</v>
      </c>
      <c r="I47" s="23">
        <v>155</v>
      </c>
      <c r="J47" s="24">
        <v>155</v>
      </c>
      <c r="K47" s="21">
        <v>0</v>
      </c>
      <c r="L47" s="21">
        <v>0</v>
      </c>
      <c r="M47" s="21">
        <f>COUNTIF($A$2:$A$5481,A47)</f>
        <v>2</v>
      </c>
      <c r="N47" s="24">
        <f t="shared" si="0"/>
        <v>155.0000047</v>
      </c>
    </row>
    <row r="48" spans="1:14">
      <c r="A48" s="21" t="s">
        <v>298</v>
      </c>
      <c r="B48" s="21" t="s">
        <v>920</v>
      </c>
      <c r="C48" s="21" t="s">
        <v>35</v>
      </c>
      <c r="D48" s="21" t="s">
        <v>921</v>
      </c>
      <c r="E48" s="21">
        <v>2</v>
      </c>
      <c r="F48" s="22">
        <v>46065.3384722222</v>
      </c>
      <c r="G48" s="22">
        <v>46132.4348958333</v>
      </c>
      <c r="H48" s="23">
        <v>600</v>
      </c>
      <c r="I48" s="23">
        <v>150</v>
      </c>
      <c r="J48" s="24">
        <v>300</v>
      </c>
      <c r="K48" s="21">
        <v>0</v>
      </c>
      <c r="L48" s="21">
        <v>0</v>
      </c>
      <c r="M48" s="21">
        <f>COUNTIF($A$2:$A$5481,A48)</f>
        <v>2</v>
      </c>
      <c r="N48" s="24">
        <f t="shared" si="0"/>
        <v>300.0000048</v>
      </c>
    </row>
    <row r="49" spans="1:14">
      <c r="A49" s="21" t="s">
        <v>953</v>
      </c>
      <c r="B49" s="21" t="s">
        <v>929</v>
      </c>
      <c r="C49" s="21" t="s">
        <v>26</v>
      </c>
      <c r="D49" s="21" t="s">
        <v>921</v>
      </c>
      <c r="E49" s="21">
        <v>1</v>
      </c>
      <c r="F49" s="22">
        <v>45391.8606481482</v>
      </c>
      <c r="G49" s="22"/>
      <c r="H49" s="23">
        <v>59.9</v>
      </c>
      <c r="I49" s="23">
        <v>59.9</v>
      </c>
      <c r="J49" s="24">
        <v>59.9</v>
      </c>
      <c r="K49" s="21">
        <v>0</v>
      </c>
      <c r="L49" s="21">
        <v>0</v>
      </c>
      <c r="M49" s="21">
        <f>COUNTIF($A$2:$A$5481,A49)</f>
        <v>1</v>
      </c>
      <c r="N49" s="24">
        <f t="shared" si="0"/>
        <v>59.9000049</v>
      </c>
    </row>
    <row r="50" spans="1:14">
      <c r="A50" s="21" t="s">
        <v>954</v>
      </c>
      <c r="B50" s="21" t="s">
        <v>929</v>
      </c>
      <c r="C50" s="21" t="s">
        <v>26</v>
      </c>
      <c r="D50" s="21" t="s">
        <v>921</v>
      </c>
      <c r="E50" s="21">
        <v>17</v>
      </c>
      <c r="F50" s="22">
        <v>46234.5952430556</v>
      </c>
      <c r="G50" s="22">
        <v>45345.3990856482</v>
      </c>
      <c r="H50" s="23">
        <v>355.1</v>
      </c>
      <c r="I50" s="23">
        <v>34.4176470588</v>
      </c>
      <c r="J50" s="24">
        <v>585.14</v>
      </c>
      <c r="K50" s="21">
        <v>0</v>
      </c>
      <c r="L50" s="21">
        <v>0</v>
      </c>
      <c r="M50" s="21">
        <f>COUNTIF($A$2:$A$5481,A50)</f>
        <v>1</v>
      </c>
      <c r="N50" s="24">
        <f t="shared" si="0"/>
        <v>585.140005</v>
      </c>
    </row>
    <row r="51" spans="1:14">
      <c r="A51" s="21" t="s">
        <v>955</v>
      </c>
      <c r="B51" s="21" t="s">
        <v>26</v>
      </c>
      <c r="C51" s="21" t="s">
        <v>26</v>
      </c>
      <c r="D51" s="21" t="s">
        <v>921</v>
      </c>
      <c r="E51" s="21">
        <v>6</v>
      </c>
      <c r="F51" s="22">
        <v>45945.3463078704</v>
      </c>
      <c r="G51" s="22"/>
      <c r="H51" s="23">
        <v>260.1</v>
      </c>
      <c r="I51" s="23">
        <v>43.35</v>
      </c>
      <c r="J51" s="24">
        <v>260.1</v>
      </c>
      <c r="K51" s="21">
        <v>0</v>
      </c>
      <c r="L51" s="21">
        <v>0</v>
      </c>
      <c r="M51" s="21">
        <f>COUNTIF($A$2:$A$5481,A51)</f>
        <v>1</v>
      </c>
      <c r="N51" s="24">
        <f t="shared" si="0"/>
        <v>260.1000051</v>
      </c>
    </row>
    <row r="52" spans="1:14">
      <c r="A52" s="21" t="s">
        <v>956</v>
      </c>
      <c r="B52" s="21" t="s">
        <v>929</v>
      </c>
      <c r="C52" s="21" t="s">
        <v>26</v>
      </c>
      <c r="D52" s="21" t="s">
        <v>921</v>
      </c>
      <c r="E52" s="21">
        <v>0</v>
      </c>
      <c r="F52" s="22">
        <v>45477.370775463</v>
      </c>
      <c r="G52" s="22">
        <v>45477.3946296296</v>
      </c>
      <c r="H52" s="23">
        <v>369</v>
      </c>
      <c r="I52" s="23">
        <v>12.3</v>
      </c>
      <c r="J52" s="24">
        <v>0</v>
      </c>
      <c r="K52" s="21">
        <v>0</v>
      </c>
      <c r="L52" s="21">
        <v>0</v>
      </c>
      <c r="M52" s="21">
        <f>COUNTIF($A$2:$A$5481,A52)</f>
        <v>1</v>
      </c>
      <c r="N52" s="24">
        <f t="shared" si="0"/>
        <v>5.2e-6</v>
      </c>
    </row>
    <row r="53" spans="1:14">
      <c r="A53" s="21" t="s">
        <v>957</v>
      </c>
      <c r="B53" s="21" t="s">
        <v>929</v>
      </c>
      <c r="C53" s="21" t="s">
        <v>26</v>
      </c>
      <c r="D53" s="21" t="s">
        <v>921</v>
      </c>
      <c r="E53" s="21">
        <v>2</v>
      </c>
      <c r="F53" s="22">
        <v>46048.5820486111</v>
      </c>
      <c r="G53" s="22"/>
      <c r="H53" s="23">
        <v>202.77</v>
      </c>
      <c r="I53" s="23">
        <v>207.525</v>
      </c>
      <c r="J53" s="24">
        <v>415.06</v>
      </c>
      <c r="K53" s="21">
        <v>0</v>
      </c>
      <c r="L53" s="21">
        <v>0</v>
      </c>
      <c r="M53" s="21">
        <f>COUNTIF($A$2:$A$5481,A53)</f>
        <v>1</v>
      </c>
      <c r="N53" s="24">
        <f t="shared" si="0"/>
        <v>415.0600053</v>
      </c>
    </row>
    <row r="54" spans="1:14">
      <c r="A54" s="21" t="s">
        <v>958</v>
      </c>
      <c r="B54" s="21" t="s">
        <v>26</v>
      </c>
      <c r="C54" s="21" t="s">
        <v>26</v>
      </c>
      <c r="D54" s="21" t="s">
        <v>921</v>
      </c>
      <c r="E54" s="21">
        <v>1</v>
      </c>
      <c r="F54" s="22">
        <v>45979.6287384259</v>
      </c>
      <c r="G54" s="22"/>
      <c r="H54" s="23">
        <v>481.9</v>
      </c>
      <c r="I54" s="23">
        <v>481.9</v>
      </c>
      <c r="J54" s="24">
        <v>481.9</v>
      </c>
      <c r="K54" s="21">
        <v>0</v>
      </c>
      <c r="L54" s="21">
        <v>0</v>
      </c>
      <c r="M54" s="21">
        <f>COUNTIF($A$2:$A$5481,A54)</f>
        <v>1</v>
      </c>
      <c r="N54" s="24">
        <f t="shared" si="0"/>
        <v>481.9000054</v>
      </c>
    </row>
    <row r="55" spans="1:14">
      <c r="A55" s="21" t="s">
        <v>959</v>
      </c>
      <c r="B55" s="21" t="s">
        <v>929</v>
      </c>
      <c r="C55" s="21" t="s">
        <v>26</v>
      </c>
      <c r="D55" s="21" t="s">
        <v>921</v>
      </c>
      <c r="E55" s="21">
        <v>2</v>
      </c>
      <c r="F55" s="22">
        <v>46048.5820486111</v>
      </c>
      <c r="G55" s="22"/>
      <c r="H55" s="23">
        <v>169.9</v>
      </c>
      <c r="I55" s="23">
        <v>112.895</v>
      </c>
      <c r="J55" s="24">
        <v>225.8</v>
      </c>
      <c r="K55" s="21">
        <v>0</v>
      </c>
      <c r="L55" s="21">
        <v>0</v>
      </c>
      <c r="M55" s="21">
        <f>COUNTIF($A$2:$A$5481,A55)</f>
        <v>1</v>
      </c>
      <c r="N55" s="24">
        <f t="shared" si="0"/>
        <v>225.8000055</v>
      </c>
    </row>
    <row r="56" spans="1:14">
      <c r="A56" s="21" t="s">
        <v>960</v>
      </c>
      <c r="B56" s="21" t="s">
        <v>929</v>
      </c>
      <c r="C56" s="21" t="s">
        <v>26</v>
      </c>
      <c r="D56" s="21" t="s">
        <v>921</v>
      </c>
      <c r="E56" s="21">
        <v>1</v>
      </c>
      <c r="F56" s="22">
        <v>46079.5740509259</v>
      </c>
      <c r="G56" s="22"/>
      <c r="H56" s="23">
        <v>429.9</v>
      </c>
      <c r="I56" s="23">
        <v>429.9</v>
      </c>
      <c r="J56" s="24">
        <v>429.9</v>
      </c>
      <c r="K56" s="21">
        <v>0</v>
      </c>
      <c r="L56" s="21">
        <v>0</v>
      </c>
      <c r="M56" s="21">
        <f>COUNTIF($A$2:$A$5481,A56)</f>
        <v>1</v>
      </c>
      <c r="N56" s="24">
        <f t="shared" si="0"/>
        <v>429.9000056</v>
      </c>
    </row>
    <row r="57" spans="1:14">
      <c r="A57" s="21" t="s">
        <v>961</v>
      </c>
      <c r="B57" s="21" t="s">
        <v>920</v>
      </c>
      <c r="C57" s="21" t="s">
        <v>26</v>
      </c>
      <c r="D57" s="21" t="s">
        <v>921</v>
      </c>
      <c r="E57" s="21">
        <v>20</v>
      </c>
      <c r="F57" s="22">
        <v>46157.5366550926</v>
      </c>
      <c r="G57" s="22"/>
      <c r="H57" s="23">
        <v>319.5</v>
      </c>
      <c r="I57" s="23">
        <v>57.15</v>
      </c>
      <c r="J57" s="24">
        <v>1143</v>
      </c>
      <c r="K57" s="21">
        <v>0</v>
      </c>
      <c r="L57" s="21">
        <v>0</v>
      </c>
      <c r="M57" s="21">
        <f>COUNTIF($A$2:$A$5481,A57)</f>
        <v>1</v>
      </c>
      <c r="N57" s="24">
        <f t="shared" si="0"/>
        <v>1143.0000057</v>
      </c>
    </row>
    <row r="58" spans="1:14">
      <c r="A58" s="21" t="s">
        <v>962</v>
      </c>
      <c r="B58" s="21" t="s">
        <v>920</v>
      </c>
      <c r="C58" s="21" t="s">
        <v>26</v>
      </c>
      <c r="D58" s="21" t="s">
        <v>921</v>
      </c>
      <c r="E58" s="21">
        <v>3</v>
      </c>
      <c r="F58" s="22">
        <v>45916.5859722222</v>
      </c>
      <c r="G58" s="22"/>
      <c r="H58" s="23">
        <v>30.66</v>
      </c>
      <c r="I58" s="23">
        <v>10.22</v>
      </c>
      <c r="J58" s="24">
        <v>30.66</v>
      </c>
      <c r="K58" s="21">
        <v>0</v>
      </c>
      <c r="L58" s="21">
        <v>0</v>
      </c>
      <c r="M58" s="21">
        <f>COUNTIF($A$2:$A$5481,A58)</f>
        <v>1</v>
      </c>
      <c r="N58" s="24">
        <f t="shared" si="0"/>
        <v>30.6600058</v>
      </c>
    </row>
    <row r="59" spans="1:14">
      <c r="A59" s="21" t="s">
        <v>963</v>
      </c>
      <c r="B59" s="21" t="s">
        <v>26</v>
      </c>
      <c r="C59" s="21" t="s">
        <v>26</v>
      </c>
      <c r="D59" s="21" t="s">
        <v>921</v>
      </c>
      <c r="E59" s="21">
        <v>4</v>
      </c>
      <c r="F59" s="22">
        <v>45707.8524189815</v>
      </c>
      <c r="G59" s="22"/>
      <c r="H59" s="23">
        <v>357.52</v>
      </c>
      <c r="I59" s="23">
        <v>89.38</v>
      </c>
      <c r="J59" s="24">
        <v>357.52</v>
      </c>
      <c r="K59" s="21">
        <v>0</v>
      </c>
      <c r="L59" s="21">
        <v>0</v>
      </c>
      <c r="M59" s="21">
        <f>COUNTIF($A$2:$A$5481,A59)</f>
        <v>1</v>
      </c>
      <c r="N59" s="24">
        <f t="shared" si="0"/>
        <v>357.5200059</v>
      </c>
    </row>
    <row r="60" spans="1:14">
      <c r="A60" s="21" t="s">
        <v>964</v>
      </c>
      <c r="B60" s="21" t="s">
        <v>26</v>
      </c>
      <c r="C60" s="21" t="s">
        <v>26</v>
      </c>
      <c r="D60" s="21" t="s">
        <v>921</v>
      </c>
      <c r="E60" s="21">
        <v>4</v>
      </c>
      <c r="F60" s="22">
        <v>45482.421400463</v>
      </c>
      <c r="G60" s="22"/>
      <c r="H60" s="23">
        <v>225.64</v>
      </c>
      <c r="I60" s="23">
        <v>56.41</v>
      </c>
      <c r="J60" s="24">
        <v>225.64</v>
      </c>
      <c r="K60" s="21">
        <v>0</v>
      </c>
      <c r="L60" s="21">
        <v>0</v>
      </c>
      <c r="M60" s="21">
        <f>COUNTIF($A$2:$A$5481,A60)</f>
        <v>1</v>
      </c>
      <c r="N60" s="24">
        <f t="shared" si="0"/>
        <v>225.640006</v>
      </c>
    </row>
    <row r="61" spans="1:14">
      <c r="A61" s="21" t="s">
        <v>965</v>
      </c>
      <c r="B61" s="21" t="s">
        <v>929</v>
      </c>
      <c r="C61" s="21" t="s">
        <v>26</v>
      </c>
      <c r="D61" s="21" t="s">
        <v>921</v>
      </c>
      <c r="E61" s="21">
        <v>1</v>
      </c>
      <c r="F61" s="22">
        <v>45439.8183449074</v>
      </c>
      <c r="G61" s="22"/>
      <c r="H61" s="23">
        <v>82.9</v>
      </c>
      <c r="I61" s="23">
        <v>82.9</v>
      </c>
      <c r="J61" s="24">
        <v>82.9</v>
      </c>
      <c r="K61" s="21">
        <v>0</v>
      </c>
      <c r="L61" s="21">
        <v>0</v>
      </c>
      <c r="M61" s="21">
        <f>COUNTIF($A$2:$A$5481,A61)</f>
        <v>1</v>
      </c>
      <c r="N61" s="24">
        <f t="shared" si="0"/>
        <v>82.9000061</v>
      </c>
    </row>
    <row r="62" spans="1:14">
      <c r="A62" s="21" t="s">
        <v>764</v>
      </c>
      <c r="B62" s="21" t="s">
        <v>966</v>
      </c>
      <c r="C62" s="21" t="s">
        <v>26</v>
      </c>
      <c r="D62" s="21" t="s">
        <v>921</v>
      </c>
      <c r="E62" s="21">
        <v>0</v>
      </c>
      <c r="F62" s="22">
        <v>45333.5479166667</v>
      </c>
      <c r="G62" s="22">
        <v>46252.6096412037</v>
      </c>
      <c r="H62" s="23">
        <v>564.46</v>
      </c>
      <c r="I62" s="23">
        <v>282.23</v>
      </c>
      <c r="J62" s="24">
        <v>0</v>
      </c>
      <c r="K62" s="21">
        <v>0</v>
      </c>
      <c r="L62" s="21">
        <v>0</v>
      </c>
      <c r="M62" s="21">
        <f>COUNTIF($A$2:$A$5481,A62)</f>
        <v>1</v>
      </c>
      <c r="N62" s="24">
        <f t="shared" si="0"/>
        <v>6.2e-6</v>
      </c>
    </row>
    <row r="63" spans="1:14">
      <c r="A63" s="21" t="s">
        <v>763</v>
      </c>
      <c r="B63" s="21" t="s">
        <v>920</v>
      </c>
      <c r="C63" s="21" t="s">
        <v>26</v>
      </c>
      <c r="D63" s="21" t="s">
        <v>921</v>
      </c>
      <c r="E63" s="21">
        <v>0</v>
      </c>
      <c r="F63" s="22">
        <v>45470.3858333333</v>
      </c>
      <c r="G63" s="22">
        <v>46252.6096296296</v>
      </c>
      <c r="H63" s="23">
        <v>174.03</v>
      </c>
      <c r="I63" s="23">
        <v>174.03</v>
      </c>
      <c r="J63" s="24">
        <v>0</v>
      </c>
      <c r="K63" s="21">
        <v>0</v>
      </c>
      <c r="L63" s="21">
        <v>0</v>
      </c>
      <c r="M63" s="21">
        <f>COUNTIF($A$2:$A$5481,A63)</f>
        <v>1</v>
      </c>
      <c r="N63" s="24">
        <f t="shared" si="0"/>
        <v>6.3e-6</v>
      </c>
    </row>
    <row r="64" spans="1:14">
      <c r="A64" s="21" t="s">
        <v>967</v>
      </c>
      <c r="B64" s="21" t="s">
        <v>920</v>
      </c>
      <c r="C64" s="21" t="s">
        <v>35</v>
      </c>
      <c r="D64" s="21" t="s">
        <v>921</v>
      </c>
      <c r="E64" s="21">
        <v>0</v>
      </c>
      <c r="F64" s="22">
        <v>45303.3972222222</v>
      </c>
      <c r="G64" s="22">
        <v>45352.4452546296</v>
      </c>
      <c r="H64" s="23">
        <v>5754.59</v>
      </c>
      <c r="I64" s="23">
        <v>5754.59</v>
      </c>
      <c r="J64" s="24">
        <v>0</v>
      </c>
      <c r="K64" s="21">
        <v>0</v>
      </c>
      <c r="L64" s="21">
        <v>0</v>
      </c>
      <c r="M64" s="21">
        <f>COUNTIF($A$2:$A$5481,A64)</f>
        <v>1</v>
      </c>
      <c r="N64" s="24">
        <f t="shared" si="0"/>
        <v>6.4e-6</v>
      </c>
    </row>
    <row r="65" spans="1:14">
      <c r="A65" s="21" t="s">
        <v>968</v>
      </c>
      <c r="B65" s="21" t="s">
        <v>26</v>
      </c>
      <c r="C65" s="21" t="s">
        <v>182</v>
      </c>
      <c r="D65" s="21" t="s">
        <v>921</v>
      </c>
      <c r="E65" s="21">
        <v>1</v>
      </c>
      <c r="F65" s="22">
        <v>45342.8225</v>
      </c>
      <c r="G65" s="22"/>
      <c r="H65" s="23">
        <v>6.39</v>
      </c>
      <c r="I65" s="23">
        <v>6.39</v>
      </c>
      <c r="J65" s="24">
        <v>6.39</v>
      </c>
      <c r="K65" s="21">
        <v>0</v>
      </c>
      <c r="L65" s="21">
        <v>0</v>
      </c>
      <c r="M65" s="21">
        <f>COUNTIF($A$2:$A$5481,A65)</f>
        <v>1</v>
      </c>
      <c r="N65" s="24">
        <f t="shared" si="0"/>
        <v>6.3900065</v>
      </c>
    </row>
    <row r="66" spans="1:14">
      <c r="A66" s="21" t="s">
        <v>969</v>
      </c>
      <c r="B66" s="21" t="s">
        <v>920</v>
      </c>
      <c r="C66" s="21" t="s">
        <v>26</v>
      </c>
      <c r="D66" s="21" t="s">
        <v>921</v>
      </c>
      <c r="E66" s="21">
        <v>2</v>
      </c>
      <c r="F66" s="22">
        <v>46171.652650463</v>
      </c>
      <c r="G66" s="22"/>
      <c r="H66" s="23">
        <v>59.8</v>
      </c>
      <c r="I66" s="23">
        <v>29.9</v>
      </c>
      <c r="J66" s="24">
        <v>59.8</v>
      </c>
      <c r="K66" s="21">
        <v>0</v>
      </c>
      <c r="L66" s="21">
        <v>0</v>
      </c>
      <c r="M66" s="21">
        <f>COUNTIF($A$2:$A$5481,A66)</f>
        <v>1</v>
      </c>
      <c r="N66" s="24">
        <f t="shared" ref="N66:N129" si="1">J66+ROW()/10000000</f>
        <v>59.8000066</v>
      </c>
    </row>
    <row r="67" spans="1:14">
      <c r="A67" s="21" t="s">
        <v>970</v>
      </c>
      <c r="B67" s="21" t="s">
        <v>920</v>
      </c>
      <c r="C67" s="21" t="s">
        <v>26</v>
      </c>
      <c r="D67" s="21" t="s">
        <v>921</v>
      </c>
      <c r="E67" s="21">
        <v>1</v>
      </c>
      <c r="F67" s="22">
        <v>45407.7394444444</v>
      </c>
      <c r="G67" s="22"/>
      <c r="H67" s="23">
        <v>65</v>
      </c>
      <c r="I67" s="23">
        <v>65</v>
      </c>
      <c r="J67" s="24">
        <v>65</v>
      </c>
      <c r="K67" s="21">
        <v>0</v>
      </c>
      <c r="L67" s="21">
        <v>0</v>
      </c>
      <c r="M67" s="21">
        <f>COUNTIF($A$2:$A$5481,A67)</f>
        <v>1</v>
      </c>
      <c r="N67" s="24">
        <f t="shared" si="1"/>
        <v>65.0000067</v>
      </c>
    </row>
    <row r="68" spans="1:14">
      <c r="A68" s="21" t="s">
        <v>971</v>
      </c>
      <c r="B68" s="21" t="s">
        <v>920</v>
      </c>
      <c r="C68" s="21" t="s">
        <v>35</v>
      </c>
      <c r="D68" s="21" t="s">
        <v>921</v>
      </c>
      <c r="E68" s="21">
        <v>3</v>
      </c>
      <c r="F68" s="22">
        <v>45590.4384375</v>
      </c>
      <c r="G68" s="22">
        <v>45594.4477083333</v>
      </c>
      <c r="H68" s="23">
        <v>102</v>
      </c>
      <c r="I68" s="23">
        <v>25.5</v>
      </c>
      <c r="J68" s="24">
        <v>76.5</v>
      </c>
      <c r="K68" s="21">
        <v>0</v>
      </c>
      <c r="L68" s="21">
        <v>0</v>
      </c>
      <c r="M68" s="21">
        <f>COUNTIF($A$2:$A$5481,A68)</f>
        <v>1</v>
      </c>
      <c r="N68" s="24">
        <f t="shared" si="1"/>
        <v>76.5000068</v>
      </c>
    </row>
    <row r="69" spans="1:14">
      <c r="A69" s="21" t="s">
        <v>972</v>
      </c>
      <c r="B69" s="21" t="s">
        <v>920</v>
      </c>
      <c r="C69" s="21" t="s">
        <v>26</v>
      </c>
      <c r="D69" s="21" t="s">
        <v>921</v>
      </c>
      <c r="E69" s="21">
        <v>1</v>
      </c>
      <c r="F69" s="22">
        <v>46171.652650463</v>
      </c>
      <c r="G69" s="22"/>
      <c r="H69" s="23">
        <v>24.5</v>
      </c>
      <c r="I69" s="23">
        <v>24.5</v>
      </c>
      <c r="J69" s="24">
        <v>24.5</v>
      </c>
      <c r="K69" s="21">
        <v>0</v>
      </c>
      <c r="L69" s="21">
        <v>0</v>
      </c>
      <c r="M69" s="21">
        <f>COUNTIF($A$2:$A$5481,A69)</f>
        <v>1</v>
      </c>
      <c r="N69" s="24">
        <f t="shared" si="1"/>
        <v>24.5000069</v>
      </c>
    </row>
    <row r="70" spans="1:14">
      <c r="A70" s="21" t="s">
        <v>973</v>
      </c>
      <c r="B70" s="21" t="s">
        <v>948</v>
      </c>
      <c r="C70" s="21" t="s">
        <v>641</v>
      </c>
      <c r="D70" s="21" t="s">
        <v>921</v>
      </c>
      <c r="E70" s="21">
        <v>1</v>
      </c>
      <c r="F70" s="22">
        <v>45282.4093055556</v>
      </c>
      <c r="G70" s="22"/>
      <c r="H70" s="23">
        <v>25</v>
      </c>
      <c r="I70" s="23">
        <v>25</v>
      </c>
      <c r="J70" s="24">
        <v>25</v>
      </c>
      <c r="K70" s="21">
        <v>0</v>
      </c>
      <c r="L70" s="21">
        <v>0</v>
      </c>
      <c r="M70" s="21">
        <f>COUNTIF($A$2:$A$5481,A70)</f>
        <v>2</v>
      </c>
      <c r="N70" s="24">
        <f t="shared" si="1"/>
        <v>25.000007</v>
      </c>
    </row>
    <row r="71" spans="1:14">
      <c r="A71" s="21" t="s">
        <v>973</v>
      </c>
      <c r="B71" s="21" t="s">
        <v>948</v>
      </c>
      <c r="C71" s="21" t="s">
        <v>26</v>
      </c>
      <c r="D71" s="21" t="s">
        <v>921</v>
      </c>
      <c r="E71" s="21">
        <v>5</v>
      </c>
      <c r="F71" s="22">
        <v>46001.5578356482</v>
      </c>
      <c r="G71" s="22"/>
      <c r="H71" s="23">
        <v>29</v>
      </c>
      <c r="I71" s="23">
        <v>27.6</v>
      </c>
      <c r="J71" s="24">
        <v>138</v>
      </c>
      <c r="K71" s="21">
        <v>0</v>
      </c>
      <c r="L71" s="21">
        <v>0</v>
      </c>
      <c r="M71" s="21">
        <f>COUNTIF($A$2:$A$5481,A71)</f>
        <v>2</v>
      </c>
      <c r="N71" s="24">
        <f t="shared" si="1"/>
        <v>138.0000071</v>
      </c>
    </row>
    <row r="72" spans="1:14">
      <c r="A72" s="21" t="s">
        <v>974</v>
      </c>
      <c r="B72" s="21" t="s">
        <v>920</v>
      </c>
      <c r="C72" s="21" t="s">
        <v>26</v>
      </c>
      <c r="D72" s="21" t="s">
        <v>921</v>
      </c>
      <c r="E72" s="21">
        <v>0</v>
      </c>
      <c r="F72" s="22">
        <v>45546.8325578704</v>
      </c>
      <c r="G72" s="22">
        <v>45546.8346643519</v>
      </c>
      <c r="H72" s="23">
        <v>400</v>
      </c>
      <c r="I72" s="23">
        <v>100</v>
      </c>
      <c r="J72" s="24">
        <v>0</v>
      </c>
      <c r="K72" s="21">
        <v>0</v>
      </c>
      <c r="L72" s="21">
        <v>0</v>
      </c>
      <c r="M72" s="21">
        <f>COUNTIF($A$2:$A$5481,A72)</f>
        <v>1</v>
      </c>
      <c r="N72" s="24">
        <f t="shared" si="1"/>
        <v>7.2e-6</v>
      </c>
    </row>
    <row r="73" spans="1:14">
      <c r="A73" s="21" t="s">
        <v>975</v>
      </c>
      <c r="B73" s="21" t="s">
        <v>920</v>
      </c>
      <c r="C73" s="21" t="s">
        <v>35</v>
      </c>
      <c r="D73" s="21" t="s">
        <v>921</v>
      </c>
      <c r="E73" s="21">
        <v>1</v>
      </c>
      <c r="F73" s="22">
        <v>45581.5442824074</v>
      </c>
      <c r="G73" s="22">
        <v>45586.8533564815</v>
      </c>
      <c r="H73" s="23">
        <v>355</v>
      </c>
      <c r="I73" s="23">
        <v>355</v>
      </c>
      <c r="J73" s="24">
        <v>355</v>
      </c>
      <c r="K73" s="21">
        <v>0</v>
      </c>
      <c r="L73" s="21">
        <v>0</v>
      </c>
      <c r="M73" s="21">
        <f>COUNTIF($A$2:$A$5481,A73)</f>
        <v>1</v>
      </c>
      <c r="N73" s="24">
        <f t="shared" si="1"/>
        <v>355.0000073</v>
      </c>
    </row>
    <row r="74" spans="1:14">
      <c r="A74" s="21" t="s">
        <v>976</v>
      </c>
      <c r="B74" s="21" t="s">
        <v>920</v>
      </c>
      <c r="C74" s="21" t="s">
        <v>26</v>
      </c>
      <c r="D74" s="21" t="s">
        <v>921</v>
      </c>
      <c r="E74" s="21">
        <v>11</v>
      </c>
      <c r="F74" s="22">
        <v>45915.7017824074</v>
      </c>
      <c r="G74" s="22"/>
      <c r="H74" s="23">
        <v>60</v>
      </c>
      <c r="I74" s="23">
        <v>18.1818181818</v>
      </c>
      <c r="J74" s="24">
        <v>199.98</v>
      </c>
      <c r="K74" s="21">
        <v>0</v>
      </c>
      <c r="L74" s="21">
        <v>0</v>
      </c>
      <c r="M74" s="21">
        <f>COUNTIF($A$2:$A$5481,A74)</f>
        <v>1</v>
      </c>
      <c r="N74" s="24">
        <f t="shared" si="1"/>
        <v>199.9800074</v>
      </c>
    </row>
    <row r="75" spans="1:14">
      <c r="A75" s="21" t="s">
        <v>536</v>
      </c>
      <c r="B75" s="21" t="s">
        <v>920</v>
      </c>
      <c r="C75" s="21" t="s">
        <v>35</v>
      </c>
      <c r="D75" s="21" t="s">
        <v>921</v>
      </c>
      <c r="E75" s="21">
        <v>0</v>
      </c>
      <c r="F75" s="22">
        <v>46254.5826388889</v>
      </c>
      <c r="G75" s="22">
        <v>46266.7182523148</v>
      </c>
      <c r="H75" s="23">
        <v>410</v>
      </c>
      <c r="I75" s="23">
        <v>410</v>
      </c>
      <c r="J75" s="24">
        <v>0</v>
      </c>
      <c r="K75" s="21">
        <v>0</v>
      </c>
      <c r="L75" s="21">
        <v>0</v>
      </c>
      <c r="M75" s="21">
        <f>COUNTIF($A$2:$A$5481,A75)</f>
        <v>1</v>
      </c>
      <c r="N75" s="24">
        <f t="shared" si="1"/>
        <v>7.5e-6</v>
      </c>
    </row>
    <row r="76" spans="1:14">
      <c r="A76" s="21" t="s">
        <v>977</v>
      </c>
      <c r="B76" s="21" t="s">
        <v>26</v>
      </c>
      <c r="C76" s="21" t="s">
        <v>26</v>
      </c>
      <c r="D76" s="21" t="s">
        <v>921</v>
      </c>
      <c r="E76" s="21">
        <v>2</v>
      </c>
      <c r="F76" s="22">
        <v>45461.8245601852</v>
      </c>
      <c r="G76" s="22"/>
      <c r="H76" s="23">
        <v>46.4</v>
      </c>
      <c r="I76" s="23">
        <v>23.2</v>
      </c>
      <c r="J76" s="24">
        <v>46.4</v>
      </c>
      <c r="K76" s="21">
        <v>0</v>
      </c>
      <c r="L76" s="21">
        <v>0</v>
      </c>
      <c r="M76" s="21">
        <f>COUNTIF($A$2:$A$5481,A76)</f>
        <v>1</v>
      </c>
      <c r="N76" s="24">
        <f t="shared" si="1"/>
        <v>46.4000076</v>
      </c>
    </row>
    <row r="77" spans="1:14">
      <c r="A77" s="21" t="s">
        <v>978</v>
      </c>
      <c r="B77" s="21" t="s">
        <v>929</v>
      </c>
      <c r="C77" s="21" t="s">
        <v>26</v>
      </c>
      <c r="D77" s="21" t="s">
        <v>921</v>
      </c>
      <c r="E77" s="21">
        <v>2</v>
      </c>
      <c r="F77" s="22">
        <v>45561.6076388889</v>
      </c>
      <c r="G77" s="22"/>
      <c r="H77" s="23">
        <v>19.48</v>
      </c>
      <c r="I77" s="23">
        <v>9.74</v>
      </c>
      <c r="J77" s="24">
        <v>19.48</v>
      </c>
      <c r="K77" s="21">
        <v>0</v>
      </c>
      <c r="L77" s="21">
        <v>0</v>
      </c>
      <c r="M77" s="21">
        <f>COUNTIF($A$2:$A$5481,A77)</f>
        <v>1</v>
      </c>
      <c r="N77" s="24">
        <f t="shared" si="1"/>
        <v>19.4800077</v>
      </c>
    </row>
    <row r="78" spans="1:14">
      <c r="A78" s="21" t="s">
        <v>979</v>
      </c>
      <c r="B78" s="21" t="s">
        <v>920</v>
      </c>
      <c r="C78" s="21" t="s">
        <v>35</v>
      </c>
      <c r="D78" s="21" t="s">
        <v>921</v>
      </c>
      <c r="E78" s="21">
        <v>4</v>
      </c>
      <c r="F78" s="22">
        <v>45618.4039236111</v>
      </c>
      <c r="G78" s="22"/>
      <c r="H78" s="23">
        <v>20</v>
      </c>
      <c r="I78" s="23">
        <v>10</v>
      </c>
      <c r="J78" s="24">
        <v>40</v>
      </c>
      <c r="K78" s="21">
        <v>0</v>
      </c>
      <c r="L78" s="21">
        <v>0</v>
      </c>
      <c r="M78" s="21">
        <f>COUNTIF($A$2:$A$5481,A78)</f>
        <v>1</v>
      </c>
      <c r="N78" s="24">
        <f t="shared" si="1"/>
        <v>40.0000078</v>
      </c>
    </row>
    <row r="79" spans="1:14">
      <c r="A79" s="21" t="s">
        <v>980</v>
      </c>
      <c r="B79" s="21" t="s">
        <v>926</v>
      </c>
      <c r="C79" s="21" t="s">
        <v>38</v>
      </c>
      <c r="D79" s="21" t="s">
        <v>921</v>
      </c>
      <c r="E79" s="21">
        <v>4</v>
      </c>
      <c r="F79" s="22">
        <v>45364.8392824074</v>
      </c>
      <c r="G79" s="22"/>
      <c r="H79" s="23">
        <v>188</v>
      </c>
      <c r="I79" s="23">
        <v>47</v>
      </c>
      <c r="J79" s="24">
        <v>188</v>
      </c>
      <c r="K79" s="21">
        <v>0</v>
      </c>
      <c r="L79" s="21">
        <v>0</v>
      </c>
      <c r="M79" s="21">
        <f>COUNTIF($A$2:$A$5481,A79)</f>
        <v>2</v>
      </c>
      <c r="N79" s="24">
        <f t="shared" si="1"/>
        <v>188.0000079</v>
      </c>
    </row>
    <row r="80" spans="1:14">
      <c r="A80" s="21" t="s">
        <v>980</v>
      </c>
      <c r="B80" s="21" t="s">
        <v>926</v>
      </c>
      <c r="C80" s="21" t="s">
        <v>26</v>
      </c>
      <c r="D80" s="21" t="s">
        <v>921</v>
      </c>
      <c r="E80" s="21">
        <v>6</v>
      </c>
      <c r="F80" s="22">
        <v>45491.7404513889</v>
      </c>
      <c r="G80" s="22"/>
      <c r="H80" s="23">
        <v>87</v>
      </c>
      <c r="I80" s="23">
        <v>34.975</v>
      </c>
      <c r="J80" s="24">
        <v>209.88</v>
      </c>
      <c r="K80" s="21">
        <v>0</v>
      </c>
      <c r="L80" s="21">
        <v>0</v>
      </c>
      <c r="M80" s="21">
        <f>COUNTIF($A$2:$A$5481,A80)</f>
        <v>2</v>
      </c>
      <c r="N80" s="24">
        <f t="shared" si="1"/>
        <v>209.880008</v>
      </c>
    </row>
    <row r="81" spans="1:14">
      <c r="A81" s="21" t="s">
        <v>981</v>
      </c>
      <c r="B81" s="21" t="s">
        <v>929</v>
      </c>
      <c r="C81" s="21" t="s">
        <v>26</v>
      </c>
      <c r="D81" s="21" t="s">
        <v>921</v>
      </c>
      <c r="E81" s="21">
        <v>1</v>
      </c>
      <c r="F81" s="22">
        <v>46056.3671527778</v>
      </c>
      <c r="G81" s="22"/>
      <c r="H81" s="23">
        <v>18</v>
      </c>
      <c r="I81" s="23">
        <v>18</v>
      </c>
      <c r="J81" s="24">
        <v>18</v>
      </c>
      <c r="K81" s="21">
        <v>0</v>
      </c>
      <c r="L81" s="21">
        <v>0</v>
      </c>
      <c r="M81" s="21">
        <f>COUNTIF($A$2:$A$5481,A81)</f>
        <v>1</v>
      </c>
      <c r="N81" s="24">
        <f t="shared" si="1"/>
        <v>18.0000081</v>
      </c>
    </row>
    <row r="82" spans="1:14">
      <c r="A82" s="21" t="s">
        <v>982</v>
      </c>
      <c r="B82" s="21" t="s">
        <v>26</v>
      </c>
      <c r="C82" s="21" t="s">
        <v>26</v>
      </c>
      <c r="D82" s="21" t="s">
        <v>921</v>
      </c>
      <c r="E82" s="21">
        <v>10</v>
      </c>
      <c r="F82" s="22">
        <v>45677.375</v>
      </c>
      <c r="G82" s="22"/>
      <c r="H82" s="23">
        <v>269.9</v>
      </c>
      <c r="I82" s="23">
        <v>26.99</v>
      </c>
      <c r="J82" s="24">
        <v>269.9</v>
      </c>
      <c r="K82" s="21">
        <v>0</v>
      </c>
      <c r="L82" s="21">
        <v>0</v>
      </c>
      <c r="M82" s="21">
        <f>COUNTIF($A$2:$A$5481,A82)</f>
        <v>1</v>
      </c>
      <c r="N82" s="24">
        <f t="shared" si="1"/>
        <v>269.9000082</v>
      </c>
    </row>
    <row r="83" spans="1:14">
      <c r="A83" s="21" t="s">
        <v>983</v>
      </c>
      <c r="B83" s="21" t="s">
        <v>948</v>
      </c>
      <c r="C83" s="21" t="s">
        <v>26</v>
      </c>
      <c r="D83" s="21" t="s">
        <v>921</v>
      </c>
      <c r="E83" s="21">
        <v>2</v>
      </c>
      <c r="F83" s="22">
        <v>46129.5444907407</v>
      </c>
      <c r="G83" s="22"/>
      <c r="H83" s="23">
        <v>53</v>
      </c>
      <c r="I83" s="23">
        <v>66.65</v>
      </c>
      <c r="J83" s="24">
        <v>133.3</v>
      </c>
      <c r="K83" s="21">
        <v>0</v>
      </c>
      <c r="L83" s="21">
        <v>0</v>
      </c>
      <c r="M83" s="21">
        <f>COUNTIF($A$2:$A$5481,A83)</f>
        <v>1</v>
      </c>
      <c r="N83" s="24">
        <f t="shared" si="1"/>
        <v>133.3000083</v>
      </c>
    </row>
    <row r="84" spans="1:14">
      <c r="A84" s="21" t="s">
        <v>984</v>
      </c>
      <c r="B84" s="21" t="s">
        <v>926</v>
      </c>
      <c r="C84" s="21" t="s">
        <v>38</v>
      </c>
      <c r="D84" s="21" t="s">
        <v>921</v>
      </c>
      <c r="E84" s="21">
        <v>2</v>
      </c>
      <c r="F84" s="22">
        <v>45446.3875</v>
      </c>
      <c r="G84" s="22"/>
      <c r="H84" s="23">
        <v>33.9</v>
      </c>
      <c r="I84" s="23">
        <v>16.95</v>
      </c>
      <c r="J84" s="24">
        <v>33.9</v>
      </c>
      <c r="K84" s="21">
        <v>0</v>
      </c>
      <c r="L84" s="21">
        <v>0</v>
      </c>
      <c r="M84" s="21">
        <f>COUNTIF($A$2:$A$5481,A84)</f>
        <v>2</v>
      </c>
      <c r="N84" s="24">
        <f t="shared" si="1"/>
        <v>33.9000084</v>
      </c>
    </row>
    <row r="85" spans="1:14">
      <c r="A85" s="21" t="s">
        <v>984</v>
      </c>
      <c r="B85" s="21" t="s">
        <v>926</v>
      </c>
      <c r="C85" s="21" t="s">
        <v>26</v>
      </c>
      <c r="D85" s="21" t="s">
        <v>921</v>
      </c>
      <c r="E85" s="21">
        <v>5</v>
      </c>
      <c r="F85" s="22">
        <v>45600.7147569444</v>
      </c>
      <c r="G85" s="22"/>
      <c r="H85" s="23">
        <v>47.7</v>
      </c>
      <c r="I85" s="23">
        <v>15.136</v>
      </c>
      <c r="J85" s="24">
        <v>75.7</v>
      </c>
      <c r="K85" s="21">
        <v>0</v>
      </c>
      <c r="L85" s="21">
        <v>0</v>
      </c>
      <c r="M85" s="21">
        <f>COUNTIF($A$2:$A$5481,A85)</f>
        <v>2</v>
      </c>
      <c r="N85" s="24">
        <f t="shared" si="1"/>
        <v>75.7000085</v>
      </c>
    </row>
    <row r="86" spans="1:14">
      <c r="A86" s="21" t="s">
        <v>985</v>
      </c>
      <c r="B86" s="21" t="s">
        <v>920</v>
      </c>
      <c r="C86" s="21" t="s">
        <v>35</v>
      </c>
      <c r="D86" s="21" t="s">
        <v>921</v>
      </c>
      <c r="E86" s="21">
        <v>4</v>
      </c>
      <c r="F86" s="22">
        <v>45919.3923148148</v>
      </c>
      <c r="G86" s="22"/>
      <c r="H86" s="23">
        <v>164.64</v>
      </c>
      <c r="I86" s="23">
        <v>41.16</v>
      </c>
      <c r="J86" s="24">
        <v>164.64</v>
      </c>
      <c r="K86" s="21">
        <v>0</v>
      </c>
      <c r="L86" s="21">
        <v>0</v>
      </c>
      <c r="M86" s="21">
        <f>COUNTIF($A$2:$A$5481,A86)</f>
        <v>1</v>
      </c>
      <c r="N86" s="24">
        <f t="shared" si="1"/>
        <v>164.6400086</v>
      </c>
    </row>
    <row r="87" spans="1:14">
      <c r="A87" s="21" t="s">
        <v>986</v>
      </c>
      <c r="B87" s="21" t="s">
        <v>929</v>
      </c>
      <c r="C87" s="21" t="s">
        <v>414</v>
      </c>
      <c r="D87" s="21" t="s">
        <v>921</v>
      </c>
      <c r="E87" s="21">
        <v>1</v>
      </c>
      <c r="F87" s="22">
        <v>45288.5693287037</v>
      </c>
      <c r="G87" s="22"/>
      <c r="H87" s="23">
        <v>37.53</v>
      </c>
      <c r="I87" s="23">
        <v>37.53</v>
      </c>
      <c r="J87" s="24">
        <v>37.53</v>
      </c>
      <c r="K87" s="21">
        <v>0</v>
      </c>
      <c r="L87" s="21">
        <v>5</v>
      </c>
      <c r="M87" s="21">
        <f>COUNTIF($A$2:$A$5481,A87)</f>
        <v>1</v>
      </c>
      <c r="N87" s="24">
        <f t="shared" si="1"/>
        <v>37.5300087</v>
      </c>
    </row>
    <row r="88" spans="1:14">
      <c r="A88" s="21" t="s">
        <v>987</v>
      </c>
      <c r="B88" s="21" t="s">
        <v>929</v>
      </c>
      <c r="C88" s="21" t="s">
        <v>414</v>
      </c>
      <c r="D88" s="21" t="s">
        <v>921</v>
      </c>
      <c r="E88" s="21">
        <v>1</v>
      </c>
      <c r="F88" s="22">
        <v>45289.5659722222</v>
      </c>
      <c r="G88" s="22"/>
      <c r="H88" s="23">
        <v>26.94</v>
      </c>
      <c r="I88" s="23">
        <v>26.94</v>
      </c>
      <c r="J88" s="24">
        <v>26.94</v>
      </c>
      <c r="K88" s="21">
        <v>0</v>
      </c>
      <c r="L88" s="21">
        <v>5</v>
      </c>
      <c r="M88" s="21">
        <f>COUNTIF($A$2:$A$5481,A88)</f>
        <v>1</v>
      </c>
      <c r="N88" s="24">
        <f t="shared" si="1"/>
        <v>26.9400088</v>
      </c>
    </row>
    <row r="89" spans="1:14">
      <c r="A89" s="21" t="s">
        <v>988</v>
      </c>
      <c r="B89" s="21" t="s">
        <v>920</v>
      </c>
      <c r="C89" s="21" t="s">
        <v>26</v>
      </c>
      <c r="D89" s="21" t="s">
        <v>921</v>
      </c>
      <c r="E89" s="21">
        <v>6</v>
      </c>
      <c r="F89" s="22">
        <v>46017.5722569445</v>
      </c>
      <c r="G89" s="22"/>
      <c r="H89" s="23">
        <v>179.4</v>
      </c>
      <c r="I89" s="23">
        <v>29.9</v>
      </c>
      <c r="J89" s="24">
        <v>179.4</v>
      </c>
      <c r="K89" s="21">
        <v>0</v>
      </c>
      <c r="L89" s="21">
        <v>0</v>
      </c>
      <c r="M89" s="21">
        <f>COUNTIF($A$2:$A$5481,A89)</f>
        <v>1</v>
      </c>
      <c r="N89" s="24">
        <f t="shared" si="1"/>
        <v>179.4000089</v>
      </c>
    </row>
    <row r="90" spans="1:14">
      <c r="A90" s="21" t="s">
        <v>989</v>
      </c>
      <c r="B90" s="21" t="s">
        <v>926</v>
      </c>
      <c r="C90" s="21" t="s">
        <v>38</v>
      </c>
      <c r="D90" s="21" t="s">
        <v>921</v>
      </c>
      <c r="E90" s="21">
        <v>1</v>
      </c>
      <c r="F90" s="22">
        <v>45302.817650463</v>
      </c>
      <c r="G90" s="22">
        <v>45490.5514583333</v>
      </c>
      <c r="H90" s="23">
        <v>41.5</v>
      </c>
      <c r="I90" s="23">
        <v>20.75</v>
      </c>
      <c r="J90" s="24">
        <v>20.75</v>
      </c>
      <c r="K90" s="21">
        <v>1</v>
      </c>
      <c r="L90" s="21">
        <v>10</v>
      </c>
      <c r="M90" s="21">
        <f>COUNTIF($A$2:$A$5481,A90)</f>
        <v>2</v>
      </c>
      <c r="N90" s="24">
        <f t="shared" si="1"/>
        <v>20.750009</v>
      </c>
    </row>
    <row r="91" spans="1:14">
      <c r="A91" s="21" t="s">
        <v>989</v>
      </c>
      <c r="B91" s="21" t="s">
        <v>926</v>
      </c>
      <c r="C91" s="21" t="s">
        <v>26</v>
      </c>
      <c r="D91" s="21" t="s">
        <v>921</v>
      </c>
      <c r="E91" s="21">
        <v>54</v>
      </c>
      <c r="F91" s="22">
        <v>46190.7244212963</v>
      </c>
      <c r="G91" s="22">
        <v>45862.413587963</v>
      </c>
      <c r="H91" s="23">
        <v>117.6</v>
      </c>
      <c r="I91" s="23">
        <v>22.5381422222</v>
      </c>
      <c r="J91" s="24">
        <v>1217.16</v>
      </c>
      <c r="K91" s="21">
        <v>1</v>
      </c>
      <c r="L91" s="21">
        <v>10</v>
      </c>
      <c r="M91" s="21">
        <f>COUNTIF($A$2:$A$5481,A91)</f>
        <v>2</v>
      </c>
      <c r="N91" s="24">
        <f t="shared" si="1"/>
        <v>1217.1600091</v>
      </c>
    </row>
    <row r="92" spans="1:14">
      <c r="A92" s="21" t="s">
        <v>990</v>
      </c>
      <c r="B92" s="21" t="s">
        <v>926</v>
      </c>
      <c r="C92" s="21" t="s">
        <v>38</v>
      </c>
      <c r="D92" s="21" t="s">
        <v>921</v>
      </c>
      <c r="E92" s="21">
        <v>2</v>
      </c>
      <c r="F92" s="22">
        <v>45336.5875</v>
      </c>
      <c r="G92" s="22"/>
      <c r="H92" s="23">
        <v>204</v>
      </c>
      <c r="I92" s="23">
        <v>102</v>
      </c>
      <c r="J92" s="24">
        <v>204</v>
      </c>
      <c r="K92" s="21">
        <v>0</v>
      </c>
      <c r="L92" s="21">
        <v>0</v>
      </c>
      <c r="M92" s="21">
        <f>COUNTIF($A$2:$A$5481,A92)</f>
        <v>1</v>
      </c>
      <c r="N92" s="24">
        <f t="shared" si="1"/>
        <v>204.0000092</v>
      </c>
    </row>
    <row r="93" spans="1:14">
      <c r="A93" s="21" t="s">
        <v>991</v>
      </c>
      <c r="B93" s="21" t="s">
        <v>920</v>
      </c>
      <c r="C93" s="21" t="s">
        <v>26</v>
      </c>
      <c r="D93" s="21" t="s">
        <v>921</v>
      </c>
      <c r="E93" s="21">
        <v>8</v>
      </c>
      <c r="F93" s="22">
        <v>46216.6027777778</v>
      </c>
      <c r="G93" s="22"/>
      <c r="H93" s="23">
        <v>761.52</v>
      </c>
      <c r="I93" s="23">
        <v>95.19</v>
      </c>
      <c r="J93" s="24">
        <v>761.52</v>
      </c>
      <c r="K93" s="21">
        <v>0</v>
      </c>
      <c r="L93" s="21">
        <v>0</v>
      </c>
      <c r="M93" s="21">
        <f>COUNTIF($A$2:$A$5481,A93)</f>
        <v>1</v>
      </c>
      <c r="N93" s="24">
        <f t="shared" si="1"/>
        <v>761.5200093</v>
      </c>
    </row>
    <row r="94" spans="1:14">
      <c r="A94" s="21" t="s">
        <v>992</v>
      </c>
      <c r="B94" s="21" t="s">
        <v>948</v>
      </c>
      <c r="C94" s="21" t="s">
        <v>26</v>
      </c>
      <c r="D94" s="21" t="s">
        <v>921</v>
      </c>
      <c r="E94" s="21">
        <v>1</v>
      </c>
      <c r="F94" s="22">
        <v>45897.4758101852</v>
      </c>
      <c r="G94" s="22"/>
      <c r="H94" s="23">
        <v>39.5</v>
      </c>
      <c r="I94" s="23">
        <v>39.5</v>
      </c>
      <c r="J94" s="24">
        <v>39.5</v>
      </c>
      <c r="K94" s="21">
        <v>0</v>
      </c>
      <c r="L94" s="21">
        <v>0</v>
      </c>
      <c r="M94" s="21">
        <f>COUNTIF($A$2:$A$5481,A94)</f>
        <v>1</v>
      </c>
      <c r="N94" s="24">
        <f t="shared" si="1"/>
        <v>39.5000094</v>
      </c>
    </row>
    <row r="95" spans="1:14">
      <c r="A95" s="21" t="s">
        <v>993</v>
      </c>
      <c r="B95" s="21" t="s">
        <v>948</v>
      </c>
      <c r="C95" s="21" t="s">
        <v>26</v>
      </c>
      <c r="D95" s="21" t="s">
        <v>921</v>
      </c>
      <c r="E95" s="21">
        <v>3</v>
      </c>
      <c r="F95" s="22">
        <v>46156.5526967593</v>
      </c>
      <c r="G95" s="22"/>
      <c r="H95" s="23">
        <v>54</v>
      </c>
      <c r="I95" s="23">
        <v>50</v>
      </c>
      <c r="J95" s="24">
        <v>150</v>
      </c>
      <c r="K95" s="21">
        <v>0</v>
      </c>
      <c r="L95" s="21">
        <v>0</v>
      </c>
      <c r="M95" s="21">
        <f>COUNTIF($A$2:$A$5481,A95)</f>
        <v>1</v>
      </c>
      <c r="N95" s="24">
        <f t="shared" si="1"/>
        <v>150.0000095</v>
      </c>
    </row>
    <row r="96" spans="1:14">
      <c r="A96" s="21" t="s">
        <v>994</v>
      </c>
      <c r="B96" s="21" t="s">
        <v>948</v>
      </c>
      <c r="C96" s="21" t="s">
        <v>641</v>
      </c>
      <c r="D96" s="21" t="s">
        <v>921</v>
      </c>
      <c r="E96" s="21">
        <v>0</v>
      </c>
      <c r="F96" s="22">
        <v>45282.3854861111</v>
      </c>
      <c r="G96" s="22">
        <v>45320.3993634259</v>
      </c>
      <c r="H96" s="23">
        <v>16</v>
      </c>
      <c r="I96" s="23">
        <v>8</v>
      </c>
      <c r="J96" s="24">
        <v>0</v>
      </c>
      <c r="K96" s="21">
        <v>0</v>
      </c>
      <c r="L96" s="21">
        <v>0</v>
      </c>
      <c r="M96" s="21">
        <f>COUNTIF($A$2:$A$5481,A96)</f>
        <v>1</v>
      </c>
      <c r="N96" s="24">
        <f t="shared" si="1"/>
        <v>9.6e-6</v>
      </c>
    </row>
    <row r="97" spans="1:14">
      <c r="A97" s="21" t="s">
        <v>995</v>
      </c>
      <c r="B97" s="21" t="s">
        <v>26</v>
      </c>
      <c r="C97" s="21" t="s">
        <v>26</v>
      </c>
      <c r="D97" s="21" t="s">
        <v>921</v>
      </c>
      <c r="E97" s="21">
        <v>14</v>
      </c>
      <c r="F97" s="22">
        <v>46041.5683912037</v>
      </c>
      <c r="G97" s="22"/>
      <c r="H97" s="23">
        <v>64.16</v>
      </c>
      <c r="I97" s="23">
        <v>20.8485714286</v>
      </c>
      <c r="J97" s="24">
        <v>291.9</v>
      </c>
      <c r="K97" s="21">
        <v>0</v>
      </c>
      <c r="L97" s="21">
        <v>0</v>
      </c>
      <c r="M97" s="21">
        <f>COUNTIF($A$2:$A$5481,A97)</f>
        <v>1</v>
      </c>
      <c r="N97" s="24">
        <f t="shared" si="1"/>
        <v>291.9000097</v>
      </c>
    </row>
    <row r="98" spans="1:14">
      <c r="A98" s="21" t="s">
        <v>996</v>
      </c>
      <c r="B98" s="21" t="s">
        <v>920</v>
      </c>
      <c r="C98" s="21" t="s">
        <v>26</v>
      </c>
      <c r="D98" s="21" t="s">
        <v>921</v>
      </c>
      <c r="E98" s="21">
        <v>3</v>
      </c>
      <c r="F98" s="22">
        <v>45757.4130208333</v>
      </c>
      <c r="G98" s="22">
        <v>45427.8158796296</v>
      </c>
      <c r="H98" s="23">
        <v>141.8</v>
      </c>
      <c r="I98" s="23">
        <v>91.86667</v>
      </c>
      <c r="J98" s="24">
        <v>275.61</v>
      </c>
      <c r="K98" s="21">
        <v>0</v>
      </c>
      <c r="L98" s="21">
        <v>0</v>
      </c>
      <c r="M98" s="21">
        <f>COUNTIF($A$2:$A$5481,A98)</f>
        <v>1</v>
      </c>
      <c r="N98" s="24">
        <f t="shared" si="1"/>
        <v>275.6100098</v>
      </c>
    </row>
    <row r="99" spans="1:14">
      <c r="A99" s="21" t="s">
        <v>786</v>
      </c>
      <c r="B99" s="21" t="s">
        <v>26</v>
      </c>
      <c r="C99" s="21" t="s">
        <v>26</v>
      </c>
      <c r="D99" s="21" t="s">
        <v>921</v>
      </c>
      <c r="E99" s="21">
        <v>0</v>
      </c>
      <c r="F99" s="22">
        <v>45344.6354166667</v>
      </c>
      <c r="G99" s="22">
        <v>46254.3573263889</v>
      </c>
      <c r="H99" s="23">
        <v>88.44</v>
      </c>
      <c r="I99" s="23">
        <v>44.22</v>
      </c>
      <c r="J99" s="24">
        <v>0</v>
      </c>
      <c r="K99" s="21">
        <v>0</v>
      </c>
      <c r="L99" s="21">
        <v>0</v>
      </c>
      <c r="M99" s="21">
        <f>COUNTIF($A$2:$A$5481,A99)</f>
        <v>2</v>
      </c>
      <c r="N99" s="24">
        <f t="shared" si="1"/>
        <v>9.9e-6</v>
      </c>
    </row>
    <row r="100" spans="1:14">
      <c r="A100" s="21" t="s">
        <v>786</v>
      </c>
      <c r="B100" s="21" t="s">
        <v>26</v>
      </c>
      <c r="C100" s="21" t="s">
        <v>35</v>
      </c>
      <c r="D100" s="21" t="s">
        <v>921</v>
      </c>
      <c r="E100" s="21">
        <v>19</v>
      </c>
      <c r="F100" s="22">
        <v>46253.3430555556</v>
      </c>
      <c r="G100" s="22">
        <v>46265.5931018519</v>
      </c>
      <c r="H100" s="23">
        <v>660</v>
      </c>
      <c r="I100" s="23">
        <v>33</v>
      </c>
      <c r="J100" s="24">
        <v>627</v>
      </c>
      <c r="K100" s="21">
        <v>0</v>
      </c>
      <c r="L100" s="21">
        <v>0</v>
      </c>
      <c r="M100" s="21">
        <f>COUNTIF($A$2:$A$5481,A100)</f>
        <v>2</v>
      </c>
      <c r="N100" s="24">
        <f t="shared" si="1"/>
        <v>627.00001</v>
      </c>
    </row>
    <row r="101" spans="1:14">
      <c r="A101" s="21" t="s">
        <v>997</v>
      </c>
      <c r="B101" s="21" t="s">
        <v>26</v>
      </c>
      <c r="C101" s="21" t="s">
        <v>26</v>
      </c>
      <c r="D101" s="21" t="s">
        <v>921</v>
      </c>
      <c r="E101" s="21">
        <v>6</v>
      </c>
      <c r="F101" s="22">
        <v>45888.5721412037</v>
      </c>
      <c r="G101" s="22">
        <v>45887.3681597222</v>
      </c>
      <c r="H101" s="23">
        <v>87.87</v>
      </c>
      <c r="I101" s="23">
        <v>30.29</v>
      </c>
      <c r="J101" s="24">
        <v>181.74</v>
      </c>
      <c r="K101" s="21">
        <v>0</v>
      </c>
      <c r="L101" s="21">
        <v>0</v>
      </c>
      <c r="M101" s="21">
        <f>COUNTIF($A$2:$A$5481,A101)</f>
        <v>1</v>
      </c>
      <c r="N101" s="24">
        <f t="shared" si="1"/>
        <v>181.7400101</v>
      </c>
    </row>
    <row r="102" spans="1:14">
      <c r="A102" s="21" t="s">
        <v>998</v>
      </c>
      <c r="B102" s="21" t="s">
        <v>920</v>
      </c>
      <c r="C102" s="21" t="s">
        <v>26</v>
      </c>
      <c r="D102" s="21" t="s">
        <v>921</v>
      </c>
      <c r="E102" s="21">
        <v>1</v>
      </c>
      <c r="F102" s="22">
        <v>46188.694224537</v>
      </c>
      <c r="G102" s="22"/>
      <c r="H102" s="23">
        <v>81.9</v>
      </c>
      <c r="I102" s="23">
        <v>81.9</v>
      </c>
      <c r="J102" s="24">
        <v>81.9</v>
      </c>
      <c r="K102" s="21">
        <v>0</v>
      </c>
      <c r="L102" s="21">
        <v>0</v>
      </c>
      <c r="M102" s="21">
        <f>COUNTIF($A$2:$A$5481,A102)</f>
        <v>1</v>
      </c>
      <c r="N102" s="24">
        <f t="shared" si="1"/>
        <v>81.9000102</v>
      </c>
    </row>
    <row r="103" spans="1:14">
      <c r="A103" s="21" t="s">
        <v>999</v>
      </c>
      <c r="B103" s="21" t="s">
        <v>929</v>
      </c>
      <c r="C103" s="21" t="s">
        <v>26</v>
      </c>
      <c r="D103" s="21" t="s">
        <v>921</v>
      </c>
      <c r="E103" s="21">
        <v>2</v>
      </c>
      <c r="F103" s="22">
        <v>46142.3361111111</v>
      </c>
      <c r="G103" s="22"/>
      <c r="H103" s="23">
        <v>140.94</v>
      </c>
      <c r="I103" s="23">
        <v>70.47</v>
      </c>
      <c r="J103" s="24">
        <v>140.94</v>
      </c>
      <c r="K103" s="21">
        <v>0</v>
      </c>
      <c r="L103" s="21">
        <v>0</v>
      </c>
      <c r="M103" s="21">
        <f>COUNTIF($A$2:$A$5481,A103)</f>
        <v>1</v>
      </c>
      <c r="N103" s="24">
        <f t="shared" si="1"/>
        <v>140.9400103</v>
      </c>
    </row>
    <row r="104" spans="1:14">
      <c r="A104" s="21" t="s">
        <v>1000</v>
      </c>
      <c r="B104" s="21" t="s">
        <v>920</v>
      </c>
      <c r="C104" s="21" t="s">
        <v>35</v>
      </c>
      <c r="D104" s="21" t="s">
        <v>921</v>
      </c>
      <c r="E104" s="21">
        <v>1</v>
      </c>
      <c r="F104" s="22">
        <v>45287.3454976852</v>
      </c>
      <c r="G104" s="22"/>
      <c r="H104" s="23">
        <v>188.84</v>
      </c>
      <c r="I104" s="23">
        <v>188.84</v>
      </c>
      <c r="J104" s="24">
        <v>188.84</v>
      </c>
      <c r="K104" s="21">
        <v>0</v>
      </c>
      <c r="L104" s="21">
        <v>0</v>
      </c>
      <c r="M104" s="21">
        <f>COUNTIF($A$2:$A$5481,A104)</f>
        <v>1</v>
      </c>
      <c r="N104" s="24">
        <f t="shared" si="1"/>
        <v>188.8400104</v>
      </c>
    </row>
    <row r="105" spans="1:14">
      <c r="A105" s="21" t="s">
        <v>244</v>
      </c>
      <c r="B105" s="21" t="s">
        <v>26</v>
      </c>
      <c r="C105" s="21" t="s">
        <v>26</v>
      </c>
      <c r="D105" s="21" t="s">
        <v>921</v>
      </c>
      <c r="E105" s="21">
        <v>2</v>
      </c>
      <c r="F105" s="22">
        <v>46064.3807175926</v>
      </c>
      <c r="G105" s="22">
        <v>46064.3825115741</v>
      </c>
      <c r="H105" s="23">
        <v>613.62</v>
      </c>
      <c r="I105" s="23">
        <v>272.72</v>
      </c>
      <c r="J105" s="24">
        <v>545.44</v>
      </c>
      <c r="K105" s="21">
        <v>0</v>
      </c>
      <c r="L105" s="21">
        <v>0</v>
      </c>
      <c r="M105" s="21">
        <f>COUNTIF($A$2:$A$5481,A105)</f>
        <v>1</v>
      </c>
      <c r="N105" s="24">
        <f t="shared" si="1"/>
        <v>545.4400105</v>
      </c>
    </row>
    <row r="106" spans="1:14">
      <c r="A106" s="21" t="s">
        <v>1001</v>
      </c>
      <c r="B106" s="21" t="s">
        <v>920</v>
      </c>
      <c r="C106" s="21" t="s">
        <v>26</v>
      </c>
      <c r="D106" s="21" t="s">
        <v>921</v>
      </c>
      <c r="E106" s="21">
        <v>1</v>
      </c>
      <c r="F106" s="22">
        <v>45576.4569560185</v>
      </c>
      <c r="G106" s="22">
        <v>45587.429224537</v>
      </c>
      <c r="H106" s="23">
        <v>65</v>
      </c>
      <c r="I106" s="23">
        <v>32.5</v>
      </c>
      <c r="J106" s="24">
        <v>32.5</v>
      </c>
      <c r="K106" s="21">
        <v>0</v>
      </c>
      <c r="L106" s="21">
        <v>0</v>
      </c>
      <c r="M106" s="21">
        <f>COUNTIF($A$2:$A$5481,A106)</f>
        <v>1</v>
      </c>
      <c r="N106" s="24">
        <f t="shared" si="1"/>
        <v>32.5000106</v>
      </c>
    </row>
    <row r="107" spans="1:14">
      <c r="A107" s="21" t="s">
        <v>1002</v>
      </c>
      <c r="B107" s="21" t="s">
        <v>920</v>
      </c>
      <c r="C107" s="21" t="s">
        <v>35</v>
      </c>
      <c r="D107" s="21" t="s">
        <v>921</v>
      </c>
      <c r="E107" s="21">
        <v>1</v>
      </c>
      <c r="F107" s="22">
        <v>45881.8075115741</v>
      </c>
      <c r="G107" s="22">
        <v>45958.4193518519</v>
      </c>
      <c r="H107" s="23">
        <v>336</v>
      </c>
      <c r="I107" s="23">
        <v>112</v>
      </c>
      <c r="J107" s="24">
        <v>112</v>
      </c>
      <c r="K107" s="21">
        <v>0</v>
      </c>
      <c r="L107" s="21">
        <v>0</v>
      </c>
      <c r="M107" s="21">
        <f>COUNTIF($A$2:$A$5481,A107)</f>
        <v>1</v>
      </c>
      <c r="N107" s="24">
        <f t="shared" si="1"/>
        <v>112.0000107</v>
      </c>
    </row>
    <row r="108" spans="1:14">
      <c r="A108" s="21" t="s">
        <v>1003</v>
      </c>
      <c r="B108" s="21" t="s">
        <v>920</v>
      </c>
      <c r="C108" s="21" t="s">
        <v>35</v>
      </c>
      <c r="D108" s="21" t="s">
        <v>921</v>
      </c>
      <c r="E108" s="21">
        <v>2</v>
      </c>
      <c r="F108" s="22">
        <v>45684.5680555556</v>
      </c>
      <c r="G108" s="22"/>
      <c r="H108" s="23">
        <v>1221.18</v>
      </c>
      <c r="I108" s="23">
        <v>610.59</v>
      </c>
      <c r="J108" s="24">
        <v>1221.18</v>
      </c>
      <c r="K108" s="21">
        <v>0</v>
      </c>
      <c r="L108" s="21">
        <v>0</v>
      </c>
      <c r="M108" s="21">
        <f>COUNTIF($A$2:$A$5481,A108)</f>
        <v>1</v>
      </c>
      <c r="N108" s="24">
        <f t="shared" si="1"/>
        <v>1221.1800108</v>
      </c>
    </row>
    <row r="109" spans="1:14">
      <c r="A109" s="21" t="s">
        <v>1004</v>
      </c>
      <c r="B109" s="21" t="s">
        <v>920</v>
      </c>
      <c r="C109" s="21" t="s">
        <v>26</v>
      </c>
      <c r="D109" s="21" t="s">
        <v>921</v>
      </c>
      <c r="E109" s="21">
        <v>32</v>
      </c>
      <c r="F109" s="22">
        <v>46238.7159953704</v>
      </c>
      <c r="G109" s="22"/>
      <c r="H109" s="23">
        <v>9.8</v>
      </c>
      <c r="I109" s="23">
        <v>0.53125</v>
      </c>
      <c r="J109" s="24">
        <v>16.96</v>
      </c>
      <c r="K109" s="21">
        <v>0</v>
      </c>
      <c r="L109" s="21">
        <v>0</v>
      </c>
      <c r="M109" s="21">
        <f>COUNTIF($A$2:$A$5481,A109)</f>
        <v>1</v>
      </c>
      <c r="N109" s="24">
        <f t="shared" si="1"/>
        <v>16.9600109</v>
      </c>
    </row>
    <row r="110" spans="1:14">
      <c r="A110" s="21" t="s">
        <v>277</v>
      </c>
      <c r="B110" s="21" t="s">
        <v>920</v>
      </c>
      <c r="C110" s="21" t="s">
        <v>26</v>
      </c>
      <c r="D110" s="21" t="s">
        <v>921</v>
      </c>
      <c r="E110" s="21">
        <v>5</v>
      </c>
      <c r="F110" s="22">
        <v>46073.5318171296</v>
      </c>
      <c r="G110" s="22">
        <v>46073.4377199074</v>
      </c>
      <c r="H110" s="23">
        <v>250</v>
      </c>
      <c r="I110" s="23">
        <v>126.8</v>
      </c>
      <c r="J110" s="24">
        <v>634</v>
      </c>
      <c r="K110" s="21">
        <v>0</v>
      </c>
      <c r="L110" s="21">
        <v>0</v>
      </c>
      <c r="M110" s="21">
        <f>COUNTIF($A$2:$A$5481,A110)</f>
        <v>1</v>
      </c>
      <c r="N110" s="24">
        <f t="shared" si="1"/>
        <v>634.000011</v>
      </c>
    </row>
    <row r="111" spans="1:14">
      <c r="A111" s="21" t="s">
        <v>1005</v>
      </c>
      <c r="B111" s="21" t="s">
        <v>920</v>
      </c>
      <c r="C111" s="21" t="s">
        <v>26</v>
      </c>
      <c r="D111" s="21" t="s">
        <v>921</v>
      </c>
      <c r="E111" s="21">
        <v>0</v>
      </c>
      <c r="F111" s="22">
        <v>45888.562662037</v>
      </c>
      <c r="G111" s="22">
        <v>45888.6791666667</v>
      </c>
      <c r="H111" s="23">
        <v>172</v>
      </c>
      <c r="I111" s="23">
        <v>172</v>
      </c>
      <c r="J111" s="24">
        <v>0</v>
      </c>
      <c r="K111" s="21">
        <v>0</v>
      </c>
      <c r="L111" s="21">
        <v>0</v>
      </c>
      <c r="M111" s="21">
        <f>COUNTIF($A$2:$A$5481,A111)</f>
        <v>1</v>
      </c>
      <c r="N111" s="24">
        <f t="shared" si="1"/>
        <v>1.11e-5</v>
      </c>
    </row>
    <row r="112" spans="1:14">
      <c r="A112" s="21" t="s">
        <v>1006</v>
      </c>
      <c r="B112" s="21" t="s">
        <v>920</v>
      </c>
      <c r="C112" s="21" t="s">
        <v>26</v>
      </c>
      <c r="D112" s="21" t="s">
        <v>931</v>
      </c>
      <c r="E112" s="21">
        <v>6</v>
      </c>
      <c r="F112" s="22">
        <v>45497.5365393519</v>
      </c>
      <c r="G112" s="22"/>
      <c r="H112" s="23">
        <v>18</v>
      </c>
      <c r="I112" s="23">
        <v>3</v>
      </c>
      <c r="J112" s="24">
        <v>18</v>
      </c>
      <c r="K112" s="21">
        <v>0</v>
      </c>
      <c r="L112" s="21">
        <v>0</v>
      </c>
      <c r="M112" s="21">
        <f>COUNTIF($A$2:$A$5481,A112)</f>
        <v>1</v>
      </c>
      <c r="N112" s="24">
        <f t="shared" si="1"/>
        <v>18.0000112</v>
      </c>
    </row>
    <row r="113" spans="1:14">
      <c r="A113" s="21" t="s">
        <v>1007</v>
      </c>
      <c r="B113" s="21" t="s">
        <v>920</v>
      </c>
      <c r="C113" s="21" t="s">
        <v>26</v>
      </c>
      <c r="D113" s="21" t="s">
        <v>921</v>
      </c>
      <c r="E113" s="21">
        <v>10</v>
      </c>
      <c r="F113" s="22">
        <v>45769.8092592593</v>
      </c>
      <c r="G113" s="22"/>
      <c r="H113" s="23">
        <v>320</v>
      </c>
      <c r="I113" s="23">
        <v>32</v>
      </c>
      <c r="J113" s="24">
        <v>320</v>
      </c>
      <c r="K113" s="21">
        <v>0</v>
      </c>
      <c r="L113" s="21">
        <v>0</v>
      </c>
      <c r="M113" s="21">
        <f>COUNTIF($A$2:$A$5481,A113)</f>
        <v>1</v>
      </c>
      <c r="N113" s="24">
        <f t="shared" si="1"/>
        <v>320.0000113</v>
      </c>
    </row>
    <row r="114" spans="1:14">
      <c r="A114" s="21" t="s">
        <v>1008</v>
      </c>
      <c r="B114" s="21" t="s">
        <v>920</v>
      </c>
      <c r="C114" s="21" t="s">
        <v>26</v>
      </c>
      <c r="D114" s="21" t="s">
        <v>921</v>
      </c>
      <c r="E114" s="21">
        <v>14</v>
      </c>
      <c r="F114" s="22">
        <v>46007.5707638889</v>
      </c>
      <c r="G114" s="22"/>
      <c r="H114" s="23">
        <v>100</v>
      </c>
      <c r="I114" s="23">
        <v>10</v>
      </c>
      <c r="J114" s="24">
        <v>140</v>
      </c>
      <c r="K114" s="21">
        <v>0</v>
      </c>
      <c r="L114" s="21">
        <v>0</v>
      </c>
      <c r="M114" s="21">
        <f>COUNTIF($A$2:$A$5481,A114)</f>
        <v>1</v>
      </c>
      <c r="N114" s="24">
        <f t="shared" si="1"/>
        <v>140.0000114</v>
      </c>
    </row>
    <row r="115" spans="1:14">
      <c r="A115" s="21" t="s">
        <v>309</v>
      </c>
      <c r="B115" s="21" t="s">
        <v>920</v>
      </c>
      <c r="C115" s="21" t="s">
        <v>26</v>
      </c>
      <c r="D115" s="21" t="s">
        <v>921</v>
      </c>
      <c r="E115" s="21">
        <v>3</v>
      </c>
      <c r="F115" s="22">
        <v>46093.6996875</v>
      </c>
      <c r="G115" s="22">
        <v>46097.4569212963</v>
      </c>
      <c r="H115" s="23">
        <v>1496</v>
      </c>
      <c r="I115" s="23">
        <v>374</v>
      </c>
      <c r="J115" s="24">
        <v>1122</v>
      </c>
      <c r="K115" s="21">
        <v>0</v>
      </c>
      <c r="L115" s="21">
        <v>0</v>
      </c>
      <c r="M115" s="21">
        <f>COUNTIF($A$2:$A$5481,A115)</f>
        <v>1</v>
      </c>
      <c r="N115" s="24">
        <f t="shared" si="1"/>
        <v>1122.0000115</v>
      </c>
    </row>
    <row r="116" spans="1:14">
      <c r="A116" s="21" t="s">
        <v>1009</v>
      </c>
      <c r="B116" s="21" t="s">
        <v>920</v>
      </c>
      <c r="C116" s="21" t="s">
        <v>35</v>
      </c>
      <c r="D116" s="21" t="s">
        <v>921</v>
      </c>
      <c r="E116" s="21">
        <v>1</v>
      </c>
      <c r="F116" s="22">
        <v>45625.4838888889</v>
      </c>
      <c r="G116" s="22">
        <v>45625.484537037</v>
      </c>
      <c r="H116" s="23">
        <v>483.84</v>
      </c>
      <c r="I116" s="23">
        <v>241.92</v>
      </c>
      <c r="J116" s="24">
        <v>241.92</v>
      </c>
      <c r="K116" s="21">
        <v>0</v>
      </c>
      <c r="L116" s="21">
        <v>0</v>
      </c>
      <c r="M116" s="21">
        <f>COUNTIF($A$2:$A$5481,A116)</f>
        <v>1</v>
      </c>
      <c r="N116" s="24">
        <f t="shared" si="1"/>
        <v>241.9200116</v>
      </c>
    </row>
    <row r="117" spans="1:14">
      <c r="A117" s="21" t="s">
        <v>365</v>
      </c>
      <c r="B117" s="21" t="s">
        <v>920</v>
      </c>
      <c r="C117" s="21" t="s">
        <v>26</v>
      </c>
      <c r="D117" s="21" t="s">
        <v>931</v>
      </c>
      <c r="E117" s="21">
        <v>1</v>
      </c>
      <c r="F117" s="22">
        <v>46125.6912962963</v>
      </c>
      <c r="G117" s="22">
        <v>46126.6947453704</v>
      </c>
      <c r="H117" s="23">
        <v>452</v>
      </c>
      <c r="I117" s="23">
        <v>526</v>
      </c>
      <c r="J117" s="24">
        <v>526</v>
      </c>
      <c r="K117" s="21">
        <v>0</v>
      </c>
      <c r="L117" s="21">
        <v>0</v>
      </c>
      <c r="M117" s="21">
        <f>COUNTIF($A$2:$A$5481,A117)</f>
        <v>1</v>
      </c>
      <c r="N117" s="24">
        <f t="shared" si="1"/>
        <v>526.0000117</v>
      </c>
    </row>
    <row r="118" spans="1:14">
      <c r="A118" s="21" t="s">
        <v>1010</v>
      </c>
      <c r="B118" s="21" t="s">
        <v>920</v>
      </c>
      <c r="C118" s="21" t="s">
        <v>26</v>
      </c>
      <c r="D118" s="21" t="s">
        <v>921</v>
      </c>
      <c r="E118" s="21">
        <v>0</v>
      </c>
      <c r="F118" s="22">
        <v>45559.3741898148</v>
      </c>
      <c r="G118" s="22">
        <v>45789.3633912037</v>
      </c>
      <c r="H118" s="23">
        <v>489</v>
      </c>
      <c r="I118" s="23">
        <v>489</v>
      </c>
      <c r="J118" s="24">
        <v>0</v>
      </c>
      <c r="K118" s="21">
        <v>0</v>
      </c>
      <c r="L118" s="21">
        <v>0</v>
      </c>
      <c r="M118" s="21">
        <f>COUNTIF($A$2:$A$5481,A118)</f>
        <v>1</v>
      </c>
      <c r="N118" s="24">
        <f t="shared" si="1"/>
        <v>1.18e-5</v>
      </c>
    </row>
    <row r="119" spans="1:14">
      <c r="A119" s="21" t="s">
        <v>1011</v>
      </c>
      <c r="B119" s="21" t="s">
        <v>920</v>
      </c>
      <c r="C119" s="21" t="s">
        <v>26</v>
      </c>
      <c r="D119" s="21" t="s">
        <v>921</v>
      </c>
      <c r="E119" s="21">
        <v>2</v>
      </c>
      <c r="F119" s="22">
        <v>45824.8145833333</v>
      </c>
      <c r="G119" s="22">
        <v>45821.4378703704</v>
      </c>
      <c r="H119" s="23">
        <v>576</v>
      </c>
      <c r="I119" s="23">
        <v>288</v>
      </c>
      <c r="J119" s="24">
        <v>576</v>
      </c>
      <c r="K119" s="21">
        <v>0</v>
      </c>
      <c r="L119" s="21">
        <v>0</v>
      </c>
      <c r="M119" s="21">
        <f>COUNTIF($A$2:$A$5481,A119)</f>
        <v>1</v>
      </c>
      <c r="N119" s="24">
        <f t="shared" si="1"/>
        <v>576.0000119</v>
      </c>
    </row>
    <row r="120" spans="1:14">
      <c r="A120" s="21" t="s">
        <v>1012</v>
      </c>
      <c r="B120" s="21" t="s">
        <v>920</v>
      </c>
      <c r="C120" s="21" t="s">
        <v>26</v>
      </c>
      <c r="D120" s="21" t="s">
        <v>931</v>
      </c>
      <c r="E120" s="21">
        <v>3</v>
      </c>
      <c r="F120" s="22">
        <v>45863.5698148148</v>
      </c>
      <c r="G120" s="22">
        <v>45866.3918402778</v>
      </c>
      <c r="H120" s="23">
        <v>63.7</v>
      </c>
      <c r="I120" s="23">
        <v>31.252</v>
      </c>
      <c r="J120" s="24">
        <v>93.75</v>
      </c>
      <c r="K120" s="21">
        <v>0</v>
      </c>
      <c r="L120" s="21">
        <v>0</v>
      </c>
      <c r="M120" s="21">
        <f>COUNTIF($A$2:$A$5481,A120)</f>
        <v>1</v>
      </c>
      <c r="N120" s="24">
        <f t="shared" si="1"/>
        <v>93.750012</v>
      </c>
    </row>
    <row r="121" spans="1:14">
      <c r="A121" s="21" t="s">
        <v>1013</v>
      </c>
      <c r="B121" s="21" t="s">
        <v>920</v>
      </c>
      <c r="C121" s="21" t="s">
        <v>26</v>
      </c>
      <c r="D121" s="21" t="s">
        <v>921</v>
      </c>
      <c r="E121" s="21">
        <v>0</v>
      </c>
      <c r="F121" s="22">
        <v>45630.7091203704</v>
      </c>
      <c r="G121" s="22">
        <v>45636.4924537037</v>
      </c>
      <c r="H121" s="23">
        <v>299</v>
      </c>
      <c r="I121" s="23">
        <v>299</v>
      </c>
      <c r="J121" s="24">
        <v>0</v>
      </c>
      <c r="K121" s="21">
        <v>0</v>
      </c>
      <c r="L121" s="21">
        <v>0</v>
      </c>
      <c r="M121" s="21">
        <f>COUNTIF($A$2:$A$5481,A121)</f>
        <v>1</v>
      </c>
      <c r="N121" s="24">
        <f t="shared" si="1"/>
        <v>1.21e-5</v>
      </c>
    </row>
    <row r="122" spans="1:14">
      <c r="A122" s="21" t="s">
        <v>1014</v>
      </c>
      <c r="B122" s="21" t="s">
        <v>929</v>
      </c>
      <c r="C122" s="21" t="s">
        <v>26</v>
      </c>
      <c r="D122" s="21" t="s">
        <v>931</v>
      </c>
      <c r="E122" s="21">
        <v>6</v>
      </c>
      <c r="F122" s="22">
        <v>46097.4961574074</v>
      </c>
      <c r="G122" s="22"/>
      <c r="H122" s="23">
        <v>37.42</v>
      </c>
      <c r="I122" s="23">
        <v>11.65</v>
      </c>
      <c r="J122" s="24">
        <v>69.9</v>
      </c>
      <c r="K122" s="21">
        <v>0</v>
      </c>
      <c r="L122" s="21">
        <v>0</v>
      </c>
      <c r="M122" s="21">
        <f>COUNTIF($A$2:$A$5481,A122)</f>
        <v>1</v>
      </c>
      <c r="N122" s="24">
        <f t="shared" si="1"/>
        <v>69.9000122</v>
      </c>
    </row>
    <row r="123" spans="1:14">
      <c r="A123" s="21" t="s">
        <v>324</v>
      </c>
      <c r="B123" s="21" t="s">
        <v>920</v>
      </c>
      <c r="C123" s="21" t="s">
        <v>26</v>
      </c>
      <c r="D123" s="21" t="s">
        <v>921</v>
      </c>
      <c r="E123" s="21">
        <v>1</v>
      </c>
      <c r="F123" s="22">
        <v>46100.4604166667</v>
      </c>
      <c r="G123" s="22">
        <v>46104.6127199074</v>
      </c>
      <c r="H123" s="23">
        <v>1858.9</v>
      </c>
      <c r="I123" s="23">
        <v>929.45</v>
      </c>
      <c r="J123" s="24">
        <v>929.45</v>
      </c>
      <c r="K123" s="21">
        <v>0</v>
      </c>
      <c r="L123" s="21">
        <v>0</v>
      </c>
      <c r="M123" s="21">
        <f>COUNTIF($A$2:$A$5481,A123)</f>
        <v>1</v>
      </c>
      <c r="N123" s="24">
        <f t="shared" si="1"/>
        <v>929.4500123</v>
      </c>
    </row>
    <row r="124" spans="1:14">
      <c r="A124" s="21" t="s">
        <v>1015</v>
      </c>
      <c r="B124" s="21" t="s">
        <v>929</v>
      </c>
      <c r="C124" s="21" t="s">
        <v>414</v>
      </c>
      <c r="D124" s="21" t="s">
        <v>921</v>
      </c>
      <c r="E124" s="21">
        <v>0</v>
      </c>
      <c r="F124" s="22">
        <v>45274.4453125</v>
      </c>
      <c r="G124" s="22">
        <v>45287.8306018519</v>
      </c>
      <c r="H124" s="23">
        <v>103.5</v>
      </c>
      <c r="I124" s="23">
        <v>103.5</v>
      </c>
      <c r="J124" s="24">
        <v>0</v>
      </c>
      <c r="K124" s="21">
        <v>0</v>
      </c>
      <c r="L124" s="21">
        <v>0</v>
      </c>
      <c r="M124" s="21">
        <f>COUNTIF($A$2:$A$5481,A124)</f>
        <v>1</v>
      </c>
      <c r="N124" s="24">
        <f t="shared" si="1"/>
        <v>1.24e-5</v>
      </c>
    </row>
    <row r="125" spans="1:14">
      <c r="A125" s="21" t="s">
        <v>1016</v>
      </c>
      <c r="B125" s="21" t="s">
        <v>920</v>
      </c>
      <c r="C125" s="21" t="s">
        <v>26</v>
      </c>
      <c r="D125" s="21" t="s">
        <v>921</v>
      </c>
      <c r="E125" s="21">
        <v>0</v>
      </c>
      <c r="F125" s="22">
        <v>45938.6966203704</v>
      </c>
      <c r="G125" s="22">
        <v>45940.4362847222</v>
      </c>
      <c r="H125" s="23">
        <v>426</v>
      </c>
      <c r="I125" s="23">
        <v>426</v>
      </c>
      <c r="J125" s="24">
        <v>0</v>
      </c>
      <c r="K125" s="21">
        <v>0</v>
      </c>
      <c r="L125" s="21">
        <v>0</v>
      </c>
      <c r="M125" s="21">
        <f>COUNTIF($A$2:$A$5481,A125)</f>
        <v>1</v>
      </c>
      <c r="N125" s="24">
        <f t="shared" si="1"/>
        <v>1.25e-5</v>
      </c>
    </row>
    <row r="126" spans="1:14">
      <c r="A126" s="21" t="s">
        <v>1017</v>
      </c>
      <c r="B126" s="21" t="s">
        <v>929</v>
      </c>
      <c r="C126" s="21" t="s">
        <v>26</v>
      </c>
      <c r="D126" s="21" t="s">
        <v>921</v>
      </c>
      <c r="E126" s="21">
        <v>1</v>
      </c>
      <c r="F126" s="22">
        <v>45344.6354166667</v>
      </c>
      <c r="G126" s="22"/>
      <c r="H126" s="23">
        <v>73.87</v>
      </c>
      <c r="I126" s="23">
        <v>73.87</v>
      </c>
      <c r="J126" s="24">
        <v>73.87</v>
      </c>
      <c r="K126" s="21">
        <v>0</v>
      </c>
      <c r="L126" s="21">
        <v>0</v>
      </c>
      <c r="M126" s="21">
        <f>COUNTIF($A$2:$A$5481,A126)</f>
        <v>1</v>
      </c>
      <c r="N126" s="24">
        <f t="shared" si="1"/>
        <v>73.8700126</v>
      </c>
    </row>
    <row r="127" spans="1:14">
      <c r="A127" s="21" t="s">
        <v>1018</v>
      </c>
      <c r="B127" s="21" t="s">
        <v>920</v>
      </c>
      <c r="C127" s="21" t="s">
        <v>26</v>
      </c>
      <c r="D127" s="21" t="s">
        <v>921</v>
      </c>
      <c r="E127" s="21">
        <v>2</v>
      </c>
      <c r="F127" s="22">
        <v>45623.839525463</v>
      </c>
      <c r="G127" s="22"/>
      <c r="H127" s="23">
        <v>304</v>
      </c>
      <c r="I127" s="23">
        <v>152</v>
      </c>
      <c r="J127" s="24">
        <v>304</v>
      </c>
      <c r="K127" s="21">
        <v>0</v>
      </c>
      <c r="L127" s="21">
        <v>0</v>
      </c>
      <c r="M127" s="21">
        <f>COUNTIF($A$2:$A$5481,A127)</f>
        <v>1</v>
      </c>
      <c r="N127" s="24">
        <f t="shared" si="1"/>
        <v>304.0000127</v>
      </c>
    </row>
    <row r="128" spans="1:14">
      <c r="A128" s="21" t="s">
        <v>1019</v>
      </c>
      <c r="B128" s="21" t="s">
        <v>920</v>
      </c>
      <c r="C128" s="21" t="s">
        <v>26</v>
      </c>
      <c r="D128" s="21" t="s">
        <v>921</v>
      </c>
      <c r="E128" s="21">
        <v>29</v>
      </c>
      <c r="F128" s="22">
        <v>45574.8451388889</v>
      </c>
      <c r="G128" s="22">
        <v>45537.4491203704</v>
      </c>
      <c r="H128" s="23">
        <v>180</v>
      </c>
      <c r="I128" s="23">
        <v>9</v>
      </c>
      <c r="J128" s="24">
        <v>261</v>
      </c>
      <c r="K128" s="21">
        <v>0</v>
      </c>
      <c r="L128" s="21">
        <v>0</v>
      </c>
      <c r="M128" s="21">
        <f>COUNTIF($A$2:$A$5481,A128)</f>
        <v>1</v>
      </c>
      <c r="N128" s="24">
        <f t="shared" si="1"/>
        <v>261.0000128</v>
      </c>
    </row>
    <row r="129" spans="1:14">
      <c r="A129" s="21" t="s">
        <v>1020</v>
      </c>
      <c r="B129" s="21" t="s">
        <v>26</v>
      </c>
      <c r="C129" s="21" t="s">
        <v>26</v>
      </c>
      <c r="D129" s="21" t="s">
        <v>921</v>
      </c>
      <c r="E129" s="21">
        <v>1</v>
      </c>
      <c r="F129" s="22">
        <v>45639.4083796296</v>
      </c>
      <c r="G129" s="22"/>
      <c r="H129" s="23">
        <v>32</v>
      </c>
      <c r="I129" s="23">
        <v>32</v>
      </c>
      <c r="J129" s="24">
        <v>32</v>
      </c>
      <c r="K129" s="21">
        <v>0</v>
      </c>
      <c r="L129" s="21">
        <v>0</v>
      </c>
      <c r="M129" s="21">
        <f>COUNTIF($A$2:$A$5481,A129)</f>
        <v>1</v>
      </c>
      <c r="N129" s="24">
        <f t="shared" si="1"/>
        <v>32.0000129</v>
      </c>
    </row>
    <row r="130" spans="1:14">
      <c r="A130" s="21" t="s">
        <v>1021</v>
      </c>
      <c r="B130" s="21" t="s">
        <v>920</v>
      </c>
      <c r="C130" s="21" t="s">
        <v>26</v>
      </c>
      <c r="D130" s="21" t="s">
        <v>921</v>
      </c>
      <c r="E130" s="21">
        <v>0</v>
      </c>
      <c r="F130" s="22">
        <v>45454.8112268519</v>
      </c>
      <c r="G130" s="22">
        <v>45455.8171643519</v>
      </c>
      <c r="H130" s="23">
        <v>340</v>
      </c>
      <c r="I130" s="23">
        <v>340</v>
      </c>
      <c r="J130" s="24">
        <v>0</v>
      </c>
      <c r="K130" s="21">
        <v>0</v>
      </c>
      <c r="L130" s="21">
        <v>0</v>
      </c>
      <c r="M130" s="21">
        <f>COUNTIF($A$2:$A$5481,A130)</f>
        <v>1</v>
      </c>
      <c r="N130" s="24">
        <f t="shared" ref="N130:N193" si="2">J130+ROW()/10000000</f>
        <v>1.3e-5</v>
      </c>
    </row>
    <row r="131" spans="1:14">
      <c r="A131" s="21" t="s">
        <v>243</v>
      </c>
      <c r="B131" s="21" t="s">
        <v>920</v>
      </c>
      <c r="C131" s="21" t="s">
        <v>26</v>
      </c>
      <c r="D131" s="21" t="s">
        <v>921</v>
      </c>
      <c r="E131" s="21">
        <v>1</v>
      </c>
      <c r="F131" s="22">
        <v>45972.8226273148</v>
      </c>
      <c r="G131" s="22">
        <v>46064.3788773148</v>
      </c>
      <c r="H131" s="23">
        <v>900</v>
      </c>
      <c r="I131" s="23">
        <v>450</v>
      </c>
      <c r="J131" s="24">
        <v>450</v>
      </c>
      <c r="K131" s="21">
        <v>0</v>
      </c>
      <c r="L131" s="21">
        <v>0</v>
      </c>
      <c r="M131" s="21">
        <f>COUNTIF($A$2:$A$5481,A131)</f>
        <v>1</v>
      </c>
      <c r="N131" s="24">
        <f t="shared" si="2"/>
        <v>450.0000131</v>
      </c>
    </row>
    <row r="132" spans="1:14">
      <c r="A132" s="21" t="s">
        <v>213</v>
      </c>
      <c r="B132" s="21" t="s">
        <v>920</v>
      </c>
      <c r="C132" s="21" t="s">
        <v>26</v>
      </c>
      <c r="D132" s="21" t="s">
        <v>921</v>
      </c>
      <c r="E132" s="21">
        <v>5</v>
      </c>
      <c r="F132" s="22">
        <v>45810.8436342593</v>
      </c>
      <c r="G132" s="22">
        <v>46101.5084722222</v>
      </c>
      <c r="H132" s="23">
        <v>198</v>
      </c>
      <c r="I132" s="23">
        <v>99.02424</v>
      </c>
      <c r="J132" s="24">
        <v>495.1</v>
      </c>
      <c r="K132" s="21">
        <v>0</v>
      </c>
      <c r="L132" s="21">
        <v>0</v>
      </c>
      <c r="M132" s="21">
        <f>COUNTIF($A$2:$A$5481,A132)</f>
        <v>1</v>
      </c>
      <c r="N132" s="24">
        <f t="shared" si="2"/>
        <v>495.1000132</v>
      </c>
    </row>
    <row r="133" spans="1:14">
      <c r="A133" s="21" t="s">
        <v>1022</v>
      </c>
      <c r="B133" s="21" t="s">
        <v>929</v>
      </c>
      <c r="C133" s="21" t="s">
        <v>26</v>
      </c>
      <c r="D133" s="21" t="s">
        <v>921</v>
      </c>
      <c r="E133" s="21">
        <v>1</v>
      </c>
      <c r="F133" s="22">
        <v>45820.4548032407</v>
      </c>
      <c r="G133" s="22"/>
      <c r="H133" s="23">
        <v>29.9</v>
      </c>
      <c r="I133" s="23">
        <v>29.9</v>
      </c>
      <c r="J133" s="24">
        <v>29.9</v>
      </c>
      <c r="K133" s="21">
        <v>0</v>
      </c>
      <c r="L133" s="21">
        <v>0</v>
      </c>
      <c r="M133" s="21">
        <f>COUNTIF($A$2:$A$5481,A133)</f>
        <v>1</v>
      </c>
      <c r="N133" s="24">
        <f t="shared" si="2"/>
        <v>29.9000133</v>
      </c>
    </row>
    <row r="134" spans="1:14">
      <c r="A134" s="21" t="s">
        <v>1023</v>
      </c>
      <c r="B134" s="21" t="s">
        <v>26</v>
      </c>
      <c r="C134" s="21" t="s">
        <v>26</v>
      </c>
      <c r="D134" s="21" t="s">
        <v>921</v>
      </c>
      <c r="E134" s="21">
        <v>0</v>
      </c>
      <c r="F134" s="22">
        <v>45530.420462963</v>
      </c>
      <c r="G134" s="22">
        <v>45538.4270601852</v>
      </c>
      <c r="H134" s="23">
        <v>1350</v>
      </c>
      <c r="I134" s="23">
        <v>1350</v>
      </c>
      <c r="J134" s="24">
        <v>0</v>
      </c>
      <c r="K134" s="21">
        <v>0</v>
      </c>
      <c r="L134" s="21">
        <v>0</v>
      </c>
      <c r="M134" s="21">
        <f>COUNTIF($A$2:$A$5481,A134)</f>
        <v>1</v>
      </c>
      <c r="N134" s="24">
        <f t="shared" si="2"/>
        <v>1.34e-5</v>
      </c>
    </row>
    <row r="135" spans="1:14">
      <c r="A135" s="21" t="s">
        <v>1024</v>
      </c>
      <c r="B135" s="21" t="s">
        <v>920</v>
      </c>
      <c r="C135" s="21" t="s">
        <v>26</v>
      </c>
      <c r="D135" s="21" t="s">
        <v>921</v>
      </c>
      <c r="E135" s="21">
        <v>1</v>
      </c>
      <c r="F135" s="22">
        <v>46147.6705787037</v>
      </c>
      <c r="G135" s="22">
        <v>45973.3622800926</v>
      </c>
      <c r="H135" s="23">
        <v>140</v>
      </c>
      <c r="I135" s="23">
        <v>140</v>
      </c>
      <c r="J135" s="24">
        <v>140</v>
      </c>
      <c r="K135" s="21">
        <v>0</v>
      </c>
      <c r="L135" s="21">
        <v>0</v>
      </c>
      <c r="M135" s="21">
        <f>COUNTIF($A$2:$A$5481,A135)</f>
        <v>1</v>
      </c>
      <c r="N135" s="24">
        <f t="shared" si="2"/>
        <v>140.0000135</v>
      </c>
    </row>
    <row r="136" spans="1:14">
      <c r="A136" s="21" t="s">
        <v>160</v>
      </c>
      <c r="B136" s="21" t="s">
        <v>920</v>
      </c>
      <c r="C136" s="21" t="s">
        <v>26</v>
      </c>
      <c r="D136" s="21" t="s">
        <v>921</v>
      </c>
      <c r="E136" s="21">
        <v>0</v>
      </c>
      <c r="F136" s="22">
        <v>46002.3919675926</v>
      </c>
      <c r="G136" s="22">
        <v>46029.4347453704</v>
      </c>
      <c r="H136" s="23">
        <v>160</v>
      </c>
      <c r="I136" s="23">
        <v>160</v>
      </c>
      <c r="J136" s="24">
        <v>0</v>
      </c>
      <c r="K136" s="21">
        <v>0</v>
      </c>
      <c r="L136" s="21">
        <v>0</v>
      </c>
      <c r="M136" s="21">
        <f>COUNTIF($A$2:$A$5481,A136)</f>
        <v>1</v>
      </c>
      <c r="N136" s="24">
        <f t="shared" si="2"/>
        <v>1.36e-5</v>
      </c>
    </row>
    <row r="137" spans="1:14">
      <c r="A137" s="21" t="s">
        <v>1025</v>
      </c>
      <c r="B137" s="21" t="s">
        <v>920</v>
      </c>
      <c r="C137" s="21" t="s">
        <v>26</v>
      </c>
      <c r="D137" s="21" t="s">
        <v>931</v>
      </c>
      <c r="E137" s="21">
        <v>1</v>
      </c>
      <c r="F137" s="22">
        <v>45405.6569444445</v>
      </c>
      <c r="G137" s="22">
        <v>45631.4340277778</v>
      </c>
      <c r="H137" s="23">
        <v>203.84</v>
      </c>
      <c r="I137" s="23">
        <v>101.92</v>
      </c>
      <c r="J137" s="24">
        <v>101.92</v>
      </c>
      <c r="K137" s="21">
        <v>0</v>
      </c>
      <c r="L137" s="21">
        <v>0</v>
      </c>
      <c r="M137" s="21">
        <f>COUNTIF($A$2:$A$5481,A137)</f>
        <v>1</v>
      </c>
      <c r="N137" s="24">
        <f t="shared" si="2"/>
        <v>101.9200137</v>
      </c>
    </row>
    <row r="138" spans="1:14">
      <c r="A138" s="21" t="s">
        <v>405</v>
      </c>
      <c r="B138" s="21" t="s">
        <v>920</v>
      </c>
      <c r="C138" s="21" t="s">
        <v>26</v>
      </c>
      <c r="D138" s="21" t="s">
        <v>921</v>
      </c>
      <c r="E138" s="21">
        <v>0</v>
      </c>
      <c r="F138" s="22">
        <v>46183.8328240741</v>
      </c>
      <c r="G138" s="22">
        <v>46190.6758912037</v>
      </c>
      <c r="H138" s="23">
        <v>610</v>
      </c>
      <c r="I138" s="23">
        <v>610</v>
      </c>
      <c r="J138" s="24">
        <v>0</v>
      </c>
      <c r="K138" s="21">
        <v>0</v>
      </c>
      <c r="L138" s="21">
        <v>0</v>
      </c>
      <c r="M138" s="21">
        <f>COUNTIF($A$2:$A$5481,A138)</f>
        <v>1</v>
      </c>
      <c r="N138" s="24">
        <f t="shared" si="2"/>
        <v>1.38e-5</v>
      </c>
    </row>
    <row r="139" spans="1:14">
      <c r="A139" s="21" t="s">
        <v>1026</v>
      </c>
      <c r="B139" s="21" t="s">
        <v>920</v>
      </c>
      <c r="C139" s="21" t="s">
        <v>35</v>
      </c>
      <c r="D139" s="21" t="s">
        <v>921</v>
      </c>
      <c r="E139" s="21">
        <v>1</v>
      </c>
      <c r="F139" s="22">
        <v>46112.3590277778</v>
      </c>
      <c r="G139" s="22"/>
      <c r="H139" s="23">
        <v>4800</v>
      </c>
      <c r="I139" s="23">
        <v>4800</v>
      </c>
      <c r="J139" s="24">
        <v>4800</v>
      </c>
      <c r="K139" s="21">
        <v>0</v>
      </c>
      <c r="L139" s="21">
        <v>0</v>
      </c>
      <c r="M139" s="21">
        <f>COUNTIF($A$2:$A$5481,A139)</f>
        <v>1</v>
      </c>
      <c r="N139" s="24">
        <f t="shared" si="2"/>
        <v>4800.0000139</v>
      </c>
    </row>
    <row r="140" spans="1:14">
      <c r="A140" s="21" t="s">
        <v>1027</v>
      </c>
      <c r="B140" s="21" t="s">
        <v>920</v>
      </c>
      <c r="C140" s="21" t="s">
        <v>26</v>
      </c>
      <c r="D140" s="21" t="s">
        <v>921</v>
      </c>
      <c r="E140" s="21">
        <v>2</v>
      </c>
      <c r="F140" s="22">
        <v>46048.5902430556</v>
      </c>
      <c r="G140" s="22"/>
      <c r="H140" s="23">
        <v>560</v>
      </c>
      <c r="I140" s="23">
        <v>280</v>
      </c>
      <c r="J140" s="24">
        <v>560</v>
      </c>
      <c r="K140" s="21">
        <v>0</v>
      </c>
      <c r="L140" s="21">
        <v>0</v>
      </c>
      <c r="M140" s="21">
        <f>COUNTIF($A$2:$A$5481,A140)</f>
        <v>1</v>
      </c>
      <c r="N140" s="24">
        <f t="shared" si="2"/>
        <v>560.000014</v>
      </c>
    </row>
    <row r="141" spans="1:14">
      <c r="A141" s="21" t="s">
        <v>1028</v>
      </c>
      <c r="B141" s="21" t="s">
        <v>920</v>
      </c>
      <c r="C141" s="21" t="s">
        <v>26</v>
      </c>
      <c r="D141" s="21" t="s">
        <v>921</v>
      </c>
      <c r="E141" s="21">
        <v>16</v>
      </c>
      <c r="F141" s="22">
        <v>46062.6974305556</v>
      </c>
      <c r="G141" s="22"/>
      <c r="H141" s="23">
        <v>45</v>
      </c>
      <c r="I141" s="23">
        <v>8.125</v>
      </c>
      <c r="J141" s="24">
        <v>130.08</v>
      </c>
      <c r="K141" s="21">
        <v>0</v>
      </c>
      <c r="L141" s="21">
        <v>0</v>
      </c>
      <c r="M141" s="21">
        <f>COUNTIF($A$2:$A$5481,A141)</f>
        <v>1</v>
      </c>
      <c r="N141" s="24">
        <f t="shared" si="2"/>
        <v>130.0800141</v>
      </c>
    </row>
    <row r="142" spans="1:14">
      <c r="A142" s="21" t="s">
        <v>1029</v>
      </c>
      <c r="B142" s="21" t="s">
        <v>26</v>
      </c>
      <c r="C142" s="21" t="s">
        <v>26</v>
      </c>
      <c r="D142" s="21" t="s">
        <v>921</v>
      </c>
      <c r="E142" s="21">
        <v>12</v>
      </c>
      <c r="F142" s="22">
        <v>46188.6917476852</v>
      </c>
      <c r="G142" s="22"/>
      <c r="H142" s="23">
        <v>94.8</v>
      </c>
      <c r="I142" s="23">
        <v>7.9</v>
      </c>
      <c r="J142" s="24">
        <v>94.8</v>
      </c>
      <c r="K142" s="21">
        <v>0</v>
      </c>
      <c r="L142" s="21">
        <v>0</v>
      </c>
      <c r="M142" s="21">
        <f>COUNTIF($A$2:$A$5481,A142)</f>
        <v>1</v>
      </c>
      <c r="N142" s="24">
        <f t="shared" si="2"/>
        <v>94.8000142</v>
      </c>
    </row>
    <row r="143" spans="1:14">
      <c r="A143" s="21" t="s">
        <v>1030</v>
      </c>
      <c r="B143" s="21" t="s">
        <v>26</v>
      </c>
      <c r="C143" s="21" t="s">
        <v>182</v>
      </c>
      <c r="D143" s="21" t="s">
        <v>921</v>
      </c>
      <c r="E143" s="21">
        <v>3</v>
      </c>
      <c r="F143" s="22">
        <v>45378.8690509259</v>
      </c>
      <c r="G143" s="22"/>
      <c r="H143" s="23">
        <v>9</v>
      </c>
      <c r="I143" s="23">
        <v>3</v>
      </c>
      <c r="J143" s="24">
        <v>9</v>
      </c>
      <c r="K143" s="21">
        <v>0</v>
      </c>
      <c r="L143" s="21">
        <v>0</v>
      </c>
      <c r="M143" s="21">
        <f>COUNTIF($A$2:$A$5481,A143)</f>
        <v>2</v>
      </c>
      <c r="N143" s="24">
        <f t="shared" si="2"/>
        <v>9.0000143</v>
      </c>
    </row>
    <row r="144" spans="1:14">
      <c r="A144" s="21" t="s">
        <v>1030</v>
      </c>
      <c r="B144" s="21" t="s">
        <v>26</v>
      </c>
      <c r="C144" s="21" t="s">
        <v>26</v>
      </c>
      <c r="D144" s="21" t="s">
        <v>921</v>
      </c>
      <c r="E144" s="21">
        <v>14</v>
      </c>
      <c r="F144" s="22">
        <v>45622.3446296296</v>
      </c>
      <c r="G144" s="22"/>
      <c r="H144" s="23">
        <v>30</v>
      </c>
      <c r="I144" s="23">
        <v>2.85714</v>
      </c>
      <c r="J144" s="24">
        <v>40.04</v>
      </c>
      <c r="K144" s="21">
        <v>0</v>
      </c>
      <c r="L144" s="21">
        <v>0</v>
      </c>
      <c r="M144" s="21">
        <f>COUNTIF($A$2:$A$5481,A144)</f>
        <v>2</v>
      </c>
      <c r="N144" s="24">
        <f t="shared" si="2"/>
        <v>40.0400144</v>
      </c>
    </row>
    <row r="145" spans="1:14">
      <c r="A145" s="21" t="s">
        <v>1031</v>
      </c>
      <c r="B145" s="21" t="s">
        <v>26</v>
      </c>
      <c r="C145" s="21" t="s">
        <v>182</v>
      </c>
      <c r="D145" s="21" t="s">
        <v>921</v>
      </c>
      <c r="E145" s="21">
        <v>0</v>
      </c>
      <c r="F145" s="22">
        <v>45378.8709953704</v>
      </c>
      <c r="G145" s="22">
        <v>45411.5909722222</v>
      </c>
      <c r="H145" s="23">
        <v>13.5</v>
      </c>
      <c r="I145" s="23">
        <v>4.5</v>
      </c>
      <c r="J145" s="24">
        <v>0</v>
      </c>
      <c r="K145" s="21">
        <v>0</v>
      </c>
      <c r="L145" s="21">
        <v>0</v>
      </c>
      <c r="M145" s="21">
        <f>COUNTIF($A$2:$A$5481,A145)</f>
        <v>1</v>
      </c>
      <c r="N145" s="24">
        <f t="shared" si="2"/>
        <v>1.45e-5</v>
      </c>
    </row>
    <row r="146" spans="1:14">
      <c r="A146" s="21" t="s">
        <v>1032</v>
      </c>
      <c r="B146" s="21" t="s">
        <v>920</v>
      </c>
      <c r="C146" s="21" t="s">
        <v>26</v>
      </c>
      <c r="D146" s="21" t="s">
        <v>921</v>
      </c>
      <c r="E146" s="21">
        <v>24</v>
      </c>
      <c r="F146" s="22">
        <v>46216.6027777778</v>
      </c>
      <c r="G146" s="22"/>
      <c r="H146" s="23">
        <v>809.76</v>
      </c>
      <c r="I146" s="23">
        <v>33.74</v>
      </c>
      <c r="J146" s="24">
        <v>809.76</v>
      </c>
      <c r="K146" s="21">
        <v>0</v>
      </c>
      <c r="L146" s="21">
        <v>0</v>
      </c>
      <c r="M146" s="21">
        <f>COUNTIF($A$2:$A$5481,A146)</f>
        <v>1</v>
      </c>
      <c r="N146" s="24">
        <f t="shared" si="2"/>
        <v>809.7600146</v>
      </c>
    </row>
    <row r="147" spans="1:14">
      <c r="A147" s="21" t="s">
        <v>1033</v>
      </c>
      <c r="B147" s="21" t="s">
        <v>920</v>
      </c>
      <c r="C147" s="21" t="s">
        <v>26</v>
      </c>
      <c r="D147" s="21" t="s">
        <v>921</v>
      </c>
      <c r="E147" s="21">
        <v>24</v>
      </c>
      <c r="F147" s="22">
        <v>46216.6027777778</v>
      </c>
      <c r="G147" s="22"/>
      <c r="H147" s="23">
        <v>601.92</v>
      </c>
      <c r="I147" s="23">
        <v>25.08</v>
      </c>
      <c r="J147" s="24">
        <v>601.92</v>
      </c>
      <c r="K147" s="21">
        <v>0</v>
      </c>
      <c r="L147" s="21">
        <v>0</v>
      </c>
      <c r="M147" s="21">
        <f>COUNTIF($A$2:$A$5481,A147)</f>
        <v>1</v>
      </c>
      <c r="N147" s="24">
        <f t="shared" si="2"/>
        <v>601.9200147</v>
      </c>
    </row>
    <row r="148" spans="1:14">
      <c r="A148" s="21" t="s">
        <v>1034</v>
      </c>
      <c r="B148" s="21" t="s">
        <v>920</v>
      </c>
      <c r="C148" s="21" t="s">
        <v>26</v>
      </c>
      <c r="D148" s="21" t="s">
        <v>921</v>
      </c>
      <c r="E148" s="21">
        <v>24</v>
      </c>
      <c r="F148" s="22">
        <v>46216.6027777778</v>
      </c>
      <c r="G148" s="22"/>
      <c r="H148" s="23">
        <v>690.48</v>
      </c>
      <c r="I148" s="23">
        <v>28.77</v>
      </c>
      <c r="J148" s="24">
        <v>690.48</v>
      </c>
      <c r="K148" s="21">
        <v>0</v>
      </c>
      <c r="L148" s="21">
        <v>0</v>
      </c>
      <c r="M148" s="21">
        <f>COUNTIF($A$2:$A$5481,A148)</f>
        <v>1</v>
      </c>
      <c r="N148" s="24">
        <f t="shared" si="2"/>
        <v>690.4800148</v>
      </c>
    </row>
    <row r="149" spans="1:14">
      <c r="A149" s="21" t="s">
        <v>1035</v>
      </c>
      <c r="B149" s="21" t="s">
        <v>929</v>
      </c>
      <c r="C149" s="21" t="s">
        <v>414</v>
      </c>
      <c r="D149" s="21" t="s">
        <v>921</v>
      </c>
      <c r="E149" s="21">
        <v>6</v>
      </c>
      <c r="F149" s="22">
        <v>45313.5721643519</v>
      </c>
      <c r="G149" s="22"/>
      <c r="H149" s="23">
        <v>93</v>
      </c>
      <c r="I149" s="23">
        <v>15.5</v>
      </c>
      <c r="J149" s="24">
        <v>93</v>
      </c>
      <c r="K149" s="21">
        <v>0</v>
      </c>
      <c r="L149" s="21">
        <v>0</v>
      </c>
      <c r="M149" s="21">
        <f>COUNTIF($A$2:$A$5481,A149)</f>
        <v>1</v>
      </c>
      <c r="N149" s="24">
        <f t="shared" si="2"/>
        <v>93.0000149</v>
      </c>
    </row>
    <row r="150" spans="1:14">
      <c r="A150" s="21" t="s">
        <v>1036</v>
      </c>
      <c r="B150" s="21" t="s">
        <v>948</v>
      </c>
      <c r="C150" s="21" t="s">
        <v>26</v>
      </c>
      <c r="D150" s="21" t="s">
        <v>921</v>
      </c>
      <c r="E150" s="21">
        <v>10</v>
      </c>
      <c r="F150" s="22">
        <v>46072.3649884259</v>
      </c>
      <c r="G150" s="22"/>
      <c r="H150" s="23">
        <v>370</v>
      </c>
      <c r="I150" s="23">
        <v>37</v>
      </c>
      <c r="J150" s="24">
        <v>370</v>
      </c>
      <c r="K150" s="21">
        <v>0</v>
      </c>
      <c r="L150" s="21">
        <v>0</v>
      </c>
      <c r="M150" s="21">
        <f>COUNTIF($A$2:$A$5481,A150)</f>
        <v>1</v>
      </c>
      <c r="N150" s="24">
        <f t="shared" si="2"/>
        <v>370.000015</v>
      </c>
    </row>
    <row r="151" spans="1:14">
      <c r="A151" s="21" t="s">
        <v>1037</v>
      </c>
      <c r="B151" s="21" t="s">
        <v>920</v>
      </c>
      <c r="C151" s="21" t="s">
        <v>26</v>
      </c>
      <c r="D151" s="21" t="s">
        <v>921</v>
      </c>
      <c r="E151" s="21">
        <v>3</v>
      </c>
      <c r="F151" s="22">
        <v>46184.7000925926</v>
      </c>
      <c r="G151" s="22"/>
      <c r="H151" s="23">
        <v>18</v>
      </c>
      <c r="I151" s="23">
        <v>6</v>
      </c>
      <c r="J151" s="24">
        <v>18</v>
      </c>
      <c r="K151" s="21">
        <v>0</v>
      </c>
      <c r="L151" s="21">
        <v>0</v>
      </c>
      <c r="M151" s="21">
        <f>COUNTIF($A$2:$A$5481,A151)</f>
        <v>1</v>
      </c>
      <c r="N151" s="24">
        <f t="shared" si="2"/>
        <v>18.0000151</v>
      </c>
    </row>
    <row r="152" spans="1:14">
      <c r="A152" s="21" t="s">
        <v>1038</v>
      </c>
      <c r="B152" s="21" t="s">
        <v>920</v>
      </c>
      <c r="C152" s="21" t="s">
        <v>26</v>
      </c>
      <c r="D152" s="21" t="s">
        <v>921</v>
      </c>
      <c r="E152" s="21">
        <v>6</v>
      </c>
      <c r="F152" s="22">
        <v>46205.7207986111</v>
      </c>
      <c r="G152" s="22"/>
      <c r="H152" s="23">
        <v>54</v>
      </c>
      <c r="I152" s="23">
        <v>9</v>
      </c>
      <c r="J152" s="24">
        <v>54</v>
      </c>
      <c r="K152" s="21">
        <v>0</v>
      </c>
      <c r="L152" s="21">
        <v>0</v>
      </c>
      <c r="M152" s="21">
        <f>COUNTIF($A$2:$A$5481,A152)</f>
        <v>1</v>
      </c>
      <c r="N152" s="24">
        <f t="shared" si="2"/>
        <v>54.0000152</v>
      </c>
    </row>
    <row r="153" spans="1:14">
      <c r="A153" s="21" t="s">
        <v>1039</v>
      </c>
      <c r="B153" s="21" t="s">
        <v>920</v>
      </c>
      <c r="C153" s="21" t="s">
        <v>26</v>
      </c>
      <c r="D153" s="21" t="s">
        <v>921</v>
      </c>
      <c r="E153" s="21">
        <v>10</v>
      </c>
      <c r="F153" s="22">
        <v>46197.7077199074</v>
      </c>
      <c r="G153" s="22"/>
      <c r="H153" s="23">
        <v>60</v>
      </c>
      <c r="I153" s="23">
        <v>6</v>
      </c>
      <c r="J153" s="24">
        <v>60</v>
      </c>
      <c r="K153" s="21">
        <v>0</v>
      </c>
      <c r="L153" s="21">
        <v>0</v>
      </c>
      <c r="M153" s="21">
        <f>COUNTIF($A$2:$A$5481,A153)</f>
        <v>1</v>
      </c>
      <c r="N153" s="24">
        <f t="shared" si="2"/>
        <v>60.0000153</v>
      </c>
    </row>
    <row r="154" spans="1:14">
      <c r="A154" s="21" t="s">
        <v>1040</v>
      </c>
      <c r="B154" s="21" t="s">
        <v>920</v>
      </c>
      <c r="C154" s="21" t="s">
        <v>35</v>
      </c>
      <c r="D154" s="21" t="s">
        <v>921</v>
      </c>
      <c r="E154" s="21">
        <v>1</v>
      </c>
      <c r="F154" s="22">
        <v>45379.5631944445</v>
      </c>
      <c r="G154" s="22"/>
      <c r="H154" s="23">
        <v>9</v>
      </c>
      <c r="I154" s="23">
        <v>9</v>
      </c>
      <c r="J154" s="24">
        <v>9</v>
      </c>
      <c r="K154" s="21">
        <v>0</v>
      </c>
      <c r="L154" s="21">
        <v>0</v>
      </c>
      <c r="M154" s="21">
        <f>COUNTIF($A$2:$A$5481,A154)</f>
        <v>2</v>
      </c>
      <c r="N154" s="24">
        <f t="shared" si="2"/>
        <v>9.0000154</v>
      </c>
    </row>
    <row r="155" spans="1:14">
      <c r="A155" s="21" t="s">
        <v>1040</v>
      </c>
      <c r="B155" s="21" t="s">
        <v>920</v>
      </c>
      <c r="C155" s="21" t="s">
        <v>26</v>
      </c>
      <c r="D155" s="21" t="s">
        <v>921</v>
      </c>
      <c r="E155" s="21">
        <v>34</v>
      </c>
      <c r="F155" s="22">
        <v>45595.8402546296</v>
      </c>
      <c r="G155" s="22"/>
      <c r="H155" s="23">
        <v>54</v>
      </c>
      <c r="I155" s="23">
        <v>7.64118</v>
      </c>
      <c r="J155" s="24">
        <v>259.76</v>
      </c>
      <c r="K155" s="21">
        <v>0</v>
      </c>
      <c r="L155" s="21">
        <v>0</v>
      </c>
      <c r="M155" s="21">
        <f>COUNTIF($A$2:$A$5481,A155)</f>
        <v>2</v>
      </c>
      <c r="N155" s="24">
        <f t="shared" si="2"/>
        <v>259.7600155</v>
      </c>
    </row>
    <row r="156" spans="1:14">
      <c r="A156" s="21" t="s">
        <v>1041</v>
      </c>
      <c r="B156" s="21" t="s">
        <v>920</v>
      </c>
      <c r="C156" s="21" t="s">
        <v>35</v>
      </c>
      <c r="D156" s="21" t="s">
        <v>921</v>
      </c>
      <c r="E156" s="21">
        <v>1</v>
      </c>
      <c r="F156" s="22">
        <v>45379.5611111111</v>
      </c>
      <c r="G156" s="22"/>
      <c r="H156" s="23">
        <v>12</v>
      </c>
      <c r="I156" s="23">
        <v>12</v>
      </c>
      <c r="J156" s="24">
        <v>12</v>
      </c>
      <c r="K156" s="21">
        <v>0</v>
      </c>
      <c r="L156" s="21">
        <v>0</v>
      </c>
      <c r="M156" s="21">
        <f>COUNTIF($A$2:$A$5481,A156)</f>
        <v>1</v>
      </c>
      <c r="N156" s="24">
        <f t="shared" si="2"/>
        <v>12.0000156</v>
      </c>
    </row>
    <row r="157" spans="1:14">
      <c r="A157" s="21" t="s">
        <v>1042</v>
      </c>
      <c r="B157" s="21" t="s">
        <v>929</v>
      </c>
      <c r="C157" s="21" t="s">
        <v>414</v>
      </c>
      <c r="D157" s="21" t="s">
        <v>921</v>
      </c>
      <c r="E157" s="21">
        <v>2</v>
      </c>
      <c r="F157" s="22">
        <v>45308.6041666667</v>
      </c>
      <c r="G157" s="22"/>
      <c r="H157" s="23">
        <v>31.2</v>
      </c>
      <c r="I157" s="23">
        <v>15.6</v>
      </c>
      <c r="J157" s="24">
        <v>31.2</v>
      </c>
      <c r="K157" s="21">
        <v>0</v>
      </c>
      <c r="L157" s="21">
        <v>0</v>
      </c>
      <c r="M157" s="21">
        <f>COUNTIF($A$2:$A$5481,A157)</f>
        <v>1</v>
      </c>
      <c r="N157" s="24">
        <f t="shared" si="2"/>
        <v>31.2000157</v>
      </c>
    </row>
    <row r="158" spans="1:14">
      <c r="A158" s="21" t="s">
        <v>1043</v>
      </c>
      <c r="B158" s="21" t="s">
        <v>920</v>
      </c>
      <c r="C158" s="21" t="s">
        <v>26</v>
      </c>
      <c r="D158" s="21" t="s">
        <v>921</v>
      </c>
      <c r="E158" s="21">
        <v>25</v>
      </c>
      <c r="F158" s="22">
        <v>45681.8305555556</v>
      </c>
      <c r="G158" s="22"/>
      <c r="H158" s="23">
        <v>160</v>
      </c>
      <c r="I158" s="23">
        <v>7.28</v>
      </c>
      <c r="J158" s="24">
        <v>182</v>
      </c>
      <c r="K158" s="21">
        <v>0</v>
      </c>
      <c r="L158" s="21">
        <v>0</v>
      </c>
      <c r="M158" s="21">
        <f>COUNTIF($A$2:$A$5481,A158)</f>
        <v>1</v>
      </c>
      <c r="N158" s="24">
        <f t="shared" si="2"/>
        <v>182.0000158</v>
      </c>
    </row>
    <row r="159" spans="1:14">
      <c r="A159" s="21" t="s">
        <v>1044</v>
      </c>
      <c r="B159" s="21" t="s">
        <v>920</v>
      </c>
      <c r="C159" s="21" t="s">
        <v>26</v>
      </c>
      <c r="D159" s="21" t="s">
        <v>921</v>
      </c>
      <c r="E159" s="21">
        <v>5</v>
      </c>
      <c r="F159" s="22">
        <v>45526.4375810185</v>
      </c>
      <c r="G159" s="22"/>
      <c r="H159" s="23">
        <v>20.25</v>
      </c>
      <c r="I159" s="23">
        <v>4.05</v>
      </c>
      <c r="J159" s="24">
        <v>20.25</v>
      </c>
      <c r="K159" s="21">
        <v>0</v>
      </c>
      <c r="L159" s="21">
        <v>0</v>
      </c>
      <c r="M159" s="21">
        <f>COUNTIF($A$2:$A$5481,A159)</f>
        <v>1</v>
      </c>
      <c r="N159" s="24">
        <f t="shared" si="2"/>
        <v>20.2500159</v>
      </c>
    </row>
    <row r="160" spans="1:14">
      <c r="A160" s="21" t="s">
        <v>1045</v>
      </c>
      <c r="B160" s="21" t="s">
        <v>920</v>
      </c>
      <c r="C160" s="21" t="s">
        <v>26</v>
      </c>
      <c r="D160" s="21" t="s">
        <v>921</v>
      </c>
      <c r="E160" s="21">
        <v>5</v>
      </c>
      <c r="F160" s="22">
        <v>45526.4375810185</v>
      </c>
      <c r="G160" s="22"/>
      <c r="H160" s="23">
        <v>43.5</v>
      </c>
      <c r="I160" s="23">
        <v>8.7</v>
      </c>
      <c r="J160" s="24">
        <v>43.5</v>
      </c>
      <c r="K160" s="21">
        <v>0</v>
      </c>
      <c r="L160" s="21">
        <v>0</v>
      </c>
      <c r="M160" s="21">
        <f>COUNTIF($A$2:$A$5481,A160)</f>
        <v>1</v>
      </c>
      <c r="N160" s="24">
        <f t="shared" si="2"/>
        <v>43.500016</v>
      </c>
    </row>
    <row r="161" spans="1:14">
      <c r="A161" s="21" t="s">
        <v>1046</v>
      </c>
      <c r="B161" s="21" t="s">
        <v>920</v>
      </c>
      <c r="C161" s="21" t="s">
        <v>26</v>
      </c>
      <c r="D161" s="21" t="s">
        <v>921</v>
      </c>
      <c r="E161" s="21">
        <v>5</v>
      </c>
      <c r="F161" s="22">
        <v>45526.4375810185</v>
      </c>
      <c r="G161" s="22"/>
      <c r="H161" s="23">
        <v>33.3</v>
      </c>
      <c r="I161" s="23">
        <v>6.66</v>
      </c>
      <c r="J161" s="24">
        <v>33.3</v>
      </c>
      <c r="K161" s="21">
        <v>0</v>
      </c>
      <c r="L161" s="21">
        <v>0</v>
      </c>
      <c r="M161" s="21">
        <f>COUNTIF($A$2:$A$5481,A161)</f>
        <v>1</v>
      </c>
      <c r="N161" s="24">
        <f t="shared" si="2"/>
        <v>33.3000161</v>
      </c>
    </row>
    <row r="162" spans="1:14">
      <c r="A162" s="21" t="s">
        <v>1047</v>
      </c>
      <c r="B162" s="21" t="s">
        <v>929</v>
      </c>
      <c r="C162" s="21" t="s">
        <v>26</v>
      </c>
      <c r="D162" s="21" t="s">
        <v>921</v>
      </c>
      <c r="E162" s="21">
        <v>1</v>
      </c>
      <c r="F162" s="22">
        <v>46031.3832407407</v>
      </c>
      <c r="G162" s="22"/>
      <c r="H162" s="23">
        <v>13.74</v>
      </c>
      <c r="I162" s="23">
        <v>13.74</v>
      </c>
      <c r="J162" s="24">
        <v>13.74</v>
      </c>
      <c r="K162" s="21">
        <v>0</v>
      </c>
      <c r="L162" s="21">
        <v>0</v>
      </c>
      <c r="M162" s="21">
        <f>COUNTIF($A$2:$A$5481,A162)</f>
        <v>1</v>
      </c>
      <c r="N162" s="24">
        <f t="shared" si="2"/>
        <v>13.7400162</v>
      </c>
    </row>
    <row r="163" spans="1:14">
      <c r="A163" s="21" t="s">
        <v>1048</v>
      </c>
      <c r="B163" s="21" t="s">
        <v>920</v>
      </c>
      <c r="C163" s="21" t="s">
        <v>26</v>
      </c>
      <c r="D163" s="21" t="s">
        <v>931</v>
      </c>
      <c r="E163" s="21">
        <v>13</v>
      </c>
      <c r="F163" s="22">
        <v>45863.5569907407</v>
      </c>
      <c r="G163" s="22"/>
      <c r="H163" s="23">
        <v>36</v>
      </c>
      <c r="I163" s="23">
        <v>6</v>
      </c>
      <c r="J163" s="24">
        <v>78</v>
      </c>
      <c r="K163" s="21">
        <v>0</v>
      </c>
      <c r="L163" s="21">
        <v>0</v>
      </c>
      <c r="M163" s="21">
        <f>COUNTIF($A$2:$A$5481,A163)</f>
        <v>1</v>
      </c>
      <c r="N163" s="24">
        <f t="shared" si="2"/>
        <v>78.0000163</v>
      </c>
    </row>
    <row r="164" spans="1:14">
      <c r="A164" s="21" t="s">
        <v>1049</v>
      </c>
      <c r="B164" s="21" t="s">
        <v>920</v>
      </c>
      <c r="C164" s="21" t="s">
        <v>26</v>
      </c>
      <c r="D164" s="21" t="s">
        <v>921</v>
      </c>
      <c r="E164" s="21">
        <v>30</v>
      </c>
      <c r="F164" s="22">
        <v>45526.4375810185</v>
      </c>
      <c r="G164" s="22"/>
      <c r="H164" s="23">
        <v>70.6</v>
      </c>
      <c r="I164" s="23">
        <v>4.02</v>
      </c>
      <c r="J164" s="24">
        <v>120.6</v>
      </c>
      <c r="K164" s="21">
        <v>0</v>
      </c>
      <c r="L164" s="21">
        <v>0</v>
      </c>
      <c r="M164" s="21">
        <f>COUNTIF($A$2:$A$5481,A164)</f>
        <v>1</v>
      </c>
      <c r="N164" s="24">
        <f t="shared" si="2"/>
        <v>120.6000164</v>
      </c>
    </row>
    <row r="165" spans="1:14">
      <c r="A165" s="21" t="s">
        <v>1050</v>
      </c>
      <c r="B165" s="21" t="s">
        <v>966</v>
      </c>
      <c r="C165" s="21" t="s">
        <v>26</v>
      </c>
      <c r="D165" s="21" t="s">
        <v>921</v>
      </c>
      <c r="E165" s="21">
        <v>34</v>
      </c>
      <c r="F165" s="22">
        <v>46197.7077199074</v>
      </c>
      <c r="G165" s="22"/>
      <c r="H165" s="23">
        <v>70</v>
      </c>
      <c r="I165" s="23">
        <v>6.0705882353</v>
      </c>
      <c r="J165" s="24">
        <v>206.38</v>
      </c>
      <c r="K165" s="21">
        <v>0</v>
      </c>
      <c r="L165" s="21">
        <v>0</v>
      </c>
      <c r="M165" s="21">
        <f>COUNTIF($A$2:$A$5481,A165)</f>
        <v>1</v>
      </c>
      <c r="N165" s="24">
        <f t="shared" si="2"/>
        <v>206.3800165</v>
      </c>
    </row>
    <row r="166" spans="1:14">
      <c r="A166" s="21" t="s">
        <v>1051</v>
      </c>
      <c r="B166" s="21" t="s">
        <v>920</v>
      </c>
      <c r="C166" s="21" t="s">
        <v>26</v>
      </c>
      <c r="D166" s="21" t="s">
        <v>931</v>
      </c>
      <c r="E166" s="21">
        <v>50</v>
      </c>
      <c r="F166" s="22">
        <v>45863.5569907407</v>
      </c>
      <c r="G166" s="22"/>
      <c r="H166" s="23">
        <v>70</v>
      </c>
      <c r="I166" s="23">
        <v>5.068</v>
      </c>
      <c r="J166" s="24">
        <v>253.5</v>
      </c>
      <c r="K166" s="21">
        <v>0</v>
      </c>
      <c r="L166" s="21">
        <v>0</v>
      </c>
      <c r="M166" s="21">
        <f>COUNTIF($A$2:$A$5481,A166)</f>
        <v>1</v>
      </c>
      <c r="N166" s="24">
        <f t="shared" si="2"/>
        <v>253.5000166</v>
      </c>
    </row>
    <row r="167" spans="1:14">
      <c r="A167" s="21" t="s">
        <v>1052</v>
      </c>
      <c r="B167" s="21" t="s">
        <v>26</v>
      </c>
      <c r="C167" s="21" t="s">
        <v>26</v>
      </c>
      <c r="D167" s="21" t="s">
        <v>921</v>
      </c>
      <c r="E167" s="21">
        <v>2</v>
      </c>
      <c r="F167" s="22">
        <v>46037.3818865741</v>
      </c>
      <c r="G167" s="22"/>
      <c r="H167" s="23">
        <v>20</v>
      </c>
      <c r="I167" s="23">
        <v>10</v>
      </c>
      <c r="J167" s="24">
        <v>20</v>
      </c>
      <c r="K167" s="21">
        <v>0</v>
      </c>
      <c r="L167" s="21">
        <v>0</v>
      </c>
      <c r="M167" s="21">
        <f>COUNTIF($A$2:$A$5481,A167)</f>
        <v>1</v>
      </c>
      <c r="N167" s="24">
        <f t="shared" si="2"/>
        <v>20.0000167</v>
      </c>
    </row>
    <row r="168" spans="1:14">
      <c r="A168" s="21" t="s">
        <v>1053</v>
      </c>
      <c r="B168" s="21" t="s">
        <v>920</v>
      </c>
      <c r="C168" s="21" t="s">
        <v>26</v>
      </c>
      <c r="D168" s="21" t="s">
        <v>921</v>
      </c>
      <c r="E168" s="21">
        <v>3</v>
      </c>
      <c r="F168" s="22">
        <v>46021.4137384259</v>
      </c>
      <c r="G168" s="22"/>
      <c r="H168" s="23">
        <v>75</v>
      </c>
      <c r="I168" s="23">
        <v>25</v>
      </c>
      <c r="J168" s="24">
        <v>75</v>
      </c>
      <c r="K168" s="21">
        <v>0</v>
      </c>
      <c r="L168" s="21">
        <v>0</v>
      </c>
      <c r="M168" s="21">
        <f>COUNTIF($A$2:$A$5481,A168)</f>
        <v>1</v>
      </c>
      <c r="N168" s="24">
        <f t="shared" si="2"/>
        <v>75.0000168</v>
      </c>
    </row>
    <row r="169" spans="1:14">
      <c r="A169" s="21" t="s">
        <v>1054</v>
      </c>
      <c r="B169" s="21" t="s">
        <v>26</v>
      </c>
      <c r="C169" s="21" t="s">
        <v>26</v>
      </c>
      <c r="D169" s="21" t="s">
        <v>921</v>
      </c>
      <c r="E169" s="21">
        <v>18</v>
      </c>
      <c r="F169" s="22">
        <v>45833.4441666667</v>
      </c>
      <c r="G169" s="22"/>
      <c r="H169" s="23">
        <v>18</v>
      </c>
      <c r="I169" s="23">
        <v>1</v>
      </c>
      <c r="J169" s="24">
        <v>18</v>
      </c>
      <c r="K169" s="21">
        <v>0</v>
      </c>
      <c r="L169" s="21">
        <v>0</v>
      </c>
      <c r="M169" s="21">
        <f>COUNTIF($A$2:$A$5481,A169)</f>
        <v>1</v>
      </c>
      <c r="N169" s="24">
        <f t="shared" si="2"/>
        <v>18.0000169</v>
      </c>
    </row>
    <row r="170" spans="1:14">
      <c r="A170" s="21" t="s">
        <v>1055</v>
      </c>
      <c r="B170" s="21" t="s">
        <v>26</v>
      </c>
      <c r="C170" s="21" t="s">
        <v>26</v>
      </c>
      <c r="D170" s="21" t="s">
        <v>921</v>
      </c>
      <c r="E170" s="21">
        <v>2</v>
      </c>
      <c r="F170" s="22">
        <v>45595.4887152778</v>
      </c>
      <c r="G170" s="22"/>
      <c r="H170" s="23">
        <v>26.84</v>
      </c>
      <c r="I170" s="23">
        <v>13.42</v>
      </c>
      <c r="J170" s="24">
        <v>26.84</v>
      </c>
      <c r="K170" s="21">
        <v>0</v>
      </c>
      <c r="L170" s="21">
        <v>0</v>
      </c>
      <c r="M170" s="21">
        <f>COUNTIF($A$2:$A$5481,A170)</f>
        <v>1</v>
      </c>
      <c r="N170" s="24">
        <f t="shared" si="2"/>
        <v>26.840017</v>
      </c>
    </row>
    <row r="171" spans="1:14">
      <c r="A171" s="21" t="s">
        <v>1056</v>
      </c>
      <c r="B171" s="21" t="s">
        <v>26</v>
      </c>
      <c r="C171" s="21" t="s">
        <v>26</v>
      </c>
      <c r="D171" s="21" t="s">
        <v>921</v>
      </c>
      <c r="E171" s="21">
        <v>1</v>
      </c>
      <c r="F171" s="22">
        <v>45589.48875</v>
      </c>
      <c r="G171" s="22"/>
      <c r="H171" s="23">
        <v>69.88</v>
      </c>
      <c r="I171" s="23">
        <v>69.88</v>
      </c>
      <c r="J171" s="24">
        <v>69.88</v>
      </c>
      <c r="K171" s="21">
        <v>0</v>
      </c>
      <c r="L171" s="21">
        <v>0</v>
      </c>
      <c r="M171" s="21">
        <f>COUNTIF($A$2:$A$5481,A171)</f>
        <v>1</v>
      </c>
      <c r="N171" s="24">
        <f t="shared" si="2"/>
        <v>69.8800171</v>
      </c>
    </row>
    <row r="172" spans="1:14">
      <c r="A172" s="21" t="s">
        <v>1057</v>
      </c>
      <c r="B172" s="21" t="s">
        <v>920</v>
      </c>
      <c r="C172" s="21" t="s">
        <v>26</v>
      </c>
      <c r="D172" s="21" t="s">
        <v>921</v>
      </c>
      <c r="E172" s="21">
        <v>2</v>
      </c>
      <c r="F172" s="22">
        <v>46021.4137384259</v>
      </c>
      <c r="G172" s="22"/>
      <c r="H172" s="23">
        <v>50</v>
      </c>
      <c r="I172" s="23">
        <v>25</v>
      </c>
      <c r="J172" s="24">
        <v>50</v>
      </c>
      <c r="K172" s="21">
        <v>0</v>
      </c>
      <c r="L172" s="21">
        <v>0</v>
      </c>
      <c r="M172" s="21">
        <f>COUNTIF($A$2:$A$5481,A172)</f>
        <v>1</v>
      </c>
      <c r="N172" s="24">
        <f t="shared" si="2"/>
        <v>50.0000172</v>
      </c>
    </row>
    <row r="173" spans="1:14">
      <c r="A173" s="21" t="s">
        <v>1058</v>
      </c>
      <c r="B173" s="21" t="s">
        <v>920</v>
      </c>
      <c r="C173" s="21" t="s">
        <v>26</v>
      </c>
      <c r="D173" s="21" t="s">
        <v>921</v>
      </c>
      <c r="E173" s="21">
        <v>5</v>
      </c>
      <c r="F173" s="22">
        <v>45366.4104166667</v>
      </c>
      <c r="G173" s="22"/>
      <c r="H173" s="23">
        <v>185</v>
      </c>
      <c r="I173" s="23">
        <v>37</v>
      </c>
      <c r="J173" s="24">
        <v>185</v>
      </c>
      <c r="K173" s="21">
        <v>0</v>
      </c>
      <c r="L173" s="21">
        <v>0</v>
      </c>
      <c r="M173" s="21">
        <f>COUNTIF($A$2:$A$5481,A173)</f>
        <v>1</v>
      </c>
      <c r="N173" s="24">
        <f t="shared" si="2"/>
        <v>185.0000173</v>
      </c>
    </row>
    <row r="174" spans="1:14">
      <c r="A174" s="21" t="s">
        <v>1059</v>
      </c>
      <c r="B174" s="21" t="s">
        <v>920</v>
      </c>
      <c r="C174" s="21" t="s">
        <v>35</v>
      </c>
      <c r="D174" s="21" t="s">
        <v>921</v>
      </c>
      <c r="E174" s="21">
        <v>0</v>
      </c>
      <c r="F174" s="22">
        <v>45915.5961458333</v>
      </c>
      <c r="G174" s="22">
        <v>45923.4677430556</v>
      </c>
      <c r="H174" s="23">
        <v>13250</v>
      </c>
      <c r="I174" s="23">
        <v>13250</v>
      </c>
      <c r="J174" s="24">
        <v>0</v>
      </c>
      <c r="K174" s="21">
        <v>0</v>
      </c>
      <c r="L174" s="21">
        <v>0</v>
      </c>
      <c r="M174" s="21">
        <f>COUNTIF($A$2:$A$5481,A174)</f>
        <v>1</v>
      </c>
      <c r="N174" s="24">
        <f t="shared" si="2"/>
        <v>1.74e-5</v>
      </c>
    </row>
    <row r="175" spans="1:14">
      <c r="A175" s="21" t="s">
        <v>1060</v>
      </c>
      <c r="B175" s="21" t="s">
        <v>920</v>
      </c>
      <c r="C175" s="21" t="s">
        <v>26</v>
      </c>
      <c r="D175" s="21" t="s">
        <v>921</v>
      </c>
      <c r="E175" s="21">
        <v>0</v>
      </c>
      <c r="F175" s="22">
        <v>45551.3634606482</v>
      </c>
      <c r="G175" s="22">
        <v>45552.3728703704</v>
      </c>
      <c r="H175" s="23">
        <v>2400</v>
      </c>
      <c r="I175" s="23">
        <v>2400</v>
      </c>
      <c r="J175" s="24">
        <v>0</v>
      </c>
      <c r="K175" s="21">
        <v>0</v>
      </c>
      <c r="L175" s="21">
        <v>0</v>
      </c>
      <c r="M175" s="21">
        <f>COUNTIF($A$2:$A$5481,A175)</f>
        <v>1</v>
      </c>
      <c r="N175" s="24">
        <f t="shared" si="2"/>
        <v>1.75e-5</v>
      </c>
    </row>
    <row r="176" spans="1:14">
      <c r="A176" s="21" t="s">
        <v>1061</v>
      </c>
      <c r="B176" s="21" t="s">
        <v>26</v>
      </c>
      <c r="C176" s="21" t="s">
        <v>26</v>
      </c>
      <c r="D176" s="21" t="s">
        <v>921</v>
      </c>
      <c r="E176" s="21">
        <v>1</v>
      </c>
      <c r="F176" s="22">
        <v>45656.4229050926</v>
      </c>
      <c r="G176" s="22"/>
      <c r="H176" s="23">
        <v>2590</v>
      </c>
      <c r="I176" s="23">
        <v>2590</v>
      </c>
      <c r="J176" s="24">
        <v>2590</v>
      </c>
      <c r="K176" s="21">
        <v>0</v>
      </c>
      <c r="L176" s="21">
        <v>0</v>
      </c>
      <c r="M176" s="21">
        <f>COUNTIF($A$2:$A$5481,A176)</f>
        <v>1</v>
      </c>
      <c r="N176" s="24">
        <f t="shared" si="2"/>
        <v>2590.0000176</v>
      </c>
    </row>
    <row r="177" spans="1:14">
      <c r="A177" s="21" t="s">
        <v>1062</v>
      </c>
      <c r="B177" s="21" t="s">
        <v>920</v>
      </c>
      <c r="C177" s="21" t="s">
        <v>26</v>
      </c>
      <c r="D177" s="21" t="s">
        <v>921</v>
      </c>
      <c r="E177" s="21">
        <v>1</v>
      </c>
      <c r="F177" s="22">
        <v>46240.5513888889</v>
      </c>
      <c r="G177" s="22"/>
      <c r="H177" s="23">
        <v>3500</v>
      </c>
      <c r="I177" s="23">
        <v>3500</v>
      </c>
      <c r="J177" s="24">
        <v>3500</v>
      </c>
      <c r="K177" s="21">
        <v>0</v>
      </c>
      <c r="L177" s="21">
        <v>0</v>
      </c>
      <c r="M177" s="21">
        <f>COUNTIF($A$2:$A$5481,A177)</f>
        <v>1</v>
      </c>
      <c r="N177" s="24">
        <f t="shared" si="2"/>
        <v>3500.0000177</v>
      </c>
    </row>
    <row r="178" spans="1:14">
      <c r="A178" s="21" t="s">
        <v>1063</v>
      </c>
      <c r="B178" s="21" t="s">
        <v>26</v>
      </c>
      <c r="C178" s="21" t="s">
        <v>35</v>
      </c>
      <c r="D178" s="21" t="s">
        <v>921</v>
      </c>
      <c r="E178" s="21">
        <v>2</v>
      </c>
      <c r="F178" s="22">
        <v>45490.3836342593</v>
      </c>
      <c r="G178" s="22"/>
      <c r="H178" s="23">
        <v>240.4</v>
      </c>
      <c r="I178" s="23">
        <v>120.2</v>
      </c>
      <c r="J178" s="24">
        <v>240.4</v>
      </c>
      <c r="K178" s="21">
        <v>0</v>
      </c>
      <c r="L178" s="21">
        <v>0</v>
      </c>
      <c r="M178" s="21">
        <f>COUNTIF($A$2:$A$5481,A178)</f>
        <v>1</v>
      </c>
      <c r="N178" s="24">
        <f t="shared" si="2"/>
        <v>240.4000178</v>
      </c>
    </row>
    <row r="179" spans="1:14">
      <c r="A179" s="21" t="s">
        <v>1064</v>
      </c>
      <c r="B179" s="21" t="s">
        <v>920</v>
      </c>
      <c r="C179" s="21" t="s">
        <v>35</v>
      </c>
      <c r="D179" s="21" t="s">
        <v>921</v>
      </c>
      <c r="E179" s="21">
        <v>1</v>
      </c>
      <c r="F179" s="22">
        <v>46036.5803125</v>
      </c>
      <c r="G179" s="22"/>
      <c r="H179" s="23">
        <v>470</v>
      </c>
      <c r="I179" s="23">
        <v>470</v>
      </c>
      <c r="J179" s="24">
        <v>470</v>
      </c>
      <c r="K179" s="21">
        <v>0</v>
      </c>
      <c r="L179" s="21">
        <v>0</v>
      </c>
      <c r="M179" s="21">
        <f>COUNTIF($A$2:$A$5481,A179)</f>
        <v>1</v>
      </c>
      <c r="N179" s="24">
        <f t="shared" si="2"/>
        <v>470.0000179</v>
      </c>
    </row>
    <row r="180" spans="1:14">
      <c r="A180" s="21" t="s">
        <v>1065</v>
      </c>
      <c r="B180" s="21" t="s">
        <v>920</v>
      </c>
      <c r="C180" s="21" t="s">
        <v>26</v>
      </c>
      <c r="D180" s="21" t="s">
        <v>921</v>
      </c>
      <c r="E180" s="21">
        <v>1</v>
      </c>
      <c r="F180" s="22">
        <v>45999.3940625</v>
      </c>
      <c r="G180" s="22">
        <v>46020.5891319444</v>
      </c>
      <c r="H180" s="23">
        <v>1160</v>
      </c>
      <c r="I180" s="23">
        <v>580</v>
      </c>
      <c r="J180" s="24">
        <v>580</v>
      </c>
      <c r="K180" s="21">
        <v>0</v>
      </c>
      <c r="L180" s="21">
        <v>0</v>
      </c>
      <c r="M180" s="21">
        <f>COUNTIF($A$2:$A$5481,A180)</f>
        <v>1</v>
      </c>
      <c r="N180" s="24">
        <f t="shared" si="2"/>
        <v>580.000018</v>
      </c>
    </row>
    <row r="181" spans="1:14">
      <c r="A181" s="21" t="s">
        <v>1066</v>
      </c>
      <c r="B181" s="21" t="s">
        <v>26</v>
      </c>
      <c r="C181" s="21" t="s">
        <v>26</v>
      </c>
      <c r="D181" s="21" t="s">
        <v>921</v>
      </c>
      <c r="E181" s="21">
        <v>0</v>
      </c>
      <c r="F181" s="22">
        <v>45517.3496412037</v>
      </c>
      <c r="G181" s="22">
        <v>45691.3945833333</v>
      </c>
      <c r="H181" s="23">
        <v>850</v>
      </c>
      <c r="I181" s="23">
        <v>850</v>
      </c>
      <c r="J181" s="24">
        <v>0</v>
      </c>
      <c r="K181" s="21">
        <v>0</v>
      </c>
      <c r="L181" s="21">
        <v>0</v>
      </c>
      <c r="M181" s="21">
        <f>COUNTIF($A$2:$A$5481,A181)</f>
        <v>1</v>
      </c>
      <c r="N181" s="24">
        <f t="shared" si="2"/>
        <v>1.81e-5</v>
      </c>
    </row>
    <row r="182" spans="1:14">
      <c r="A182" s="21" t="s">
        <v>1067</v>
      </c>
      <c r="B182" s="21" t="s">
        <v>920</v>
      </c>
      <c r="C182" s="21" t="s">
        <v>26</v>
      </c>
      <c r="D182" s="21" t="s">
        <v>1068</v>
      </c>
      <c r="E182" s="21">
        <v>25</v>
      </c>
      <c r="F182" s="22">
        <v>45391.3097453704</v>
      </c>
      <c r="G182" s="22"/>
      <c r="H182" s="23">
        <v>122.5</v>
      </c>
      <c r="I182" s="23">
        <v>4.9</v>
      </c>
      <c r="J182" s="24">
        <v>122.5</v>
      </c>
      <c r="K182" s="21">
        <v>0</v>
      </c>
      <c r="L182" s="21">
        <v>0</v>
      </c>
      <c r="M182" s="21">
        <f>COUNTIF($A$2:$A$5481,A182)</f>
        <v>1</v>
      </c>
      <c r="N182" s="24">
        <f t="shared" si="2"/>
        <v>122.5000182</v>
      </c>
    </row>
    <row r="183" spans="1:14">
      <c r="A183" s="21" t="s">
        <v>1069</v>
      </c>
      <c r="B183" s="21" t="s">
        <v>26</v>
      </c>
      <c r="C183" s="21" t="s">
        <v>26</v>
      </c>
      <c r="D183" s="21" t="s">
        <v>921</v>
      </c>
      <c r="E183" s="21">
        <v>14</v>
      </c>
      <c r="F183" s="22">
        <v>45826.416099537</v>
      </c>
      <c r="G183" s="22"/>
      <c r="H183" s="23">
        <v>3</v>
      </c>
      <c r="I183" s="23">
        <v>7.12143</v>
      </c>
      <c r="J183" s="24">
        <v>99.68</v>
      </c>
      <c r="K183" s="21">
        <v>0</v>
      </c>
      <c r="L183" s="21">
        <v>0</v>
      </c>
      <c r="M183" s="21">
        <f>COUNTIF($A$2:$A$5481,A183)</f>
        <v>1</v>
      </c>
      <c r="N183" s="24">
        <f t="shared" si="2"/>
        <v>99.6800183</v>
      </c>
    </row>
    <row r="184" spans="1:14">
      <c r="A184" s="21" t="s">
        <v>1070</v>
      </c>
      <c r="B184" s="21" t="s">
        <v>920</v>
      </c>
      <c r="C184" s="21" t="s">
        <v>26</v>
      </c>
      <c r="D184" s="21" t="s">
        <v>921</v>
      </c>
      <c r="E184" s="21">
        <v>6</v>
      </c>
      <c r="F184" s="22">
        <v>46189.6087268519</v>
      </c>
      <c r="G184" s="22">
        <v>45352.4803356482</v>
      </c>
      <c r="H184" s="23">
        <v>37.6</v>
      </c>
      <c r="I184" s="23">
        <v>18.4</v>
      </c>
      <c r="J184" s="24">
        <v>110.4</v>
      </c>
      <c r="K184" s="21">
        <v>0</v>
      </c>
      <c r="L184" s="21">
        <v>0</v>
      </c>
      <c r="M184" s="21">
        <f>COUNTIF($A$2:$A$5481,A184)</f>
        <v>1</v>
      </c>
      <c r="N184" s="24">
        <f t="shared" si="2"/>
        <v>110.4000184</v>
      </c>
    </row>
    <row r="185" spans="1:14">
      <c r="A185" s="21" t="s">
        <v>1071</v>
      </c>
      <c r="B185" s="21" t="s">
        <v>26</v>
      </c>
      <c r="C185" s="21" t="s">
        <v>26</v>
      </c>
      <c r="D185" s="21" t="s">
        <v>921</v>
      </c>
      <c r="E185" s="21">
        <v>4</v>
      </c>
      <c r="F185" s="22">
        <v>45784.842974537</v>
      </c>
      <c r="G185" s="22"/>
      <c r="H185" s="23">
        <v>233.68</v>
      </c>
      <c r="I185" s="23">
        <v>58.42</v>
      </c>
      <c r="J185" s="24">
        <v>233.68</v>
      </c>
      <c r="K185" s="21">
        <v>0</v>
      </c>
      <c r="L185" s="21">
        <v>0</v>
      </c>
      <c r="M185" s="21">
        <f>COUNTIF($A$2:$A$5481,A185)</f>
        <v>1</v>
      </c>
      <c r="N185" s="24">
        <f t="shared" si="2"/>
        <v>233.6800185</v>
      </c>
    </row>
    <row r="186" spans="1:14">
      <c r="A186" s="21" t="s">
        <v>1072</v>
      </c>
      <c r="B186" s="21" t="s">
        <v>920</v>
      </c>
      <c r="C186" s="21" t="s">
        <v>26</v>
      </c>
      <c r="D186" s="21" t="s">
        <v>921</v>
      </c>
      <c r="E186" s="21">
        <v>12</v>
      </c>
      <c r="F186" s="22">
        <v>45954.6492592593</v>
      </c>
      <c r="G186" s="22"/>
      <c r="H186" s="23">
        <v>438.4</v>
      </c>
      <c r="I186" s="23">
        <v>113.49</v>
      </c>
      <c r="J186" s="24">
        <v>1361.88</v>
      </c>
      <c r="K186" s="21">
        <v>0</v>
      </c>
      <c r="L186" s="21">
        <v>0</v>
      </c>
      <c r="M186" s="21">
        <f>COUNTIF($A$2:$A$5481,A186)</f>
        <v>1</v>
      </c>
      <c r="N186" s="24">
        <f t="shared" si="2"/>
        <v>1361.8800186</v>
      </c>
    </row>
    <row r="187" spans="1:14">
      <c r="A187" s="21" t="s">
        <v>1073</v>
      </c>
      <c r="B187" s="21" t="s">
        <v>920</v>
      </c>
      <c r="C187" s="21" t="s">
        <v>26</v>
      </c>
      <c r="D187" s="21" t="s">
        <v>921</v>
      </c>
      <c r="E187" s="21">
        <v>4</v>
      </c>
      <c r="F187" s="22">
        <v>45520.7208333333</v>
      </c>
      <c r="G187" s="22"/>
      <c r="H187" s="23">
        <v>349.72</v>
      </c>
      <c r="I187" s="23">
        <v>87.43</v>
      </c>
      <c r="J187" s="24">
        <v>349.72</v>
      </c>
      <c r="K187" s="21">
        <v>0</v>
      </c>
      <c r="L187" s="21">
        <v>0</v>
      </c>
      <c r="M187" s="21">
        <f>COUNTIF($A$2:$A$5481,A187)</f>
        <v>1</v>
      </c>
      <c r="N187" s="24">
        <f t="shared" si="2"/>
        <v>349.7200187</v>
      </c>
    </row>
    <row r="188" spans="1:14">
      <c r="A188" s="21" t="s">
        <v>1074</v>
      </c>
      <c r="B188" s="21" t="s">
        <v>920</v>
      </c>
      <c r="C188" s="21" t="s">
        <v>26</v>
      </c>
      <c r="D188" s="21" t="s">
        <v>931</v>
      </c>
      <c r="E188" s="21">
        <v>3</v>
      </c>
      <c r="F188" s="22">
        <v>45520.7208333333</v>
      </c>
      <c r="G188" s="22"/>
      <c r="H188" s="23">
        <v>439.89</v>
      </c>
      <c r="I188" s="23">
        <v>146.63</v>
      </c>
      <c r="J188" s="24">
        <v>439.89</v>
      </c>
      <c r="K188" s="21">
        <v>0</v>
      </c>
      <c r="L188" s="21">
        <v>0</v>
      </c>
      <c r="M188" s="21">
        <f>COUNTIF($A$2:$A$5481,A188)</f>
        <v>1</v>
      </c>
      <c r="N188" s="24">
        <f t="shared" si="2"/>
        <v>439.8900188</v>
      </c>
    </row>
    <row r="189" spans="1:14">
      <c r="A189" s="21" t="s">
        <v>1075</v>
      </c>
      <c r="B189" s="21" t="s">
        <v>920</v>
      </c>
      <c r="C189" s="21" t="s">
        <v>26</v>
      </c>
      <c r="D189" s="21" t="s">
        <v>931</v>
      </c>
      <c r="E189" s="21">
        <v>11</v>
      </c>
      <c r="F189" s="22">
        <v>46163.6006944445</v>
      </c>
      <c r="G189" s="22"/>
      <c r="H189" s="23">
        <v>83.96</v>
      </c>
      <c r="I189" s="23">
        <v>83.96</v>
      </c>
      <c r="J189" s="24">
        <v>923.56</v>
      </c>
      <c r="K189" s="21">
        <v>0</v>
      </c>
      <c r="L189" s="21">
        <v>0</v>
      </c>
      <c r="M189" s="21">
        <f>COUNTIF($A$2:$A$5481,A189)</f>
        <v>1</v>
      </c>
      <c r="N189" s="24">
        <f t="shared" si="2"/>
        <v>923.5600189</v>
      </c>
    </row>
    <row r="190" spans="1:14">
      <c r="A190" s="21" t="s">
        <v>1076</v>
      </c>
      <c r="B190" s="21" t="s">
        <v>920</v>
      </c>
      <c r="C190" s="21" t="s">
        <v>26</v>
      </c>
      <c r="D190" s="21" t="s">
        <v>921</v>
      </c>
      <c r="E190" s="21">
        <v>1</v>
      </c>
      <c r="F190" s="22">
        <v>46099.5333333333</v>
      </c>
      <c r="G190" s="22"/>
      <c r="H190" s="23">
        <v>197.96</v>
      </c>
      <c r="I190" s="23">
        <v>197.96</v>
      </c>
      <c r="J190" s="24">
        <v>197.96</v>
      </c>
      <c r="K190" s="21">
        <v>0</v>
      </c>
      <c r="L190" s="21">
        <v>0</v>
      </c>
      <c r="M190" s="21">
        <f>COUNTIF($A$2:$A$5481,A190)</f>
        <v>1</v>
      </c>
      <c r="N190" s="24">
        <f t="shared" si="2"/>
        <v>197.960019</v>
      </c>
    </row>
    <row r="191" spans="1:14">
      <c r="A191" s="21" t="s">
        <v>1077</v>
      </c>
      <c r="B191" s="21" t="s">
        <v>920</v>
      </c>
      <c r="C191" s="21" t="s">
        <v>35</v>
      </c>
      <c r="D191" s="21" t="s">
        <v>921</v>
      </c>
      <c r="E191" s="21">
        <v>1</v>
      </c>
      <c r="F191" s="22">
        <v>45404.8213078704</v>
      </c>
      <c r="G191" s="22"/>
      <c r="H191" s="23">
        <v>99.7</v>
      </c>
      <c r="I191" s="23">
        <v>99.7</v>
      </c>
      <c r="J191" s="24">
        <v>99.7</v>
      </c>
      <c r="K191" s="21">
        <v>0</v>
      </c>
      <c r="L191" s="21">
        <v>0</v>
      </c>
      <c r="M191" s="21">
        <f>COUNTIF($A$2:$A$5481,A191)</f>
        <v>2</v>
      </c>
      <c r="N191" s="24">
        <f t="shared" si="2"/>
        <v>99.7000191</v>
      </c>
    </row>
    <row r="192" spans="1:14">
      <c r="A192" s="21" t="s">
        <v>1077</v>
      </c>
      <c r="B192" s="21" t="s">
        <v>920</v>
      </c>
      <c r="C192" s="21" t="s">
        <v>26</v>
      </c>
      <c r="D192" s="21" t="s">
        <v>921</v>
      </c>
      <c r="E192" s="21">
        <v>1</v>
      </c>
      <c r="F192" s="22">
        <v>46001.3849652778</v>
      </c>
      <c r="G192" s="22"/>
      <c r="H192" s="23">
        <v>98.49</v>
      </c>
      <c r="I192" s="23">
        <v>98.49</v>
      </c>
      <c r="J192" s="24">
        <v>98.49</v>
      </c>
      <c r="K192" s="21">
        <v>0</v>
      </c>
      <c r="L192" s="21">
        <v>0</v>
      </c>
      <c r="M192" s="21">
        <f>COUNTIF($A$2:$A$5481,A192)</f>
        <v>2</v>
      </c>
      <c r="N192" s="24">
        <f t="shared" si="2"/>
        <v>98.4900192</v>
      </c>
    </row>
    <row r="193" spans="1:14">
      <c r="A193" s="21" t="s">
        <v>1078</v>
      </c>
      <c r="B193" s="21" t="s">
        <v>929</v>
      </c>
      <c r="C193" s="21" t="s">
        <v>414</v>
      </c>
      <c r="D193" s="21" t="s">
        <v>921</v>
      </c>
      <c r="E193" s="21">
        <v>9</v>
      </c>
      <c r="F193" s="22">
        <v>45299.808599537</v>
      </c>
      <c r="G193" s="22"/>
      <c r="H193" s="23">
        <v>1559.25</v>
      </c>
      <c r="I193" s="23">
        <v>173.25</v>
      </c>
      <c r="J193" s="24">
        <v>1559.25</v>
      </c>
      <c r="K193" s="21">
        <v>0</v>
      </c>
      <c r="L193" s="21">
        <v>20</v>
      </c>
      <c r="M193" s="21">
        <f>COUNTIF($A$2:$A$5481,A193)</f>
        <v>1</v>
      </c>
      <c r="N193" s="24">
        <f t="shared" si="2"/>
        <v>1559.2500193</v>
      </c>
    </row>
    <row r="194" spans="1:14">
      <c r="A194" s="21" t="s">
        <v>1079</v>
      </c>
      <c r="B194" s="21" t="s">
        <v>920</v>
      </c>
      <c r="C194" s="21" t="s">
        <v>26</v>
      </c>
      <c r="D194" s="21" t="s">
        <v>931</v>
      </c>
      <c r="E194" s="21">
        <v>1</v>
      </c>
      <c r="F194" s="22">
        <v>45757.4789699074</v>
      </c>
      <c r="G194" s="22"/>
      <c r="H194" s="23">
        <v>713.3</v>
      </c>
      <c r="I194" s="23">
        <v>713.3</v>
      </c>
      <c r="J194" s="24">
        <v>713.3</v>
      </c>
      <c r="K194" s="21">
        <v>0</v>
      </c>
      <c r="L194" s="21">
        <v>0</v>
      </c>
      <c r="M194" s="21">
        <f>COUNTIF($A$2:$A$5481,A194)</f>
        <v>1</v>
      </c>
      <c r="N194" s="24">
        <f t="shared" ref="N194:N257" si="3">J194+ROW()/10000000</f>
        <v>713.3000194</v>
      </c>
    </row>
    <row r="195" spans="1:14">
      <c r="A195" s="21" t="s">
        <v>1080</v>
      </c>
      <c r="B195" s="21" t="s">
        <v>26</v>
      </c>
      <c r="C195" s="21" t="s">
        <v>26</v>
      </c>
      <c r="D195" s="21" t="s">
        <v>921</v>
      </c>
      <c r="E195" s="21">
        <v>2</v>
      </c>
      <c r="F195" s="22">
        <v>46078.5484837963</v>
      </c>
      <c r="G195" s="22"/>
      <c r="H195" s="23">
        <v>154.81</v>
      </c>
      <c r="I195" s="23">
        <v>147.325</v>
      </c>
      <c r="J195" s="24">
        <v>294.66</v>
      </c>
      <c r="K195" s="21">
        <v>0</v>
      </c>
      <c r="L195" s="21">
        <v>0</v>
      </c>
      <c r="M195" s="21">
        <f>COUNTIF($A$2:$A$5481,A195)</f>
        <v>1</v>
      </c>
      <c r="N195" s="24">
        <f t="shared" si="3"/>
        <v>294.6600195</v>
      </c>
    </row>
    <row r="196" spans="1:14">
      <c r="A196" s="21" t="s">
        <v>1081</v>
      </c>
      <c r="B196" s="21" t="s">
        <v>26</v>
      </c>
      <c r="C196" s="21" t="s">
        <v>26</v>
      </c>
      <c r="D196" s="21" t="s">
        <v>921</v>
      </c>
      <c r="E196" s="21">
        <v>2</v>
      </c>
      <c r="F196" s="22">
        <v>46078.5484837963</v>
      </c>
      <c r="G196" s="22"/>
      <c r="H196" s="23">
        <v>598.92</v>
      </c>
      <c r="I196" s="23">
        <v>299.46</v>
      </c>
      <c r="J196" s="24">
        <v>598.92</v>
      </c>
      <c r="K196" s="21">
        <v>0</v>
      </c>
      <c r="L196" s="21">
        <v>0</v>
      </c>
      <c r="M196" s="21">
        <f>COUNTIF($A$2:$A$5481,A196)</f>
        <v>1</v>
      </c>
      <c r="N196" s="24">
        <f t="shared" si="3"/>
        <v>598.9200196</v>
      </c>
    </row>
    <row r="197" spans="1:14">
      <c r="A197" s="21" t="s">
        <v>1082</v>
      </c>
      <c r="B197" s="21" t="s">
        <v>920</v>
      </c>
      <c r="C197" s="21" t="s">
        <v>26</v>
      </c>
      <c r="D197" s="21" t="s">
        <v>931</v>
      </c>
      <c r="E197" s="21">
        <v>1</v>
      </c>
      <c r="F197" s="22">
        <v>45568.8352662037</v>
      </c>
      <c r="G197" s="22"/>
      <c r="H197" s="23">
        <v>336.75</v>
      </c>
      <c r="I197" s="23">
        <v>336.75</v>
      </c>
      <c r="J197" s="24">
        <v>336.75</v>
      </c>
      <c r="K197" s="21">
        <v>0</v>
      </c>
      <c r="L197" s="21">
        <v>0</v>
      </c>
      <c r="M197" s="21">
        <f>COUNTIF($A$2:$A$5481,A197)</f>
        <v>1</v>
      </c>
      <c r="N197" s="24">
        <f t="shared" si="3"/>
        <v>336.7500197</v>
      </c>
    </row>
    <row r="198" spans="1:14">
      <c r="A198" s="21" t="s">
        <v>1083</v>
      </c>
      <c r="B198" s="21" t="s">
        <v>920</v>
      </c>
      <c r="C198" s="21" t="s">
        <v>26</v>
      </c>
      <c r="D198" s="21" t="s">
        <v>931</v>
      </c>
      <c r="E198" s="21">
        <v>1</v>
      </c>
      <c r="F198" s="22">
        <v>45568.8352662037</v>
      </c>
      <c r="G198" s="22"/>
      <c r="H198" s="23">
        <v>372.8</v>
      </c>
      <c r="I198" s="23">
        <v>372.8</v>
      </c>
      <c r="J198" s="24">
        <v>372.8</v>
      </c>
      <c r="K198" s="21">
        <v>0</v>
      </c>
      <c r="L198" s="21">
        <v>0</v>
      </c>
      <c r="M198" s="21">
        <f>COUNTIF($A$2:$A$5481,A198)</f>
        <v>1</v>
      </c>
      <c r="N198" s="24">
        <f t="shared" si="3"/>
        <v>372.8000198</v>
      </c>
    </row>
    <row r="199" spans="1:14">
      <c r="A199" s="21" t="s">
        <v>1084</v>
      </c>
      <c r="B199" s="21" t="s">
        <v>920</v>
      </c>
      <c r="C199" s="21" t="s">
        <v>26</v>
      </c>
      <c r="D199" s="21" t="s">
        <v>931</v>
      </c>
      <c r="E199" s="21">
        <v>1</v>
      </c>
      <c r="F199" s="22">
        <v>45855.5432638889</v>
      </c>
      <c r="G199" s="22">
        <v>45855.6034722222</v>
      </c>
      <c r="H199" s="23">
        <v>262</v>
      </c>
      <c r="I199" s="23">
        <v>131</v>
      </c>
      <c r="J199" s="24">
        <v>131</v>
      </c>
      <c r="K199" s="21">
        <v>0</v>
      </c>
      <c r="L199" s="21">
        <v>0</v>
      </c>
      <c r="M199" s="21">
        <f>COUNTIF($A$2:$A$5481,A199)</f>
        <v>1</v>
      </c>
      <c r="N199" s="24">
        <f t="shared" si="3"/>
        <v>131.0000199</v>
      </c>
    </row>
    <row r="200" spans="1:14">
      <c r="A200" s="21" t="s">
        <v>1085</v>
      </c>
      <c r="B200" s="21" t="s">
        <v>920</v>
      </c>
      <c r="C200" s="21" t="s">
        <v>26</v>
      </c>
      <c r="D200" s="21" t="s">
        <v>931</v>
      </c>
      <c r="E200" s="21">
        <v>0</v>
      </c>
      <c r="F200" s="22">
        <v>45866.5473263889</v>
      </c>
      <c r="G200" s="22">
        <v>45867.4261921296</v>
      </c>
      <c r="H200" s="23">
        <v>549</v>
      </c>
      <c r="I200" s="23">
        <v>549</v>
      </c>
      <c r="J200" s="24">
        <v>0</v>
      </c>
      <c r="K200" s="21">
        <v>0</v>
      </c>
      <c r="L200" s="21">
        <v>0</v>
      </c>
      <c r="M200" s="21">
        <f>COUNTIF($A$2:$A$5481,A200)</f>
        <v>1</v>
      </c>
      <c r="N200" s="24">
        <f t="shared" si="3"/>
        <v>2e-5</v>
      </c>
    </row>
    <row r="201" spans="1:14">
      <c r="A201" s="21" t="s">
        <v>1086</v>
      </c>
      <c r="B201" s="21" t="s">
        <v>920</v>
      </c>
      <c r="C201" s="21" t="s">
        <v>35</v>
      </c>
      <c r="D201" s="21" t="s">
        <v>921</v>
      </c>
      <c r="E201" s="21">
        <v>1</v>
      </c>
      <c r="F201" s="22">
        <v>45524.4859606482</v>
      </c>
      <c r="G201" s="22">
        <v>45523.7515162037</v>
      </c>
      <c r="H201" s="23">
        <v>100</v>
      </c>
      <c r="I201" s="23">
        <v>100</v>
      </c>
      <c r="J201" s="24">
        <v>100</v>
      </c>
      <c r="K201" s="21">
        <v>0</v>
      </c>
      <c r="L201" s="21">
        <v>0</v>
      </c>
      <c r="M201" s="21">
        <f>COUNTIF($A$2:$A$5481,A201)</f>
        <v>1</v>
      </c>
      <c r="N201" s="24">
        <f t="shared" si="3"/>
        <v>100.0000201</v>
      </c>
    </row>
    <row r="202" spans="1:14">
      <c r="A202" s="21" t="s">
        <v>1087</v>
      </c>
      <c r="B202" s="21" t="s">
        <v>929</v>
      </c>
      <c r="C202" s="21" t="s">
        <v>26</v>
      </c>
      <c r="D202" s="21" t="s">
        <v>921</v>
      </c>
      <c r="E202" s="21">
        <v>4</v>
      </c>
      <c r="F202" s="22">
        <v>45385.3810069444</v>
      </c>
      <c r="G202" s="22"/>
      <c r="H202" s="23">
        <v>18.92</v>
      </c>
      <c r="I202" s="23">
        <v>57.26</v>
      </c>
      <c r="J202" s="24">
        <v>229.04</v>
      </c>
      <c r="K202" s="21">
        <v>0</v>
      </c>
      <c r="L202" s="21">
        <v>0</v>
      </c>
      <c r="M202" s="21">
        <f>COUNTIF($A$2:$A$5481,A202)</f>
        <v>1</v>
      </c>
      <c r="N202" s="24">
        <f t="shared" si="3"/>
        <v>229.0400202</v>
      </c>
    </row>
    <row r="203" spans="1:14">
      <c r="A203" s="21" t="s">
        <v>432</v>
      </c>
      <c r="B203" s="21" t="s">
        <v>948</v>
      </c>
      <c r="C203" s="21" t="s">
        <v>641</v>
      </c>
      <c r="D203" s="21" t="s">
        <v>921</v>
      </c>
      <c r="E203" s="21">
        <v>1</v>
      </c>
      <c r="F203" s="22">
        <v>45341.8401041667</v>
      </c>
      <c r="G203" s="22">
        <v>45369.4682291667</v>
      </c>
      <c r="H203" s="23">
        <v>66</v>
      </c>
      <c r="I203" s="23">
        <v>33</v>
      </c>
      <c r="J203" s="24">
        <v>33</v>
      </c>
      <c r="K203" s="21">
        <v>0</v>
      </c>
      <c r="L203" s="21">
        <v>0</v>
      </c>
      <c r="M203" s="21">
        <f>COUNTIF($A$2:$A$5481,A203)</f>
        <v>2</v>
      </c>
      <c r="N203" s="24">
        <f t="shared" si="3"/>
        <v>33.0000203</v>
      </c>
    </row>
    <row r="204" spans="1:14">
      <c r="A204" s="21" t="s">
        <v>432</v>
      </c>
      <c r="B204" s="21" t="s">
        <v>948</v>
      </c>
      <c r="C204" s="21" t="s">
        <v>26</v>
      </c>
      <c r="D204" s="21" t="s">
        <v>921</v>
      </c>
      <c r="E204" s="21">
        <v>7</v>
      </c>
      <c r="F204" s="22">
        <v>46199.7223842593</v>
      </c>
      <c r="G204" s="22">
        <v>46202.64375</v>
      </c>
      <c r="H204" s="23">
        <v>196</v>
      </c>
      <c r="I204" s="23">
        <v>42.25</v>
      </c>
      <c r="J204" s="24">
        <v>295.75</v>
      </c>
      <c r="K204" s="21">
        <v>0</v>
      </c>
      <c r="L204" s="21">
        <v>0</v>
      </c>
      <c r="M204" s="21">
        <f>COUNTIF($A$2:$A$5481,A204)</f>
        <v>2</v>
      </c>
      <c r="N204" s="24">
        <f t="shared" si="3"/>
        <v>295.7500204</v>
      </c>
    </row>
    <row r="205" spans="1:14">
      <c r="A205" s="21" t="s">
        <v>166</v>
      </c>
      <c r="B205" s="21" t="s">
        <v>920</v>
      </c>
      <c r="C205" s="21" t="s">
        <v>35</v>
      </c>
      <c r="D205" s="21" t="s">
        <v>921</v>
      </c>
      <c r="E205" s="21">
        <v>0</v>
      </c>
      <c r="F205" s="22">
        <v>46031.6052662037</v>
      </c>
      <c r="G205" s="22">
        <v>46036.3605555556</v>
      </c>
      <c r="H205" s="23">
        <v>205</v>
      </c>
      <c r="I205" s="23">
        <v>205</v>
      </c>
      <c r="J205" s="24">
        <v>0</v>
      </c>
      <c r="K205" s="21">
        <v>0</v>
      </c>
      <c r="L205" s="21">
        <v>0</v>
      </c>
      <c r="M205" s="21">
        <f>COUNTIF($A$2:$A$5481,A205)</f>
        <v>1</v>
      </c>
      <c r="N205" s="24">
        <f t="shared" si="3"/>
        <v>2.05e-5</v>
      </c>
    </row>
    <row r="206" spans="1:14">
      <c r="A206" s="21" t="s">
        <v>1088</v>
      </c>
      <c r="B206" s="21" t="s">
        <v>929</v>
      </c>
      <c r="C206" s="21" t="s">
        <v>26</v>
      </c>
      <c r="D206" s="21" t="s">
        <v>1068</v>
      </c>
      <c r="E206" s="21">
        <v>0.54</v>
      </c>
      <c r="F206" s="22">
        <v>46038.4342013889</v>
      </c>
      <c r="G206" s="22"/>
      <c r="H206" s="23">
        <v>72.9</v>
      </c>
      <c r="I206" s="23">
        <v>135</v>
      </c>
      <c r="J206" s="24">
        <v>72.9</v>
      </c>
      <c r="K206" s="21">
        <v>0</v>
      </c>
      <c r="L206" s="21">
        <v>0</v>
      </c>
      <c r="M206" s="21">
        <f>COUNTIF($A$2:$A$5481,A206)</f>
        <v>1</v>
      </c>
      <c r="N206" s="24">
        <f t="shared" si="3"/>
        <v>72.9000206</v>
      </c>
    </row>
    <row r="207" spans="1:14">
      <c r="A207" s="21" t="s">
        <v>1089</v>
      </c>
      <c r="B207" s="21" t="s">
        <v>920</v>
      </c>
      <c r="C207" s="21" t="s">
        <v>26</v>
      </c>
      <c r="D207" s="21" t="s">
        <v>921</v>
      </c>
      <c r="E207" s="21">
        <v>4</v>
      </c>
      <c r="F207" s="22">
        <v>45560.474375</v>
      </c>
      <c r="G207" s="22"/>
      <c r="H207" s="23">
        <v>400</v>
      </c>
      <c r="I207" s="23">
        <v>188</v>
      </c>
      <c r="J207" s="24">
        <v>752</v>
      </c>
      <c r="K207" s="21">
        <v>0</v>
      </c>
      <c r="L207" s="21">
        <v>0</v>
      </c>
      <c r="M207" s="21">
        <f>COUNTIF($A$2:$A$5481,A207)</f>
        <v>1</v>
      </c>
      <c r="N207" s="24">
        <f t="shared" si="3"/>
        <v>752.0000207</v>
      </c>
    </row>
    <row r="208" spans="1:14">
      <c r="A208" s="21" t="s">
        <v>512</v>
      </c>
      <c r="B208" s="21" t="s">
        <v>920</v>
      </c>
      <c r="C208" s="21" t="s">
        <v>35</v>
      </c>
      <c r="D208" s="21" t="s">
        <v>931</v>
      </c>
      <c r="E208" s="21">
        <v>1</v>
      </c>
      <c r="F208" s="22">
        <v>45849.3919097222</v>
      </c>
      <c r="G208" s="22">
        <v>46240.670775463</v>
      </c>
      <c r="H208" s="23">
        <v>120</v>
      </c>
      <c r="I208" s="23">
        <v>120</v>
      </c>
      <c r="J208" s="24">
        <v>120</v>
      </c>
      <c r="K208" s="21">
        <v>0</v>
      </c>
      <c r="L208" s="21">
        <v>0</v>
      </c>
      <c r="M208" s="21">
        <f>COUNTIF($A$2:$A$5481,A208)</f>
        <v>1</v>
      </c>
      <c r="N208" s="24">
        <f t="shared" si="3"/>
        <v>120.0000208</v>
      </c>
    </row>
    <row r="209" spans="1:14">
      <c r="A209" s="21" t="s">
        <v>1090</v>
      </c>
      <c r="B209" s="21" t="s">
        <v>26</v>
      </c>
      <c r="C209" s="21" t="s">
        <v>182</v>
      </c>
      <c r="D209" s="21" t="s">
        <v>921</v>
      </c>
      <c r="E209" s="21">
        <v>3</v>
      </c>
      <c r="F209" s="22">
        <v>45521.7527777778</v>
      </c>
      <c r="G209" s="22"/>
      <c r="H209" s="23">
        <v>1830</v>
      </c>
      <c r="I209" s="23">
        <v>610</v>
      </c>
      <c r="J209" s="24">
        <v>1830</v>
      </c>
      <c r="K209" s="21">
        <v>0</v>
      </c>
      <c r="L209" s="21">
        <v>0</v>
      </c>
      <c r="M209" s="21">
        <f>COUNTIF($A$2:$A$5481,A209)</f>
        <v>2</v>
      </c>
      <c r="N209" s="24">
        <f t="shared" si="3"/>
        <v>1830.0000209</v>
      </c>
    </row>
    <row r="210" spans="1:14">
      <c r="A210" s="21" t="s">
        <v>1090</v>
      </c>
      <c r="B210" s="21" t="s">
        <v>26</v>
      </c>
      <c r="C210" s="21" t="s">
        <v>35</v>
      </c>
      <c r="D210" s="21" t="s">
        <v>921</v>
      </c>
      <c r="E210" s="21">
        <v>1</v>
      </c>
      <c r="F210" s="22">
        <v>45729.6268055556</v>
      </c>
      <c r="G210" s="22"/>
      <c r="H210" s="23">
        <v>240</v>
      </c>
      <c r="I210" s="23">
        <v>240</v>
      </c>
      <c r="J210" s="24">
        <v>240</v>
      </c>
      <c r="K210" s="21">
        <v>0</v>
      </c>
      <c r="L210" s="21">
        <v>0</v>
      </c>
      <c r="M210" s="21">
        <f>COUNTIF($A$2:$A$5481,A210)</f>
        <v>2</v>
      </c>
      <c r="N210" s="24">
        <f t="shared" si="3"/>
        <v>240.000021</v>
      </c>
    </row>
    <row r="211" spans="1:14">
      <c r="A211" s="21" t="s">
        <v>1091</v>
      </c>
      <c r="B211" s="21" t="s">
        <v>929</v>
      </c>
      <c r="C211" s="21" t="s">
        <v>26</v>
      </c>
      <c r="D211" s="21" t="s">
        <v>921</v>
      </c>
      <c r="E211" s="21">
        <v>4</v>
      </c>
      <c r="F211" s="22">
        <v>45974.5764583333</v>
      </c>
      <c r="G211" s="22"/>
      <c r="H211" s="23">
        <v>14.12</v>
      </c>
      <c r="I211" s="23">
        <v>3.53</v>
      </c>
      <c r="J211" s="24">
        <v>14.12</v>
      </c>
      <c r="K211" s="21">
        <v>0</v>
      </c>
      <c r="L211" s="21">
        <v>0</v>
      </c>
      <c r="M211" s="21">
        <f>COUNTIF($A$2:$A$5481,A211)</f>
        <v>1</v>
      </c>
      <c r="N211" s="24">
        <f t="shared" si="3"/>
        <v>14.1200211</v>
      </c>
    </row>
    <row r="212" spans="1:14">
      <c r="A212" s="21" t="s">
        <v>1092</v>
      </c>
      <c r="B212" s="21" t="s">
        <v>929</v>
      </c>
      <c r="C212" s="21" t="s">
        <v>26</v>
      </c>
      <c r="D212" s="21" t="s">
        <v>931</v>
      </c>
      <c r="E212" s="21">
        <v>5</v>
      </c>
      <c r="F212" s="22">
        <v>45860.686724537</v>
      </c>
      <c r="G212" s="22"/>
      <c r="H212" s="23">
        <v>24.85</v>
      </c>
      <c r="I212" s="23">
        <v>4.97</v>
      </c>
      <c r="J212" s="24">
        <v>24.85</v>
      </c>
      <c r="K212" s="21">
        <v>0</v>
      </c>
      <c r="L212" s="21">
        <v>0</v>
      </c>
      <c r="M212" s="21">
        <f>COUNTIF($A$2:$A$5481,A212)</f>
        <v>1</v>
      </c>
      <c r="N212" s="24">
        <f t="shared" si="3"/>
        <v>24.8500212</v>
      </c>
    </row>
    <row r="213" spans="1:14">
      <c r="A213" s="21" t="s">
        <v>1093</v>
      </c>
      <c r="B213" s="21" t="s">
        <v>920</v>
      </c>
      <c r="C213" s="21" t="s">
        <v>26</v>
      </c>
      <c r="D213" s="21" t="s">
        <v>921</v>
      </c>
      <c r="E213" s="21">
        <v>3</v>
      </c>
      <c r="F213" s="22">
        <v>45743.8504513889</v>
      </c>
      <c r="G213" s="22"/>
      <c r="H213" s="23">
        <v>82.5</v>
      </c>
      <c r="I213" s="23">
        <v>27.5</v>
      </c>
      <c r="J213" s="24">
        <v>82.5</v>
      </c>
      <c r="K213" s="21">
        <v>0</v>
      </c>
      <c r="L213" s="21">
        <v>0</v>
      </c>
      <c r="M213" s="21">
        <f>COUNTIF($A$2:$A$5481,A213)</f>
        <v>1</v>
      </c>
      <c r="N213" s="24">
        <f t="shared" si="3"/>
        <v>82.5000213</v>
      </c>
    </row>
    <row r="214" spans="1:14">
      <c r="A214" s="21" t="s">
        <v>1094</v>
      </c>
      <c r="B214" s="21" t="s">
        <v>920</v>
      </c>
      <c r="C214" s="21" t="s">
        <v>26</v>
      </c>
      <c r="D214" s="21" t="s">
        <v>921</v>
      </c>
      <c r="E214" s="21">
        <v>3</v>
      </c>
      <c r="F214" s="22">
        <v>45743.8504513889</v>
      </c>
      <c r="G214" s="22"/>
      <c r="H214" s="23">
        <v>120</v>
      </c>
      <c r="I214" s="23">
        <v>40</v>
      </c>
      <c r="J214" s="24">
        <v>120</v>
      </c>
      <c r="K214" s="21">
        <v>0</v>
      </c>
      <c r="L214" s="21">
        <v>0</v>
      </c>
      <c r="M214" s="21">
        <f>COUNTIF($A$2:$A$5481,A214)</f>
        <v>2</v>
      </c>
      <c r="N214" s="24">
        <f t="shared" si="3"/>
        <v>120.0000214</v>
      </c>
    </row>
    <row r="215" spans="1:14">
      <c r="A215" s="21" t="s">
        <v>1094</v>
      </c>
      <c r="B215" s="21" t="s">
        <v>920</v>
      </c>
      <c r="C215" s="21" t="s">
        <v>414</v>
      </c>
      <c r="D215" s="21" t="s">
        <v>921</v>
      </c>
      <c r="E215" s="21">
        <v>4</v>
      </c>
      <c r="F215" s="22">
        <v>46138.5798611111</v>
      </c>
      <c r="G215" s="22"/>
      <c r="H215" s="23">
        <v>330.8</v>
      </c>
      <c r="I215" s="23">
        <v>82.7</v>
      </c>
      <c r="J215" s="24">
        <v>330.8</v>
      </c>
      <c r="K215" s="21">
        <v>0</v>
      </c>
      <c r="L215" s="21">
        <v>0</v>
      </c>
      <c r="M215" s="21">
        <f>COUNTIF($A$2:$A$5481,A215)</f>
        <v>2</v>
      </c>
      <c r="N215" s="24">
        <f t="shared" si="3"/>
        <v>330.8000215</v>
      </c>
    </row>
    <row r="216" spans="1:14">
      <c r="A216" s="21" t="s">
        <v>1095</v>
      </c>
      <c r="B216" s="21" t="s">
        <v>26</v>
      </c>
      <c r="C216" s="21" t="s">
        <v>26</v>
      </c>
      <c r="D216" s="21" t="s">
        <v>921</v>
      </c>
      <c r="E216" s="21">
        <v>13</v>
      </c>
      <c r="F216" s="22">
        <v>45692.5570949074</v>
      </c>
      <c r="G216" s="22"/>
      <c r="H216" s="23">
        <v>116.22</v>
      </c>
      <c r="I216" s="23">
        <v>13.63</v>
      </c>
      <c r="J216" s="24">
        <v>177.19</v>
      </c>
      <c r="K216" s="21">
        <v>0</v>
      </c>
      <c r="L216" s="21">
        <v>0</v>
      </c>
      <c r="M216" s="21">
        <f>COUNTIF($A$2:$A$5481,A216)</f>
        <v>1</v>
      </c>
      <c r="N216" s="24">
        <f t="shared" si="3"/>
        <v>177.1900216</v>
      </c>
    </row>
    <row r="217" spans="1:14">
      <c r="A217" s="21" t="s">
        <v>1096</v>
      </c>
      <c r="B217" s="21" t="s">
        <v>26</v>
      </c>
      <c r="C217" s="21" t="s">
        <v>26</v>
      </c>
      <c r="D217" s="21" t="s">
        <v>921</v>
      </c>
      <c r="E217" s="21">
        <v>10</v>
      </c>
      <c r="F217" s="22">
        <v>45527.3571180556</v>
      </c>
      <c r="G217" s="22"/>
      <c r="H217" s="23">
        <v>155.2</v>
      </c>
      <c r="I217" s="23">
        <v>15.52</v>
      </c>
      <c r="J217" s="24">
        <v>155.2</v>
      </c>
      <c r="K217" s="21">
        <v>0</v>
      </c>
      <c r="L217" s="21">
        <v>0</v>
      </c>
      <c r="M217" s="21">
        <f>COUNTIF($A$2:$A$5481,A217)</f>
        <v>1</v>
      </c>
      <c r="N217" s="24">
        <f t="shared" si="3"/>
        <v>155.2000217</v>
      </c>
    </row>
    <row r="218" spans="1:14">
      <c r="A218" s="21" t="s">
        <v>1097</v>
      </c>
      <c r="B218" s="21" t="s">
        <v>929</v>
      </c>
      <c r="C218" s="21" t="s">
        <v>26</v>
      </c>
      <c r="D218" s="21" t="s">
        <v>921</v>
      </c>
      <c r="E218" s="21">
        <v>23</v>
      </c>
      <c r="F218" s="22">
        <v>46002.5421412037</v>
      </c>
      <c r="G218" s="22"/>
      <c r="H218" s="23">
        <v>25.5</v>
      </c>
      <c r="I218" s="23">
        <v>4.1891304348</v>
      </c>
      <c r="J218" s="24">
        <v>96.37</v>
      </c>
      <c r="K218" s="21">
        <v>0</v>
      </c>
      <c r="L218" s="21">
        <v>0</v>
      </c>
      <c r="M218" s="21">
        <f>COUNTIF($A$2:$A$5481,A218)</f>
        <v>1</v>
      </c>
      <c r="N218" s="24">
        <f t="shared" si="3"/>
        <v>96.3700218</v>
      </c>
    </row>
    <row r="219" spans="1:14">
      <c r="A219" s="21" t="s">
        <v>1098</v>
      </c>
      <c r="B219" s="21" t="s">
        <v>929</v>
      </c>
      <c r="C219" s="21" t="s">
        <v>26</v>
      </c>
      <c r="D219" s="21" t="s">
        <v>921</v>
      </c>
      <c r="E219" s="21">
        <v>35</v>
      </c>
      <c r="F219" s="22">
        <v>45974.5764583333</v>
      </c>
      <c r="G219" s="22">
        <v>45862.3606481482</v>
      </c>
      <c r="H219" s="23">
        <v>82</v>
      </c>
      <c r="I219" s="23">
        <v>16.9737549821</v>
      </c>
      <c r="J219" s="24">
        <v>593.95</v>
      </c>
      <c r="K219" s="21">
        <v>0</v>
      </c>
      <c r="L219" s="21">
        <v>0</v>
      </c>
      <c r="M219" s="21">
        <f>COUNTIF($A$2:$A$5481,A219)</f>
        <v>1</v>
      </c>
      <c r="N219" s="24">
        <f t="shared" si="3"/>
        <v>593.9500219</v>
      </c>
    </row>
    <row r="220" spans="1:14">
      <c r="A220" s="21" t="s">
        <v>1099</v>
      </c>
      <c r="B220" s="21" t="s">
        <v>929</v>
      </c>
      <c r="C220" s="21" t="s">
        <v>26</v>
      </c>
      <c r="D220" s="21" t="s">
        <v>921</v>
      </c>
      <c r="E220" s="21">
        <v>30</v>
      </c>
      <c r="F220" s="22">
        <v>46002.5421412037</v>
      </c>
      <c r="G220" s="22">
        <v>45548.4726041667</v>
      </c>
      <c r="H220" s="23">
        <v>63</v>
      </c>
      <c r="I220" s="23">
        <v>9.341511</v>
      </c>
      <c r="J220" s="24">
        <v>280.2</v>
      </c>
      <c r="K220" s="21">
        <v>0</v>
      </c>
      <c r="L220" s="21">
        <v>0</v>
      </c>
      <c r="M220" s="21">
        <f>COUNTIF($A$2:$A$5481,A220)</f>
        <v>1</v>
      </c>
      <c r="N220" s="24">
        <f t="shared" si="3"/>
        <v>280.200022</v>
      </c>
    </row>
    <row r="221" spans="1:14">
      <c r="A221" s="21" t="s">
        <v>1100</v>
      </c>
      <c r="B221" s="21" t="s">
        <v>929</v>
      </c>
      <c r="C221" s="21" t="s">
        <v>26</v>
      </c>
      <c r="D221" s="21" t="s">
        <v>921</v>
      </c>
      <c r="E221" s="21">
        <v>49</v>
      </c>
      <c r="F221" s="22">
        <v>46105.6701388889</v>
      </c>
      <c r="G221" s="22"/>
      <c r="H221" s="23">
        <v>43.55</v>
      </c>
      <c r="I221" s="23">
        <v>9.8234693878</v>
      </c>
      <c r="J221" s="24">
        <v>481.18</v>
      </c>
      <c r="K221" s="21">
        <v>0</v>
      </c>
      <c r="L221" s="21">
        <v>0</v>
      </c>
      <c r="M221" s="21">
        <f>COUNTIF($A$2:$A$5481,A221)</f>
        <v>1</v>
      </c>
      <c r="N221" s="24">
        <f t="shared" si="3"/>
        <v>481.1800221</v>
      </c>
    </row>
    <row r="222" spans="1:14">
      <c r="A222" s="21" t="s">
        <v>1101</v>
      </c>
      <c r="B222" s="21" t="s">
        <v>929</v>
      </c>
      <c r="C222" s="21" t="s">
        <v>414</v>
      </c>
      <c r="D222" s="21" t="s">
        <v>921</v>
      </c>
      <c r="E222" s="21">
        <v>4</v>
      </c>
      <c r="F222" s="22">
        <v>45378.8571875</v>
      </c>
      <c r="G222" s="22">
        <v>45455.4915625</v>
      </c>
      <c r="H222" s="23">
        <v>47.5</v>
      </c>
      <c r="I222" s="23">
        <v>9.5</v>
      </c>
      <c r="J222" s="24">
        <v>38</v>
      </c>
      <c r="K222" s="21">
        <v>0</v>
      </c>
      <c r="L222" s="21">
        <v>0</v>
      </c>
      <c r="M222" s="21">
        <f>COUNTIF($A$2:$A$5481,A222)</f>
        <v>2</v>
      </c>
      <c r="N222" s="24">
        <f t="shared" si="3"/>
        <v>38.0000222</v>
      </c>
    </row>
    <row r="223" spans="1:14">
      <c r="A223" s="21" t="s">
        <v>1101</v>
      </c>
      <c r="B223" s="21" t="s">
        <v>929</v>
      </c>
      <c r="C223" s="21" t="s">
        <v>26</v>
      </c>
      <c r="D223" s="21" t="s">
        <v>921</v>
      </c>
      <c r="E223" s="21">
        <v>36</v>
      </c>
      <c r="F223" s="22">
        <v>45777.3784837963</v>
      </c>
      <c r="G223" s="22">
        <v>45847.3711921296</v>
      </c>
      <c r="H223" s="23">
        <v>37.16</v>
      </c>
      <c r="I223" s="23">
        <v>8.51667</v>
      </c>
      <c r="J223" s="24">
        <v>306.72</v>
      </c>
      <c r="K223" s="21">
        <v>0</v>
      </c>
      <c r="L223" s="21">
        <v>0</v>
      </c>
      <c r="M223" s="21">
        <f>COUNTIF($A$2:$A$5481,A223)</f>
        <v>2</v>
      </c>
      <c r="N223" s="24">
        <f t="shared" si="3"/>
        <v>306.7200223</v>
      </c>
    </row>
    <row r="224" spans="1:14">
      <c r="A224" s="21" t="s">
        <v>1102</v>
      </c>
      <c r="B224" s="21" t="s">
        <v>929</v>
      </c>
      <c r="C224" s="21" t="s">
        <v>414</v>
      </c>
      <c r="D224" s="21" t="s">
        <v>921</v>
      </c>
      <c r="E224" s="21">
        <v>4</v>
      </c>
      <c r="F224" s="22">
        <v>45378.8560069444</v>
      </c>
      <c r="G224" s="22">
        <v>45447.4249189815</v>
      </c>
      <c r="H224" s="23">
        <v>39.55</v>
      </c>
      <c r="I224" s="23">
        <v>7.91</v>
      </c>
      <c r="J224" s="24">
        <v>31.64</v>
      </c>
      <c r="K224" s="21">
        <v>0</v>
      </c>
      <c r="L224" s="21">
        <v>0</v>
      </c>
      <c r="M224" s="21">
        <f>COUNTIF($A$2:$A$5481,A224)</f>
        <v>2</v>
      </c>
      <c r="N224" s="24">
        <f t="shared" si="3"/>
        <v>31.6400224</v>
      </c>
    </row>
    <row r="225" spans="1:14">
      <c r="A225" s="21" t="s">
        <v>1102</v>
      </c>
      <c r="B225" s="21" t="s">
        <v>929</v>
      </c>
      <c r="C225" s="21" t="s">
        <v>26</v>
      </c>
      <c r="D225" s="21" t="s">
        <v>921</v>
      </c>
      <c r="E225" s="21">
        <v>67</v>
      </c>
      <c r="F225" s="22">
        <v>46104.5548842593</v>
      </c>
      <c r="G225" s="22">
        <v>45814.4050462963</v>
      </c>
      <c r="H225" s="23">
        <v>32.19</v>
      </c>
      <c r="I225" s="23">
        <v>10.5196676119</v>
      </c>
      <c r="J225" s="24">
        <v>704.84</v>
      </c>
      <c r="K225" s="21">
        <v>0</v>
      </c>
      <c r="L225" s="21">
        <v>0</v>
      </c>
      <c r="M225" s="21">
        <f>COUNTIF($A$2:$A$5481,A225)</f>
        <v>2</v>
      </c>
      <c r="N225" s="24">
        <f t="shared" si="3"/>
        <v>704.8400225</v>
      </c>
    </row>
    <row r="226" spans="1:14">
      <c r="A226" s="21" t="s">
        <v>1103</v>
      </c>
      <c r="B226" s="21" t="s">
        <v>929</v>
      </c>
      <c r="C226" s="21" t="s">
        <v>26</v>
      </c>
      <c r="D226" s="21" t="s">
        <v>921</v>
      </c>
      <c r="E226" s="21">
        <v>40</v>
      </c>
      <c r="F226" s="22">
        <v>46049.5708796296</v>
      </c>
      <c r="G226" s="22">
        <v>45819.4783333333</v>
      </c>
      <c r="H226" s="23">
        <v>7.06</v>
      </c>
      <c r="I226" s="23">
        <v>3.39376525</v>
      </c>
      <c r="J226" s="24">
        <v>135.6</v>
      </c>
      <c r="K226" s="21">
        <v>0</v>
      </c>
      <c r="L226" s="21">
        <v>0</v>
      </c>
      <c r="M226" s="21">
        <f>COUNTIF($A$2:$A$5481,A226)</f>
        <v>1</v>
      </c>
      <c r="N226" s="24">
        <f t="shared" si="3"/>
        <v>135.6000226</v>
      </c>
    </row>
    <row r="227" spans="1:14">
      <c r="A227" s="21" t="s">
        <v>1104</v>
      </c>
      <c r="B227" s="21" t="s">
        <v>929</v>
      </c>
      <c r="C227" s="21" t="s">
        <v>414</v>
      </c>
      <c r="D227" s="21" t="s">
        <v>921</v>
      </c>
      <c r="E227" s="21">
        <v>5</v>
      </c>
      <c r="F227" s="22">
        <v>45378.8550115741</v>
      </c>
      <c r="G227" s="22"/>
      <c r="H227" s="23">
        <v>34.5</v>
      </c>
      <c r="I227" s="23">
        <v>6.9</v>
      </c>
      <c r="J227" s="24">
        <v>34.5</v>
      </c>
      <c r="K227" s="21">
        <v>0</v>
      </c>
      <c r="L227" s="21">
        <v>0</v>
      </c>
      <c r="M227" s="21">
        <f>COUNTIF($A$2:$A$5481,A227)</f>
        <v>2</v>
      </c>
      <c r="N227" s="24">
        <f t="shared" si="3"/>
        <v>34.5000227</v>
      </c>
    </row>
    <row r="228" spans="1:14">
      <c r="A228" s="21" t="s">
        <v>1104</v>
      </c>
      <c r="B228" s="21" t="s">
        <v>929</v>
      </c>
      <c r="C228" s="21" t="s">
        <v>26</v>
      </c>
      <c r="D228" s="21" t="s">
        <v>921</v>
      </c>
      <c r="E228" s="21">
        <v>37</v>
      </c>
      <c r="F228" s="22">
        <v>46104.5548842593</v>
      </c>
      <c r="G228" s="22">
        <v>45895.4361111111</v>
      </c>
      <c r="H228" s="23">
        <v>45</v>
      </c>
      <c r="I228" s="23">
        <v>6.7824078624</v>
      </c>
      <c r="J228" s="24">
        <v>250.86</v>
      </c>
      <c r="K228" s="21">
        <v>0</v>
      </c>
      <c r="L228" s="21">
        <v>0</v>
      </c>
      <c r="M228" s="21">
        <f>COUNTIF($A$2:$A$5481,A228)</f>
        <v>2</v>
      </c>
      <c r="N228" s="24">
        <f t="shared" si="3"/>
        <v>250.8600228</v>
      </c>
    </row>
    <row r="229" spans="1:14">
      <c r="A229" s="21" t="s">
        <v>1105</v>
      </c>
      <c r="B229" s="21" t="s">
        <v>929</v>
      </c>
      <c r="C229" s="21" t="s">
        <v>414</v>
      </c>
      <c r="D229" s="21" t="s">
        <v>921</v>
      </c>
      <c r="E229" s="21">
        <v>4</v>
      </c>
      <c r="F229" s="22">
        <v>45378.8537731482</v>
      </c>
      <c r="G229" s="22">
        <v>45455.4915509259</v>
      </c>
      <c r="H229" s="23">
        <v>29.5</v>
      </c>
      <c r="I229" s="23">
        <v>5.9</v>
      </c>
      <c r="J229" s="24">
        <v>23.6</v>
      </c>
      <c r="K229" s="21">
        <v>0</v>
      </c>
      <c r="L229" s="21">
        <v>0</v>
      </c>
      <c r="M229" s="21">
        <f>COUNTIF($A$2:$A$5481,A229)</f>
        <v>2</v>
      </c>
      <c r="N229" s="24">
        <f t="shared" si="3"/>
        <v>23.6000229</v>
      </c>
    </row>
    <row r="230" spans="1:14">
      <c r="A230" s="21" t="s">
        <v>1105</v>
      </c>
      <c r="B230" s="21" t="s">
        <v>929</v>
      </c>
      <c r="C230" s="21" t="s">
        <v>26</v>
      </c>
      <c r="D230" s="21" t="s">
        <v>921</v>
      </c>
      <c r="E230" s="21">
        <v>66</v>
      </c>
      <c r="F230" s="22">
        <v>46104.5548842593</v>
      </c>
      <c r="G230" s="22">
        <v>45909.3919444445</v>
      </c>
      <c r="H230" s="23">
        <v>47.94</v>
      </c>
      <c r="I230" s="23">
        <v>5.5480167011</v>
      </c>
      <c r="J230" s="24">
        <v>366.3</v>
      </c>
      <c r="K230" s="21">
        <v>0</v>
      </c>
      <c r="L230" s="21">
        <v>0</v>
      </c>
      <c r="M230" s="21">
        <f>COUNTIF($A$2:$A$5481,A230)</f>
        <v>2</v>
      </c>
      <c r="N230" s="24">
        <f t="shared" si="3"/>
        <v>366.300023</v>
      </c>
    </row>
    <row r="231" spans="1:14">
      <c r="A231" s="21" t="s">
        <v>1106</v>
      </c>
      <c r="B231" s="21" t="s">
        <v>929</v>
      </c>
      <c r="C231" s="21" t="s">
        <v>26</v>
      </c>
      <c r="D231" s="21" t="s">
        <v>921</v>
      </c>
      <c r="E231" s="21">
        <v>10</v>
      </c>
      <c r="F231" s="22">
        <v>45569.7269791667</v>
      </c>
      <c r="G231" s="22">
        <v>45548.4725925926</v>
      </c>
      <c r="H231" s="23">
        <v>58</v>
      </c>
      <c r="I231" s="23">
        <v>5.8</v>
      </c>
      <c r="J231" s="24">
        <v>58</v>
      </c>
      <c r="K231" s="21">
        <v>0</v>
      </c>
      <c r="L231" s="21">
        <v>0</v>
      </c>
      <c r="M231" s="21">
        <f>COUNTIF($A$2:$A$5481,A231)</f>
        <v>1</v>
      </c>
      <c r="N231" s="24">
        <f t="shared" si="3"/>
        <v>58.0000231</v>
      </c>
    </row>
    <row r="232" spans="1:14">
      <c r="A232" s="21" t="s">
        <v>1107</v>
      </c>
      <c r="B232" s="21" t="s">
        <v>929</v>
      </c>
      <c r="C232" s="21" t="s">
        <v>26</v>
      </c>
      <c r="D232" s="21" t="s">
        <v>931</v>
      </c>
      <c r="E232" s="21">
        <v>5</v>
      </c>
      <c r="F232" s="22">
        <v>46002.5421412037</v>
      </c>
      <c r="G232" s="22">
        <v>45805.4244560185</v>
      </c>
      <c r="H232" s="23">
        <v>30</v>
      </c>
      <c r="I232" s="23">
        <v>7.88</v>
      </c>
      <c r="J232" s="24">
        <v>39.4</v>
      </c>
      <c r="K232" s="21">
        <v>0</v>
      </c>
      <c r="L232" s="21">
        <v>0</v>
      </c>
      <c r="M232" s="21">
        <f>COUNTIF($A$2:$A$5481,A232)</f>
        <v>1</v>
      </c>
      <c r="N232" s="24">
        <f t="shared" si="3"/>
        <v>39.4000232</v>
      </c>
    </row>
    <row r="233" spans="1:14">
      <c r="A233" s="21" t="s">
        <v>1108</v>
      </c>
      <c r="B233" s="21" t="s">
        <v>929</v>
      </c>
      <c r="C233" s="21" t="s">
        <v>414</v>
      </c>
      <c r="D233" s="21" t="s">
        <v>921</v>
      </c>
      <c r="E233" s="21">
        <v>5</v>
      </c>
      <c r="F233" s="22">
        <v>45385.5707175926</v>
      </c>
      <c r="G233" s="22"/>
      <c r="H233" s="23">
        <v>20</v>
      </c>
      <c r="I233" s="23">
        <v>4</v>
      </c>
      <c r="J233" s="24">
        <v>20</v>
      </c>
      <c r="K233" s="21">
        <v>0</v>
      </c>
      <c r="L233" s="21">
        <v>0</v>
      </c>
      <c r="M233" s="21">
        <f>COUNTIF($A$2:$A$5481,A233)</f>
        <v>1</v>
      </c>
      <c r="N233" s="24">
        <f t="shared" si="3"/>
        <v>20.0000233</v>
      </c>
    </row>
    <row r="234" spans="1:14">
      <c r="A234" s="21" t="s">
        <v>1109</v>
      </c>
      <c r="B234" s="21" t="s">
        <v>929</v>
      </c>
      <c r="C234" s="21" t="s">
        <v>26</v>
      </c>
      <c r="D234" s="21" t="s">
        <v>921</v>
      </c>
      <c r="E234" s="21">
        <v>1</v>
      </c>
      <c r="F234" s="22">
        <v>45735.8520486111</v>
      </c>
      <c r="G234" s="22"/>
      <c r="H234" s="23">
        <v>21.5</v>
      </c>
      <c r="I234" s="23">
        <v>21.5</v>
      </c>
      <c r="J234" s="24">
        <v>21.5</v>
      </c>
      <c r="K234" s="21">
        <v>0</v>
      </c>
      <c r="L234" s="21">
        <v>0</v>
      </c>
      <c r="M234" s="21">
        <f>COUNTIF($A$2:$A$5481,A234)</f>
        <v>1</v>
      </c>
      <c r="N234" s="24">
        <f t="shared" si="3"/>
        <v>21.5000234</v>
      </c>
    </row>
    <row r="235" spans="1:14">
      <c r="A235" s="21" t="s">
        <v>1110</v>
      </c>
      <c r="B235" s="21" t="s">
        <v>920</v>
      </c>
      <c r="C235" s="21" t="s">
        <v>35</v>
      </c>
      <c r="D235" s="21" t="s">
        <v>921</v>
      </c>
      <c r="E235" s="21">
        <v>2</v>
      </c>
      <c r="F235" s="22">
        <v>45384.5586342593</v>
      </c>
      <c r="G235" s="22"/>
      <c r="H235" s="23">
        <v>130</v>
      </c>
      <c r="I235" s="23">
        <v>65</v>
      </c>
      <c r="J235" s="24">
        <v>130</v>
      </c>
      <c r="K235" s="21">
        <v>0</v>
      </c>
      <c r="L235" s="21">
        <v>0</v>
      </c>
      <c r="M235" s="21">
        <f>COUNTIF($A$2:$A$5481,A235)</f>
        <v>2</v>
      </c>
      <c r="N235" s="24">
        <f t="shared" si="3"/>
        <v>130.0000235</v>
      </c>
    </row>
    <row r="236" spans="1:14">
      <c r="A236" s="21" t="s">
        <v>1110</v>
      </c>
      <c r="B236" s="21" t="s">
        <v>920</v>
      </c>
      <c r="C236" s="21" t="s">
        <v>26</v>
      </c>
      <c r="D236" s="21" t="s">
        <v>921</v>
      </c>
      <c r="E236" s="21">
        <v>3</v>
      </c>
      <c r="F236" s="22">
        <v>45397.8384606482</v>
      </c>
      <c r="G236" s="22"/>
      <c r="H236" s="23">
        <v>195</v>
      </c>
      <c r="I236" s="23">
        <v>65</v>
      </c>
      <c r="J236" s="24">
        <v>195</v>
      </c>
      <c r="K236" s="21">
        <v>0</v>
      </c>
      <c r="L236" s="21">
        <v>0</v>
      </c>
      <c r="M236" s="21">
        <f>COUNTIF($A$2:$A$5481,A236)</f>
        <v>2</v>
      </c>
      <c r="N236" s="24">
        <f t="shared" si="3"/>
        <v>195.0000236</v>
      </c>
    </row>
    <row r="237" spans="1:14">
      <c r="A237" s="21" t="s">
        <v>1111</v>
      </c>
      <c r="B237" s="21" t="s">
        <v>929</v>
      </c>
      <c r="C237" s="21" t="s">
        <v>26</v>
      </c>
      <c r="D237" s="21" t="s">
        <v>921</v>
      </c>
      <c r="E237" s="21">
        <v>2</v>
      </c>
      <c r="F237" s="22">
        <v>45399.3293865741</v>
      </c>
      <c r="G237" s="22"/>
      <c r="H237" s="23">
        <v>56.72</v>
      </c>
      <c r="I237" s="23">
        <v>69.92</v>
      </c>
      <c r="J237" s="24">
        <v>139.84</v>
      </c>
      <c r="K237" s="21">
        <v>0</v>
      </c>
      <c r="L237" s="21">
        <v>0</v>
      </c>
      <c r="M237" s="21">
        <f>COUNTIF($A$2:$A$5481,A237)</f>
        <v>1</v>
      </c>
      <c r="N237" s="24">
        <f t="shared" si="3"/>
        <v>139.8400237</v>
      </c>
    </row>
    <row r="238" spans="1:14">
      <c r="A238" s="21" t="s">
        <v>1112</v>
      </c>
      <c r="B238" s="21" t="s">
        <v>929</v>
      </c>
      <c r="C238" s="21" t="s">
        <v>26</v>
      </c>
      <c r="D238" s="21" t="s">
        <v>921</v>
      </c>
      <c r="E238" s="21">
        <v>4</v>
      </c>
      <c r="F238" s="22">
        <v>45901.5859953704</v>
      </c>
      <c r="G238" s="22"/>
      <c r="H238" s="23">
        <v>60.94</v>
      </c>
      <c r="I238" s="23">
        <v>46.6075</v>
      </c>
      <c r="J238" s="24">
        <v>186.44</v>
      </c>
      <c r="K238" s="21">
        <v>0</v>
      </c>
      <c r="L238" s="21">
        <v>0</v>
      </c>
      <c r="M238" s="21">
        <f>COUNTIF($A$2:$A$5481,A238)</f>
        <v>1</v>
      </c>
      <c r="N238" s="24">
        <f t="shared" si="3"/>
        <v>186.4400238</v>
      </c>
    </row>
    <row r="239" spans="1:14">
      <c r="A239" s="21" t="s">
        <v>1113</v>
      </c>
      <c r="B239" s="21" t="s">
        <v>929</v>
      </c>
      <c r="C239" s="21" t="s">
        <v>26</v>
      </c>
      <c r="D239" s="21" t="s">
        <v>931</v>
      </c>
      <c r="E239" s="21">
        <v>1</v>
      </c>
      <c r="F239" s="22">
        <v>45583.5789699074</v>
      </c>
      <c r="G239" s="22"/>
      <c r="H239" s="23">
        <v>36.35</v>
      </c>
      <c r="I239" s="23">
        <v>36.35</v>
      </c>
      <c r="J239" s="24">
        <v>36.35</v>
      </c>
      <c r="K239" s="21">
        <v>0</v>
      </c>
      <c r="L239" s="21">
        <v>0</v>
      </c>
      <c r="M239" s="21">
        <f>COUNTIF($A$2:$A$5481,A239)</f>
        <v>1</v>
      </c>
      <c r="N239" s="24">
        <f t="shared" si="3"/>
        <v>36.3500239</v>
      </c>
    </row>
    <row r="240" spans="1:14">
      <c r="A240" s="21" t="s">
        <v>601</v>
      </c>
      <c r="B240" s="21" t="s">
        <v>920</v>
      </c>
      <c r="C240" s="21" t="s">
        <v>26</v>
      </c>
      <c r="D240" s="21" t="s">
        <v>921</v>
      </c>
      <c r="E240" s="21">
        <v>1</v>
      </c>
      <c r="F240" s="22">
        <v>46094.5597222222</v>
      </c>
      <c r="G240" s="22">
        <v>46252.3675578704</v>
      </c>
      <c r="H240" s="23">
        <v>117</v>
      </c>
      <c r="I240" s="23">
        <v>35.9566666667</v>
      </c>
      <c r="J240" s="24">
        <v>35.96</v>
      </c>
      <c r="K240" s="21">
        <v>0</v>
      </c>
      <c r="L240" s="21">
        <v>0</v>
      </c>
      <c r="M240" s="21">
        <f>COUNTIF($A$2:$A$5481,A240)</f>
        <v>1</v>
      </c>
      <c r="N240" s="24">
        <f t="shared" si="3"/>
        <v>35.960024</v>
      </c>
    </row>
    <row r="241" spans="1:14">
      <c r="A241" s="21" t="s">
        <v>1114</v>
      </c>
      <c r="B241" s="21" t="s">
        <v>920</v>
      </c>
      <c r="C241" s="21" t="s">
        <v>26</v>
      </c>
      <c r="D241" s="21" t="s">
        <v>931</v>
      </c>
      <c r="E241" s="21">
        <v>1</v>
      </c>
      <c r="F241" s="22">
        <v>45594.4281712963</v>
      </c>
      <c r="G241" s="22"/>
      <c r="H241" s="23">
        <v>48.1</v>
      </c>
      <c r="I241" s="23">
        <v>48.1</v>
      </c>
      <c r="J241" s="24">
        <v>48.1</v>
      </c>
      <c r="K241" s="21">
        <v>0</v>
      </c>
      <c r="L241" s="21">
        <v>0</v>
      </c>
      <c r="M241" s="21">
        <f>COUNTIF($A$2:$A$5481,A241)</f>
        <v>1</v>
      </c>
      <c r="N241" s="24">
        <f t="shared" si="3"/>
        <v>48.1000241</v>
      </c>
    </row>
    <row r="242" spans="1:14">
      <c r="A242" s="21" t="s">
        <v>717</v>
      </c>
      <c r="B242" s="21" t="s">
        <v>1115</v>
      </c>
      <c r="C242" s="21" t="s">
        <v>26</v>
      </c>
      <c r="D242" s="21" t="s">
        <v>921</v>
      </c>
      <c r="E242" s="21">
        <v>0</v>
      </c>
      <c r="F242" s="22">
        <v>45930.3628472222</v>
      </c>
      <c r="G242" s="22">
        <v>46252.5691550926</v>
      </c>
      <c r="H242" s="23">
        <v>213.05</v>
      </c>
      <c r="I242" s="23">
        <v>213.05</v>
      </c>
      <c r="J242" s="24">
        <v>0</v>
      </c>
      <c r="K242" s="21">
        <v>0</v>
      </c>
      <c r="L242" s="21">
        <v>0</v>
      </c>
      <c r="M242" s="21">
        <f>COUNTIF($A$2:$A$5481,A242)</f>
        <v>1</v>
      </c>
      <c r="N242" s="24">
        <f t="shared" si="3"/>
        <v>2.42e-5</v>
      </c>
    </row>
    <row r="243" spans="1:14">
      <c r="A243" s="21" t="s">
        <v>1116</v>
      </c>
      <c r="B243" s="21" t="s">
        <v>26</v>
      </c>
      <c r="C243" s="21" t="s">
        <v>26</v>
      </c>
      <c r="D243" s="21" t="s">
        <v>921</v>
      </c>
      <c r="E243" s="21">
        <v>18</v>
      </c>
      <c r="F243" s="22">
        <v>46168.6651851852</v>
      </c>
      <c r="G243" s="22"/>
      <c r="H243" s="23">
        <v>80</v>
      </c>
      <c r="I243" s="23">
        <v>10</v>
      </c>
      <c r="J243" s="24">
        <v>180</v>
      </c>
      <c r="K243" s="21">
        <v>0</v>
      </c>
      <c r="L243" s="21">
        <v>0</v>
      </c>
      <c r="M243" s="21">
        <f>COUNTIF($A$2:$A$5481,A243)</f>
        <v>1</v>
      </c>
      <c r="N243" s="24">
        <f t="shared" si="3"/>
        <v>180.0000243</v>
      </c>
    </row>
    <row r="244" spans="1:14">
      <c r="A244" s="21" t="s">
        <v>409</v>
      </c>
      <c r="B244" s="21" t="s">
        <v>26</v>
      </c>
      <c r="C244" s="21" t="s">
        <v>26</v>
      </c>
      <c r="D244" s="21" t="s">
        <v>921</v>
      </c>
      <c r="E244" s="21">
        <v>12</v>
      </c>
      <c r="F244" s="22">
        <v>45561.7252777778</v>
      </c>
      <c r="G244" s="22">
        <v>46191.7061226852</v>
      </c>
      <c r="H244" s="23">
        <v>136</v>
      </c>
      <c r="I244" s="23">
        <v>13.6</v>
      </c>
      <c r="J244" s="24">
        <v>163.2</v>
      </c>
      <c r="K244" s="21">
        <v>0</v>
      </c>
      <c r="L244" s="21">
        <v>0</v>
      </c>
      <c r="M244" s="21">
        <f>COUNTIF($A$2:$A$5481,A244)</f>
        <v>1</v>
      </c>
      <c r="N244" s="24">
        <f t="shared" si="3"/>
        <v>163.2000244</v>
      </c>
    </row>
    <row r="245" spans="1:14">
      <c r="A245" s="21" t="s">
        <v>1117</v>
      </c>
      <c r="B245" s="21" t="s">
        <v>26</v>
      </c>
      <c r="C245" s="21" t="s">
        <v>390</v>
      </c>
      <c r="D245" s="21" t="s">
        <v>921</v>
      </c>
      <c r="E245" s="21">
        <v>1</v>
      </c>
      <c r="F245" s="22">
        <v>45629.4176388889</v>
      </c>
      <c r="G245" s="22"/>
      <c r="H245" s="23">
        <v>552.96</v>
      </c>
      <c r="I245" s="23">
        <v>552.96</v>
      </c>
      <c r="J245" s="24">
        <v>552.96</v>
      </c>
      <c r="K245" s="21">
        <v>0</v>
      </c>
      <c r="L245" s="21">
        <v>0</v>
      </c>
      <c r="M245" s="21">
        <f>COUNTIF($A$2:$A$5481,A245)</f>
        <v>1</v>
      </c>
      <c r="N245" s="24">
        <f t="shared" si="3"/>
        <v>552.9600245</v>
      </c>
    </row>
    <row r="246" spans="1:14">
      <c r="A246" s="21" t="s">
        <v>1118</v>
      </c>
      <c r="B246" s="21" t="s">
        <v>929</v>
      </c>
      <c r="C246" s="21" t="s">
        <v>26</v>
      </c>
      <c r="D246" s="21" t="s">
        <v>921</v>
      </c>
      <c r="E246" s="21">
        <v>3</v>
      </c>
      <c r="F246" s="22">
        <v>46149.555162037</v>
      </c>
      <c r="G246" s="22"/>
      <c r="H246" s="23">
        <v>30.3</v>
      </c>
      <c r="I246" s="23">
        <v>10.1</v>
      </c>
      <c r="J246" s="24">
        <v>30.3</v>
      </c>
      <c r="K246" s="21">
        <v>0</v>
      </c>
      <c r="L246" s="21">
        <v>0</v>
      </c>
      <c r="M246" s="21">
        <f>COUNTIF($A$2:$A$5481,A246)</f>
        <v>1</v>
      </c>
      <c r="N246" s="24">
        <f t="shared" si="3"/>
        <v>30.3000246</v>
      </c>
    </row>
    <row r="247" spans="1:14">
      <c r="A247" s="21" t="s">
        <v>1119</v>
      </c>
      <c r="B247" s="21" t="s">
        <v>920</v>
      </c>
      <c r="C247" s="21" t="s">
        <v>35</v>
      </c>
      <c r="D247" s="21" t="s">
        <v>921</v>
      </c>
      <c r="E247" s="21">
        <v>2</v>
      </c>
      <c r="F247" s="22">
        <v>45271.7300115741</v>
      </c>
      <c r="G247" s="22"/>
      <c r="H247" s="23">
        <v>346.06</v>
      </c>
      <c r="I247" s="23">
        <v>173.03</v>
      </c>
      <c r="J247" s="24">
        <v>346.06</v>
      </c>
      <c r="K247" s="21">
        <v>0</v>
      </c>
      <c r="L247" s="21">
        <v>0</v>
      </c>
      <c r="M247" s="21">
        <f>COUNTIF($A$2:$A$5481,A247)</f>
        <v>2</v>
      </c>
      <c r="N247" s="24">
        <f t="shared" si="3"/>
        <v>346.0600247</v>
      </c>
    </row>
    <row r="248" spans="1:14">
      <c r="A248" s="21" t="s">
        <v>1119</v>
      </c>
      <c r="B248" s="21" t="s">
        <v>920</v>
      </c>
      <c r="C248" s="21" t="s">
        <v>26</v>
      </c>
      <c r="D248" s="21" t="s">
        <v>921</v>
      </c>
      <c r="E248" s="21">
        <v>5</v>
      </c>
      <c r="F248" s="22">
        <v>45614.8513888889</v>
      </c>
      <c r="G248" s="22"/>
      <c r="H248" s="23">
        <v>980</v>
      </c>
      <c r="I248" s="23">
        <v>244.508</v>
      </c>
      <c r="J248" s="24">
        <v>1222.55</v>
      </c>
      <c r="K248" s="21">
        <v>0</v>
      </c>
      <c r="L248" s="21">
        <v>0</v>
      </c>
      <c r="M248" s="21">
        <f>COUNTIF($A$2:$A$5481,A248)</f>
        <v>2</v>
      </c>
      <c r="N248" s="24">
        <f t="shared" si="3"/>
        <v>1222.5500248</v>
      </c>
    </row>
    <row r="249" spans="1:14">
      <c r="A249" s="21" t="s">
        <v>1120</v>
      </c>
      <c r="B249" s="21" t="s">
        <v>26</v>
      </c>
      <c r="C249" s="21" t="s">
        <v>26</v>
      </c>
      <c r="D249" s="21" t="s">
        <v>921</v>
      </c>
      <c r="E249" s="21">
        <v>0</v>
      </c>
      <c r="F249" s="22">
        <v>45576.3821759259</v>
      </c>
      <c r="G249" s="22">
        <v>45583.4770023148</v>
      </c>
      <c r="H249" s="23">
        <v>158.1</v>
      </c>
      <c r="I249" s="23">
        <v>158.1</v>
      </c>
      <c r="J249" s="24">
        <v>0</v>
      </c>
      <c r="K249" s="21">
        <v>0</v>
      </c>
      <c r="L249" s="21">
        <v>0</v>
      </c>
      <c r="M249" s="21">
        <f>COUNTIF($A$2:$A$5481,A249)</f>
        <v>1</v>
      </c>
      <c r="N249" s="24">
        <f t="shared" si="3"/>
        <v>2.49e-5</v>
      </c>
    </row>
    <row r="250" spans="1:14">
      <c r="A250" s="21" t="s">
        <v>1121</v>
      </c>
      <c r="B250" s="21" t="s">
        <v>948</v>
      </c>
      <c r="C250" s="21" t="s">
        <v>26</v>
      </c>
      <c r="D250" s="21" t="s">
        <v>921</v>
      </c>
      <c r="E250" s="21">
        <v>1</v>
      </c>
      <c r="F250" s="22">
        <v>46134.6002546296</v>
      </c>
      <c r="G250" s="22"/>
      <c r="H250" s="23">
        <v>20</v>
      </c>
      <c r="I250" s="23">
        <v>20</v>
      </c>
      <c r="J250" s="24">
        <v>20</v>
      </c>
      <c r="K250" s="21">
        <v>0</v>
      </c>
      <c r="L250" s="21">
        <v>0</v>
      </c>
      <c r="M250" s="21">
        <f>COUNTIF($A$2:$A$5481,A250)</f>
        <v>1</v>
      </c>
      <c r="N250" s="24">
        <f t="shared" si="3"/>
        <v>20.000025</v>
      </c>
    </row>
    <row r="251" spans="1:14">
      <c r="A251" s="21" t="s">
        <v>1122</v>
      </c>
      <c r="B251" s="21" t="s">
        <v>920</v>
      </c>
      <c r="C251" s="21" t="s">
        <v>26</v>
      </c>
      <c r="D251" s="21" t="s">
        <v>921</v>
      </c>
      <c r="E251" s="21">
        <v>2</v>
      </c>
      <c r="F251" s="22">
        <v>45888.4077199074</v>
      </c>
      <c r="G251" s="22"/>
      <c r="H251" s="23">
        <v>12</v>
      </c>
      <c r="I251" s="23">
        <v>6</v>
      </c>
      <c r="J251" s="24">
        <v>12</v>
      </c>
      <c r="K251" s="21">
        <v>0</v>
      </c>
      <c r="L251" s="21">
        <v>0</v>
      </c>
      <c r="M251" s="21">
        <f>COUNTIF($A$2:$A$5481,A251)</f>
        <v>1</v>
      </c>
      <c r="N251" s="24">
        <f t="shared" si="3"/>
        <v>12.0000251</v>
      </c>
    </row>
    <row r="252" spans="1:14">
      <c r="A252" s="21" t="s">
        <v>1123</v>
      </c>
      <c r="B252" s="21" t="s">
        <v>920</v>
      </c>
      <c r="C252" s="21" t="s">
        <v>26</v>
      </c>
      <c r="D252" s="21" t="s">
        <v>921</v>
      </c>
      <c r="E252" s="21">
        <v>1</v>
      </c>
      <c r="F252" s="22">
        <v>45582.3768634259</v>
      </c>
      <c r="G252" s="22">
        <v>45814.4325115741</v>
      </c>
      <c r="H252" s="23">
        <v>179.85</v>
      </c>
      <c r="I252" s="23">
        <v>59.95</v>
      </c>
      <c r="J252" s="24">
        <v>59.95</v>
      </c>
      <c r="K252" s="21">
        <v>0</v>
      </c>
      <c r="L252" s="21">
        <v>0</v>
      </c>
      <c r="M252" s="21">
        <f>COUNTIF($A$2:$A$5481,A252)</f>
        <v>1</v>
      </c>
      <c r="N252" s="24">
        <f t="shared" si="3"/>
        <v>59.9500252</v>
      </c>
    </row>
    <row r="253" spans="1:14">
      <c r="A253" s="21" t="s">
        <v>1124</v>
      </c>
      <c r="B253" s="21" t="s">
        <v>26</v>
      </c>
      <c r="C253" s="21" t="s">
        <v>26</v>
      </c>
      <c r="D253" s="21" t="s">
        <v>921</v>
      </c>
      <c r="E253" s="21">
        <v>1</v>
      </c>
      <c r="F253" s="22">
        <v>45582.3768634259</v>
      </c>
      <c r="G253" s="22">
        <v>45637.43875</v>
      </c>
      <c r="H253" s="23">
        <v>179.85</v>
      </c>
      <c r="I253" s="23">
        <v>59.95</v>
      </c>
      <c r="J253" s="24">
        <v>59.95</v>
      </c>
      <c r="K253" s="21">
        <v>0</v>
      </c>
      <c r="L253" s="21">
        <v>0</v>
      </c>
      <c r="M253" s="21">
        <f>COUNTIF($A$2:$A$5481,A253)</f>
        <v>1</v>
      </c>
      <c r="N253" s="24">
        <f t="shared" si="3"/>
        <v>59.9500253</v>
      </c>
    </row>
    <row r="254" spans="1:14">
      <c r="A254" s="21" t="s">
        <v>487</v>
      </c>
      <c r="B254" s="21" t="s">
        <v>26</v>
      </c>
      <c r="C254" s="21" t="s">
        <v>182</v>
      </c>
      <c r="D254" s="21" t="s">
        <v>921</v>
      </c>
      <c r="E254" s="21">
        <v>0</v>
      </c>
      <c r="F254" s="22">
        <v>45397.7960300926</v>
      </c>
      <c r="G254" s="22">
        <v>46265.3410416667</v>
      </c>
      <c r="H254" s="23">
        <v>14.9</v>
      </c>
      <c r="I254" s="23">
        <v>14.9</v>
      </c>
      <c r="J254" s="24">
        <v>0</v>
      </c>
      <c r="K254" s="21">
        <v>0</v>
      </c>
      <c r="L254" s="21">
        <v>0</v>
      </c>
      <c r="M254" s="21">
        <f>COUNTIF($A$2:$A$5481,A254)</f>
        <v>2</v>
      </c>
      <c r="N254" s="24">
        <f t="shared" si="3"/>
        <v>2.54e-5</v>
      </c>
    </row>
    <row r="255" spans="1:14">
      <c r="A255" s="21" t="s">
        <v>487</v>
      </c>
      <c r="B255" s="21" t="s">
        <v>26</v>
      </c>
      <c r="C255" s="21" t="s">
        <v>26</v>
      </c>
      <c r="D255" s="21" t="s">
        <v>921</v>
      </c>
      <c r="E255" s="21">
        <v>17</v>
      </c>
      <c r="F255" s="22">
        <v>45995.3538773148</v>
      </c>
      <c r="G255" s="22">
        <v>46261.6673611111</v>
      </c>
      <c r="H255" s="23">
        <v>26.1</v>
      </c>
      <c r="I255" s="23">
        <v>7.9502894737</v>
      </c>
      <c r="J255" s="24">
        <v>135.15</v>
      </c>
      <c r="K255" s="21">
        <v>0</v>
      </c>
      <c r="L255" s="21">
        <v>0</v>
      </c>
      <c r="M255" s="21">
        <f>COUNTIF($A$2:$A$5481,A255)</f>
        <v>2</v>
      </c>
      <c r="N255" s="24">
        <f t="shared" si="3"/>
        <v>135.1500255</v>
      </c>
    </row>
    <row r="256" spans="1:14">
      <c r="A256" s="21" t="s">
        <v>846</v>
      </c>
      <c r="B256" s="21" t="s">
        <v>1115</v>
      </c>
      <c r="C256" s="21" t="s">
        <v>26</v>
      </c>
      <c r="D256" s="21" t="s">
        <v>921</v>
      </c>
      <c r="E256" s="21">
        <v>128</v>
      </c>
      <c r="F256" s="22">
        <v>46142.4298611111</v>
      </c>
      <c r="G256" s="22">
        <v>46276.6722222222</v>
      </c>
      <c r="H256" s="23">
        <v>1495</v>
      </c>
      <c r="I256" s="23">
        <v>29.9</v>
      </c>
      <c r="J256" s="24">
        <v>3827.2</v>
      </c>
      <c r="K256" s="21">
        <v>0</v>
      </c>
      <c r="L256" s="21">
        <v>0</v>
      </c>
      <c r="M256" s="21">
        <f>COUNTIF($A$2:$A$5481,A256)</f>
        <v>1</v>
      </c>
      <c r="N256" s="24">
        <f t="shared" si="3"/>
        <v>3827.2000256</v>
      </c>
    </row>
    <row r="257" spans="1:14">
      <c r="A257" s="21" t="s">
        <v>619</v>
      </c>
      <c r="B257" s="21" t="s">
        <v>26</v>
      </c>
      <c r="C257" s="21" t="s">
        <v>182</v>
      </c>
      <c r="D257" s="21" t="s">
        <v>921</v>
      </c>
      <c r="E257" s="21">
        <v>0</v>
      </c>
      <c r="F257" s="22">
        <v>45307.4647106482</v>
      </c>
      <c r="G257" s="22">
        <v>46252.452037037</v>
      </c>
      <c r="H257" s="23">
        <v>29.61</v>
      </c>
      <c r="I257" s="23">
        <v>3.29</v>
      </c>
      <c r="J257" s="24">
        <v>0</v>
      </c>
      <c r="K257" s="21">
        <v>0</v>
      </c>
      <c r="L257" s="21">
        <v>0</v>
      </c>
      <c r="M257" s="21">
        <f>COUNTIF($A$2:$A$5481,A257)</f>
        <v>2</v>
      </c>
      <c r="N257" s="24">
        <f t="shared" si="3"/>
        <v>2.57e-5</v>
      </c>
    </row>
    <row r="258" spans="1:14">
      <c r="A258" s="21" t="s">
        <v>619</v>
      </c>
      <c r="B258" s="21" t="s">
        <v>26</v>
      </c>
      <c r="C258" s="21" t="s">
        <v>26</v>
      </c>
      <c r="D258" s="21" t="s">
        <v>921</v>
      </c>
      <c r="E258" s="21">
        <v>46</v>
      </c>
      <c r="F258" s="22">
        <v>46275.6136805556</v>
      </c>
      <c r="G258" s="22">
        <v>46275.6185416667</v>
      </c>
      <c r="H258" s="23">
        <v>116.55</v>
      </c>
      <c r="I258" s="23">
        <v>24.287755102</v>
      </c>
      <c r="J258" s="24">
        <v>1117.34</v>
      </c>
      <c r="K258" s="21">
        <v>0</v>
      </c>
      <c r="L258" s="21">
        <v>0</v>
      </c>
      <c r="M258" s="21">
        <f>COUNTIF($A$2:$A$5481,A258)</f>
        <v>2</v>
      </c>
      <c r="N258" s="24">
        <f t="shared" ref="N258:N321" si="4">J258+ROW()/10000000</f>
        <v>1117.3400258</v>
      </c>
    </row>
    <row r="259" spans="1:14">
      <c r="A259" s="21" t="s">
        <v>1125</v>
      </c>
      <c r="B259" s="21" t="s">
        <v>929</v>
      </c>
      <c r="C259" s="21" t="s">
        <v>26</v>
      </c>
      <c r="D259" s="21" t="s">
        <v>921</v>
      </c>
      <c r="E259" s="21">
        <v>1</v>
      </c>
      <c r="F259" s="22">
        <v>45357.4243055556</v>
      </c>
      <c r="G259" s="22"/>
      <c r="H259" s="23">
        <v>61.68</v>
      </c>
      <c r="I259" s="23">
        <v>61.68</v>
      </c>
      <c r="J259" s="24">
        <v>61.68</v>
      </c>
      <c r="K259" s="21">
        <v>0</v>
      </c>
      <c r="L259" s="21">
        <v>0</v>
      </c>
      <c r="M259" s="21">
        <f>COUNTIF($A$2:$A$5481,A259)</f>
        <v>1</v>
      </c>
      <c r="N259" s="24">
        <f t="shared" si="4"/>
        <v>61.6800259</v>
      </c>
    </row>
    <row r="260" spans="1:14">
      <c r="A260" s="21" t="s">
        <v>1126</v>
      </c>
      <c r="B260" s="21" t="s">
        <v>26</v>
      </c>
      <c r="C260" s="21" t="s">
        <v>26</v>
      </c>
      <c r="D260" s="21" t="s">
        <v>921</v>
      </c>
      <c r="E260" s="21">
        <v>1</v>
      </c>
      <c r="F260" s="22">
        <v>45596.3600810185</v>
      </c>
      <c r="G260" s="22"/>
      <c r="H260" s="23">
        <v>134.64</v>
      </c>
      <c r="I260" s="23">
        <v>134.64</v>
      </c>
      <c r="J260" s="24">
        <v>134.64</v>
      </c>
      <c r="K260" s="21">
        <v>0</v>
      </c>
      <c r="L260" s="21">
        <v>0</v>
      </c>
      <c r="M260" s="21">
        <f>COUNTIF($A$2:$A$5481,A260)</f>
        <v>1</v>
      </c>
      <c r="N260" s="24">
        <f t="shared" si="4"/>
        <v>134.640026</v>
      </c>
    </row>
    <row r="261" spans="1:14">
      <c r="A261" s="21" t="s">
        <v>1127</v>
      </c>
      <c r="B261" s="21" t="s">
        <v>948</v>
      </c>
      <c r="C261" s="21" t="s">
        <v>26</v>
      </c>
      <c r="D261" s="21" t="s">
        <v>921</v>
      </c>
      <c r="E261" s="21">
        <v>12</v>
      </c>
      <c r="F261" s="22">
        <v>46037.5995486111</v>
      </c>
      <c r="G261" s="22">
        <v>45870.4641203704</v>
      </c>
      <c r="H261" s="23">
        <v>63.3</v>
      </c>
      <c r="I261" s="23">
        <v>18.4594444444</v>
      </c>
      <c r="J261" s="24">
        <v>221.52</v>
      </c>
      <c r="K261" s="21">
        <v>0</v>
      </c>
      <c r="L261" s="21">
        <v>0</v>
      </c>
      <c r="M261" s="21">
        <f>COUNTIF($A$2:$A$5481,A261)</f>
        <v>1</v>
      </c>
      <c r="N261" s="24">
        <f t="shared" si="4"/>
        <v>221.5200261</v>
      </c>
    </row>
    <row r="262" spans="1:14">
      <c r="A262" s="21" t="s">
        <v>1128</v>
      </c>
      <c r="B262" s="21" t="s">
        <v>26</v>
      </c>
      <c r="C262" s="21" t="s">
        <v>26</v>
      </c>
      <c r="D262" s="21" t="s">
        <v>921</v>
      </c>
      <c r="E262" s="21">
        <v>2</v>
      </c>
      <c r="F262" s="22">
        <v>45847.3609722222</v>
      </c>
      <c r="G262" s="22"/>
      <c r="H262" s="23">
        <v>136</v>
      </c>
      <c r="I262" s="23">
        <v>68</v>
      </c>
      <c r="J262" s="24">
        <v>136</v>
      </c>
      <c r="K262" s="21">
        <v>0</v>
      </c>
      <c r="L262" s="21">
        <v>0</v>
      </c>
      <c r="M262" s="21">
        <f>COUNTIF($A$2:$A$5481,A262)</f>
        <v>1</v>
      </c>
      <c r="N262" s="24">
        <f t="shared" si="4"/>
        <v>136.0000262</v>
      </c>
    </row>
    <row r="263" spans="1:14">
      <c r="A263" s="21" t="s">
        <v>1129</v>
      </c>
      <c r="B263" s="21" t="s">
        <v>929</v>
      </c>
      <c r="C263" s="21" t="s">
        <v>414</v>
      </c>
      <c r="D263" s="21" t="s">
        <v>921</v>
      </c>
      <c r="E263" s="21">
        <v>2</v>
      </c>
      <c r="F263" s="22">
        <v>45317.8102083333</v>
      </c>
      <c r="G263" s="22"/>
      <c r="H263" s="23">
        <v>284.48</v>
      </c>
      <c r="I263" s="23">
        <v>142.24</v>
      </c>
      <c r="J263" s="24">
        <v>284.48</v>
      </c>
      <c r="K263" s="21">
        <v>0</v>
      </c>
      <c r="L263" s="21">
        <v>0</v>
      </c>
      <c r="M263" s="21">
        <f>COUNTIF($A$2:$A$5481,A263)</f>
        <v>2</v>
      </c>
      <c r="N263" s="24">
        <f t="shared" si="4"/>
        <v>284.4800263</v>
      </c>
    </row>
    <row r="264" spans="1:14">
      <c r="A264" s="21" t="s">
        <v>1129</v>
      </c>
      <c r="B264" s="21" t="s">
        <v>929</v>
      </c>
      <c r="C264" s="21" t="s">
        <v>26</v>
      </c>
      <c r="D264" s="21" t="s">
        <v>921</v>
      </c>
      <c r="E264" s="21">
        <v>2</v>
      </c>
      <c r="F264" s="22">
        <v>45531.3598958333</v>
      </c>
      <c r="G264" s="22"/>
      <c r="H264" s="23">
        <v>298.58</v>
      </c>
      <c r="I264" s="23">
        <v>149.29</v>
      </c>
      <c r="J264" s="24">
        <v>298.58</v>
      </c>
      <c r="K264" s="21">
        <v>0</v>
      </c>
      <c r="L264" s="21">
        <v>0</v>
      </c>
      <c r="M264" s="21">
        <f>COUNTIF($A$2:$A$5481,A264)</f>
        <v>2</v>
      </c>
      <c r="N264" s="24">
        <f t="shared" si="4"/>
        <v>298.5800264</v>
      </c>
    </row>
    <row r="265" spans="1:14">
      <c r="A265" s="21" t="s">
        <v>1130</v>
      </c>
      <c r="B265" s="21" t="s">
        <v>929</v>
      </c>
      <c r="C265" s="21" t="s">
        <v>26</v>
      </c>
      <c r="D265" s="21" t="s">
        <v>921</v>
      </c>
      <c r="E265" s="21">
        <v>5</v>
      </c>
      <c r="F265" s="22">
        <v>46099.3715277778</v>
      </c>
      <c r="G265" s="22">
        <v>45791.4525578704</v>
      </c>
      <c r="H265" s="23">
        <v>189.3</v>
      </c>
      <c r="I265" s="23">
        <v>200.596</v>
      </c>
      <c r="J265" s="24">
        <v>1003</v>
      </c>
      <c r="K265" s="21">
        <v>0</v>
      </c>
      <c r="L265" s="21">
        <v>0</v>
      </c>
      <c r="M265" s="21">
        <f>COUNTIF($A$2:$A$5481,A265)</f>
        <v>1</v>
      </c>
      <c r="N265" s="24">
        <f t="shared" si="4"/>
        <v>1003.0000265</v>
      </c>
    </row>
    <row r="266" spans="1:14">
      <c r="A266" s="21" t="s">
        <v>1131</v>
      </c>
      <c r="B266" s="21" t="s">
        <v>929</v>
      </c>
      <c r="C266" s="21" t="s">
        <v>26</v>
      </c>
      <c r="D266" s="21" t="s">
        <v>921</v>
      </c>
      <c r="E266" s="21">
        <v>3</v>
      </c>
      <c r="F266" s="22">
        <v>46238.7146296296</v>
      </c>
      <c r="G266" s="22"/>
      <c r="H266" s="23">
        <v>18</v>
      </c>
      <c r="I266" s="23">
        <v>82.7866666667</v>
      </c>
      <c r="J266" s="24">
        <v>248.37</v>
      </c>
      <c r="K266" s="21">
        <v>0</v>
      </c>
      <c r="L266" s="21">
        <v>0</v>
      </c>
      <c r="M266" s="21">
        <f>COUNTIF($A$2:$A$5481,A266)</f>
        <v>1</v>
      </c>
      <c r="N266" s="24">
        <f t="shared" si="4"/>
        <v>248.3700266</v>
      </c>
    </row>
    <row r="267" spans="1:14">
      <c r="A267" s="21" t="s">
        <v>1132</v>
      </c>
      <c r="B267" s="21" t="s">
        <v>948</v>
      </c>
      <c r="C267" s="21" t="s">
        <v>26</v>
      </c>
      <c r="D267" s="21" t="s">
        <v>921</v>
      </c>
      <c r="E267" s="21">
        <v>1</v>
      </c>
      <c r="F267" s="22">
        <v>45460.3680555556</v>
      </c>
      <c r="G267" s="22"/>
      <c r="H267" s="23">
        <v>104.59</v>
      </c>
      <c r="I267" s="23">
        <v>104.59</v>
      </c>
      <c r="J267" s="24">
        <v>104.59</v>
      </c>
      <c r="K267" s="21">
        <v>0</v>
      </c>
      <c r="L267" s="21">
        <v>0</v>
      </c>
      <c r="M267" s="21">
        <f>COUNTIF($A$2:$A$5481,A267)</f>
        <v>1</v>
      </c>
      <c r="N267" s="24">
        <f t="shared" si="4"/>
        <v>104.5900267</v>
      </c>
    </row>
    <row r="268" spans="1:14">
      <c r="A268" s="21" t="s">
        <v>1133</v>
      </c>
      <c r="B268" s="21" t="s">
        <v>929</v>
      </c>
      <c r="C268" s="21" t="s">
        <v>26</v>
      </c>
      <c r="D268" s="21" t="s">
        <v>921</v>
      </c>
      <c r="E268" s="21">
        <v>7</v>
      </c>
      <c r="F268" s="22">
        <v>45673.3566087963</v>
      </c>
      <c r="G268" s="22"/>
      <c r="H268" s="23">
        <v>57.8</v>
      </c>
      <c r="I268" s="23">
        <v>11.61429</v>
      </c>
      <c r="J268" s="24">
        <v>81.27</v>
      </c>
      <c r="K268" s="21">
        <v>0</v>
      </c>
      <c r="L268" s="21">
        <v>0</v>
      </c>
      <c r="M268" s="21">
        <f>COUNTIF($A$2:$A$5481,A268)</f>
        <v>1</v>
      </c>
      <c r="N268" s="24">
        <f t="shared" si="4"/>
        <v>81.2700268</v>
      </c>
    </row>
    <row r="269" spans="1:14">
      <c r="A269" s="21" t="s">
        <v>1134</v>
      </c>
      <c r="B269" s="21" t="s">
        <v>929</v>
      </c>
      <c r="C269" s="21" t="s">
        <v>26</v>
      </c>
      <c r="D269" s="21" t="s">
        <v>921</v>
      </c>
      <c r="E269" s="21">
        <v>1</v>
      </c>
      <c r="F269" s="22">
        <v>46097.5796180556</v>
      </c>
      <c r="G269" s="22"/>
      <c r="H269" s="23">
        <v>83.49</v>
      </c>
      <c r="I269" s="23">
        <v>83.49</v>
      </c>
      <c r="J269" s="24">
        <v>83.49</v>
      </c>
      <c r="K269" s="21">
        <v>0</v>
      </c>
      <c r="L269" s="21">
        <v>0</v>
      </c>
      <c r="M269" s="21">
        <f>COUNTIF($A$2:$A$5481,A269)</f>
        <v>1</v>
      </c>
      <c r="N269" s="24">
        <f t="shared" si="4"/>
        <v>83.4900269</v>
      </c>
    </row>
    <row r="270" spans="1:14">
      <c r="A270" s="21" t="s">
        <v>1135</v>
      </c>
      <c r="B270" s="21" t="s">
        <v>929</v>
      </c>
      <c r="C270" s="21" t="s">
        <v>26</v>
      </c>
      <c r="D270" s="21" t="s">
        <v>921</v>
      </c>
      <c r="E270" s="21">
        <v>2</v>
      </c>
      <c r="F270" s="22">
        <v>46114.5604282407</v>
      </c>
      <c r="G270" s="22"/>
      <c r="H270" s="23">
        <v>65.64</v>
      </c>
      <c r="I270" s="23">
        <v>32.82</v>
      </c>
      <c r="J270" s="24">
        <v>65.64</v>
      </c>
      <c r="K270" s="21">
        <v>0</v>
      </c>
      <c r="L270" s="21">
        <v>0</v>
      </c>
      <c r="M270" s="21">
        <f>COUNTIF($A$2:$A$5481,A270)</f>
        <v>1</v>
      </c>
      <c r="N270" s="24">
        <f t="shared" si="4"/>
        <v>65.640027</v>
      </c>
    </row>
    <row r="271" spans="1:14">
      <c r="A271" s="21" t="s">
        <v>1136</v>
      </c>
      <c r="B271" s="21" t="s">
        <v>929</v>
      </c>
      <c r="C271" s="21" t="s">
        <v>26</v>
      </c>
      <c r="D271" s="21" t="s">
        <v>921</v>
      </c>
      <c r="E271" s="21">
        <v>2</v>
      </c>
      <c r="F271" s="22">
        <v>45573.8024537037</v>
      </c>
      <c r="G271" s="22"/>
      <c r="H271" s="23">
        <v>49.18</v>
      </c>
      <c r="I271" s="23">
        <v>24.59</v>
      </c>
      <c r="J271" s="24">
        <v>49.18</v>
      </c>
      <c r="K271" s="21">
        <v>0</v>
      </c>
      <c r="L271" s="21">
        <v>0</v>
      </c>
      <c r="M271" s="21">
        <f>COUNTIF($A$2:$A$5481,A271)</f>
        <v>1</v>
      </c>
      <c r="N271" s="24">
        <f t="shared" si="4"/>
        <v>49.1800271</v>
      </c>
    </row>
    <row r="272" spans="1:14">
      <c r="A272" s="21" t="s">
        <v>1137</v>
      </c>
      <c r="B272" s="21" t="s">
        <v>26</v>
      </c>
      <c r="C272" s="21" t="s">
        <v>26</v>
      </c>
      <c r="D272" s="21" t="s">
        <v>921</v>
      </c>
      <c r="E272" s="21">
        <v>1</v>
      </c>
      <c r="F272" s="22">
        <v>45673.3915625</v>
      </c>
      <c r="G272" s="22"/>
      <c r="H272" s="23">
        <v>70.47</v>
      </c>
      <c r="I272" s="23">
        <v>70.47</v>
      </c>
      <c r="J272" s="24">
        <v>70.47</v>
      </c>
      <c r="K272" s="21">
        <v>0</v>
      </c>
      <c r="L272" s="21">
        <v>0</v>
      </c>
      <c r="M272" s="21">
        <f>COUNTIF($A$2:$A$5481,A272)</f>
        <v>1</v>
      </c>
      <c r="N272" s="24">
        <f t="shared" si="4"/>
        <v>70.4700272</v>
      </c>
    </row>
    <row r="273" spans="1:14">
      <c r="A273" s="21" t="s">
        <v>1138</v>
      </c>
      <c r="B273" s="21" t="s">
        <v>929</v>
      </c>
      <c r="C273" s="21" t="s">
        <v>414</v>
      </c>
      <c r="D273" s="21" t="s">
        <v>921</v>
      </c>
      <c r="E273" s="21">
        <v>10</v>
      </c>
      <c r="F273" s="22">
        <v>45349.7965740741</v>
      </c>
      <c r="G273" s="22"/>
      <c r="H273" s="23">
        <v>420</v>
      </c>
      <c r="I273" s="23">
        <v>42</v>
      </c>
      <c r="J273" s="24">
        <v>420</v>
      </c>
      <c r="K273" s="21">
        <v>0</v>
      </c>
      <c r="L273" s="21">
        <v>0</v>
      </c>
      <c r="M273" s="21">
        <f>COUNTIF($A$2:$A$5481,A273)</f>
        <v>1</v>
      </c>
      <c r="N273" s="24">
        <f t="shared" si="4"/>
        <v>420.0000273</v>
      </c>
    </row>
    <row r="274" spans="1:14">
      <c r="A274" s="21" t="s">
        <v>1139</v>
      </c>
      <c r="B274" s="21" t="s">
        <v>949</v>
      </c>
      <c r="C274" s="21" t="s">
        <v>182</v>
      </c>
      <c r="D274" s="21" t="s">
        <v>921</v>
      </c>
      <c r="E274" s="21">
        <v>0</v>
      </c>
      <c r="F274" s="22">
        <v>45307.3745601852</v>
      </c>
      <c r="G274" s="22">
        <v>45310.4237615741</v>
      </c>
      <c r="H274" s="23">
        <v>147.385</v>
      </c>
      <c r="I274" s="23">
        <v>10.49004</v>
      </c>
      <c r="J274" s="24">
        <v>0</v>
      </c>
      <c r="K274" s="21">
        <v>0</v>
      </c>
      <c r="L274" s="21">
        <v>0</v>
      </c>
      <c r="M274" s="21">
        <f>COUNTIF($A$2:$A$5481,A274)</f>
        <v>2</v>
      </c>
      <c r="N274" s="24">
        <f t="shared" si="4"/>
        <v>2.74e-5</v>
      </c>
    </row>
    <row r="275" spans="1:14">
      <c r="A275" s="21" t="s">
        <v>1139</v>
      </c>
      <c r="B275" s="21" t="s">
        <v>949</v>
      </c>
      <c r="C275" s="21" t="s">
        <v>26</v>
      </c>
      <c r="D275" s="21" t="s">
        <v>921</v>
      </c>
      <c r="E275" s="21">
        <v>18.55</v>
      </c>
      <c r="F275" s="22">
        <v>45579.8265740741</v>
      </c>
      <c r="G275" s="22">
        <v>45324.4905671296</v>
      </c>
      <c r="H275" s="23">
        <v>21.289</v>
      </c>
      <c r="I275" s="23">
        <v>11.16625</v>
      </c>
      <c r="J275" s="24">
        <v>207.2035</v>
      </c>
      <c r="K275" s="21">
        <v>0</v>
      </c>
      <c r="L275" s="21">
        <v>0</v>
      </c>
      <c r="M275" s="21">
        <f>COUNTIF($A$2:$A$5481,A275)</f>
        <v>2</v>
      </c>
      <c r="N275" s="24">
        <f t="shared" si="4"/>
        <v>207.2035275</v>
      </c>
    </row>
    <row r="276" spans="1:14">
      <c r="A276" s="21" t="s">
        <v>1140</v>
      </c>
      <c r="B276" s="21" t="s">
        <v>949</v>
      </c>
      <c r="C276" s="21" t="s">
        <v>182</v>
      </c>
      <c r="D276" s="21" t="s">
        <v>921</v>
      </c>
      <c r="E276" s="21">
        <v>0</v>
      </c>
      <c r="F276" s="22">
        <v>45307.3745601852</v>
      </c>
      <c r="G276" s="22">
        <v>45310.4238194445</v>
      </c>
      <c r="H276" s="23">
        <v>13.98</v>
      </c>
      <c r="I276" s="23">
        <v>6.99</v>
      </c>
      <c r="J276" s="24">
        <v>0</v>
      </c>
      <c r="K276" s="21">
        <v>0</v>
      </c>
      <c r="L276" s="21">
        <v>0</v>
      </c>
      <c r="M276" s="21">
        <f>COUNTIF($A$2:$A$5481,A276)</f>
        <v>2</v>
      </c>
      <c r="N276" s="24">
        <f t="shared" si="4"/>
        <v>2.76e-5</v>
      </c>
    </row>
    <row r="277" spans="1:14">
      <c r="A277" s="21" t="s">
        <v>1140</v>
      </c>
      <c r="B277" s="21" t="s">
        <v>949</v>
      </c>
      <c r="C277" s="21" t="s">
        <v>26</v>
      </c>
      <c r="D277" s="21" t="s">
        <v>921</v>
      </c>
      <c r="E277" s="21">
        <v>2</v>
      </c>
      <c r="F277" s="22">
        <v>45338.3729166667</v>
      </c>
      <c r="G277" s="22"/>
      <c r="H277" s="23">
        <v>10.98</v>
      </c>
      <c r="I277" s="23">
        <v>5.49</v>
      </c>
      <c r="J277" s="24">
        <v>10.98</v>
      </c>
      <c r="K277" s="21">
        <v>0</v>
      </c>
      <c r="L277" s="21">
        <v>0</v>
      </c>
      <c r="M277" s="21">
        <f>COUNTIF($A$2:$A$5481,A277)</f>
        <v>2</v>
      </c>
      <c r="N277" s="24">
        <f t="shared" si="4"/>
        <v>10.9800277</v>
      </c>
    </row>
    <row r="278" spans="1:14">
      <c r="A278" s="21" t="s">
        <v>821</v>
      </c>
      <c r="B278" s="21" t="s">
        <v>920</v>
      </c>
      <c r="C278" s="21" t="s">
        <v>26</v>
      </c>
      <c r="D278" s="21" t="s">
        <v>921</v>
      </c>
      <c r="E278" s="21">
        <v>4</v>
      </c>
      <c r="F278" s="22">
        <v>46254.7146643519</v>
      </c>
      <c r="G278" s="22">
        <v>46265.5698842593</v>
      </c>
      <c r="H278" s="23">
        <v>50</v>
      </c>
      <c r="I278" s="23">
        <v>10</v>
      </c>
      <c r="J278" s="24">
        <v>40</v>
      </c>
      <c r="K278" s="21">
        <v>0</v>
      </c>
      <c r="L278" s="21">
        <v>0</v>
      </c>
      <c r="M278" s="21">
        <f>COUNTIF($A$2:$A$5481,A278)</f>
        <v>1</v>
      </c>
      <c r="N278" s="24">
        <f t="shared" si="4"/>
        <v>40.0000278</v>
      </c>
    </row>
    <row r="279" spans="1:14">
      <c r="A279" s="21" t="s">
        <v>1141</v>
      </c>
      <c r="B279" s="21" t="s">
        <v>920</v>
      </c>
      <c r="C279" s="21" t="s">
        <v>26</v>
      </c>
      <c r="D279" s="21" t="s">
        <v>921</v>
      </c>
      <c r="E279" s="21">
        <v>1</v>
      </c>
      <c r="F279" s="22">
        <v>46042.5588425926</v>
      </c>
      <c r="G279" s="22"/>
      <c r="H279" s="23">
        <v>73</v>
      </c>
      <c r="I279" s="23">
        <v>73</v>
      </c>
      <c r="J279" s="24">
        <v>73</v>
      </c>
      <c r="K279" s="21">
        <v>0</v>
      </c>
      <c r="L279" s="21">
        <v>0</v>
      </c>
      <c r="M279" s="21">
        <f>COUNTIF($A$2:$A$5481,A279)</f>
        <v>1</v>
      </c>
      <c r="N279" s="24">
        <f t="shared" si="4"/>
        <v>73.0000279</v>
      </c>
    </row>
    <row r="280" spans="1:14">
      <c r="A280" s="21" t="s">
        <v>1142</v>
      </c>
      <c r="B280" s="21" t="s">
        <v>929</v>
      </c>
      <c r="C280" s="21" t="s">
        <v>26</v>
      </c>
      <c r="D280" s="21" t="s">
        <v>921</v>
      </c>
      <c r="E280" s="21">
        <v>5</v>
      </c>
      <c r="F280" s="22">
        <v>45460.3680555556</v>
      </c>
      <c r="G280" s="22"/>
      <c r="H280" s="23">
        <v>46.75</v>
      </c>
      <c r="I280" s="23">
        <v>9.35</v>
      </c>
      <c r="J280" s="24">
        <v>46.75</v>
      </c>
      <c r="K280" s="21">
        <v>0</v>
      </c>
      <c r="L280" s="21">
        <v>0</v>
      </c>
      <c r="M280" s="21">
        <f>COUNTIF($A$2:$A$5481,A280)</f>
        <v>1</v>
      </c>
      <c r="N280" s="24">
        <f t="shared" si="4"/>
        <v>46.750028</v>
      </c>
    </row>
    <row r="281" spans="1:14">
      <c r="A281" s="21" t="s">
        <v>1143</v>
      </c>
      <c r="B281" s="21" t="s">
        <v>929</v>
      </c>
      <c r="C281" s="21" t="s">
        <v>26</v>
      </c>
      <c r="D281" s="21" t="s">
        <v>921</v>
      </c>
      <c r="E281" s="21">
        <v>5</v>
      </c>
      <c r="F281" s="22">
        <v>45460.3680555556</v>
      </c>
      <c r="G281" s="22"/>
      <c r="H281" s="23">
        <v>64.1</v>
      </c>
      <c r="I281" s="23">
        <v>12.82</v>
      </c>
      <c r="J281" s="24">
        <v>64.1</v>
      </c>
      <c r="K281" s="21">
        <v>0</v>
      </c>
      <c r="L281" s="21">
        <v>0</v>
      </c>
      <c r="M281" s="21">
        <f>COUNTIF($A$2:$A$5481,A281)</f>
        <v>1</v>
      </c>
      <c r="N281" s="24">
        <f t="shared" si="4"/>
        <v>64.1000281</v>
      </c>
    </row>
    <row r="282" spans="1:14">
      <c r="A282" s="21" t="s">
        <v>1144</v>
      </c>
      <c r="B282" s="21" t="s">
        <v>929</v>
      </c>
      <c r="C282" s="21" t="s">
        <v>26</v>
      </c>
      <c r="D282" s="21" t="s">
        <v>921</v>
      </c>
      <c r="E282" s="21">
        <v>3</v>
      </c>
      <c r="F282" s="22">
        <v>45485.6486111111</v>
      </c>
      <c r="G282" s="22"/>
      <c r="H282" s="23">
        <v>91.41</v>
      </c>
      <c r="I282" s="23">
        <v>30.47</v>
      </c>
      <c r="J282" s="24">
        <v>91.41</v>
      </c>
      <c r="K282" s="21">
        <v>0</v>
      </c>
      <c r="L282" s="21">
        <v>0</v>
      </c>
      <c r="M282" s="21">
        <f>COUNTIF($A$2:$A$5481,A282)</f>
        <v>1</v>
      </c>
      <c r="N282" s="24">
        <f t="shared" si="4"/>
        <v>91.4100282</v>
      </c>
    </row>
    <row r="283" spans="1:14">
      <c r="A283" s="21" t="s">
        <v>1145</v>
      </c>
      <c r="B283" s="21" t="s">
        <v>929</v>
      </c>
      <c r="C283" s="21" t="s">
        <v>26</v>
      </c>
      <c r="D283" s="21" t="s">
        <v>921</v>
      </c>
      <c r="E283" s="21">
        <v>4</v>
      </c>
      <c r="F283" s="22">
        <v>45544.7141319444</v>
      </c>
      <c r="G283" s="22"/>
      <c r="H283" s="23">
        <v>11</v>
      </c>
      <c r="I283" s="23">
        <v>24.7175</v>
      </c>
      <c r="J283" s="24">
        <v>98.88</v>
      </c>
      <c r="K283" s="21">
        <v>0</v>
      </c>
      <c r="L283" s="21">
        <v>0</v>
      </c>
      <c r="M283" s="21">
        <f>COUNTIF($A$2:$A$5481,A283)</f>
        <v>1</v>
      </c>
      <c r="N283" s="24">
        <f t="shared" si="4"/>
        <v>98.8800283</v>
      </c>
    </row>
    <row r="284" spans="1:14">
      <c r="A284" s="21" t="s">
        <v>1146</v>
      </c>
      <c r="B284" s="21" t="s">
        <v>26</v>
      </c>
      <c r="C284" s="21" t="s">
        <v>26</v>
      </c>
      <c r="D284" s="21" t="s">
        <v>921</v>
      </c>
      <c r="E284" s="21">
        <v>12</v>
      </c>
      <c r="F284" s="22">
        <v>46240.8037615741</v>
      </c>
      <c r="G284" s="22"/>
      <c r="H284" s="23">
        <v>171.6</v>
      </c>
      <c r="I284" s="23">
        <v>19.9666666667</v>
      </c>
      <c r="J284" s="24">
        <v>239.64</v>
      </c>
      <c r="K284" s="21">
        <v>0</v>
      </c>
      <c r="L284" s="21">
        <v>0</v>
      </c>
      <c r="M284" s="21">
        <f>COUNTIF($A$2:$A$5481,A284)</f>
        <v>1</v>
      </c>
      <c r="N284" s="24">
        <f t="shared" si="4"/>
        <v>239.6400284</v>
      </c>
    </row>
    <row r="285" spans="1:14">
      <c r="A285" s="21" t="s">
        <v>1147</v>
      </c>
      <c r="B285" s="21" t="s">
        <v>26</v>
      </c>
      <c r="C285" s="21" t="s">
        <v>26</v>
      </c>
      <c r="D285" s="21" t="s">
        <v>921</v>
      </c>
      <c r="E285" s="21">
        <v>1</v>
      </c>
      <c r="F285" s="22">
        <v>45985.3802546296</v>
      </c>
      <c r="G285" s="22"/>
      <c r="H285" s="23">
        <v>32.82</v>
      </c>
      <c r="I285" s="23">
        <v>32.82</v>
      </c>
      <c r="J285" s="24">
        <v>32.82</v>
      </c>
      <c r="K285" s="21">
        <v>0</v>
      </c>
      <c r="L285" s="21">
        <v>0</v>
      </c>
      <c r="M285" s="21">
        <f>COUNTIF($A$2:$A$5481,A285)</f>
        <v>1</v>
      </c>
      <c r="N285" s="24">
        <f t="shared" si="4"/>
        <v>32.8200285</v>
      </c>
    </row>
    <row r="286" spans="1:14">
      <c r="A286" s="21" t="s">
        <v>1148</v>
      </c>
      <c r="B286" s="21" t="s">
        <v>929</v>
      </c>
      <c r="C286" s="21" t="s">
        <v>414</v>
      </c>
      <c r="D286" s="21" t="s">
        <v>921</v>
      </c>
      <c r="E286" s="21">
        <v>5</v>
      </c>
      <c r="F286" s="22">
        <v>45399.8458217593</v>
      </c>
      <c r="G286" s="22"/>
      <c r="H286" s="23">
        <v>47</v>
      </c>
      <c r="I286" s="23">
        <v>9.4</v>
      </c>
      <c r="J286" s="24">
        <v>47</v>
      </c>
      <c r="K286" s="21">
        <v>0</v>
      </c>
      <c r="L286" s="21">
        <v>0</v>
      </c>
      <c r="M286" s="21">
        <f>COUNTIF($A$2:$A$5481,A286)</f>
        <v>2</v>
      </c>
      <c r="N286" s="24">
        <f t="shared" si="4"/>
        <v>47.0000286</v>
      </c>
    </row>
    <row r="287" spans="1:14">
      <c r="A287" s="21" t="s">
        <v>1148</v>
      </c>
      <c r="B287" s="21" t="s">
        <v>929</v>
      </c>
      <c r="C287" s="21" t="s">
        <v>26</v>
      </c>
      <c r="D287" s="21" t="s">
        <v>921</v>
      </c>
      <c r="E287" s="21">
        <v>17</v>
      </c>
      <c r="F287" s="22">
        <v>45792.3713078704</v>
      </c>
      <c r="G287" s="22"/>
      <c r="H287" s="23">
        <v>93.2</v>
      </c>
      <c r="I287" s="23">
        <v>10.75</v>
      </c>
      <c r="J287" s="24">
        <v>182.75</v>
      </c>
      <c r="K287" s="21">
        <v>0</v>
      </c>
      <c r="L287" s="21">
        <v>0</v>
      </c>
      <c r="M287" s="21">
        <f>COUNTIF($A$2:$A$5481,A287)</f>
        <v>2</v>
      </c>
      <c r="N287" s="24">
        <f t="shared" si="4"/>
        <v>182.7500287</v>
      </c>
    </row>
    <row r="288" spans="1:14">
      <c r="A288" s="21" t="s">
        <v>1149</v>
      </c>
      <c r="B288" s="21" t="s">
        <v>920</v>
      </c>
      <c r="C288" s="21" t="s">
        <v>26</v>
      </c>
      <c r="D288" s="21" t="s">
        <v>921</v>
      </c>
      <c r="E288" s="21">
        <v>1</v>
      </c>
      <c r="F288" s="22">
        <v>46034.583900463</v>
      </c>
      <c r="G288" s="22"/>
      <c r="H288" s="23">
        <v>73</v>
      </c>
      <c r="I288" s="23">
        <v>73</v>
      </c>
      <c r="J288" s="24">
        <v>73</v>
      </c>
      <c r="K288" s="21">
        <v>0</v>
      </c>
      <c r="L288" s="21">
        <v>0</v>
      </c>
      <c r="M288" s="21">
        <f>COUNTIF($A$2:$A$5481,A288)</f>
        <v>1</v>
      </c>
      <c r="N288" s="24">
        <f t="shared" si="4"/>
        <v>73.0000288</v>
      </c>
    </row>
    <row r="289" spans="1:14">
      <c r="A289" s="21" t="s">
        <v>1150</v>
      </c>
      <c r="B289" s="21" t="s">
        <v>929</v>
      </c>
      <c r="C289" s="21" t="s">
        <v>26</v>
      </c>
      <c r="D289" s="21" t="s">
        <v>921</v>
      </c>
      <c r="E289" s="21">
        <v>16</v>
      </c>
      <c r="F289" s="22">
        <v>46275.5861574074</v>
      </c>
      <c r="G289" s="22"/>
      <c r="H289" s="23">
        <v>23.23</v>
      </c>
      <c r="I289" s="23">
        <v>19.38875</v>
      </c>
      <c r="J289" s="24">
        <v>310.24</v>
      </c>
      <c r="K289" s="21">
        <v>0</v>
      </c>
      <c r="L289" s="21">
        <v>0</v>
      </c>
      <c r="M289" s="21">
        <f>COUNTIF($A$2:$A$5481,A289)</f>
        <v>1</v>
      </c>
      <c r="N289" s="24">
        <f t="shared" si="4"/>
        <v>310.2400289</v>
      </c>
    </row>
    <row r="290" spans="1:14">
      <c r="A290" s="21" t="s">
        <v>1151</v>
      </c>
      <c r="B290" s="21" t="s">
        <v>929</v>
      </c>
      <c r="C290" s="21" t="s">
        <v>26</v>
      </c>
      <c r="D290" s="21" t="s">
        <v>921</v>
      </c>
      <c r="E290" s="21">
        <v>9</v>
      </c>
      <c r="F290" s="22">
        <v>45663.73875</v>
      </c>
      <c r="G290" s="22"/>
      <c r="H290" s="23">
        <v>53.25</v>
      </c>
      <c r="I290" s="23">
        <v>13.30333</v>
      </c>
      <c r="J290" s="24">
        <v>119.7</v>
      </c>
      <c r="K290" s="21">
        <v>0</v>
      </c>
      <c r="L290" s="21">
        <v>0</v>
      </c>
      <c r="M290" s="21">
        <f>COUNTIF($A$2:$A$5481,A290)</f>
        <v>1</v>
      </c>
      <c r="N290" s="24">
        <f t="shared" si="4"/>
        <v>119.700029</v>
      </c>
    </row>
    <row r="291" spans="1:14">
      <c r="A291" s="21" t="s">
        <v>1152</v>
      </c>
      <c r="B291" s="21" t="s">
        <v>920</v>
      </c>
      <c r="C291" s="21" t="s">
        <v>26</v>
      </c>
      <c r="D291" s="21" t="s">
        <v>931</v>
      </c>
      <c r="E291" s="21">
        <v>1</v>
      </c>
      <c r="F291" s="22">
        <v>45905.5631828704</v>
      </c>
      <c r="G291" s="22"/>
      <c r="H291" s="23">
        <v>35</v>
      </c>
      <c r="I291" s="23">
        <v>35</v>
      </c>
      <c r="J291" s="24">
        <v>35</v>
      </c>
      <c r="K291" s="21">
        <v>0</v>
      </c>
      <c r="L291" s="21">
        <v>0</v>
      </c>
      <c r="M291" s="21">
        <f>COUNTIF($A$2:$A$5481,A291)</f>
        <v>1</v>
      </c>
      <c r="N291" s="24">
        <f t="shared" si="4"/>
        <v>35.0000291</v>
      </c>
    </row>
    <row r="292" spans="1:14">
      <c r="A292" s="21" t="s">
        <v>1153</v>
      </c>
      <c r="B292" s="21" t="s">
        <v>929</v>
      </c>
      <c r="C292" s="21" t="s">
        <v>414</v>
      </c>
      <c r="D292" s="21" t="s">
        <v>921</v>
      </c>
      <c r="E292" s="21">
        <v>5</v>
      </c>
      <c r="F292" s="22">
        <v>45342.8307291667</v>
      </c>
      <c r="G292" s="22"/>
      <c r="H292" s="23">
        <v>87.65</v>
      </c>
      <c r="I292" s="23">
        <v>17.53</v>
      </c>
      <c r="J292" s="24">
        <v>87.65</v>
      </c>
      <c r="K292" s="21">
        <v>0</v>
      </c>
      <c r="L292" s="21">
        <v>0</v>
      </c>
      <c r="M292" s="21">
        <f>COUNTIF($A$2:$A$5481,A292)</f>
        <v>2</v>
      </c>
      <c r="N292" s="24">
        <f t="shared" si="4"/>
        <v>87.6500292</v>
      </c>
    </row>
    <row r="293" spans="1:14">
      <c r="A293" s="21" t="s">
        <v>1153</v>
      </c>
      <c r="B293" s="21" t="s">
        <v>929</v>
      </c>
      <c r="C293" s="21" t="s">
        <v>26</v>
      </c>
      <c r="D293" s="21" t="s">
        <v>921</v>
      </c>
      <c r="E293" s="21">
        <v>5</v>
      </c>
      <c r="F293" s="22">
        <v>45490.4716782407</v>
      </c>
      <c r="G293" s="22"/>
      <c r="H293" s="23">
        <v>81.75</v>
      </c>
      <c r="I293" s="23">
        <v>16.35</v>
      </c>
      <c r="J293" s="24">
        <v>81.75</v>
      </c>
      <c r="K293" s="21">
        <v>0</v>
      </c>
      <c r="L293" s="21">
        <v>0</v>
      </c>
      <c r="M293" s="21">
        <f>COUNTIF($A$2:$A$5481,A293)</f>
        <v>2</v>
      </c>
      <c r="N293" s="24">
        <f t="shared" si="4"/>
        <v>81.7500293</v>
      </c>
    </row>
    <row r="294" spans="1:14">
      <c r="A294" s="21" t="s">
        <v>1154</v>
      </c>
      <c r="B294" s="21" t="s">
        <v>26</v>
      </c>
      <c r="C294" s="21" t="s">
        <v>26</v>
      </c>
      <c r="D294" s="21" t="s">
        <v>921</v>
      </c>
      <c r="E294" s="21">
        <v>26</v>
      </c>
      <c r="F294" s="22">
        <v>45792.3713078704</v>
      </c>
      <c r="G294" s="22"/>
      <c r="H294" s="23">
        <v>38.6</v>
      </c>
      <c r="I294" s="23">
        <v>13.73769</v>
      </c>
      <c r="J294" s="24">
        <v>357.24</v>
      </c>
      <c r="K294" s="21">
        <v>0</v>
      </c>
      <c r="L294" s="21">
        <v>0</v>
      </c>
      <c r="M294" s="21">
        <f>COUNTIF($A$2:$A$5481,A294)</f>
        <v>1</v>
      </c>
      <c r="N294" s="24">
        <f t="shared" si="4"/>
        <v>357.2400294</v>
      </c>
    </row>
    <row r="295" spans="1:14">
      <c r="A295" s="21" t="s">
        <v>1155</v>
      </c>
      <c r="B295" s="21" t="s">
        <v>929</v>
      </c>
      <c r="C295" s="21" t="s">
        <v>414</v>
      </c>
      <c r="D295" s="21" t="s">
        <v>921</v>
      </c>
      <c r="E295" s="21">
        <v>2</v>
      </c>
      <c r="F295" s="22">
        <v>45308.6041666667</v>
      </c>
      <c r="G295" s="22"/>
      <c r="H295" s="23">
        <v>160.8</v>
      </c>
      <c r="I295" s="23">
        <v>80.4</v>
      </c>
      <c r="J295" s="24">
        <v>160.8</v>
      </c>
      <c r="K295" s="21">
        <v>0</v>
      </c>
      <c r="L295" s="21">
        <v>0</v>
      </c>
      <c r="M295" s="21">
        <f>COUNTIF($A$2:$A$5481,A295)</f>
        <v>1</v>
      </c>
      <c r="N295" s="24">
        <f t="shared" si="4"/>
        <v>160.8000295</v>
      </c>
    </row>
    <row r="296" spans="1:14">
      <c r="A296" s="21" t="s">
        <v>1156</v>
      </c>
      <c r="B296" s="21" t="s">
        <v>929</v>
      </c>
      <c r="C296" s="21" t="s">
        <v>26</v>
      </c>
      <c r="D296" s="21" t="s">
        <v>921</v>
      </c>
      <c r="E296" s="21">
        <v>8</v>
      </c>
      <c r="F296" s="22">
        <v>45831.8278703704</v>
      </c>
      <c r="G296" s="22"/>
      <c r="H296" s="23">
        <v>522.8</v>
      </c>
      <c r="I296" s="23">
        <v>125.2375</v>
      </c>
      <c r="J296" s="24">
        <v>1001.92</v>
      </c>
      <c r="K296" s="21">
        <v>0</v>
      </c>
      <c r="L296" s="21">
        <v>0</v>
      </c>
      <c r="M296" s="21">
        <f>COUNTIF($A$2:$A$5481,A296)</f>
        <v>1</v>
      </c>
      <c r="N296" s="24">
        <f t="shared" si="4"/>
        <v>1001.9200296</v>
      </c>
    </row>
    <row r="297" spans="1:14">
      <c r="A297" s="21" t="s">
        <v>1157</v>
      </c>
      <c r="B297" s="21" t="s">
        <v>929</v>
      </c>
      <c r="C297" s="21" t="s">
        <v>26</v>
      </c>
      <c r="D297" s="21" t="s">
        <v>921</v>
      </c>
      <c r="E297" s="21">
        <v>10</v>
      </c>
      <c r="F297" s="22">
        <v>45971.3494444444</v>
      </c>
      <c r="G297" s="22"/>
      <c r="H297" s="23">
        <v>420</v>
      </c>
      <c r="I297" s="23">
        <v>42</v>
      </c>
      <c r="J297" s="24">
        <v>420</v>
      </c>
      <c r="K297" s="21">
        <v>0</v>
      </c>
      <c r="L297" s="21">
        <v>0</v>
      </c>
      <c r="M297" s="21">
        <f>COUNTIF($A$2:$A$5481,A297)</f>
        <v>1</v>
      </c>
      <c r="N297" s="24">
        <f t="shared" si="4"/>
        <v>420.0000297</v>
      </c>
    </row>
    <row r="298" spans="1:14">
      <c r="A298" s="21" t="s">
        <v>1158</v>
      </c>
      <c r="B298" s="21" t="s">
        <v>929</v>
      </c>
      <c r="C298" s="21" t="s">
        <v>414</v>
      </c>
      <c r="D298" s="21" t="s">
        <v>921</v>
      </c>
      <c r="E298" s="21">
        <v>0</v>
      </c>
      <c r="F298" s="22">
        <v>45308.68125</v>
      </c>
      <c r="G298" s="22">
        <v>45310.412025463</v>
      </c>
      <c r="H298" s="23">
        <v>38.84</v>
      </c>
      <c r="I298" s="23">
        <v>19.42</v>
      </c>
      <c r="J298" s="24">
        <v>0</v>
      </c>
      <c r="K298" s="21">
        <v>0</v>
      </c>
      <c r="L298" s="21">
        <v>0</v>
      </c>
      <c r="M298" s="21">
        <f>COUNTIF($A$2:$A$5481,A298)</f>
        <v>1</v>
      </c>
      <c r="N298" s="24">
        <f t="shared" si="4"/>
        <v>2.98e-5</v>
      </c>
    </row>
    <row r="299" spans="1:14">
      <c r="A299" s="21" t="s">
        <v>1159</v>
      </c>
      <c r="B299" s="21" t="s">
        <v>26</v>
      </c>
      <c r="C299" s="21" t="s">
        <v>26</v>
      </c>
      <c r="D299" s="21" t="s">
        <v>921</v>
      </c>
      <c r="E299" s="21">
        <v>1</v>
      </c>
      <c r="F299" s="22">
        <v>45944.3955787037</v>
      </c>
      <c r="G299" s="22"/>
      <c r="H299" s="23">
        <v>259.9</v>
      </c>
      <c r="I299" s="23">
        <v>259.9</v>
      </c>
      <c r="J299" s="24">
        <v>259.9</v>
      </c>
      <c r="K299" s="21">
        <v>0</v>
      </c>
      <c r="L299" s="21">
        <v>0</v>
      </c>
      <c r="M299" s="21">
        <f>COUNTIF($A$2:$A$5481,A299)</f>
        <v>1</v>
      </c>
      <c r="N299" s="24">
        <f t="shared" si="4"/>
        <v>259.9000299</v>
      </c>
    </row>
    <row r="300" spans="1:14">
      <c r="A300" s="21" t="s">
        <v>1160</v>
      </c>
      <c r="B300" s="21" t="s">
        <v>920</v>
      </c>
      <c r="C300" s="21" t="s">
        <v>26</v>
      </c>
      <c r="D300" s="21" t="s">
        <v>931</v>
      </c>
      <c r="E300" s="21">
        <v>1</v>
      </c>
      <c r="F300" s="22">
        <v>45439.3897337963</v>
      </c>
      <c r="G300" s="22"/>
      <c r="H300" s="23">
        <v>464.55</v>
      </c>
      <c r="I300" s="23">
        <v>464.55</v>
      </c>
      <c r="J300" s="24">
        <v>464.55</v>
      </c>
      <c r="K300" s="21">
        <v>0</v>
      </c>
      <c r="L300" s="21">
        <v>0</v>
      </c>
      <c r="M300" s="21">
        <f>COUNTIF($A$2:$A$5481,A300)</f>
        <v>1</v>
      </c>
      <c r="N300" s="24">
        <f t="shared" si="4"/>
        <v>464.55003</v>
      </c>
    </row>
    <row r="301" spans="1:14">
      <c r="A301" s="21" t="s">
        <v>1161</v>
      </c>
      <c r="B301" s="21" t="s">
        <v>26</v>
      </c>
      <c r="C301" s="21" t="s">
        <v>26</v>
      </c>
      <c r="D301" s="21" t="s">
        <v>921</v>
      </c>
      <c r="E301" s="21">
        <v>1</v>
      </c>
      <c r="F301" s="22">
        <v>45995.532349537</v>
      </c>
      <c r="G301" s="22"/>
      <c r="H301" s="23">
        <v>69.66</v>
      </c>
      <c r="I301" s="23">
        <v>69.66</v>
      </c>
      <c r="J301" s="24">
        <v>69.66</v>
      </c>
      <c r="K301" s="21">
        <v>0</v>
      </c>
      <c r="L301" s="21">
        <v>0</v>
      </c>
      <c r="M301" s="21">
        <f>COUNTIF($A$2:$A$5481,A301)</f>
        <v>1</v>
      </c>
      <c r="N301" s="24">
        <f t="shared" si="4"/>
        <v>69.6600301</v>
      </c>
    </row>
    <row r="302" spans="1:14">
      <c r="A302" s="21" t="s">
        <v>1162</v>
      </c>
      <c r="B302" s="21" t="s">
        <v>926</v>
      </c>
      <c r="C302" s="21" t="s">
        <v>38</v>
      </c>
      <c r="D302" s="21" t="s">
        <v>921</v>
      </c>
      <c r="E302" s="21">
        <v>6</v>
      </c>
      <c r="F302" s="22">
        <v>45369.8295949074</v>
      </c>
      <c r="G302" s="22"/>
      <c r="H302" s="23">
        <v>77.4</v>
      </c>
      <c r="I302" s="23">
        <v>12.9</v>
      </c>
      <c r="J302" s="24">
        <v>77.4</v>
      </c>
      <c r="K302" s="21">
        <v>0</v>
      </c>
      <c r="L302" s="21">
        <v>0</v>
      </c>
      <c r="M302" s="21">
        <f>COUNTIF($A$2:$A$5481,A302)</f>
        <v>1</v>
      </c>
      <c r="N302" s="24">
        <f t="shared" si="4"/>
        <v>77.4000302</v>
      </c>
    </row>
    <row r="303" spans="1:14">
      <c r="A303" s="21" t="s">
        <v>1163</v>
      </c>
      <c r="B303" s="21" t="s">
        <v>920</v>
      </c>
      <c r="C303" s="21" t="s">
        <v>26</v>
      </c>
      <c r="D303" s="21" t="s">
        <v>921</v>
      </c>
      <c r="E303" s="21">
        <v>2</v>
      </c>
      <c r="F303" s="22">
        <v>46197.641412037</v>
      </c>
      <c r="G303" s="22"/>
      <c r="H303" s="23">
        <v>40</v>
      </c>
      <c r="I303" s="23">
        <v>20</v>
      </c>
      <c r="J303" s="24">
        <v>40</v>
      </c>
      <c r="K303" s="21">
        <v>0</v>
      </c>
      <c r="L303" s="21">
        <v>0</v>
      </c>
      <c r="M303" s="21">
        <f>COUNTIF($A$2:$A$5481,A303)</f>
        <v>1</v>
      </c>
      <c r="N303" s="24">
        <f t="shared" si="4"/>
        <v>40.0000303</v>
      </c>
    </row>
    <row r="304" spans="1:14">
      <c r="A304" s="21" t="s">
        <v>1164</v>
      </c>
      <c r="B304" s="21" t="s">
        <v>920</v>
      </c>
      <c r="C304" s="21" t="s">
        <v>26</v>
      </c>
      <c r="D304" s="21" t="s">
        <v>931</v>
      </c>
      <c r="E304" s="21">
        <v>1</v>
      </c>
      <c r="F304" s="22">
        <v>45784.3956481482</v>
      </c>
      <c r="G304" s="22"/>
      <c r="H304" s="23">
        <v>98</v>
      </c>
      <c r="I304" s="23">
        <v>98</v>
      </c>
      <c r="J304" s="24">
        <v>98</v>
      </c>
      <c r="K304" s="21">
        <v>0</v>
      </c>
      <c r="L304" s="21">
        <v>0</v>
      </c>
      <c r="M304" s="21">
        <f>COUNTIF($A$2:$A$5481,A304)</f>
        <v>1</v>
      </c>
      <c r="N304" s="24">
        <f t="shared" si="4"/>
        <v>98.0000304</v>
      </c>
    </row>
    <row r="305" spans="1:14">
      <c r="A305" s="21" t="s">
        <v>1165</v>
      </c>
      <c r="B305" s="21" t="s">
        <v>920</v>
      </c>
      <c r="C305" s="21" t="s">
        <v>26</v>
      </c>
      <c r="D305" s="21" t="s">
        <v>931</v>
      </c>
      <c r="E305" s="21">
        <v>5</v>
      </c>
      <c r="F305" s="22">
        <v>46013.621400463</v>
      </c>
      <c r="G305" s="22">
        <v>45589.3647800926</v>
      </c>
      <c r="H305" s="23">
        <v>282</v>
      </c>
      <c r="I305" s="23">
        <v>94</v>
      </c>
      <c r="J305" s="24">
        <v>470</v>
      </c>
      <c r="K305" s="21">
        <v>0</v>
      </c>
      <c r="L305" s="21">
        <v>0</v>
      </c>
      <c r="M305" s="21">
        <f>COUNTIF($A$2:$A$5481,A305)</f>
        <v>1</v>
      </c>
      <c r="N305" s="24">
        <f t="shared" si="4"/>
        <v>470.0000305</v>
      </c>
    </row>
    <row r="306" spans="1:14">
      <c r="A306" s="21" t="s">
        <v>1166</v>
      </c>
      <c r="B306" s="21" t="s">
        <v>926</v>
      </c>
      <c r="C306" s="21" t="s">
        <v>390</v>
      </c>
      <c r="D306" s="21" t="s">
        <v>921</v>
      </c>
      <c r="E306" s="21">
        <v>32</v>
      </c>
      <c r="F306" s="22">
        <v>45581.6279398148</v>
      </c>
      <c r="G306" s="22"/>
      <c r="H306" s="23">
        <v>614.72</v>
      </c>
      <c r="I306" s="23">
        <v>38.42</v>
      </c>
      <c r="J306" s="24">
        <v>1229.44</v>
      </c>
      <c r="K306" s="21">
        <v>0</v>
      </c>
      <c r="L306" s="21">
        <v>0</v>
      </c>
      <c r="M306" s="21">
        <f>COUNTIF($A$2:$A$5481,A306)</f>
        <v>1</v>
      </c>
      <c r="N306" s="24">
        <f t="shared" si="4"/>
        <v>1229.4400306</v>
      </c>
    </row>
    <row r="307" spans="1:14">
      <c r="A307" s="21" t="s">
        <v>1167</v>
      </c>
      <c r="B307" s="21" t="s">
        <v>929</v>
      </c>
      <c r="C307" s="21" t="s">
        <v>26</v>
      </c>
      <c r="D307" s="21" t="s">
        <v>921</v>
      </c>
      <c r="E307" s="21">
        <v>25</v>
      </c>
      <c r="F307" s="22">
        <v>46087.4743055556</v>
      </c>
      <c r="G307" s="22"/>
      <c r="H307" s="23">
        <v>1210</v>
      </c>
      <c r="I307" s="23">
        <v>182.96</v>
      </c>
      <c r="J307" s="24">
        <v>4574</v>
      </c>
      <c r="K307" s="21">
        <v>0</v>
      </c>
      <c r="L307" s="21">
        <v>0</v>
      </c>
      <c r="M307" s="21">
        <f>COUNTIF($A$2:$A$5481,A307)</f>
        <v>1</v>
      </c>
      <c r="N307" s="24">
        <f t="shared" si="4"/>
        <v>4574.0000307</v>
      </c>
    </row>
    <row r="308" spans="1:14">
      <c r="A308" s="21" t="s">
        <v>1168</v>
      </c>
      <c r="B308" s="21" t="s">
        <v>929</v>
      </c>
      <c r="C308" s="21" t="s">
        <v>26</v>
      </c>
      <c r="D308" s="21" t="s">
        <v>921</v>
      </c>
      <c r="E308" s="21">
        <v>13</v>
      </c>
      <c r="F308" s="22">
        <v>46087.4743055556</v>
      </c>
      <c r="G308" s="22"/>
      <c r="H308" s="23">
        <v>1210</v>
      </c>
      <c r="I308" s="23">
        <v>242</v>
      </c>
      <c r="J308" s="24">
        <v>3146</v>
      </c>
      <c r="K308" s="21">
        <v>0</v>
      </c>
      <c r="L308" s="21">
        <v>0</v>
      </c>
      <c r="M308" s="21">
        <f>COUNTIF($A$2:$A$5481,A308)</f>
        <v>1</v>
      </c>
      <c r="N308" s="24">
        <f t="shared" si="4"/>
        <v>3146.0000308</v>
      </c>
    </row>
    <row r="309" spans="1:14">
      <c r="A309" s="21" t="s">
        <v>1169</v>
      </c>
      <c r="B309" s="21" t="s">
        <v>929</v>
      </c>
      <c r="C309" s="21" t="s">
        <v>414</v>
      </c>
      <c r="D309" s="21" t="s">
        <v>921</v>
      </c>
      <c r="E309" s="21">
        <v>4</v>
      </c>
      <c r="F309" s="22">
        <v>45268</v>
      </c>
      <c r="G309" s="22"/>
      <c r="H309" s="23">
        <v>921.2</v>
      </c>
      <c r="I309" s="23">
        <v>230.3</v>
      </c>
      <c r="J309" s="24">
        <v>921.2</v>
      </c>
      <c r="K309" s="21">
        <v>0</v>
      </c>
      <c r="L309" s="21">
        <v>0</v>
      </c>
      <c r="M309" s="21">
        <f>COUNTIF($A$2:$A$5481,A309)</f>
        <v>2</v>
      </c>
      <c r="N309" s="24">
        <f t="shared" si="4"/>
        <v>921.2000309</v>
      </c>
    </row>
    <row r="310" spans="1:14">
      <c r="A310" s="21" t="s">
        <v>1169</v>
      </c>
      <c r="B310" s="21" t="s">
        <v>929</v>
      </c>
      <c r="C310" s="21" t="s">
        <v>26</v>
      </c>
      <c r="D310" s="21" t="s">
        <v>921</v>
      </c>
      <c r="E310" s="21">
        <v>68</v>
      </c>
      <c r="F310" s="22">
        <v>46087.4743055556</v>
      </c>
      <c r="G310" s="22"/>
      <c r="H310" s="23">
        <v>2100</v>
      </c>
      <c r="I310" s="23">
        <v>210</v>
      </c>
      <c r="J310" s="24">
        <v>14280</v>
      </c>
      <c r="K310" s="21">
        <v>0</v>
      </c>
      <c r="L310" s="21">
        <v>0</v>
      </c>
      <c r="M310" s="21">
        <f>COUNTIF($A$2:$A$5481,A310)</f>
        <v>2</v>
      </c>
      <c r="N310" s="24">
        <f t="shared" si="4"/>
        <v>14280.000031</v>
      </c>
    </row>
    <row r="311" spans="1:14">
      <c r="A311" s="21" t="s">
        <v>1170</v>
      </c>
      <c r="B311" s="21" t="s">
        <v>929</v>
      </c>
      <c r="C311" s="21" t="s">
        <v>414</v>
      </c>
      <c r="D311" s="21" t="s">
        <v>921</v>
      </c>
      <c r="E311" s="21">
        <v>3</v>
      </c>
      <c r="F311" s="22">
        <v>45268</v>
      </c>
      <c r="G311" s="22">
        <v>45833.3703819444</v>
      </c>
      <c r="H311" s="23">
        <v>828</v>
      </c>
      <c r="I311" s="23">
        <v>207</v>
      </c>
      <c r="J311" s="24">
        <v>621</v>
      </c>
      <c r="K311" s="21">
        <v>0</v>
      </c>
      <c r="L311" s="21">
        <v>0</v>
      </c>
      <c r="M311" s="21">
        <f>COUNTIF($A$2:$A$5481,A311)</f>
        <v>2</v>
      </c>
      <c r="N311" s="24">
        <f t="shared" si="4"/>
        <v>621.0000311</v>
      </c>
    </row>
    <row r="312" spans="1:14">
      <c r="A312" s="21" t="s">
        <v>1170</v>
      </c>
      <c r="B312" s="21" t="s">
        <v>929</v>
      </c>
      <c r="C312" s="21" t="s">
        <v>26</v>
      </c>
      <c r="D312" s="21" t="s">
        <v>921</v>
      </c>
      <c r="E312" s="21">
        <v>5</v>
      </c>
      <c r="F312" s="22">
        <v>45877.6835416667</v>
      </c>
      <c r="G312" s="22"/>
      <c r="H312" s="23">
        <v>1035</v>
      </c>
      <c r="I312" s="23">
        <v>207</v>
      </c>
      <c r="J312" s="24">
        <v>1035</v>
      </c>
      <c r="K312" s="21">
        <v>0</v>
      </c>
      <c r="L312" s="21">
        <v>0</v>
      </c>
      <c r="M312" s="21">
        <f>COUNTIF($A$2:$A$5481,A312)</f>
        <v>2</v>
      </c>
      <c r="N312" s="24">
        <f t="shared" si="4"/>
        <v>1035.0000312</v>
      </c>
    </row>
    <row r="313" spans="1:14">
      <c r="A313" s="21" t="s">
        <v>514</v>
      </c>
      <c r="B313" s="21" t="s">
        <v>26</v>
      </c>
      <c r="C313" s="21" t="s">
        <v>26</v>
      </c>
      <c r="D313" s="21" t="s">
        <v>921</v>
      </c>
      <c r="E313" s="21">
        <v>4</v>
      </c>
      <c r="F313" s="22">
        <v>45826.8091782407</v>
      </c>
      <c r="G313" s="22">
        <v>46240.6767476852</v>
      </c>
      <c r="H313" s="23">
        <v>168.6</v>
      </c>
      <c r="I313" s="23">
        <v>28.1</v>
      </c>
      <c r="J313" s="24">
        <v>112.4</v>
      </c>
      <c r="K313" s="21">
        <v>0</v>
      </c>
      <c r="L313" s="21">
        <v>0</v>
      </c>
      <c r="M313" s="21">
        <f>COUNTIF($A$2:$A$5481,A313)</f>
        <v>1</v>
      </c>
      <c r="N313" s="24">
        <f t="shared" si="4"/>
        <v>112.4000313</v>
      </c>
    </row>
    <row r="314" spans="1:14">
      <c r="A314" s="21" t="s">
        <v>1171</v>
      </c>
      <c r="B314" s="21" t="s">
        <v>26</v>
      </c>
      <c r="C314" s="21" t="s">
        <v>26</v>
      </c>
      <c r="D314" s="21" t="s">
        <v>921</v>
      </c>
      <c r="E314" s="21">
        <v>4</v>
      </c>
      <c r="F314" s="22">
        <v>45826.8091782407</v>
      </c>
      <c r="G314" s="22">
        <v>45874.4572222222</v>
      </c>
      <c r="H314" s="23">
        <v>182.7</v>
      </c>
      <c r="I314" s="23">
        <v>30.45</v>
      </c>
      <c r="J314" s="24">
        <v>121.8</v>
      </c>
      <c r="K314" s="21">
        <v>0</v>
      </c>
      <c r="L314" s="21">
        <v>0</v>
      </c>
      <c r="M314" s="21">
        <f>COUNTIF($A$2:$A$5481,A314)</f>
        <v>1</v>
      </c>
      <c r="N314" s="24">
        <f t="shared" si="4"/>
        <v>121.8000314</v>
      </c>
    </row>
    <row r="315" spans="1:14">
      <c r="A315" s="21" t="s">
        <v>1172</v>
      </c>
      <c r="B315" s="21" t="s">
        <v>26</v>
      </c>
      <c r="C315" s="21" t="s">
        <v>414</v>
      </c>
      <c r="D315" s="21" t="s">
        <v>921</v>
      </c>
      <c r="E315" s="21">
        <v>6</v>
      </c>
      <c r="F315" s="22">
        <v>45538.4977314815</v>
      </c>
      <c r="G315" s="22"/>
      <c r="H315" s="23">
        <v>1500</v>
      </c>
      <c r="I315" s="23">
        <v>250</v>
      </c>
      <c r="J315" s="24">
        <v>1500</v>
      </c>
      <c r="K315" s="21">
        <v>0</v>
      </c>
      <c r="L315" s="21">
        <v>0</v>
      </c>
      <c r="M315" s="21">
        <f>COUNTIF($A$2:$A$5481,A315)</f>
        <v>1</v>
      </c>
      <c r="N315" s="24">
        <f t="shared" si="4"/>
        <v>1500.0000315</v>
      </c>
    </row>
    <row r="316" spans="1:14">
      <c r="A316" s="21" t="s">
        <v>538</v>
      </c>
      <c r="B316" s="21" t="s">
        <v>929</v>
      </c>
      <c r="C316" s="21" t="s">
        <v>35</v>
      </c>
      <c r="D316" s="21" t="s">
        <v>921</v>
      </c>
      <c r="E316" s="21">
        <v>6</v>
      </c>
      <c r="F316" s="22">
        <v>45309.7926736111</v>
      </c>
      <c r="G316" s="22"/>
      <c r="H316" s="23">
        <v>335.64</v>
      </c>
      <c r="I316" s="23">
        <v>55.94</v>
      </c>
      <c r="J316" s="24">
        <v>335.64</v>
      </c>
      <c r="K316" s="21">
        <v>0</v>
      </c>
      <c r="L316" s="21">
        <v>0</v>
      </c>
      <c r="M316" s="21">
        <f>COUNTIF($A$2:$A$5481,A316)</f>
        <v>2</v>
      </c>
      <c r="N316" s="24">
        <f t="shared" si="4"/>
        <v>335.6400316</v>
      </c>
    </row>
    <row r="317" spans="1:14">
      <c r="A317" s="21" t="s">
        <v>538</v>
      </c>
      <c r="B317" s="21" t="s">
        <v>929</v>
      </c>
      <c r="C317" s="21" t="s">
        <v>26</v>
      </c>
      <c r="D317" s="21" t="s">
        <v>921</v>
      </c>
      <c r="E317" s="21">
        <v>5</v>
      </c>
      <c r="F317" s="22">
        <v>45763.8030208333</v>
      </c>
      <c r="G317" s="22">
        <v>46247.6080787037</v>
      </c>
      <c r="H317" s="23">
        <v>301.98</v>
      </c>
      <c r="I317" s="23">
        <v>50.33</v>
      </c>
      <c r="J317" s="24">
        <v>251.65</v>
      </c>
      <c r="K317" s="21">
        <v>0</v>
      </c>
      <c r="L317" s="21">
        <v>0</v>
      </c>
      <c r="M317" s="21">
        <f>COUNTIF($A$2:$A$5481,A317)</f>
        <v>2</v>
      </c>
      <c r="N317" s="24">
        <f t="shared" si="4"/>
        <v>251.6500317</v>
      </c>
    </row>
    <row r="318" spans="1:14">
      <c r="A318" s="21" t="s">
        <v>1173</v>
      </c>
      <c r="B318" s="21" t="s">
        <v>26</v>
      </c>
      <c r="C318" s="21" t="s">
        <v>26</v>
      </c>
      <c r="D318" s="21" t="s">
        <v>921</v>
      </c>
      <c r="E318" s="21">
        <v>14</v>
      </c>
      <c r="F318" s="22">
        <v>45693.3615509259</v>
      </c>
      <c r="G318" s="22"/>
      <c r="H318" s="23">
        <v>49</v>
      </c>
      <c r="I318" s="23">
        <v>5.21429</v>
      </c>
      <c r="J318" s="24">
        <v>72.94</v>
      </c>
      <c r="K318" s="21">
        <v>0</v>
      </c>
      <c r="L318" s="21">
        <v>0</v>
      </c>
      <c r="M318" s="21">
        <f>COUNTIF($A$2:$A$5481,A318)</f>
        <v>1</v>
      </c>
      <c r="N318" s="24">
        <f t="shared" si="4"/>
        <v>72.9400318</v>
      </c>
    </row>
    <row r="319" spans="1:14">
      <c r="A319" s="21" t="s">
        <v>1174</v>
      </c>
      <c r="B319" s="21" t="s">
        <v>1175</v>
      </c>
      <c r="C319" s="21" t="s">
        <v>26</v>
      </c>
      <c r="D319" s="21" t="s">
        <v>921</v>
      </c>
      <c r="E319" s="21">
        <v>6</v>
      </c>
      <c r="F319" s="22">
        <v>46266.5715740741</v>
      </c>
      <c r="G319" s="22"/>
      <c r="H319" s="23">
        <v>35</v>
      </c>
      <c r="I319" s="23">
        <v>35</v>
      </c>
      <c r="J319" s="24">
        <v>210</v>
      </c>
      <c r="K319" s="21">
        <v>0</v>
      </c>
      <c r="L319" s="21">
        <v>0</v>
      </c>
      <c r="M319" s="21">
        <f>COUNTIF($A$2:$A$5481,A319)</f>
        <v>1</v>
      </c>
      <c r="N319" s="24">
        <f t="shared" si="4"/>
        <v>210.0000319</v>
      </c>
    </row>
    <row r="320" spans="1:14">
      <c r="A320" s="21" t="s">
        <v>1176</v>
      </c>
      <c r="B320" s="21" t="s">
        <v>26</v>
      </c>
      <c r="C320" s="21" t="s">
        <v>26</v>
      </c>
      <c r="D320" s="21" t="s">
        <v>921</v>
      </c>
      <c r="E320" s="21">
        <v>5</v>
      </c>
      <c r="F320" s="22">
        <v>46239.5857986111</v>
      </c>
      <c r="G320" s="22"/>
      <c r="H320" s="23">
        <v>140</v>
      </c>
      <c r="I320" s="23">
        <v>22</v>
      </c>
      <c r="J320" s="24">
        <v>110</v>
      </c>
      <c r="K320" s="21">
        <v>0</v>
      </c>
      <c r="L320" s="21">
        <v>0</v>
      </c>
      <c r="M320" s="21">
        <f>COUNTIF($A$2:$A$5481,A320)</f>
        <v>1</v>
      </c>
      <c r="N320" s="24">
        <f t="shared" si="4"/>
        <v>110.000032</v>
      </c>
    </row>
    <row r="321" spans="1:14">
      <c r="A321" s="21" t="s">
        <v>1177</v>
      </c>
      <c r="B321" s="21" t="s">
        <v>26</v>
      </c>
      <c r="C321" s="21" t="s">
        <v>26</v>
      </c>
      <c r="D321" s="21" t="s">
        <v>921</v>
      </c>
      <c r="E321" s="21">
        <v>3</v>
      </c>
      <c r="F321" s="22">
        <v>46101.5047685185</v>
      </c>
      <c r="G321" s="22"/>
      <c r="H321" s="23">
        <v>60</v>
      </c>
      <c r="I321" s="23">
        <v>30</v>
      </c>
      <c r="J321" s="24">
        <v>90</v>
      </c>
      <c r="K321" s="21">
        <v>0</v>
      </c>
      <c r="L321" s="21">
        <v>0</v>
      </c>
      <c r="M321" s="21">
        <f>COUNTIF($A$2:$A$5481,A321)</f>
        <v>1</v>
      </c>
      <c r="N321" s="24">
        <f t="shared" si="4"/>
        <v>90.0000321</v>
      </c>
    </row>
    <row r="322" spans="1:14">
      <c r="A322" s="21" t="s">
        <v>1178</v>
      </c>
      <c r="B322" s="21" t="s">
        <v>1175</v>
      </c>
      <c r="C322" s="21" t="s">
        <v>26</v>
      </c>
      <c r="D322" s="21" t="s">
        <v>921</v>
      </c>
      <c r="E322" s="21">
        <v>6</v>
      </c>
      <c r="F322" s="22">
        <v>46266.5715740741</v>
      </c>
      <c r="G322" s="22"/>
      <c r="H322" s="23">
        <v>35</v>
      </c>
      <c r="I322" s="23">
        <v>35</v>
      </c>
      <c r="J322" s="24">
        <v>210</v>
      </c>
      <c r="K322" s="21">
        <v>0</v>
      </c>
      <c r="L322" s="21">
        <v>0</v>
      </c>
      <c r="M322" s="21">
        <f>COUNTIF($A$2:$A$5481,A322)</f>
        <v>1</v>
      </c>
      <c r="N322" s="24">
        <f t="shared" ref="N322:N385" si="5">J322+ROW()/10000000</f>
        <v>210.0000322</v>
      </c>
    </row>
    <row r="323" spans="1:14">
      <c r="A323" s="21" t="s">
        <v>1179</v>
      </c>
      <c r="B323" s="21" t="s">
        <v>1175</v>
      </c>
      <c r="C323" s="21" t="s">
        <v>26</v>
      </c>
      <c r="D323" s="21" t="s">
        <v>921</v>
      </c>
      <c r="E323" s="21">
        <v>6</v>
      </c>
      <c r="F323" s="22">
        <v>46266.5715740741</v>
      </c>
      <c r="G323" s="22"/>
      <c r="H323" s="23">
        <v>35</v>
      </c>
      <c r="I323" s="23">
        <v>35</v>
      </c>
      <c r="J323" s="24">
        <v>210</v>
      </c>
      <c r="K323" s="21">
        <v>0</v>
      </c>
      <c r="L323" s="21">
        <v>0</v>
      </c>
      <c r="M323" s="21">
        <f>COUNTIF($A$2:$A$5481,A323)</f>
        <v>1</v>
      </c>
      <c r="N323" s="24">
        <f t="shared" si="5"/>
        <v>210.0000323</v>
      </c>
    </row>
    <row r="324" spans="1:14">
      <c r="A324" s="21" t="s">
        <v>1180</v>
      </c>
      <c r="B324" s="21" t="s">
        <v>1175</v>
      </c>
      <c r="C324" s="21" t="s">
        <v>26</v>
      </c>
      <c r="D324" s="21" t="s">
        <v>921</v>
      </c>
      <c r="E324" s="21">
        <v>2</v>
      </c>
      <c r="F324" s="22">
        <v>46266.5715740741</v>
      </c>
      <c r="G324" s="22"/>
      <c r="H324" s="23">
        <v>35</v>
      </c>
      <c r="I324" s="23">
        <v>35</v>
      </c>
      <c r="J324" s="24">
        <v>70</v>
      </c>
      <c r="K324" s="21">
        <v>0</v>
      </c>
      <c r="L324" s="21">
        <v>0</v>
      </c>
      <c r="M324" s="21">
        <f>COUNTIF($A$2:$A$5481,A324)</f>
        <v>1</v>
      </c>
      <c r="N324" s="24">
        <f t="shared" si="5"/>
        <v>70.0000324</v>
      </c>
    </row>
    <row r="325" spans="1:14">
      <c r="A325" s="21" t="s">
        <v>1181</v>
      </c>
      <c r="B325" s="21" t="s">
        <v>929</v>
      </c>
      <c r="C325" s="21" t="s">
        <v>26</v>
      </c>
      <c r="D325" s="21" t="s">
        <v>921</v>
      </c>
      <c r="E325" s="21">
        <v>1</v>
      </c>
      <c r="F325" s="22">
        <v>45818.5993287037</v>
      </c>
      <c r="G325" s="22">
        <v>45918.4166087963</v>
      </c>
      <c r="H325" s="23">
        <v>199.76</v>
      </c>
      <c r="I325" s="23">
        <v>234.56</v>
      </c>
      <c r="J325" s="24">
        <v>234.56</v>
      </c>
      <c r="K325" s="21">
        <v>0</v>
      </c>
      <c r="L325" s="21">
        <v>0</v>
      </c>
      <c r="M325" s="21">
        <f>COUNTIF($A$2:$A$5481,A325)</f>
        <v>1</v>
      </c>
      <c r="N325" s="24">
        <f t="shared" si="5"/>
        <v>234.5600325</v>
      </c>
    </row>
    <row r="326" spans="1:14">
      <c r="A326" s="21" t="s">
        <v>1182</v>
      </c>
      <c r="B326" s="21" t="s">
        <v>929</v>
      </c>
      <c r="C326" s="21" t="s">
        <v>26</v>
      </c>
      <c r="D326" s="21" t="s">
        <v>921</v>
      </c>
      <c r="E326" s="21">
        <v>2</v>
      </c>
      <c r="F326" s="22">
        <v>46017.5631712963</v>
      </c>
      <c r="G326" s="22"/>
      <c r="H326" s="23">
        <v>497.89</v>
      </c>
      <c r="I326" s="23">
        <v>480.395</v>
      </c>
      <c r="J326" s="24">
        <v>960.8</v>
      </c>
      <c r="K326" s="21">
        <v>0</v>
      </c>
      <c r="L326" s="21">
        <v>0</v>
      </c>
      <c r="M326" s="21">
        <f>COUNTIF($A$2:$A$5481,A326)</f>
        <v>1</v>
      </c>
      <c r="N326" s="24">
        <f t="shared" si="5"/>
        <v>960.8000326</v>
      </c>
    </row>
    <row r="327" spans="1:14">
      <c r="A327" s="21" t="s">
        <v>1183</v>
      </c>
      <c r="B327" s="21" t="s">
        <v>929</v>
      </c>
      <c r="C327" s="21" t="s">
        <v>26</v>
      </c>
      <c r="D327" s="21" t="s">
        <v>921</v>
      </c>
      <c r="E327" s="21">
        <v>1</v>
      </c>
      <c r="F327" s="22">
        <v>46007.5671759259</v>
      </c>
      <c r="G327" s="22"/>
      <c r="H327" s="23">
        <v>299.89</v>
      </c>
      <c r="I327" s="23">
        <v>299.89</v>
      </c>
      <c r="J327" s="24">
        <v>299.89</v>
      </c>
      <c r="K327" s="21">
        <v>0</v>
      </c>
      <c r="L327" s="21">
        <v>0</v>
      </c>
      <c r="M327" s="21">
        <f>COUNTIF($A$2:$A$5481,A327)</f>
        <v>1</v>
      </c>
      <c r="N327" s="24">
        <f t="shared" si="5"/>
        <v>299.8900327</v>
      </c>
    </row>
    <row r="328" spans="1:14">
      <c r="A328" s="21" t="s">
        <v>1184</v>
      </c>
      <c r="B328" s="21" t="s">
        <v>26</v>
      </c>
      <c r="C328" s="21" t="s">
        <v>26</v>
      </c>
      <c r="D328" s="21" t="s">
        <v>921</v>
      </c>
      <c r="E328" s="21">
        <v>2</v>
      </c>
      <c r="F328" s="22">
        <v>46050.7141666667</v>
      </c>
      <c r="G328" s="22"/>
      <c r="H328" s="23">
        <v>869.2</v>
      </c>
      <c r="I328" s="23">
        <v>869.2</v>
      </c>
      <c r="J328" s="24">
        <v>1738.4</v>
      </c>
      <c r="K328" s="21">
        <v>0</v>
      </c>
      <c r="L328" s="21">
        <v>0</v>
      </c>
      <c r="M328" s="21">
        <f>COUNTIF($A$2:$A$5481,A328)</f>
        <v>1</v>
      </c>
      <c r="N328" s="24">
        <f t="shared" si="5"/>
        <v>1738.4000328</v>
      </c>
    </row>
    <row r="329" spans="1:14">
      <c r="A329" s="21" t="s">
        <v>1185</v>
      </c>
      <c r="B329" s="21" t="s">
        <v>26</v>
      </c>
      <c r="C329" s="21" t="s">
        <v>26</v>
      </c>
      <c r="D329" s="21" t="s">
        <v>921</v>
      </c>
      <c r="E329" s="21">
        <v>1</v>
      </c>
      <c r="F329" s="22">
        <v>45666.4715046296</v>
      </c>
      <c r="G329" s="22"/>
      <c r="H329" s="23">
        <v>147.31</v>
      </c>
      <c r="I329" s="23">
        <v>147.31</v>
      </c>
      <c r="J329" s="24">
        <v>147.31</v>
      </c>
      <c r="K329" s="21">
        <v>0</v>
      </c>
      <c r="L329" s="21">
        <v>0</v>
      </c>
      <c r="M329" s="21">
        <f>COUNTIF($A$2:$A$5481,A329)</f>
        <v>1</v>
      </c>
      <c r="N329" s="24">
        <f t="shared" si="5"/>
        <v>147.3100329</v>
      </c>
    </row>
    <row r="330" spans="1:14">
      <c r="A330" s="21" t="s">
        <v>1186</v>
      </c>
      <c r="B330" s="21" t="s">
        <v>26</v>
      </c>
      <c r="C330" s="21" t="s">
        <v>26</v>
      </c>
      <c r="D330" s="21" t="s">
        <v>921</v>
      </c>
      <c r="E330" s="21">
        <v>4</v>
      </c>
      <c r="F330" s="22">
        <v>46175.5487152778</v>
      </c>
      <c r="G330" s="22"/>
      <c r="H330" s="23">
        <v>7.32</v>
      </c>
      <c r="I330" s="23">
        <v>12.33</v>
      </c>
      <c r="J330" s="24">
        <v>49.32</v>
      </c>
      <c r="K330" s="21">
        <v>0</v>
      </c>
      <c r="L330" s="21">
        <v>0</v>
      </c>
      <c r="M330" s="21">
        <f>COUNTIF($A$2:$A$5481,A330)</f>
        <v>1</v>
      </c>
      <c r="N330" s="24">
        <f t="shared" si="5"/>
        <v>49.320033</v>
      </c>
    </row>
    <row r="331" spans="1:14">
      <c r="A331" s="21" t="s">
        <v>1187</v>
      </c>
      <c r="B331" s="21" t="s">
        <v>26</v>
      </c>
      <c r="C331" s="21" t="s">
        <v>26</v>
      </c>
      <c r="D331" s="21" t="s">
        <v>921</v>
      </c>
      <c r="E331" s="21">
        <v>2</v>
      </c>
      <c r="F331" s="22">
        <v>45559.4279861111</v>
      </c>
      <c r="G331" s="22"/>
      <c r="H331" s="23">
        <v>25.98</v>
      </c>
      <c r="I331" s="23">
        <v>12.99</v>
      </c>
      <c r="J331" s="24">
        <v>25.98</v>
      </c>
      <c r="K331" s="21">
        <v>0</v>
      </c>
      <c r="L331" s="21">
        <v>0</v>
      </c>
      <c r="M331" s="21">
        <f>COUNTIF($A$2:$A$5481,A331)</f>
        <v>1</v>
      </c>
      <c r="N331" s="24">
        <f t="shared" si="5"/>
        <v>25.9800331</v>
      </c>
    </row>
    <row r="332" spans="1:14">
      <c r="A332" s="21" t="s">
        <v>1188</v>
      </c>
      <c r="B332" s="21" t="s">
        <v>929</v>
      </c>
      <c r="C332" s="21" t="s">
        <v>26</v>
      </c>
      <c r="D332" s="21" t="s">
        <v>921</v>
      </c>
      <c r="E332" s="21">
        <v>1</v>
      </c>
      <c r="F332" s="22">
        <v>46175.5487152778</v>
      </c>
      <c r="G332" s="22"/>
      <c r="H332" s="23">
        <v>2.57</v>
      </c>
      <c r="I332" s="23">
        <v>2.57</v>
      </c>
      <c r="J332" s="24">
        <v>2.57</v>
      </c>
      <c r="K332" s="21">
        <v>0</v>
      </c>
      <c r="L332" s="21">
        <v>0</v>
      </c>
      <c r="M332" s="21">
        <f>COUNTIF($A$2:$A$5481,A332)</f>
        <v>1</v>
      </c>
      <c r="N332" s="24">
        <f t="shared" si="5"/>
        <v>2.5700332</v>
      </c>
    </row>
    <row r="333" spans="1:14">
      <c r="A333" s="21" t="s">
        <v>1189</v>
      </c>
      <c r="B333" s="21" t="s">
        <v>929</v>
      </c>
      <c r="C333" s="21" t="s">
        <v>26</v>
      </c>
      <c r="D333" s="21" t="s">
        <v>921</v>
      </c>
      <c r="E333" s="21">
        <v>1</v>
      </c>
      <c r="F333" s="22">
        <v>46175.5487152778</v>
      </c>
      <c r="G333" s="22"/>
      <c r="H333" s="23">
        <v>6.59</v>
      </c>
      <c r="I333" s="23">
        <v>6.59</v>
      </c>
      <c r="J333" s="24">
        <v>6.59</v>
      </c>
      <c r="K333" s="21">
        <v>0</v>
      </c>
      <c r="L333" s="21">
        <v>0</v>
      </c>
      <c r="M333" s="21">
        <f>COUNTIF($A$2:$A$5481,A333)</f>
        <v>1</v>
      </c>
      <c r="N333" s="24">
        <f t="shared" si="5"/>
        <v>6.5900333</v>
      </c>
    </row>
    <row r="334" spans="1:14">
      <c r="A334" s="21" t="s">
        <v>1190</v>
      </c>
      <c r="B334" s="21" t="s">
        <v>26</v>
      </c>
      <c r="C334" s="21" t="s">
        <v>26</v>
      </c>
      <c r="D334" s="21" t="s">
        <v>921</v>
      </c>
      <c r="E334" s="21">
        <v>8</v>
      </c>
      <c r="F334" s="22">
        <v>46035.6929282407</v>
      </c>
      <c r="G334" s="22"/>
      <c r="H334" s="23">
        <v>11.64</v>
      </c>
      <c r="I334" s="23">
        <v>2.3075</v>
      </c>
      <c r="J334" s="24">
        <v>18.48</v>
      </c>
      <c r="K334" s="21">
        <v>0</v>
      </c>
      <c r="L334" s="21">
        <v>0</v>
      </c>
      <c r="M334" s="21">
        <f>COUNTIF($A$2:$A$5481,A334)</f>
        <v>1</v>
      </c>
      <c r="N334" s="24">
        <f t="shared" si="5"/>
        <v>18.4800334</v>
      </c>
    </row>
    <row r="335" spans="1:14">
      <c r="A335" s="21" t="s">
        <v>1191</v>
      </c>
      <c r="B335" s="21" t="s">
        <v>26</v>
      </c>
      <c r="C335" s="21" t="s">
        <v>26</v>
      </c>
      <c r="D335" s="21" t="s">
        <v>921</v>
      </c>
      <c r="E335" s="21">
        <v>3</v>
      </c>
      <c r="F335" s="22">
        <v>45925.5633680556</v>
      </c>
      <c r="G335" s="22"/>
      <c r="H335" s="23">
        <v>5.64</v>
      </c>
      <c r="I335" s="23">
        <v>9.2933333333</v>
      </c>
      <c r="J335" s="24">
        <v>27.87</v>
      </c>
      <c r="K335" s="21">
        <v>0</v>
      </c>
      <c r="L335" s="21">
        <v>0</v>
      </c>
      <c r="M335" s="21">
        <f>COUNTIF($A$2:$A$5481,A335)</f>
        <v>1</v>
      </c>
      <c r="N335" s="24">
        <f t="shared" si="5"/>
        <v>27.8700335</v>
      </c>
    </row>
    <row r="336" spans="1:14">
      <c r="A336" s="21" t="s">
        <v>1192</v>
      </c>
      <c r="B336" s="21" t="s">
        <v>929</v>
      </c>
      <c r="C336" s="21" t="s">
        <v>26</v>
      </c>
      <c r="D336" s="21" t="s">
        <v>921</v>
      </c>
      <c r="E336" s="21">
        <v>3</v>
      </c>
      <c r="F336" s="22">
        <v>46171.5930092593</v>
      </c>
      <c r="G336" s="22"/>
      <c r="H336" s="23">
        <v>50.61</v>
      </c>
      <c r="I336" s="23">
        <v>16.87</v>
      </c>
      <c r="J336" s="24">
        <v>50.61</v>
      </c>
      <c r="K336" s="21">
        <v>0</v>
      </c>
      <c r="L336" s="21">
        <v>0</v>
      </c>
      <c r="M336" s="21">
        <f>COUNTIF($A$2:$A$5481,A336)</f>
        <v>1</v>
      </c>
      <c r="N336" s="24">
        <f t="shared" si="5"/>
        <v>50.6100336</v>
      </c>
    </row>
    <row r="337" spans="1:14">
      <c r="A337" s="21" t="s">
        <v>1193</v>
      </c>
      <c r="B337" s="21" t="s">
        <v>929</v>
      </c>
      <c r="C337" s="21" t="s">
        <v>26</v>
      </c>
      <c r="D337" s="21" t="s">
        <v>921</v>
      </c>
      <c r="E337" s="21">
        <v>2</v>
      </c>
      <c r="F337" s="22">
        <v>45911.5543171296</v>
      </c>
      <c r="G337" s="22"/>
      <c r="H337" s="23">
        <v>1.9</v>
      </c>
      <c r="I337" s="23">
        <v>0.95</v>
      </c>
      <c r="J337" s="24">
        <v>1.9</v>
      </c>
      <c r="K337" s="21">
        <v>0</v>
      </c>
      <c r="L337" s="21">
        <v>0</v>
      </c>
      <c r="M337" s="21">
        <f>COUNTIF($A$2:$A$5481,A337)</f>
        <v>1</v>
      </c>
      <c r="N337" s="24">
        <f t="shared" si="5"/>
        <v>1.9000337</v>
      </c>
    </row>
    <row r="338" spans="1:14">
      <c r="A338" s="21" t="s">
        <v>1194</v>
      </c>
      <c r="B338" s="21" t="s">
        <v>929</v>
      </c>
      <c r="C338" s="21" t="s">
        <v>26</v>
      </c>
      <c r="D338" s="21" t="s">
        <v>921</v>
      </c>
      <c r="E338" s="21">
        <v>3</v>
      </c>
      <c r="F338" s="22">
        <v>46171.5930092593</v>
      </c>
      <c r="G338" s="22"/>
      <c r="H338" s="23">
        <v>9.45</v>
      </c>
      <c r="I338" s="23">
        <v>3.15</v>
      </c>
      <c r="J338" s="24">
        <v>9.45</v>
      </c>
      <c r="K338" s="21">
        <v>0</v>
      </c>
      <c r="L338" s="21">
        <v>0</v>
      </c>
      <c r="M338" s="21">
        <f>COUNTIF($A$2:$A$5481,A338)</f>
        <v>1</v>
      </c>
      <c r="N338" s="24">
        <f t="shared" si="5"/>
        <v>9.4500338</v>
      </c>
    </row>
    <row r="339" spans="1:14">
      <c r="A339" s="21" t="s">
        <v>1195</v>
      </c>
      <c r="B339" s="21" t="s">
        <v>929</v>
      </c>
      <c r="C339" s="21" t="s">
        <v>26</v>
      </c>
      <c r="D339" s="21" t="s">
        <v>921</v>
      </c>
      <c r="E339" s="21">
        <v>2</v>
      </c>
      <c r="F339" s="22">
        <v>46171.5930092593</v>
      </c>
      <c r="G339" s="22"/>
      <c r="H339" s="23">
        <v>13.88</v>
      </c>
      <c r="I339" s="23">
        <v>6.94</v>
      </c>
      <c r="J339" s="24">
        <v>13.88</v>
      </c>
      <c r="K339" s="21">
        <v>0</v>
      </c>
      <c r="L339" s="21">
        <v>0</v>
      </c>
      <c r="M339" s="21">
        <f>COUNTIF($A$2:$A$5481,A339)</f>
        <v>1</v>
      </c>
      <c r="N339" s="24">
        <f t="shared" si="5"/>
        <v>13.8800339</v>
      </c>
    </row>
    <row r="340" spans="1:14">
      <c r="A340" s="21" t="s">
        <v>1196</v>
      </c>
      <c r="B340" s="21" t="s">
        <v>929</v>
      </c>
      <c r="C340" s="21" t="s">
        <v>26</v>
      </c>
      <c r="D340" s="21" t="s">
        <v>921</v>
      </c>
      <c r="E340" s="21">
        <v>3</v>
      </c>
      <c r="F340" s="22">
        <v>45775.7177083333</v>
      </c>
      <c r="G340" s="22"/>
      <c r="H340" s="23">
        <v>31.41</v>
      </c>
      <c r="I340" s="23">
        <v>10.47</v>
      </c>
      <c r="J340" s="24">
        <v>31.41</v>
      </c>
      <c r="K340" s="21">
        <v>0</v>
      </c>
      <c r="L340" s="21">
        <v>0</v>
      </c>
      <c r="M340" s="21">
        <f>COUNTIF($A$2:$A$5481,A340)</f>
        <v>1</v>
      </c>
      <c r="N340" s="24">
        <f t="shared" si="5"/>
        <v>31.410034</v>
      </c>
    </row>
    <row r="341" spans="1:14">
      <c r="A341" s="21" t="s">
        <v>1197</v>
      </c>
      <c r="B341" s="21" t="s">
        <v>929</v>
      </c>
      <c r="C341" s="21" t="s">
        <v>26</v>
      </c>
      <c r="D341" s="21" t="s">
        <v>921</v>
      </c>
      <c r="E341" s="21">
        <v>10</v>
      </c>
      <c r="F341" s="22">
        <v>46216.7099652778</v>
      </c>
      <c r="G341" s="22"/>
      <c r="H341" s="23">
        <v>208.5</v>
      </c>
      <c r="I341" s="23">
        <v>20.85</v>
      </c>
      <c r="J341" s="24">
        <v>208.5</v>
      </c>
      <c r="K341" s="21">
        <v>0</v>
      </c>
      <c r="L341" s="21">
        <v>0</v>
      </c>
      <c r="M341" s="21">
        <f>COUNTIF($A$2:$A$5481,A341)</f>
        <v>1</v>
      </c>
      <c r="N341" s="24">
        <f t="shared" si="5"/>
        <v>208.5000341</v>
      </c>
    </row>
    <row r="342" spans="1:14">
      <c r="A342" s="21" t="s">
        <v>1198</v>
      </c>
      <c r="B342" s="21" t="s">
        <v>26</v>
      </c>
      <c r="C342" s="21" t="s">
        <v>26</v>
      </c>
      <c r="D342" s="21" t="s">
        <v>921</v>
      </c>
      <c r="E342" s="21">
        <v>6</v>
      </c>
      <c r="F342" s="22">
        <v>45510.3605208333</v>
      </c>
      <c r="G342" s="22"/>
      <c r="H342" s="23">
        <v>373.64</v>
      </c>
      <c r="I342" s="23">
        <v>93.41</v>
      </c>
      <c r="J342" s="24">
        <v>560.46</v>
      </c>
      <c r="K342" s="21">
        <v>0</v>
      </c>
      <c r="L342" s="21">
        <v>0</v>
      </c>
      <c r="M342" s="21">
        <f>COUNTIF($A$2:$A$5481,A342)</f>
        <v>1</v>
      </c>
      <c r="N342" s="24">
        <f t="shared" si="5"/>
        <v>560.4600342</v>
      </c>
    </row>
    <row r="343" spans="1:14">
      <c r="A343" s="21" t="s">
        <v>855</v>
      </c>
      <c r="B343" s="21" t="s">
        <v>920</v>
      </c>
      <c r="C343" s="21" t="s">
        <v>35</v>
      </c>
      <c r="D343" s="21" t="s">
        <v>921</v>
      </c>
      <c r="E343" s="21">
        <v>2</v>
      </c>
      <c r="F343" s="22">
        <v>45376.7970601852</v>
      </c>
      <c r="G343" s="22"/>
      <c r="H343" s="23">
        <v>225.8</v>
      </c>
      <c r="I343" s="23">
        <v>112.9</v>
      </c>
      <c r="J343" s="24">
        <v>225.8</v>
      </c>
      <c r="K343" s="21">
        <v>0</v>
      </c>
      <c r="L343" s="21">
        <v>0</v>
      </c>
      <c r="M343" s="21">
        <f>COUNTIF($A$2:$A$5481,A343)</f>
        <v>2</v>
      </c>
      <c r="N343" s="24">
        <f t="shared" si="5"/>
        <v>225.8000343</v>
      </c>
    </row>
    <row r="344" spans="1:14">
      <c r="A344" s="21" t="s">
        <v>855</v>
      </c>
      <c r="B344" s="21" t="s">
        <v>920</v>
      </c>
      <c r="C344" s="21" t="s">
        <v>26</v>
      </c>
      <c r="D344" s="21" t="s">
        <v>921</v>
      </c>
      <c r="E344" s="21">
        <v>46</v>
      </c>
      <c r="F344" s="22">
        <v>46204.6597106482</v>
      </c>
      <c r="G344" s="22">
        <v>46267.4041319444</v>
      </c>
      <c r="H344" s="23">
        <v>777.2</v>
      </c>
      <c r="I344" s="23">
        <v>128.5782344681</v>
      </c>
      <c r="J344" s="24">
        <v>5914.68</v>
      </c>
      <c r="K344" s="21">
        <v>0</v>
      </c>
      <c r="L344" s="21">
        <v>0</v>
      </c>
      <c r="M344" s="21">
        <f>COUNTIF($A$2:$A$5481,A344)</f>
        <v>2</v>
      </c>
      <c r="N344" s="24">
        <f t="shared" si="5"/>
        <v>5914.6800344</v>
      </c>
    </row>
    <row r="345" spans="1:14">
      <c r="A345" s="21" t="s">
        <v>1199</v>
      </c>
      <c r="B345" s="21" t="s">
        <v>929</v>
      </c>
      <c r="C345" s="21" t="s">
        <v>414</v>
      </c>
      <c r="D345" s="21" t="s">
        <v>921</v>
      </c>
      <c r="E345" s="21">
        <v>2</v>
      </c>
      <c r="F345" s="22">
        <v>45355.553287037</v>
      </c>
      <c r="G345" s="22"/>
      <c r="H345" s="23">
        <v>367.8</v>
      </c>
      <c r="I345" s="23">
        <v>183.9</v>
      </c>
      <c r="J345" s="24">
        <v>367.8</v>
      </c>
      <c r="K345" s="21">
        <v>0</v>
      </c>
      <c r="L345" s="21">
        <v>0</v>
      </c>
      <c r="M345" s="21">
        <f>COUNTIF($A$2:$A$5481,A345)</f>
        <v>1</v>
      </c>
      <c r="N345" s="24">
        <f t="shared" si="5"/>
        <v>367.8000345</v>
      </c>
    </row>
    <row r="346" spans="1:14">
      <c r="A346" s="21" t="s">
        <v>1200</v>
      </c>
      <c r="B346" s="21" t="s">
        <v>26</v>
      </c>
      <c r="C346" s="21" t="s">
        <v>26</v>
      </c>
      <c r="D346" s="21" t="s">
        <v>921</v>
      </c>
      <c r="E346" s="21">
        <v>4</v>
      </c>
      <c r="F346" s="22">
        <v>45569.7269791667</v>
      </c>
      <c r="G346" s="22"/>
      <c r="H346" s="23">
        <v>95.6</v>
      </c>
      <c r="I346" s="23">
        <v>23.9</v>
      </c>
      <c r="J346" s="24">
        <v>95.6</v>
      </c>
      <c r="K346" s="21">
        <v>0</v>
      </c>
      <c r="L346" s="21">
        <v>0</v>
      </c>
      <c r="M346" s="21">
        <f>COUNTIF($A$2:$A$5481,A346)</f>
        <v>1</v>
      </c>
      <c r="N346" s="24">
        <f t="shared" si="5"/>
        <v>95.6000346</v>
      </c>
    </row>
    <row r="347" spans="1:14">
      <c r="A347" s="21" t="s">
        <v>891</v>
      </c>
      <c r="B347" s="21" t="s">
        <v>929</v>
      </c>
      <c r="C347" s="21" t="s">
        <v>182</v>
      </c>
      <c r="D347" s="21" t="s">
        <v>921</v>
      </c>
      <c r="E347" s="21">
        <v>4</v>
      </c>
      <c r="F347" s="22">
        <v>45294.8253009259</v>
      </c>
      <c r="G347" s="22"/>
      <c r="H347" s="23">
        <v>155.6</v>
      </c>
      <c r="I347" s="23">
        <v>38.9</v>
      </c>
      <c r="J347" s="24">
        <v>155.6</v>
      </c>
      <c r="K347" s="21">
        <v>1</v>
      </c>
      <c r="L347" s="21">
        <v>10</v>
      </c>
      <c r="M347" s="21">
        <f>COUNTIF($A$2:$A$5481,A347)</f>
        <v>2</v>
      </c>
      <c r="N347" s="24">
        <f t="shared" si="5"/>
        <v>155.6000347</v>
      </c>
    </row>
    <row r="348" spans="1:14">
      <c r="A348" s="21" t="s">
        <v>891</v>
      </c>
      <c r="B348" s="21" t="s">
        <v>929</v>
      </c>
      <c r="C348" s="21" t="s">
        <v>26</v>
      </c>
      <c r="D348" s="21" t="s">
        <v>921</v>
      </c>
      <c r="E348" s="21">
        <v>21</v>
      </c>
      <c r="F348" s="22">
        <v>46251.7298842593</v>
      </c>
      <c r="G348" s="22">
        <v>46274.5722222222</v>
      </c>
      <c r="H348" s="23">
        <v>292</v>
      </c>
      <c r="I348" s="23">
        <v>50.3357342657</v>
      </c>
      <c r="J348" s="24">
        <v>1057.14</v>
      </c>
      <c r="K348" s="21">
        <v>1</v>
      </c>
      <c r="L348" s="21">
        <v>10</v>
      </c>
      <c r="M348" s="21">
        <f>COUNTIF($A$2:$A$5481,A348)</f>
        <v>2</v>
      </c>
      <c r="N348" s="24">
        <f t="shared" si="5"/>
        <v>1057.1400348</v>
      </c>
    </row>
    <row r="349" spans="1:14">
      <c r="A349" s="21" t="s">
        <v>655</v>
      </c>
      <c r="B349" s="21" t="s">
        <v>26</v>
      </c>
      <c r="C349" s="21" t="s">
        <v>26</v>
      </c>
      <c r="D349" s="21" t="s">
        <v>921</v>
      </c>
      <c r="E349" s="21">
        <v>0</v>
      </c>
      <c r="F349" s="22">
        <v>46045.5574421296</v>
      </c>
      <c r="G349" s="22">
        <v>46252.5050347222</v>
      </c>
      <c r="H349" s="23">
        <v>41.1</v>
      </c>
      <c r="I349" s="23">
        <v>41.1</v>
      </c>
      <c r="J349" s="24">
        <v>0</v>
      </c>
      <c r="K349" s="21">
        <v>0</v>
      </c>
      <c r="L349" s="21">
        <v>0</v>
      </c>
      <c r="M349" s="21">
        <f>COUNTIF($A$2:$A$5481,A349)</f>
        <v>1</v>
      </c>
      <c r="N349" s="24">
        <f t="shared" si="5"/>
        <v>3.49e-5</v>
      </c>
    </row>
    <row r="350" spans="1:14">
      <c r="A350" s="21" t="s">
        <v>654</v>
      </c>
      <c r="B350" s="21" t="s">
        <v>26</v>
      </c>
      <c r="C350" s="21" t="s">
        <v>26</v>
      </c>
      <c r="D350" s="21" t="s">
        <v>921</v>
      </c>
      <c r="E350" s="21">
        <v>0</v>
      </c>
      <c r="F350" s="22">
        <v>45653.7451157407</v>
      </c>
      <c r="G350" s="22">
        <v>46252.5050231482</v>
      </c>
      <c r="H350" s="23">
        <v>47.97</v>
      </c>
      <c r="I350" s="23">
        <v>15.99</v>
      </c>
      <c r="J350" s="24">
        <v>0</v>
      </c>
      <c r="K350" s="21">
        <v>0</v>
      </c>
      <c r="L350" s="21">
        <v>0</v>
      </c>
      <c r="M350" s="21">
        <f>COUNTIF($A$2:$A$5481,A350)</f>
        <v>1</v>
      </c>
      <c r="N350" s="24">
        <f t="shared" si="5"/>
        <v>3.5e-5</v>
      </c>
    </row>
    <row r="351" spans="1:14">
      <c r="A351" s="21" t="s">
        <v>653</v>
      </c>
      <c r="B351" s="21" t="s">
        <v>26</v>
      </c>
      <c r="C351" s="21" t="s">
        <v>26</v>
      </c>
      <c r="D351" s="21" t="s">
        <v>921</v>
      </c>
      <c r="E351" s="21">
        <v>0</v>
      </c>
      <c r="F351" s="22">
        <v>46045.5574421296</v>
      </c>
      <c r="G351" s="22">
        <v>46252.5050115741</v>
      </c>
      <c r="H351" s="23">
        <v>65</v>
      </c>
      <c r="I351" s="23">
        <v>65</v>
      </c>
      <c r="J351" s="24">
        <v>0</v>
      </c>
      <c r="K351" s="21">
        <v>0</v>
      </c>
      <c r="L351" s="21">
        <v>0</v>
      </c>
      <c r="M351" s="21">
        <f>COUNTIF($A$2:$A$5481,A351)</f>
        <v>1</v>
      </c>
      <c r="N351" s="24">
        <f t="shared" si="5"/>
        <v>3.51e-5</v>
      </c>
    </row>
    <row r="352" spans="1:14">
      <c r="A352" s="21" t="s">
        <v>652</v>
      </c>
      <c r="B352" s="21" t="s">
        <v>26</v>
      </c>
      <c r="C352" s="21" t="s">
        <v>26</v>
      </c>
      <c r="D352" s="21" t="s">
        <v>921</v>
      </c>
      <c r="E352" s="21">
        <v>0</v>
      </c>
      <c r="F352" s="22">
        <v>46120.3576388889</v>
      </c>
      <c r="G352" s="22">
        <v>46252.505</v>
      </c>
      <c r="H352" s="23">
        <v>15.99</v>
      </c>
      <c r="I352" s="23">
        <v>15.99</v>
      </c>
      <c r="J352" s="24">
        <v>0</v>
      </c>
      <c r="K352" s="21">
        <v>0</v>
      </c>
      <c r="L352" s="21">
        <v>0</v>
      </c>
      <c r="M352" s="21">
        <f>COUNTIF($A$2:$A$5481,A352)</f>
        <v>1</v>
      </c>
      <c r="N352" s="24">
        <f t="shared" si="5"/>
        <v>3.52e-5</v>
      </c>
    </row>
    <row r="353" spans="1:14">
      <c r="A353" s="21" t="s">
        <v>651</v>
      </c>
      <c r="B353" s="21" t="s">
        <v>948</v>
      </c>
      <c r="C353" s="21" t="s">
        <v>641</v>
      </c>
      <c r="D353" s="21" t="s">
        <v>921</v>
      </c>
      <c r="E353" s="21">
        <v>1</v>
      </c>
      <c r="F353" s="22">
        <v>45364.848599537</v>
      </c>
      <c r="G353" s="22">
        <v>45320.3992708333</v>
      </c>
      <c r="H353" s="23">
        <v>25</v>
      </c>
      <c r="I353" s="23">
        <v>25</v>
      </c>
      <c r="J353" s="24">
        <v>25</v>
      </c>
      <c r="K353" s="21">
        <v>0</v>
      </c>
      <c r="L353" s="21">
        <v>2</v>
      </c>
      <c r="M353" s="21">
        <f>COUNTIF($A$2:$A$5481,A353)</f>
        <v>2</v>
      </c>
      <c r="N353" s="24">
        <f t="shared" si="5"/>
        <v>25.0000353</v>
      </c>
    </row>
    <row r="354" spans="1:14">
      <c r="A354" s="21" t="s">
        <v>651</v>
      </c>
      <c r="B354" s="21" t="s">
        <v>948</v>
      </c>
      <c r="C354" s="21" t="s">
        <v>26</v>
      </c>
      <c r="D354" s="21" t="s">
        <v>921</v>
      </c>
      <c r="E354" s="21">
        <v>0</v>
      </c>
      <c r="F354" s="22">
        <v>45813.5644097222</v>
      </c>
      <c r="G354" s="22">
        <v>46252.5049884259</v>
      </c>
      <c r="H354" s="23">
        <v>69.3</v>
      </c>
      <c r="I354" s="23">
        <v>53.712</v>
      </c>
      <c r="J354" s="24">
        <v>0</v>
      </c>
      <c r="K354" s="21">
        <v>0</v>
      </c>
      <c r="L354" s="21">
        <v>2</v>
      </c>
      <c r="M354" s="21">
        <f>COUNTIF($A$2:$A$5481,A354)</f>
        <v>2</v>
      </c>
      <c r="N354" s="24">
        <f t="shared" si="5"/>
        <v>3.54e-5</v>
      </c>
    </row>
    <row r="355" spans="1:14">
      <c r="A355" s="21" t="s">
        <v>650</v>
      </c>
      <c r="B355" s="21" t="s">
        <v>26</v>
      </c>
      <c r="C355" s="21" t="s">
        <v>182</v>
      </c>
      <c r="D355" s="21" t="s">
        <v>921</v>
      </c>
      <c r="E355" s="21">
        <v>3</v>
      </c>
      <c r="F355" s="22">
        <v>45435.6142708333</v>
      </c>
      <c r="G355" s="22">
        <v>45558.8422569444</v>
      </c>
      <c r="H355" s="23">
        <v>83.4</v>
      </c>
      <c r="I355" s="23">
        <v>0</v>
      </c>
      <c r="J355" s="24">
        <v>0</v>
      </c>
      <c r="K355" s="21">
        <v>0</v>
      </c>
      <c r="L355" s="21">
        <v>0</v>
      </c>
      <c r="M355" s="21">
        <f>COUNTIF($A$2:$A$5481,A355)</f>
        <v>3</v>
      </c>
      <c r="N355" s="24">
        <f t="shared" si="5"/>
        <v>3.55e-5</v>
      </c>
    </row>
    <row r="356" spans="1:14">
      <c r="A356" s="21" t="s">
        <v>650</v>
      </c>
      <c r="B356" s="21" t="s">
        <v>26</v>
      </c>
      <c r="C356" s="21" t="s">
        <v>26</v>
      </c>
      <c r="D356" s="21" t="s">
        <v>921</v>
      </c>
      <c r="E356" s="21">
        <v>0</v>
      </c>
      <c r="F356" s="22">
        <v>45653.7451157407</v>
      </c>
      <c r="G356" s="22">
        <v>46252.5049768519</v>
      </c>
      <c r="H356" s="23">
        <v>32.97</v>
      </c>
      <c r="I356" s="23">
        <v>10.99</v>
      </c>
      <c r="J356" s="24">
        <v>0</v>
      </c>
      <c r="K356" s="21">
        <v>0</v>
      </c>
      <c r="L356" s="21">
        <v>0</v>
      </c>
      <c r="M356" s="21">
        <f>COUNTIF($A$2:$A$5481,A356)</f>
        <v>3</v>
      </c>
      <c r="N356" s="24">
        <f t="shared" si="5"/>
        <v>3.56e-5</v>
      </c>
    </row>
    <row r="357" spans="1:14">
      <c r="A357" s="21" t="s">
        <v>650</v>
      </c>
      <c r="B357" s="21" t="s">
        <v>26</v>
      </c>
      <c r="C357" s="21" t="s">
        <v>51</v>
      </c>
      <c r="D357" s="21" t="s">
        <v>921</v>
      </c>
      <c r="E357" s="21">
        <v>10</v>
      </c>
      <c r="F357" s="22">
        <v>45791.3891782407</v>
      </c>
      <c r="G357" s="22"/>
      <c r="H357" s="23">
        <v>56.2</v>
      </c>
      <c r="I357" s="23">
        <v>5.62</v>
      </c>
      <c r="J357" s="24">
        <v>56.2</v>
      </c>
      <c r="K357" s="21">
        <v>0</v>
      </c>
      <c r="L357" s="21">
        <v>0</v>
      </c>
      <c r="M357" s="21">
        <f>COUNTIF($A$2:$A$5481,A357)</f>
        <v>3</v>
      </c>
      <c r="N357" s="24">
        <f t="shared" si="5"/>
        <v>56.2000357</v>
      </c>
    </row>
    <row r="358" spans="1:14">
      <c r="A358" s="21" t="s">
        <v>1201</v>
      </c>
      <c r="B358" s="21" t="s">
        <v>920</v>
      </c>
      <c r="C358" s="21" t="s">
        <v>26</v>
      </c>
      <c r="D358" s="21" t="s">
        <v>921</v>
      </c>
      <c r="E358" s="21">
        <v>0</v>
      </c>
      <c r="F358" s="22">
        <v>45512.6583333333</v>
      </c>
      <c r="G358" s="22">
        <v>45610.4206481482</v>
      </c>
      <c r="H358" s="23">
        <v>116.9</v>
      </c>
      <c r="I358" s="23">
        <v>116.9</v>
      </c>
      <c r="J358" s="24">
        <v>0</v>
      </c>
      <c r="K358" s="21">
        <v>0</v>
      </c>
      <c r="L358" s="21">
        <v>0</v>
      </c>
      <c r="M358" s="21">
        <f>COUNTIF($A$2:$A$5481,A358)</f>
        <v>1</v>
      </c>
      <c r="N358" s="24">
        <f t="shared" si="5"/>
        <v>3.58e-5</v>
      </c>
    </row>
    <row r="359" spans="1:14">
      <c r="A359" s="21" t="s">
        <v>898</v>
      </c>
      <c r="B359" s="21" t="s">
        <v>26</v>
      </c>
      <c r="C359" s="21" t="s">
        <v>182</v>
      </c>
      <c r="D359" s="21" t="s">
        <v>921</v>
      </c>
      <c r="E359" s="21">
        <v>13</v>
      </c>
      <c r="F359" s="22">
        <v>46260.4125</v>
      </c>
      <c r="G359" s="22">
        <v>46280.5769560185</v>
      </c>
      <c r="H359" s="23">
        <v>69.3</v>
      </c>
      <c r="I359" s="23">
        <v>6.61</v>
      </c>
      <c r="J359" s="24">
        <v>85.93</v>
      </c>
      <c r="K359" s="21">
        <v>0</v>
      </c>
      <c r="L359" s="21">
        <v>0</v>
      </c>
      <c r="M359" s="21">
        <f>COUNTIF($A$2:$A$5481,A359)</f>
        <v>1</v>
      </c>
      <c r="N359" s="24">
        <f t="shared" si="5"/>
        <v>85.9300359</v>
      </c>
    </row>
    <row r="360" spans="1:14">
      <c r="A360" s="21" t="s">
        <v>644</v>
      </c>
      <c r="B360" s="21" t="s">
        <v>948</v>
      </c>
      <c r="C360" s="21" t="s">
        <v>182</v>
      </c>
      <c r="D360" s="21" t="s">
        <v>921</v>
      </c>
      <c r="E360" s="21">
        <v>0</v>
      </c>
      <c r="F360" s="22">
        <v>45364.46875</v>
      </c>
      <c r="G360" s="22">
        <v>46252.4934837963</v>
      </c>
      <c r="H360" s="23">
        <v>102</v>
      </c>
      <c r="I360" s="23">
        <v>17</v>
      </c>
      <c r="J360" s="24">
        <v>0</v>
      </c>
      <c r="K360" s="21">
        <v>0</v>
      </c>
      <c r="L360" s="21">
        <v>0</v>
      </c>
      <c r="M360" s="21">
        <f>COUNTIF($A$2:$A$5481,A360)</f>
        <v>3</v>
      </c>
      <c r="N360" s="24">
        <f t="shared" si="5"/>
        <v>3.6e-5</v>
      </c>
    </row>
    <row r="361" spans="1:14">
      <c r="A361" s="21" t="s">
        <v>644</v>
      </c>
      <c r="B361" s="21" t="s">
        <v>948</v>
      </c>
      <c r="C361" s="21" t="s">
        <v>641</v>
      </c>
      <c r="D361" s="21" t="s">
        <v>921</v>
      </c>
      <c r="E361" s="21">
        <v>0</v>
      </c>
      <c r="F361" s="22">
        <v>45441.4573611111</v>
      </c>
      <c r="G361" s="22">
        <v>46252.4934953704</v>
      </c>
      <c r="H361" s="23">
        <v>102</v>
      </c>
      <c r="I361" s="23">
        <v>17</v>
      </c>
      <c r="J361" s="24">
        <v>0</v>
      </c>
      <c r="K361" s="21">
        <v>0</v>
      </c>
      <c r="L361" s="21">
        <v>0</v>
      </c>
      <c r="M361" s="21">
        <f>COUNTIF($A$2:$A$5481,A361)</f>
        <v>3</v>
      </c>
      <c r="N361" s="24">
        <f t="shared" si="5"/>
        <v>3.61e-5</v>
      </c>
    </row>
    <row r="362" spans="1:14">
      <c r="A362" s="21" t="s">
        <v>644</v>
      </c>
      <c r="B362" s="21" t="s">
        <v>948</v>
      </c>
      <c r="C362" s="21" t="s">
        <v>26</v>
      </c>
      <c r="D362" s="21" t="s">
        <v>921</v>
      </c>
      <c r="E362" s="21">
        <v>1</v>
      </c>
      <c r="F362" s="22">
        <v>45518.3625810185</v>
      </c>
      <c r="G362" s="22"/>
      <c r="H362" s="23">
        <v>115</v>
      </c>
      <c r="I362" s="23">
        <v>115</v>
      </c>
      <c r="J362" s="24">
        <v>115</v>
      </c>
      <c r="K362" s="21">
        <v>0</v>
      </c>
      <c r="L362" s="21">
        <v>0</v>
      </c>
      <c r="M362" s="21">
        <f>COUNTIF($A$2:$A$5481,A362)</f>
        <v>3</v>
      </c>
      <c r="N362" s="24">
        <f t="shared" si="5"/>
        <v>115.0000362</v>
      </c>
    </row>
    <row r="363" spans="1:14">
      <c r="A363" s="21" t="s">
        <v>1202</v>
      </c>
      <c r="B363" s="21" t="s">
        <v>948</v>
      </c>
      <c r="C363" s="21" t="s">
        <v>26</v>
      </c>
      <c r="D363" s="21" t="s">
        <v>921</v>
      </c>
      <c r="E363" s="21">
        <v>5</v>
      </c>
      <c r="F363" s="22">
        <v>45677.77375</v>
      </c>
      <c r="G363" s="22"/>
      <c r="H363" s="23">
        <v>65</v>
      </c>
      <c r="I363" s="23">
        <v>13</v>
      </c>
      <c r="J363" s="24">
        <v>65</v>
      </c>
      <c r="K363" s="21">
        <v>0</v>
      </c>
      <c r="L363" s="21">
        <v>0</v>
      </c>
      <c r="M363" s="21">
        <f>COUNTIF($A$2:$A$5481,A363)</f>
        <v>1</v>
      </c>
      <c r="N363" s="24">
        <f t="shared" si="5"/>
        <v>65.0000363</v>
      </c>
    </row>
    <row r="364" spans="1:14">
      <c r="A364" s="21" t="s">
        <v>1203</v>
      </c>
      <c r="B364" s="21" t="s">
        <v>929</v>
      </c>
      <c r="C364" s="21" t="s">
        <v>26</v>
      </c>
      <c r="D364" s="21" t="s">
        <v>921</v>
      </c>
      <c r="E364" s="21">
        <v>1</v>
      </c>
      <c r="F364" s="22">
        <v>46002.5477662037</v>
      </c>
      <c r="G364" s="22"/>
      <c r="H364" s="23">
        <v>50</v>
      </c>
      <c r="I364" s="23">
        <v>50</v>
      </c>
      <c r="J364" s="24">
        <v>50</v>
      </c>
      <c r="K364" s="21">
        <v>0</v>
      </c>
      <c r="L364" s="21">
        <v>0</v>
      </c>
      <c r="M364" s="21">
        <f>COUNTIF($A$2:$A$5481,A364)</f>
        <v>1</v>
      </c>
      <c r="N364" s="24">
        <f t="shared" si="5"/>
        <v>50.0000364</v>
      </c>
    </row>
    <row r="365" spans="1:14">
      <c r="A365" s="21" t="s">
        <v>1204</v>
      </c>
      <c r="B365" s="21" t="s">
        <v>929</v>
      </c>
      <c r="C365" s="21" t="s">
        <v>26</v>
      </c>
      <c r="D365" s="21" t="s">
        <v>921</v>
      </c>
      <c r="E365" s="21">
        <v>3</v>
      </c>
      <c r="F365" s="22">
        <v>46079.6550694444</v>
      </c>
      <c r="G365" s="22"/>
      <c r="H365" s="23">
        <v>150</v>
      </c>
      <c r="I365" s="23">
        <v>150</v>
      </c>
      <c r="J365" s="24">
        <v>450</v>
      </c>
      <c r="K365" s="21">
        <v>0</v>
      </c>
      <c r="L365" s="21">
        <v>0</v>
      </c>
      <c r="M365" s="21">
        <f>COUNTIF($A$2:$A$5481,A365)</f>
        <v>1</v>
      </c>
      <c r="N365" s="24">
        <f t="shared" si="5"/>
        <v>450.0000365</v>
      </c>
    </row>
    <row r="366" spans="1:14">
      <c r="A366" s="21" t="s">
        <v>1205</v>
      </c>
      <c r="B366" s="21" t="s">
        <v>920</v>
      </c>
      <c r="C366" s="21" t="s">
        <v>35</v>
      </c>
      <c r="D366" s="21" t="s">
        <v>921</v>
      </c>
      <c r="E366" s="21">
        <v>0</v>
      </c>
      <c r="F366" s="22">
        <v>45267.5884027778</v>
      </c>
      <c r="G366" s="22">
        <v>45267.5619097222</v>
      </c>
      <c r="H366" s="23">
        <v>15.73</v>
      </c>
      <c r="I366" s="23">
        <v>0</v>
      </c>
      <c r="J366" s="24">
        <v>0</v>
      </c>
      <c r="K366" s="21">
        <v>0</v>
      </c>
      <c r="L366" s="21">
        <v>0</v>
      </c>
      <c r="M366" s="21">
        <f>COUNTIF($A$2:$A$5481,A366)</f>
        <v>1</v>
      </c>
      <c r="N366" s="24">
        <f t="shared" si="5"/>
        <v>3.66e-5</v>
      </c>
    </row>
    <row r="367" spans="1:14">
      <c r="A367" s="21" t="s">
        <v>716</v>
      </c>
      <c r="B367" s="21" t="s">
        <v>26</v>
      </c>
      <c r="C367" s="21" t="s">
        <v>26</v>
      </c>
      <c r="D367" s="21" t="s">
        <v>921</v>
      </c>
      <c r="E367" s="21">
        <v>0</v>
      </c>
      <c r="F367" s="22">
        <v>45455.8095138889</v>
      </c>
      <c r="G367" s="22">
        <v>46252.5691435185</v>
      </c>
      <c r="H367" s="23">
        <v>30</v>
      </c>
      <c r="I367" s="23">
        <v>15</v>
      </c>
      <c r="J367" s="24">
        <v>0</v>
      </c>
      <c r="K367" s="21">
        <v>0</v>
      </c>
      <c r="L367" s="21">
        <v>0</v>
      </c>
      <c r="M367" s="21">
        <f>COUNTIF($A$2:$A$5481,A367)</f>
        <v>1</v>
      </c>
      <c r="N367" s="24">
        <f t="shared" si="5"/>
        <v>3.67e-5</v>
      </c>
    </row>
    <row r="368" spans="1:14">
      <c r="A368" s="21" t="s">
        <v>1206</v>
      </c>
      <c r="B368" s="21" t="s">
        <v>26</v>
      </c>
      <c r="C368" s="21" t="s">
        <v>35</v>
      </c>
      <c r="D368" s="21" t="s">
        <v>921</v>
      </c>
      <c r="E368" s="21">
        <v>1</v>
      </c>
      <c r="F368" s="22">
        <v>45608.4856944445</v>
      </c>
      <c r="G368" s="22"/>
      <c r="H368" s="23">
        <v>75.9</v>
      </c>
      <c r="I368" s="23">
        <v>75.9</v>
      </c>
      <c r="J368" s="24">
        <v>75.9</v>
      </c>
      <c r="K368" s="21">
        <v>0</v>
      </c>
      <c r="L368" s="21">
        <v>0</v>
      </c>
      <c r="M368" s="21">
        <f>COUNTIF($A$2:$A$5481,A368)</f>
        <v>1</v>
      </c>
      <c r="N368" s="24">
        <f t="shared" si="5"/>
        <v>75.9000368</v>
      </c>
    </row>
    <row r="369" spans="1:14">
      <c r="A369" s="21" t="s">
        <v>1207</v>
      </c>
      <c r="B369" s="21" t="s">
        <v>26</v>
      </c>
      <c r="C369" s="21" t="s">
        <v>26</v>
      </c>
      <c r="D369" s="21" t="s">
        <v>921</v>
      </c>
      <c r="E369" s="21">
        <v>9</v>
      </c>
      <c r="F369" s="22">
        <v>45615.5476736111</v>
      </c>
      <c r="G369" s="22"/>
      <c r="H369" s="23">
        <v>42.25</v>
      </c>
      <c r="I369" s="23">
        <v>8.38333</v>
      </c>
      <c r="J369" s="24">
        <v>75.42</v>
      </c>
      <c r="K369" s="21">
        <v>0</v>
      </c>
      <c r="L369" s="21">
        <v>0</v>
      </c>
      <c r="M369" s="21">
        <f>COUNTIF($A$2:$A$5481,A369)</f>
        <v>1</v>
      </c>
      <c r="N369" s="24">
        <f t="shared" si="5"/>
        <v>75.4200369</v>
      </c>
    </row>
    <row r="370" spans="1:14">
      <c r="A370" s="21" t="s">
        <v>1208</v>
      </c>
      <c r="B370" s="21" t="s">
        <v>26</v>
      </c>
      <c r="C370" s="21" t="s">
        <v>26</v>
      </c>
      <c r="D370" s="21" t="s">
        <v>921</v>
      </c>
      <c r="E370" s="21">
        <v>10</v>
      </c>
      <c r="F370" s="22">
        <v>45499.3657407407</v>
      </c>
      <c r="G370" s="22"/>
      <c r="H370" s="23">
        <v>23</v>
      </c>
      <c r="I370" s="23">
        <v>2.3</v>
      </c>
      <c r="J370" s="24">
        <v>23</v>
      </c>
      <c r="K370" s="21">
        <v>0</v>
      </c>
      <c r="L370" s="21">
        <v>0</v>
      </c>
      <c r="M370" s="21">
        <f>COUNTIF($A$2:$A$5481,A370)</f>
        <v>1</v>
      </c>
      <c r="N370" s="24">
        <f t="shared" si="5"/>
        <v>23.000037</v>
      </c>
    </row>
    <row r="371" spans="1:14">
      <c r="A371" s="21" t="s">
        <v>1209</v>
      </c>
      <c r="B371" s="21" t="s">
        <v>929</v>
      </c>
      <c r="C371" s="21" t="s">
        <v>26</v>
      </c>
      <c r="D371" s="21" t="s">
        <v>931</v>
      </c>
      <c r="E371" s="21">
        <v>10</v>
      </c>
      <c r="F371" s="22">
        <v>45793.3587037037</v>
      </c>
      <c r="G371" s="22"/>
      <c r="H371" s="23">
        <v>5</v>
      </c>
      <c r="I371" s="23">
        <v>0.5</v>
      </c>
      <c r="J371" s="24">
        <v>5</v>
      </c>
      <c r="K371" s="21">
        <v>0</v>
      </c>
      <c r="L371" s="21">
        <v>0</v>
      </c>
      <c r="M371" s="21">
        <f>COUNTIF($A$2:$A$5481,A371)</f>
        <v>1</v>
      </c>
      <c r="N371" s="24">
        <f t="shared" si="5"/>
        <v>5.0000371</v>
      </c>
    </row>
    <row r="372" spans="1:14">
      <c r="A372" s="21" t="s">
        <v>1210</v>
      </c>
      <c r="B372" s="21" t="s">
        <v>26</v>
      </c>
      <c r="C372" s="21" t="s">
        <v>26</v>
      </c>
      <c r="D372" s="21" t="s">
        <v>921</v>
      </c>
      <c r="E372" s="21">
        <v>1</v>
      </c>
      <c r="F372" s="22">
        <v>45796.819837963</v>
      </c>
      <c r="G372" s="22"/>
      <c r="H372" s="23">
        <v>20.48</v>
      </c>
      <c r="I372" s="23">
        <v>20.48</v>
      </c>
      <c r="J372" s="24">
        <v>20.48</v>
      </c>
      <c r="K372" s="21">
        <v>0</v>
      </c>
      <c r="L372" s="21">
        <v>0</v>
      </c>
      <c r="M372" s="21">
        <f>COUNTIF($A$2:$A$5481,A372)</f>
        <v>1</v>
      </c>
      <c r="N372" s="24">
        <f t="shared" si="5"/>
        <v>20.4800372</v>
      </c>
    </row>
    <row r="373" spans="1:14">
      <c r="A373" s="21" t="s">
        <v>1211</v>
      </c>
      <c r="B373" s="21" t="s">
        <v>929</v>
      </c>
      <c r="C373" s="21" t="s">
        <v>414</v>
      </c>
      <c r="D373" s="21" t="s">
        <v>921</v>
      </c>
      <c r="E373" s="21">
        <v>3</v>
      </c>
      <c r="F373" s="22">
        <v>45337.8121064815</v>
      </c>
      <c r="G373" s="22"/>
      <c r="H373" s="23">
        <v>27.45</v>
      </c>
      <c r="I373" s="23">
        <v>9.15</v>
      </c>
      <c r="J373" s="24">
        <v>27.45</v>
      </c>
      <c r="K373" s="21">
        <v>0</v>
      </c>
      <c r="L373" s="21">
        <v>0</v>
      </c>
      <c r="M373" s="21">
        <f>COUNTIF($A$2:$A$5481,A373)</f>
        <v>2</v>
      </c>
      <c r="N373" s="24">
        <f t="shared" si="5"/>
        <v>27.4500373</v>
      </c>
    </row>
    <row r="374" spans="1:14">
      <c r="A374" s="21" t="s">
        <v>1211</v>
      </c>
      <c r="B374" s="21" t="s">
        <v>929</v>
      </c>
      <c r="C374" s="21" t="s">
        <v>26</v>
      </c>
      <c r="D374" s="21" t="s">
        <v>921</v>
      </c>
      <c r="E374" s="21">
        <v>12</v>
      </c>
      <c r="F374" s="22">
        <v>45863.5698148148</v>
      </c>
      <c r="G374" s="22"/>
      <c r="H374" s="23">
        <v>8.19182</v>
      </c>
      <c r="I374" s="23">
        <v>8.1918183333</v>
      </c>
      <c r="J374" s="24">
        <v>98.28</v>
      </c>
      <c r="K374" s="21">
        <v>0</v>
      </c>
      <c r="L374" s="21">
        <v>0</v>
      </c>
      <c r="M374" s="21">
        <f>COUNTIF($A$2:$A$5481,A374)</f>
        <v>2</v>
      </c>
      <c r="N374" s="24">
        <f t="shared" si="5"/>
        <v>98.2800374</v>
      </c>
    </row>
    <row r="375" spans="1:14">
      <c r="A375" s="21" t="s">
        <v>1212</v>
      </c>
      <c r="B375" s="21" t="s">
        <v>920</v>
      </c>
      <c r="C375" s="21" t="s">
        <v>26</v>
      </c>
      <c r="D375" s="21" t="s">
        <v>931</v>
      </c>
      <c r="E375" s="21">
        <v>44</v>
      </c>
      <c r="F375" s="22">
        <v>45610.3512731482</v>
      </c>
      <c r="G375" s="22"/>
      <c r="H375" s="23">
        <v>41.8</v>
      </c>
      <c r="I375" s="23">
        <v>0.95</v>
      </c>
      <c r="J375" s="24">
        <v>41.8</v>
      </c>
      <c r="K375" s="21">
        <v>0</v>
      </c>
      <c r="L375" s="21">
        <v>0</v>
      </c>
      <c r="M375" s="21">
        <f>COUNTIF($A$2:$A$5481,A375)</f>
        <v>1</v>
      </c>
      <c r="N375" s="24">
        <f t="shared" si="5"/>
        <v>41.8000375</v>
      </c>
    </row>
    <row r="376" spans="1:14">
      <c r="A376" s="21" t="s">
        <v>1213</v>
      </c>
      <c r="B376" s="21" t="s">
        <v>920</v>
      </c>
      <c r="C376" s="21" t="s">
        <v>26</v>
      </c>
      <c r="D376" s="21" t="s">
        <v>931</v>
      </c>
      <c r="E376" s="21">
        <v>50</v>
      </c>
      <c r="F376" s="22">
        <v>45610.3512731482</v>
      </c>
      <c r="G376" s="22"/>
      <c r="H376" s="23">
        <v>40</v>
      </c>
      <c r="I376" s="23">
        <v>0.8</v>
      </c>
      <c r="J376" s="24">
        <v>40</v>
      </c>
      <c r="K376" s="21">
        <v>0</v>
      </c>
      <c r="L376" s="21">
        <v>0</v>
      </c>
      <c r="M376" s="21">
        <f>COUNTIF($A$2:$A$5481,A376)</f>
        <v>1</v>
      </c>
      <c r="N376" s="24">
        <f t="shared" si="5"/>
        <v>40.0000376</v>
      </c>
    </row>
    <row r="377" spans="1:14">
      <c r="A377" s="21" t="s">
        <v>1214</v>
      </c>
      <c r="B377" s="21" t="s">
        <v>26</v>
      </c>
      <c r="C377" s="21" t="s">
        <v>26</v>
      </c>
      <c r="D377" s="21" t="s">
        <v>921</v>
      </c>
      <c r="E377" s="21">
        <v>1</v>
      </c>
      <c r="F377" s="22">
        <v>46112.8795717593</v>
      </c>
      <c r="G377" s="22"/>
      <c r="H377" s="23">
        <v>2.5</v>
      </c>
      <c r="I377" s="23">
        <v>2.5</v>
      </c>
      <c r="J377" s="24">
        <v>2.5</v>
      </c>
      <c r="K377" s="21">
        <v>0</v>
      </c>
      <c r="L377" s="21">
        <v>0</v>
      </c>
      <c r="M377" s="21">
        <f>COUNTIF($A$2:$A$5481,A377)</f>
        <v>1</v>
      </c>
      <c r="N377" s="24">
        <f t="shared" si="5"/>
        <v>2.5000377</v>
      </c>
    </row>
    <row r="378" spans="1:14">
      <c r="A378" s="21" t="s">
        <v>1215</v>
      </c>
      <c r="B378" s="21" t="s">
        <v>920</v>
      </c>
      <c r="C378" s="21" t="s">
        <v>26</v>
      </c>
      <c r="D378" s="21" t="s">
        <v>921</v>
      </c>
      <c r="E378" s="21">
        <v>2</v>
      </c>
      <c r="F378" s="22">
        <v>46202.5722222222</v>
      </c>
      <c r="G378" s="22"/>
      <c r="H378" s="23">
        <v>45</v>
      </c>
      <c r="I378" s="23">
        <v>42.5</v>
      </c>
      <c r="J378" s="24">
        <v>85</v>
      </c>
      <c r="K378" s="21">
        <v>0</v>
      </c>
      <c r="L378" s="21">
        <v>0</v>
      </c>
      <c r="M378" s="21">
        <f>COUNTIF($A$2:$A$5481,A378)</f>
        <v>1</v>
      </c>
      <c r="N378" s="24">
        <f t="shared" si="5"/>
        <v>85.0000378</v>
      </c>
    </row>
    <row r="379" spans="1:14">
      <c r="A379" s="21" t="s">
        <v>1216</v>
      </c>
      <c r="B379" s="21" t="s">
        <v>26</v>
      </c>
      <c r="C379" s="21" t="s">
        <v>26</v>
      </c>
      <c r="D379" s="21" t="s">
        <v>1217</v>
      </c>
      <c r="E379" s="21">
        <v>58</v>
      </c>
      <c r="F379" s="22">
        <v>46094.5597222222</v>
      </c>
      <c r="G379" s="22"/>
      <c r="H379" s="23">
        <v>5.29</v>
      </c>
      <c r="I379" s="23">
        <v>1.0470689655</v>
      </c>
      <c r="J379" s="24">
        <v>60.9</v>
      </c>
      <c r="K379" s="21">
        <v>0</v>
      </c>
      <c r="L379" s="21">
        <v>0</v>
      </c>
      <c r="M379" s="21">
        <f>COUNTIF($A$2:$A$5481,A379)</f>
        <v>1</v>
      </c>
      <c r="N379" s="24">
        <f t="shared" si="5"/>
        <v>60.9000379</v>
      </c>
    </row>
    <row r="380" spans="1:14">
      <c r="A380" s="21" t="s">
        <v>1218</v>
      </c>
      <c r="B380" s="21" t="s">
        <v>920</v>
      </c>
      <c r="C380" s="21" t="s">
        <v>26</v>
      </c>
      <c r="D380" s="21" t="s">
        <v>921</v>
      </c>
      <c r="E380" s="21">
        <v>6</v>
      </c>
      <c r="F380" s="22">
        <v>45656.434212963</v>
      </c>
      <c r="G380" s="22"/>
      <c r="H380" s="23">
        <v>75</v>
      </c>
      <c r="I380" s="23">
        <v>15.83333</v>
      </c>
      <c r="J380" s="24">
        <v>94.98</v>
      </c>
      <c r="K380" s="21">
        <v>0</v>
      </c>
      <c r="L380" s="21">
        <v>0</v>
      </c>
      <c r="M380" s="21">
        <f>COUNTIF($A$2:$A$5481,A380)</f>
        <v>1</v>
      </c>
      <c r="N380" s="24">
        <f t="shared" si="5"/>
        <v>94.980038</v>
      </c>
    </row>
    <row r="381" spans="1:14">
      <c r="A381" s="21" t="s">
        <v>1219</v>
      </c>
      <c r="B381" s="21" t="s">
        <v>26</v>
      </c>
      <c r="C381" s="21" t="s">
        <v>26</v>
      </c>
      <c r="D381" s="21" t="s">
        <v>931</v>
      </c>
      <c r="E381" s="21">
        <v>25</v>
      </c>
      <c r="F381" s="22">
        <v>46094.5597222222</v>
      </c>
      <c r="G381" s="22"/>
      <c r="H381" s="23">
        <v>45.85</v>
      </c>
      <c r="I381" s="23">
        <v>2.186</v>
      </c>
      <c r="J381" s="24">
        <v>54.75</v>
      </c>
      <c r="K381" s="21">
        <v>0</v>
      </c>
      <c r="L381" s="21">
        <v>0</v>
      </c>
      <c r="M381" s="21">
        <f>COUNTIF($A$2:$A$5481,A381)</f>
        <v>1</v>
      </c>
      <c r="N381" s="24">
        <f t="shared" si="5"/>
        <v>54.7500381</v>
      </c>
    </row>
    <row r="382" spans="1:14">
      <c r="A382" s="21" t="s">
        <v>1220</v>
      </c>
      <c r="B382" s="21" t="s">
        <v>26</v>
      </c>
      <c r="C382" s="21" t="s">
        <v>26</v>
      </c>
      <c r="D382" s="21" t="s">
        <v>1217</v>
      </c>
      <c r="E382" s="21">
        <v>405</v>
      </c>
      <c r="F382" s="22">
        <v>46112.8795717593</v>
      </c>
      <c r="G382" s="22"/>
      <c r="H382" s="23">
        <v>8.35</v>
      </c>
      <c r="I382" s="23">
        <v>0.6710864198</v>
      </c>
      <c r="J382" s="24">
        <v>271.35</v>
      </c>
      <c r="K382" s="21">
        <v>0</v>
      </c>
      <c r="L382" s="21">
        <v>0</v>
      </c>
      <c r="M382" s="21">
        <f>COUNTIF($A$2:$A$5481,A382)</f>
        <v>1</v>
      </c>
      <c r="N382" s="24">
        <f t="shared" si="5"/>
        <v>271.3500382</v>
      </c>
    </row>
    <row r="383" spans="1:14">
      <c r="A383" s="21" t="s">
        <v>1221</v>
      </c>
      <c r="B383" s="21" t="s">
        <v>26</v>
      </c>
      <c r="C383" s="21" t="s">
        <v>26</v>
      </c>
      <c r="D383" s="21" t="s">
        <v>921</v>
      </c>
      <c r="E383" s="21">
        <v>65</v>
      </c>
      <c r="F383" s="22">
        <v>46015.5406828704</v>
      </c>
      <c r="G383" s="22"/>
      <c r="H383" s="23">
        <v>16</v>
      </c>
      <c r="I383" s="23">
        <v>6.6092307692</v>
      </c>
      <c r="J383" s="24">
        <v>429.65</v>
      </c>
      <c r="K383" s="21">
        <v>0</v>
      </c>
      <c r="L383" s="21">
        <v>0</v>
      </c>
      <c r="M383" s="21">
        <f>COUNTIF($A$2:$A$5481,A383)</f>
        <v>1</v>
      </c>
      <c r="N383" s="24">
        <f t="shared" si="5"/>
        <v>429.6500383</v>
      </c>
    </row>
    <row r="384" spans="1:14">
      <c r="A384" s="21" t="s">
        <v>1222</v>
      </c>
      <c r="B384" s="21" t="s">
        <v>920</v>
      </c>
      <c r="C384" s="21" t="s">
        <v>26</v>
      </c>
      <c r="D384" s="21" t="s">
        <v>921</v>
      </c>
      <c r="E384" s="21">
        <v>46</v>
      </c>
      <c r="F384" s="22">
        <v>46055.7000925926</v>
      </c>
      <c r="G384" s="22"/>
      <c r="H384" s="23">
        <v>41.4</v>
      </c>
      <c r="I384" s="23">
        <v>0.9</v>
      </c>
      <c r="J384" s="24">
        <v>41.4</v>
      </c>
      <c r="K384" s="21">
        <v>0</v>
      </c>
      <c r="L384" s="21">
        <v>0</v>
      </c>
      <c r="M384" s="21">
        <f>COUNTIF($A$2:$A$5481,A384)</f>
        <v>1</v>
      </c>
      <c r="N384" s="24">
        <f t="shared" si="5"/>
        <v>41.4000384</v>
      </c>
    </row>
    <row r="385" spans="1:14">
      <c r="A385" s="21" t="s">
        <v>1223</v>
      </c>
      <c r="B385" s="21" t="s">
        <v>920</v>
      </c>
      <c r="C385" s="21" t="s">
        <v>35</v>
      </c>
      <c r="D385" s="21" t="s">
        <v>921</v>
      </c>
      <c r="E385" s="21">
        <v>4</v>
      </c>
      <c r="F385" s="22">
        <v>45477.5930555556</v>
      </c>
      <c r="G385" s="22"/>
      <c r="H385" s="23">
        <v>696</v>
      </c>
      <c r="I385" s="23">
        <v>336.915</v>
      </c>
      <c r="J385" s="24">
        <v>1347.68</v>
      </c>
      <c r="K385" s="21">
        <v>0</v>
      </c>
      <c r="L385" s="21">
        <v>0</v>
      </c>
      <c r="M385" s="21">
        <f>COUNTIF($A$2:$A$5481,A385)</f>
        <v>1</v>
      </c>
      <c r="N385" s="24">
        <f t="shared" si="5"/>
        <v>1347.6800385</v>
      </c>
    </row>
    <row r="386" spans="1:14">
      <c r="A386" s="21" t="s">
        <v>1224</v>
      </c>
      <c r="B386" s="21" t="s">
        <v>920</v>
      </c>
      <c r="C386" s="21" t="s">
        <v>35</v>
      </c>
      <c r="D386" s="21" t="s">
        <v>921</v>
      </c>
      <c r="E386" s="21">
        <v>0</v>
      </c>
      <c r="F386" s="22">
        <v>45324.4787962963</v>
      </c>
      <c r="G386" s="22">
        <v>45715.3711574074</v>
      </c>
      <c r="H386" s="23">
        <v>30</v>
      </c>
      <c r="I386" s="23">
        <v>15</v>
      </c>
      <c r="J386" s="24">
        <v>0</v>
      </c>
      <c r="K386" s="21">
        <v>0</v>
      </c>
      <c r="L386" s="21">
        <v>0</v>
      </c>
      <c r="M386" s="21">
        <f>COUNTIF($A$2:$A$5481,A386)</f>
        <v>1</v>
      </c>
      <c r="N386" s="24">
        <f t="shared" ref="N386:N449" si="6">J386+ROW()/10000000</f>
        <v>3.86e-5</v>
      </c>
    </row>
    <row r="387" spans="1:14">
      <c r="A387" s="21" t="s">
        <v>1225</v>
      </c>
      <c r="B387" s="21" t="s">
        <v>920</v>
      </c>
      <c r="C387" s="21" t="s">
        <v>26</v>
      </c>
      <c r="D387" s="21" t="s">
        <v>921</v>
      </c>
      <c r="E387" s="21">
        <v>1</v>
      </c>
      <c r="F387" s="22">
        <v>45707.5809375</v>
      </c>
      <c r="G387" s="22"/>
      <c r="H387" s="23">
        <v>90</v>
      </c>
      <c r="I387" s="23">
        <v>90</v>
      </c>
      <c r="J387" s="24">
        <v>90</v>
      </c>
      <c r="K387" s="21">
        <v>0</v>
      </c>
      <c r="L387" s="21">
        <v>0</v>
      </c>
      <c r="M387" s="21">
        <f>COUNTIF($A$2:$A$5481,A387)</f>
        <v>1</v>
      </c>
      <c r="N387" s="24">
        <f t="shared" si="6"/>
        <v>90.0000387</v>
      </c>
    </row>
    <row r="388" spans="1:14">
      <c r="A388" s="21" t="s">
        <v>1226</v>
      </c>
      <c r="B388" s="21" t="s">
        <v>920</v>
      </c>
      <c r="C388" s="21" t="s">
        <v>26</v>
      </c>
      <c r="D388" s="21" t="s">
        <v>921</v>
      </c>
      <c r="E388" s="21">
        <v>10</v>
      </c>
      <c r="F388" s="22">
        <v>45999.3380555556</v>
      </c>
      <c r="G388" s="22"/>
      <c r="H388" s="23">
        <v>150</v>
      </c>
      <c r="I388" s="23">
        <v>15</v>
      </c>
      <c r="J388" s="24">
        <v>150</v>
      </c>
      <c r="K388" s="21">
        <v>0</v>
      </c>
      <c r="L388" s="21">
        <v>0</v>
      </c>
      <c r="M388" s="21">
        <f>COUNTIF($A$2:$A$5481,A388)</f>
        <v>1</v>
      </c>
      <c r="N388" s="24">
        <f t="shared" si="6"/>
        <v>150.0000388</v>
      </c>
    </row>
    <row r="389" spans="1:14">
      <c r="A389" s="21" t="s">
        <v>1227</v>
      </c>
      <c r="B389" s="21" t="s">
        <v>929</v>
      </c>
      <c r="C389" s="21" t="s">
        <v>26</v>
      </c>
      <c r="D389" s="21" t="s">
        <v>921</v>
      </c>
      <c r="E389" s="21">
        <v>4</v>
      </c>
      <c r="F389" s="22">
        <v>45432.8531134259</v>
      </c>
      <c r="G389" s="22"/>
      <c r="H389" s="23">
        <v>34.5</v>
      </c>
      <c r="I389" s="23">
        <v>10.9125</v>
      </c>
      <c r="J389" s="24">
        <v>43.64</v>
      </c>
      <c r="K389" s="21">
        <v>0</v>
      </c>
      <c r="L389" s="21">
        <v>0</v>
      </c>
      <c r="M389" s="21">
        <f>COUNTIF($A$2:$A$5481,A389)</f>
        <v>1</v>
      </c>
      <c r="N389" s="24">
        <f t="shared" si="6"/>
        <v>43.6400389</v>
      </c>
    </row>
    <row r="390" spans="1:14">
      <c r="A390" s="21" t="s">
        <v>1228</v>
      </c>
      <c r="B390" s="21" t="s">
        <v>929</v>
      </c>
      <c r="C390" s="21" t="s">
        <v>26</v>
      </c>
      <c r="D390" s="21" t="s">
        <v>921</v>
      </c>
      <c r="E390" s="21">
        <v>4</v>
      </c>
      <c r="F390" s="22">
        <v>45432.8410300926</v>
      </c>
      <c r="G390" s="22"/>
      <c r="H390" s="23">
        <v>14.4</v>
      </c>
      <c r="I390" s="23">
        <v>3.6</v>
      </c>
      <c r="J390" s="24">
        <v>14.4</v>
      </c>
      <c r="K390" s="21">
        <v>0</v>
      </c>
      <c r="L390" s="21">
        <v>0</v>
      </c>
      <c r="M390" s="21">
        <f>COUNTIF($A$2:$A$5481,A390)</f>
        <v>1</v>
      </c>
      <c r="N390" s="24">
        <f t="shared" si="6"/>
        <v>14.400039</v>
      </c>
    </row>
    <row r="391" spans="1:14">
      <c r="A391" s="21" t="s">
        <v>1229</v>
      </c>
      <c r="B391" s="21" t="s">
        <v>26</v>
      </c>
      <c r="C391" s="21" t="s">
        <v>390</v>
      </c>
      <c r="D391" s="21" t="s">
        <v>921</v>
      </c>
      <c r="E391" s="21">
        <v>2</v>
      </c>
      <c r="F391" s="22">
        <v>45630.4104166667</v>
      </c>
      <c r="G391" s="22"/>
      <c r="H391" s="23">
        <v>756</v>
      </c>
      <c r="I391" s="23">
        <v>378</v>
      </c>
      <c r="J391" s="24">
        <v>756</v>
      </c>
      <c r="K391" s="21">
        <v>0</v>
      </c>
      <c r="L391" s="21">
        <v>0</v>
      </c>
      <c r="M391" s="21">
        <f>COUNTIF($A$2:$A$5481,A391)</f>
        <v>1</v>
      </c>
      <c r="N391" s="24">
        <f t="shared" si="6"/>
        <v>756.0000391</v>
      </c>
    </row>
    <row r="392" spans="1:14">
      <c r="A392" s="21" t="s">
        <v>1230</v>
      </c>
      <c r="B392" s="21" t="s">
        <v>26</v>
      </c>
      <c r="C392" s="21" t="s">
        <v>390</v>
      </c>
      <c r="D392" s="21" t="s">
        <v>921</v>
      </c>
      <c r="E392" s="21">
        <v>2</v>
      </c>
      <c r="F392" s="22">
        <v>45630.4104166667</v>
      </c>
      <c r="G392" s="22"/>
      <c r="H392" s="23">
        <v>756</v>
      </c>
      <c r="I392" s="23">
        <v>378</v>
      </c>
      <c r="J392" s="24">
        <v>756</v>
      </c>
      <c r="K392" s="21">
        <v>0</v>
      </c>
      <c r="L392" s="21">
        <v>0</v>
      </c>
      <c r="M392" s="21">
        <f>COUNTIF($A$2:$A$5481,A392)</f>
        <v>1</v>
      </c>
      <c r="N392" s="24">
        <f t="shared" si="6"/>
        <v>756.0000392</v>
      </c>
    </row>
    <row r="393" spans="1:14">
      <c r="A393" s="21" t="s">
        <v>1231</v>
      </c>
      <c r="B393" s="21" t="s">
        <v>26</v>
      </c>
      <c r="C393" s="21" t="s">
        <v>26</v>
      </c>
      <c r="D393" s="21" t="s">
        <v>931</v>
      </c>
      <c r="E393" s="21">
        <v>30</v>
      </c>
      <c r="F393" s="22">
        <v>45793.3587037037</v>
      </c>
      <c r="G393" s="22"/>
      <c r="H393" s="23">
        <v>7.9</v>
      </c>
      <c r="I393" s="23">
        <v>1.09667</v>
      </c>
      <c r="J393" s="24">
        <v>33</v>
      </c>
      <c r="K393" s="21">
        <v>0</v>
      </c>
      <c r="L393" s="21">
        <v>0</v>
      </c>
      <c r="M393" s="21">
        <f>COUNTIF($A$2:$A$5481,A393)</f>
        <v>1</v>
      </c>
      <c r="N393" s="24">
        <f t="shared" si="6"/>
        <v>33.0000393</v>
      </c>
    </row>
    <row r="394" spans="1:14">
      <c r="A394" s="21" t="s">
        <v>1232</v>
      </c>
      <c r="B394" s="21" t="s">
        <v>920</v>
      </c>
      <c r="C394" s="21" t="s">
        <v>26</v>
      </c>
      <c r="D394" s="21" t="s">
        <v>921</v>
      </c>
      <c r="E394" s="21">
        <v>15</v>
      </c>
      <c r="F394" s="22">
        <v>45580.3628587963</v>
      </c>
      <c r="G394" s="22"/>
      <c r="H394" s="23">
        <v>180</v>
      </c>
      <c r="I394" s="23">
        <v>18</v>
      </c>
      <c r="J394" s="24">
        <v>270</v>
      </c>
      <c r="K394" s="21">
        <v>0</v>
      </c>
      <c r="L394" s="21">
        <v>0</v>
      </c>
      <c r="M394" s="21">
        <f>COUNTIF($A$2:$A$5481,A394)</f>
        <v>1</v>
      </c>
      <c r="N394" s="24">
        <f t="shared" si="6"/>
        <v>270.0000394</v>
      </c>
    </row>
    <row r="395" spans="1:14">
      <c r="A395" s="21" t="s">
        <v>1233</v>
      </c>
      <c r="B395" s="21" t="s">
        <v>929</v>
      </c>
      <c r="C395" s="21" t="s">
        <v>26</v>
      </c>
      <c r="D395" s="21" t="s">
        <v>931</v>
      </c>
      <c r="E395" s="21">
        <v>10</v>
      </c>
      <c r="F395" s="22">
        <v>45793.3587037037</v>
      </c>
      <c r="G395" s="22"/>
      <c r="H395" s="23">
        <v>14.5</v>
      </c>
      <c r="I395" s="23">
        <v>1.45</v>
      </c>
      <c r="J395" s="24">
        <v>14.5</v>
      </c>
      <c r="K395" s="21">
        <v>0</v>
      </c>
      <c r="L395" s="21">
        <v>0</v>
      </c>
      <c r="M395" s="21">
        <f>COUNTIF($A$2:$A$5481,A395)</f>
        <v>1</v>
      </c>
      <c r="N395" s="24">
        <f t="shared" si="6"/>
        <v>14.5000395</v>
      </c>
    </row>
    <row r="396" spans="1:14">
      <c r="A396" s="21" t="s">
        <v>1234</v>
      </c>
      <c r="B396" s="21" t="s">
        <v>929</v>
      </c>
      <c r="C396" s="21" t="s">
        <v>26</v>
      </c>
      <c r="D396" s="21" t="s">
        <v>931</v>
      </c>
      <c r="E396" s="21">
        <v>10</v>
      </c>
      <c r="F396" s="22">
        <v>45793.3587037037</v>
      </c>
      <c r="G396" s="22"/>
      <c r="H396" s="23">
        <v>11.2</v>
      </c>
      <c r="I396" s="23">
        <v>1.12</v>
      </c>
      <c r="J396" s="24">
        <v>11.2</v>
      </c>
      <c r="K396" s="21">
        <v>0</v>
      </c>
      <c r="L396" s="21">
        <v>0</v>
      </c>
      <c r="M396" s="21">
        <f>COUNTIF($A$2:$A$5481,A396)</f>
        <v>1</v>
      </c>
      <c r="N396" s="24">
        <f t="shared" si="6"/>
        <v>11.2000396</v>
      </c>
    </row>
    <row r="397" spans="1:14">
      <c r="A397" s="21" t="s">
        <v>1235</v>
      </c>
      <c r="B397" s="21" t="s">
        <v>26</v>
      </c>
      <c r="C397" s="21" t="s">
        <v>26</v>
      </c>
      <c r="D397" s="21" t="s">
        <v>921</v>
      </c>
      <c r="E397" s="21">
        <v>27</v>
      </c>
      <c r="F397" s="22">
        <v>46121.5595138889</v>
      </c>
      <c r="G397" s="22"/>
      <c r="H397" s="23">
        <v>18</v>
      </c>
      <c r="I397" s="23">
        <v>2.5059259259</v>
      </c>
      <c r="J397" s="24">
        <v>67.77</v>
      </c>
      <c r="K397" s="21">
        <v>0</v>
      </c>
      <c r="L397" s="21">
        <v>0</v>
      </c>
      <c r="M397" s="21">
        <f>COUNTIF($A$2:$A$5481,A397)</f>
        <v>1</v>
      </c>
      <c r="N397" s="24">
        <f t="shared" si="6"/>
        <v>67.7700397</v>
      </c>
    </row>
    <row r="398" spans="1:14">
      <c r="A398" s="21" t="s">
        <v>1236</v>
      </c>
      <c r="B398" s="21" t="s">
        <v>26</v>
      </c>
      <c r="C398" s="21" t="s">
        <v>26</v>
      </c>
      <c r="D398" s="21" t="s">
        <v>921</v>
      </c>
      <c r="E398" s="21">
        <v>2</v>
      </c>
      <c r="F398" s="22">
        <v>45433.8402430556</v>
      </c>
      <c r="G398" s="22"/>
      <c r="H398" s="23">
        <v>360</v>
      </c>
      <c r="I398" s="23">
        <v>180</v>
      </c>
      <c r="J398" s="24">
        <v>360</v>
      </c>
      <c r="K398" s="21">
        <v>0</v>
      </c>
      <c r="L398" s="21">
        <v>0</v>
      </c>
      <c r="M398" s="21">
        <f>COUNTIF($A$2:$A$5481,A398)</f>
        <v>1</v>
      </c>
      <c r="N398" s="24">
        <f t="shared" si="6"/>
        <v>360.0000398</v>
      </c>
    </row>
    <row r="399" spans="1:14">
      <c r="A399" s="21" t="s">
        <v>1237</v>
      </c>
      <c r="B399" s="21" t="s">
        <v>920</v>
      </c>
      <c r="C399" s="21" t="s">
        <v>35</v>
      </c>
      <c r="D399" s="21" t="s">
        <v>921</v>
      </c>
      <c r="E399" s="21">
        <v>0</v>
      </c>
      <c r="F399" s="22">
        <v>45370.813275463</v>
      </c>
      <c r="G399" s="22">
        <v>45372.4657407407</v>
      </c>
      <c r="H399" s="23">
        <v>470</v>
      </c>
      <c r="I399" s="23">
        <v>470</v>
      </c>
      <c r="J399" s="24">
        <v>0</v>
      </c>
      <c r="K399" s="21">
        <v>0</v>
      </c>
      <c r="L399" s="21">
        <v>0</v>
      </c>
      <c r="M399" s="21">
        <f>COUNTIF($A$2:$A$5481,A399)</f>
        <v>1</v>
      </c>
      <c r="N399" s="24">
        <f t="shared" si="6"/>
        <v>3.99e-5</v>
      </c>
    </row>
    <row r="400" spans="1:14">
      <c r="A400" s="21" t="s">
        <v>236</v>
      </c>
      <c r="B400" s="21" t="s">
        <v>920</v>
      </c>
      <c r="C400" s="21" t="s">
        <v>35</v>
      </c>
      <c r="D400" s="21" t="s">
        <v>921</v>
      </c>
      <c r="E400" s="21">
        <v>0</v>
      </c>
      <c r="F400" s="22">
        <v>45327.5609375</v>
      </c>
      <c r="G400" s="22">
        <v>45392.5902777778</v>
      </c>
      <c r="H400" s="23">
        <v>1030</v>
      </c>
      <c r="I400" s="23">
        <v>515</v>
      </c>
      <c r="J400" s="24">
        <v>0</v>
      </c>
      <c r="K400" s="21">
        <v>1</v>
      </c>
      <c r="L400" s="21">
        <v>10</v>
      </c>
      <c r="M400" s="21">
        <f>COUNTIF($A$2:$A$5481,A400)</f>
        <v>2</v>
      </c>
      <c r="N400" s="24">
        <f t="shared" si="6"/>
        <v>4e-5</v>
      </c>
    </row>
    <row r="401" spans="1:14">
      <c r="A401" s="21" t="s">
        <v>236</v>
      </c>
      <c r="B401" s="21" t="s">
        <v>920</v>
      </c>
      <c r="C401" s="21" t="s">
        <v>26</v>
      </c>
      <c r="D401" s="21" t="s">
        <v>921</v>
      </c>
      <c r="E401" s="21">
        <v>5</v>
      </c>
      <c r="F401" s="22">
        <v>46062.7027546296</v>
      </c>
      <c r="G401" s="22">
        <v>46063.6027314815</v>
      </c>
      <c r="H401" s="23">
        <v>1464</v>
      </c>
      <c r="I401" s="23">
        <v>500.75</v>
      </c>
      <c r="J401" s="24">
        <v>2503.75</v>
      </c>
      <c r="K401" s="21">
        <v>1</v>
      </c>
      <c r="L401" s="21">
        <v>10</v>
      </c>
      <c r="M401" s="21">
        <f>COUNTIF($A$2:$A$5481,A401)</f>
        <v>2</v>
      </c>
      <c r="N401" s="24">
        <f t="shared" si="6"/>
        <v>2503.7500401</v>
      </c>
    </row>
    <row r="402" spans="1:14">
      <c r="A402" s="21" t="s">
        <v>1238</v>
      </c>
      <c r="B402" s="21" t="s">
        <v>920</v>
      </c>
      <c r="C402" s="21" t="s">
        <v>26</v>
      </c>
      <c r="D402" s="21" t="s">
        <v>921</v>
      </c>
      <c r="E402" s="21">
        <v>0</v>
      </c>
      <c r="F402" s="22">
        <v>45618.6301736111</v>
      </c>
      <c r="G402" s="22">
        <v>45761.4489814815</v>
      </c>
      <c r="H402" s="23">
        <v>855</v>
      </c>
      <c r="I402" s="23">
        <v>855</v>
      </c>
      <c r="J402" s="24">
        <v>0</v>
      </c>
      <c r="K402" s="21">
        <v>0</v>
      </c>
      <c r="L402" s="21">
        <v>0</v>
      </c>
      <c r="M402" s="21">
        <f>COUNTIF($A$2:$A$5481,A402)</f>
        <v>1</v>
      </c>
      <c r="N402" s="24">
        <f t="shared" si="6"/>
        <v>4.02e-5</v>
      </c>
    </row>
    <row r="403" spans="1:14">
      <c r="A403" s="21" t="s">
        <v>226</v>
      </c>
      <c r="B403" s="21" t="s">
        <v>920</v>
      </c>
      <c r="C403" s="21" t="s">
        <v>35</v>
      </c>
      <c r="D403" s="21" t="s">
        <v>921</v>
      </c>
      <c r="E403" s="21">
        <v>2</v>
      </c>
      <c r="F403" s="22">
        <v>45295.8560763889</v>
      </c>
      <c r="G403" s="22">
        <v>46021.4484722222</v>
      </c>
      <c r="H403" s="23">
        <v>618</v>
      </c>
      <c r="I403" s="23">
        <v>309</v>
      </c>
      <c r="J403" s="24">
        <v>618</v>
      </c>
      <c r="K403" s="21">
        <v>0</v>
      </c>
      <c r="L403" s="21">
        <v>0</v>
      </c>
      <c r="M403" s="21">
        <f>COUNTIF($A$2:$A$5481,A403)</f>
        <v>2</v>
      </c>
      <c r="N403" s="24">
        <f t="shared" si="6"/>
        <v>618.0000403</v>
      </c>
    </row>
    <row r="404" spans="1:14">
      <c r="A404" s="21" t="s">
        <v>226</v>
      </c>
      <c r="B404" s="21" t="s">
        <v>920</v>
      </c>
      <c r="C404" s="21" t="s">
        <v>26</v>
      </c>
      <c r="D404" s="21" t="s">
        <v>921</v>
      </c>
      <c r="E404" s="21">
        <v>5</v>
      </c>
      <c r="F404" s="22">
        <v>46058.7061226852</v>
      </c>
      <c r="G404" s="22">
        <v>46058.4361342593</v>
      </c>
      <c r="H404" s="23">
        <v>758</v>
      </c>
      <c r="I404" s="23">
        <v>352</v>
      </c>
      <c r="J404" s="24">
        <v>1760</v>
      </c>
      <c r="K404" s="21">
        <v>0</v>
      </c>
      <c r="L404" s="21">
        <v>0</v>
      </c>
      <c r="M404" s="21">
        <f>COUNTIF($A$2:$A$5481,A404)</f>
        <v>2</v>
      </c>
      <c r="N404" s="24">
        <f t="shared" si="6"/>
        <v>1760.0000404</v>
      </c>
    </row>
    <row r="405" spans="1:14">
      <c r="A405" s="21" t="s">
        <v>1239</v>
      </c>
      <c r="B405" s="21" t="s">
        <v>26</v>
      </c>
      <c r="C405" s="21" t="s">
        <v>26</v>
      </c>
      <c r="D405" s="21" t="s">
        <v>921</v>
      </c>
      <c r="E405" s="21">
        <v>3</v>
      </c>
      <c r="F405" s="22">
        <v>45491.4498611111</v>
      </c>
      <c r="G405" s="22"/>
      <c r="H405" s="23">
        <v>135</v>
      </c>
      <c r="I405" s="23">
        <v>45</v>
      </c>
      <c r="J405" s="24">
        <v>135</v>
      </c>
      <c r="K405" s="21">
        <v>0</v>
      </c>
      <c r="L405" s="21">
        <v>0</v>
      </c>
      <c r="M405" s="21">
        <f>COUNTIF($A$2:$A$5481,A405)</f>
        <v>1</v>
      </c>
      <c r="N405" s="24">
        <f t="shared" si="6"/>
        <v>135.0000405</v>
      </c>
    </row>
    <row r="406" spans="1:14">
      <c r="A406" s="21" t="s">
        <v>1240</v>
      </c>
      <c r="B406" s="21" t="s">
        <v>949</v>
      </c>
      <c r="C406" s="21" t="s">
        <v>182</v>
      </c>
      <c r="D406" s="21" t="s">
        <v>921</v>
      </c>
      <c r="E406" s="21">
        <v>0</v>
      </c>
      <c r="F406" s="22">
        <v>45317.40625</v>
      </c>
      <c r="G406" s="22">
        <v>45322.4096412037</v>
      </c>
      <c r="H406" s="23">
        <v>19.8</v>
      </c>
      <c r="I406" s="23">
        <v>19.8</v>
      </c>
      <c r="J406" s="24">
        <v>0</v>
      </c>
      <c r="K406" s="21">
        <v>0</v>
      </c>
      <c r="L406" s="21">
        <v>0</v>
      </c>
      <c r="M406" s="21">
        <f>COUNTIF($A$2:$A$5481,A406)</f>
        <v>2</v>
      </c>
      <c r="N406" s="24">
        <f t="shared" si="6"/>
        <v>4.06e-5</v>
      </c>
    </row>
    <row r="407" spans="1:14">
      <c r="A407" s="21" t="s">
        <v>1240</v>
      </c>
      <c r="B407" s="21" t="s">
        <v>949</v>
      </c>
      <c r="C407" s="21" t="s">
        <v>26</v>
      </c>
      <c r="D407" s="21" t="s">
        <v>921</v>
      </c>
      <c r="E407" s="21">
        <v>0</v>
      </c>
      <c r="F407" s="22">
        <v>45330.39375</v>
      </c>
      <c r="G407" s="22">
        <v>45331.4112384259</v>
      </c>
      <c r="H407" s="23">
        <v>19.8</v>
      </c>
      <c r="I407" s="23">
        <v>19.8</v>
      </c>
      <c r="J407" s="24">
        <v>0</v>
      </c>
      <c r="K407" s="21">
        <v>0</v>
      </c>
      <c r="L407" s="21">
        <v>0</v>
      </c>
      <c r="M407" s="21">
        <f>COUNTIF($A$2:$A$5481,A407)</f>
        <v>2</v>
      </c>
      <c r="N407" s="24">
        <f t="shared" si="6"/>
        <v>4.07e-5</v>
      </c>
    </row>
    <row r="408" spans="1:14">
      <c r="A408" s="21" t="s">
        <v>1241</v>
      </c>
      <c r="B408" s="21" t="s">
        <v>949</v>
      </c>
      <c r="C408" s="21" t="s">
        <v>26</v>
      </c>
      <c r="D408" s="21" t="s">
        <v>921</v>
      </c>
      <c r="E408" s="21">
        <v>0</v>
      </c>
      <c r="F408" s="22">
        <v>45330.39375</v>
      </c>
      <c r="G408" s="22">
        <v>45331.4112268519</v>
      </c>
      <c r="H408" s="23">
        <v>20.5</v>
      </c>
      <c r="I408" s="23">
        <v>20.5</v>
      </c>
      <c r="J408" s="24">
        <v>0</v>
      </c>
      <c r="K408" s="21">
        <v>0</v>
      </c>
      <c r="L408" s="21">
        <v>0</v>
      </c>
      <c r="M408" s="21">
        <f>COUNTIF($A$2:$A$5481,A408)</f>
        <v>1</v>
      </c>
      <c r="N408" s="24">
        <f t="shared" si="6"/>
        <v>4.08e-5</v>
      </c>
    </row>
    <row r="409" spans="1:14">
      <c r="A409" s="21" t="s">
        <v>1242</v>
      </c>
      <c r="B409" s="21" t="s">
        <v>949</v>
      </c>
      <c r="C409" s="21" t="s">
        <v>182</v>
      </c>
      <c r="D409" s="21" t="s">
        <v>921</v>
      </c>
      <c r="E409" s="21">
        <v>0</v>
      </c>
      <c r="F409" s="22">
        <v>45317.40625</v>
      </c>
      <c r="G409" s="22">
        <v>45322.4096296296</v>
      </c>
      <c r="H409" s="23">
        <v>38.22</v>
      </c>
      <c r="I409" s="23">
        <v>19.11</v>
      </c>
      <c r="J409" s="24">
        <v>0</v>
      </c>
      <c r="K409" s="21">
        <v>0</v>
      </c>
      <c r="L409" s="21">
        <v>0</v>
      </c>
      <c r="M409" s="21">
        <f>COUNTIF($A$2:$A$5481,A409)</f>
        <v>2</v>
      </c>
      <c r="N409" s="24">
        <f t="shared" si="6"/>
        <v>4.09e-5</v>
      </c>
    </row>
    <row r="410" spans="1:14">
      <c r="A410" s="21" t="s">
        <v>1242</v>
      </c>
      <c r="B410" s="21" t="s">
        <v>949</v>
      </c>
      <c r="C410" s="21" t="s">
        <v>26</v>
      </c>
      <c r="D410" s="21" t="s">
        <v>921</v>
      </c>
      <c r="E410" s="21">
        <v>0</v>
      </c>
      <c r="F410" s="22">
        <v>45330.39375</v>
      </c>
      <c r="G410" s="22">
        <v>45331.4111805556</v>
      </c>
      <c r="H410" s="23">
        <v>38.22</v>
      </c>
      <c r="I410" s="23">
        <v>19.11</v>
      </c>
      <c r="J410" s="24">
        <v>0</v>
      </c>
      <c r="K410" s="21">
        <v>0</v>
      </c>
      <c r="L410" s="21">
        <v>0</v>
      </c>
      <c r="M410" s="21">
        <f>COUNTIF($A$2:$A$5481,A410)</f>
        <v>2</v>
      </c>
      <c r="N410" s="24">
        <f t="shared" si="6"/>
        <v>4.1e-5</v>
      </c>
    </row>
    <row r="411" spans="1:14">
      <c r="A411" s="21" t="s">
        <v>1243</v>
      </c>
      <c r="B411" s="21" t="s">
        <v>949</v>
      </c>
      <c r="C411" s="21" t="s">
        <v>26</v>
      </c>
      <c r="D411" s="21" t="s">
        <v>931</v>
      </c>
      <c r="E411" s="21">
        <v>0</v>
      </c>
      <c r="F411" s="22">
        <v>45384.4498032407</v>
      </c>
      <c r="G411" s="22">
        <v>45384.4566666667</v>
      </c>
      <c r="H411" s="23">
        <v>50</v>
      </c>
      <c r="I411" s="23">
        <v>50</v>
      </c>
      <c r="J411" s="24">
        <v>0</v>
      </c>
      <c r="K411" s="21">
        <v>0</v>
      </c>
      <c r="L411" s="21">
        <v>0</v>
      </c>
      <c r="M411" s="21">
        <f>COUNTIF($A$2:$A$5481,A411)</f>
        <v>1</v>
      </c>
      <c r="N411" s="24">
        <f t="shared" si="6"/>
        <v>4.11e-5</v>
      </c>
    </row>
    <row r="412" spans="1:14">
      <c r="A412" s="21" t="s">
        <v>1244</v>
      </c>
      <c r="B412" s="21" t="s">
        <v>26</v>
      </c>
      <c r="C412" s="21" t="s">
        <v>26</v>
      </c>
      <c r="D412" s="21" t="s">
        <v>1068</v>
      </c>
      <c r="E412" s="21">
        <v>6</v>
      </c>
      <c r="F412" s="22">
        <v>45558.8266435185</v>
      </c>
      <c r="G412" s="22"/>
      <c r="H412" s="23">
        <v>1144.5</v>
      </c>
      <c r="I412" s="23">
        <v>190.75</v>
      </c>
      <c r="J412" s="24">
        <v>1144.5</v>
      </c>
      <c r="K412" s="21">
        <v>0</v>
      </c>
      <c r="L412" s="21">
        <v>0</v>
      </c>
      <c r="M412" s="21">
        <f>COUNTIF($A$2:$A$5481,A412)</f>
        <v>1</v>
      </c>
      <c r="N412" s="24">
        <f t="shared" si="6"/>
        <v>1144.5000412</v>
      </c>
    </row>
    <row r="413" spans="1:14">
      <c r="A413" s="21" t="s">
        <v>1245</v>
      </c>
      <c r="B413" s="21" t="s">
        <v>929</v>
      </c>
      <c r="C413" s="21" t="s">
        <v>26</v>
      </c>
      <c r="D413" s="21" t="s">
        <v>1068</v>
      </c>
      <c r="E413" s="21">
        <v>10</v>
      </c>
      <c r="F413" s="22">
        <v>45812.4369907407</v>
      </c>
      <c r="G413" s="22"/>
      <c r="H413" s="23">
        <v>149.6</v>
      </c>
      <c r="I413" s="23">
        <v>14.96</v>
      </c>
      <c r="J413" s="24">
        <v>149.6</v>
      </c>
      <c r="K413" s="21">
        <v>0</v>
      </c>
      <c r="L413" s="21">
        <v>0</v>
      </c>
      <c r="M413" s="21">
        <f>COUNTIF($A$2:$A$5481,A413)</f>
        <v>1</v>
      </c>
      <c r="N413" s="24">
        <f t="shared" si="6"/>
        <v>149.6000413</v>
      </c>
    </row>
    <row r="414" spans="1:14">
      <c r="A414" s="21" t="s">
        <v>1246</v>
      </c>
      <c r="B414" s="21" t="s">
        <v>929</v>
      </c>
      <c r="C414" s="21" t="s">
        <v>182</v>
      </c>
      <c r="D414" s="21" t="s">
        <v>1068</v>
      </c>
      <c r="E414" s="21">
        <v>10</v>
      </c>
      <c r="F414" s="22">
        <v>45306.8338541667</v>
      </c>
      <c r="G414" s="22"/>
      <c r="H414" s="23">
        <v>386</v>
      </c>
      <c r="I414" s="23">
        <v>38.6</v>
      </c>
      <c r="J414" s="24">
        <v>386</v>
      </c>
      <c r="K414" s="21">
        <v>0</v>
      </c>
      <c r="L414" s="21">
        <v>0</v>
      </c>
      <c r="M414" s="21">
        <f>COUNTIF($A$2:$A$5481,A414)</f>
        <v>1</v>
      </c>
      <c r="N414" s="24">
        <f t="shared" si="6"/>
        <v>386.0000414</v>
      </c>
    </row>
    <row r="415" spans="1:14">
      <c r="A415" s="21" t="s">
        <v>1247</v>
      </c>
      <c r="B415" s="21" t="s">
        <v>929</v>
      </c>
      <c r="C415" s="21" t="s">
        <v>414</v>
      </c>
      <c r="D415" s="21" t="s">
        <v>921</v>
      </c>
      <c r="E415" s="21">
        <v>1</v>
      </c>
      <c r="F415" s="22">
        <v>46253.5125</v>
      </c>
      <c r="G415" s="22"/>
      <c r="H415" s="23">
        <v>10.89</v>
      </c>
      <c r="I415" s="23">
        <v>10.89</v>
      </c>
      <c r="J415" s="24">
        <v>10.89</v>
      </c>
      <c r="K415" s="21">
        <v>0</v>
      </c>
      <c r="L415" s="21">
        <v>0</v>
      </c>
      <c r="M415" s="21">
        <f>COUNTIF($A$2:$A$5481,A415)</f>
        <v>1</v>
      </c>
      <c r="N415" s="24">
        <f t="shared" si="6"/>
        <v>10.8900415</v>
      </c>
    </row>
    <row r="416" spans="1:14">
      <c r="A416" s="21" t="s">
        <v>1248</v>
      </c>
      <c r="B416" s="21" t="s">
        <v>26</v>
      </c>
      <c r="C416" s="21" t="s">
        <v>26</v>
      </c>
      <c r="D416" s="21" t="s">
        <v>921</v>
      </c>
      <c r="E416" s="21">
        <v>4</v>
      </c>
      <c r="F416" s="22">
        <v>45351.6152777778</v>
      </c>
      <c r="G416" s="22"/>
      <c r="H416" s="23">
        <v>95.6</v>
      </c>
      <c r="I416" s="23">
        <v>23.9</v>
      </c>
      <c r="J416" s="24">
        <v>95.6</v>
      </c>
      <c r="K416" s="21">
        <v>0</v>
      </c>
      <c r="L416" s="21">
        <v>0</v>
      </c>
      <c r="M416" s="21">
        <f>COUNTIF($A$2:$A$5481,A416)</f>
        <v>1</v>
      </c>
      <c r="N416" s="24">
        <f t="shared" si="6"/>
        <v>95.6000416</v>
      </c>
    </row>
    <row r="417" spans="1:14">
      <c r="A417" s="21" t="s">
        <v>1249</v>
      </c>
      <c r="B417" s="21" t="s">
        <v>26</v>
      </c>
      <c r="C417" s="21" t="s">
        <v>26</v>
      </c>
      <c r="D417" s="21" t="s">
        <v>921</v>
      </c>
      <c r="E417" s="21">
        <v>3</v>
      </c>
      <c r="F417" s="22">
        <v>45477.370775463</v>
      </c>
      <c r="G417" s="22"/>
      <c r="H417" s="23">
        <v>52.59</v>
      </c>
      <c r="I417" s="23">
        <v>17.53</v>
      </c>
      <c r="J417" s="24">
        <v>52.59</v>
      </c>
      <c r="K417" s="21">
        <v>0</v>
      </c>
      <c r="L417" s="21">
        <v>0</v>
      </c>
      <c r="M417" s="21">
        <f>COUNTIF($A$2:$A$5481,A417)</f>
        <v>2</v>
      </c>
      <c r="N417" s="24">
        <f t="shared" si="6"/>
        <v>52.5900417</v>
      </c>
    </row>
    <row r="418" spans="1:14">
      <c r="A418" s="21" t="s">
        <v>1249</v>
      </c>
      <c r="B418" s="21" t="s">
        <v>26</v>
      </c>
      <c r="C418" s="21" t="s">
        <v>35</v>
      </c>
      <c r="D418" s="21" t="s">
        <v>921</v>
      </c>
      <c r="E418" s="21">
        <v>1</v>
      </c>
      <c r="F418" s="22">
        <v>45534.4153935185</v>
      </c>
      <c r="G418" s="22"/>
      <c r="H418" s="23">
        <v>23.8</v>
      </c>
      <c r="I418" s="23">
        <v>23.8</v>
      </c>
      <c r="J418" s="24">
        <v>23.8</v>
      </c>
      <c r="K418" s="21">
        <v>0</v>
      </c>
      <c r="L418" s="21">
        <v>0</v>
      </c>
      <c r="M418" s="21">
        <f>COUNTIF($A$2:$A$5481,A418)</f>
        <v>2</v>
      </c>
      <c r="N418" s="24">
        <f t="shared" si="6"/>
        <v>23.8000418</v>
      </c>
    </row>
    <row r="419" spans="1:14">
      <c r="A419" s="21" t="s">
        <v>1250</v>
      </c>
      <c r="B419" s="21" t="s">
        <v>929</v>
      </c>
      <c r="C419" s="21" t="s">
        <v>414</v>
      </c>
      <c r="D419" s="21" t="s">
        <v>921</v>
      </c>
      <c r="E419" s="21">
        <v>2</v>
      </c>
      <c r="F419" s="22">
        <v>45342.8324074074</v>
      </c>
      <c r="G419" s="22"/>
      <c r="H419" s="23">
        <v>82.12</v>
      </c>
      <c r="I419" s="23">
        <v>41.06</v>
      </c>
      <c r="J419" s="24">
        <v>82.12</v>
      </c>
      <c r="K419" s="21">
        <v>0</v>
      </c>
      <c r="L419" s="21">
        <v>0</v>
      </c>
      <c r="M419" s="21">
        <f>COUNTIF($A$2:$A$5481,A419)</f>
        <v>3</v>
      </c>
      <c r="N419" s="24">
        <f t="shared" si="6"/>
        <v>82.1200419</v>
      </c>
    </row>
    <row r="420" spans="1:14">
      <c r="A420" s="21" t="s">
        <v>1250</v>
      </c>
      <c r="B420" s="21" t="s">
        <v>929</v>
      </c>
      <c r="C420" s="21" t="s">
        <v>182</v>
      </c>
      <c r="D420" s="21" t="s">
        <v>921</v>
      </c>
      <c r="E420" s="21">
        <v>4</v>
      </c>
      <c r="F420" s="22">
        <v>45385.5692939815</v>
      </c>
      <c r="G420" s="22"/>
      <c r="H420" s="23">
        <v>94.4</v>
      </c>
      <c r="I420" s="23">
        <v>41.765</v>
      </c>
      <c r="J420" s="24">
        <v>167.08</v>
      </c>
      <c r="K420" s="21">
        <v>0</v>
      </c>
      <c r="L420" s="21">
        <v>0</v>
      </c>
      <c r="M420" s="21">
        <f>COUNTIF($A$2:$A$5481,A420)</f>
        <v>3</v>
      </c>
      <c r="N420" s="24">
        <f t="shared" si="6"/>
        <v>167.080042</v>
      </c>
    </row>
    <row r="421" spans="1:14">
      <c r="A421" s="21" t="s">
        <v>1250</v>
      </c>
      <c r="B421" s="21" t="s">
        <v>929</v>
      </c>
      <c r="C421" s="21" t="s">
        <v>26</v>
      </c>
      <c r="D421" s="21" t="s">
        <v>921</v>
      </c>
      <c r="E421" s="21">
        <v>15</v>
      </c>
      <c r="F421" s="22">
        <v>46044.3696527778</v>
      </c>
      <c r="G421" s="22"/>
      <c r="H421" s="23">
        <v>91.52</v>
      </c>
      <c r="I421" s="23">
        <v>41.5026666667</v>
      </c>
      <c r="J421" s="24">
        <v>622.5</v>
      </c>
      <c r="K421" s="21">
        <v>0</v>
      </c>
      <c r="L421" s="21">
        <v>0</v>
      </c>
      <c r="M421" s="21">
        <f>COUNTIF($A$2:$A$5481,A421)</f>
        <v>3</v>
      </c>
      <c r="N421" s="24">
        <f t="shared" si="6"/>
        <v>622.5000421</v>
      </c>
    </row>
    <row r="422" spans="1:14">
      <c r="A422" s="21" t="s">
        <v>733</v>
      </c>
      <c r="B422" s="21" t="s">
        <v>1175</v>
      </c>
      <c r="C422" s="21" t="s">
        <v>26</v>
      </c>
      <c r="D422" s="21" t="s">
        <v>931</v>
      </c>
      <c r="E422" s="21">
        <v>0</v>
      </c>
      <c r="F422" s="22">
        <v>45761.4581481482</v>
      </c>
      <c r="G422" s="22">
        <v>46252.5693402778</v>
      </c>
      <c r="H422" s="23">
        <v>88.42</v>
      </c>
      <c r="I422" s="23">
        <v>88.42</v>
      </c>
      <c r="J422" s="24">
        <v>0</v>
      </c>
      <c r="K422" s="21">
        <v>0</v>
      </c>
      <c r="L422" s="21">
        <v>0</v>
      </c>
      <c r="M422" s="21">
        <f>COUNTIF($A$2:$A$5481,A422)</f>
        <v>1</v>
      </c>
      <c r="N422" s="24">
        <f t="shared" si="6"/>
        <v>4.22e-5</v>
      </c>
    </row>
    <row r="423" spans="1:14">
      <c r="A423" s="21" t="s">
        <v>1251</v>
      </c>
      <c r="B423" s="21" t="s">
        <v>929</v>
      </c>
      <c r="C423" s="21" t="s">
        <v>26</v>
      </c>
      <c r="D423" s="21" t="s">
        <v>921</v>
      </c>
      <c r="E423" s="21">
        <v>1</v>
      </c>
      <c r="F423" s="22">
        <v>46031.3832407407</v>
      </c>
      <c r="G423" s="22"/>
      <c r="H423" s="23">
        <v>12.77</v>
      </c>
      <c r="I423" s="23">
        <v>12.77</v>
      </c>
      <c r="J423" s="24">
        <v>12.77</v>
      </c>
      <c r="K423" s="21">
        <v>0</v>
      </c>
      <c r="L423" s="21">
        <v>0</v>
      </c>
      <c r="M423" s="21">
        <f>COUNTIF($A$2:$A$5481,A423)</f>
        <v>1</v>
      </c>
      <c r="N423" s="24">
        <f t="shared" si="6"/>
        <v>12.7700423</v>
      </c>
    </row>
    <row r="424" spans="1:14">
      <c r="A424" s="21" t="s">
        <v>1252</v>
      </c>
      <c r="B424" s="21" t="s">
        <v>929</v>
      </c>
      <c r="C424" s="21" t="s">
        <v>26</v>
      </c>
      <c r="D424" s="21" t="s">
        <v>921</v>
      </c>
      <c r="E424" s="21">
        <v>2</v>
      </c>
      <c r="F424" s="22">
        <v>45552.8465625</v>
      </c>
      <c r="G424" s="22"/>
      <c r="H424" s="23">
        <v>13.88</v>
      </c>
      <c r="I424" s="23">
        <v>6.94</v>
      </c>
      <c r="J424" s="24">
        <v>13.88</v>
      </c>
      <c r="K424" s="21">
        <v>0</v>
      </c>
      <c r="L424" s="21">
        <v>0</v>
      </c>
      <c r="M424" s="21">
        <f>COUNTIF($A$2:$A$5481,A424)</f>
        <v>1</v>
      </c>
      <c r="N424" s="24">
        <f t="shared" si="6"/>
        <v>13.8800424</v>
      </c>
    </row>
    <row r="425" spans="1:14">
      <c r="A425" s="21" t="s">
        <v>1253</v>
      </c>
      <c r="B425" s="21" t="s">
        <v>949</v>
      </c>
      <c r="C425" s="21" t="s">
        <v>182</v>
      </c>
      <c r="D425" s="21" t="s">
        <v>921</v>
      </c>
      <c r="E425" s="21">
        <v>1</v>
      </c>
      <c r="F425" s="22">
        <v>45323.3763888889</v>
      </c>
      <c r="G425" s="22">
        <v>45320.4854282407</v>
      </c>
      <c r="H425" s="23">
        <v>7</v>
      </c>
      <c r="I425" s="23">
        <v>7</v>
      </c>
      <c r="J425" s="24">
        <v>7</v>
      </c>
      <c r="K425" s="21">
        <v>0</v>
      </c>
      <c r="L425" s="21">
        <v>0</v>
      </c>
      <c r="M425" s="21">
        <f>COUNTIF($A$2:$A$5481,A425)</f>
        <v>2</v>
      </c>
      <c r="N425" s="24">
        <f t="shared" si="6"/>
        <v>7.0000425</v>
      </c>
    </row>
    <row r="426" spans="1:14">
      <c r="A426" s="21" t="s">
        <v>1253</v>
      </c>
      <c r="B426" s="21" t="s">
        <v>949</v>
      </c>
      <c r="C426" s="21" t="s">
        <v>26</v>
      </c>
      <c r="D426" s="21" t="s">
        <v>921</v>
      </c>
      <c r="E426" s="21">
        <v>0</v>
      </c>
      <c r="F426" s="22">
        <v>45329.6888888889</v>
      </c>
      <c r="G426" s="22">
        <v>45331.411099537</v>
      </c>
      <c r="H426" s="23">
        <v>7</v>
      </c>
      <c r="I426" s="23">
        <v>7</v>
      </c>
      <c r="J426" s="24">
        <v>0</v>
      </c>
      <c r="K426" s="21">
        <v>0</v>
      </c>
      <c r="L426" s="21">
        <v>0</v>
      </c>
      <c r="M426" s="21">
        <f>COUNTIF($A$2:$A$5481,A426)</f>
        <v>2</v>
      </c>
      <c r="N426" s="24">
        <f t="shared" si="6"/>
        <v>4.26e-5</v>
      </c>
    </row>
    <row r="427" spans="1:14">
      <c r="A427" s="21" t="s">
        <v>463</v>
      </c>
      <c r="B427" s="21" t="s">
        <v>26</v>
      </c>
      <c r="C427" s="21" t="s">
        <v>26</v>
      </c>
      <c r="D427" s="21" t="s">
        <v>921</v>
      </c>
      <c r="E427" s="21">
        <v>6</v>
      </c>
      <c r="F427" s="22">
        <v>46118.627650463</v>
      </c>
      <c r="G427" s="22">
        <v>46211.7369212963</v>
      </c>
      <c r="H427" s="23">
        <v>1248.72</v>
      </c>
      <c r="I427" s="23">
        <v>205.1775</v>
      </c>
      <c r="J427" s="24">
        <v>1231.08</v>
      </c>
      <c r="K427" s="21">
        <v>0</v>
      </c>
      <c r="L427" s="21">
        <v>0</v>
      </c>
      <c r="M427" s="21">
        <f>COUNTIF($A$2:$A$5481,A427)</f>
        <v>1</v>
      </c>
      <c r="N427" s="24">
        <f t="shared" si="6"/>
        <v>1231.0800427</v>
      </c>
    </row>
    <row r="428" spans="1:14">
      <c r="A428" s="21" t="s">
        <v>1254</v>
      </c>
      <c r="B428" s="21" t="s">
        <v>929</v>
      </c>
      <c r="C428" s="21" t="s">
        <v>26</v>
      </c>
      <c r="D428" s="21" t="s">
        <v>921</v>
      </c>
      <c r="E428" s="21">
        <v>10</v>
      </c>
      <c r="F428" s="22">
        <v>46190.5886689815</v>
      </c>
      <c r="G428" s="22"/>
      <c r="H428" s="23">
        <v>69.4</v>
      </c>
      <c r="I428" s="23">
        <v>6.94</v>
      </c>
      <c r="J428" s="24">
        <v>69.4</v>
      </c>
      <c r="K428" s="21">
        <v>0</v>
      </c>
      <c r="L428" s="21">
        <v>0</v>
      </c>
      <c r="M428" s="21">
        <f>COUNTIF($A$2:$A$5481,A428)</f>
        <v>1</v>
      </c>
      <c r="N428" s="24">
        <f t="shared" si="6"/>
        <v>69.4000428</v>
      </c>
    </row>
    <row r="429" spans="1:14">
      <c r="A429" s="21" t="s">
        <v>1255</v>
      </c>
      <c r="B429" s="21" t="s">
        <v>26</v>
      </c>
      <c r="C429" s="21" t="s">
        <v>26</v>
      </c>
      <c r="D429" s="21" t="s">
        <v>921</v>
      </c>
      <c r="E429" s="21">
        <v>2</v>
      </c>
      <c r="F429" s="22">
        <v>45700.3772337963</v>
      </c>
      <c r="G429" s="22"/>
      <c r="H429" s="23">
        <v>35.22</v>
      </c>
      <c r="I429" s="23">
        <v>42.55</v>
      </c>
      <c r="J429" s="24">
        <v>85.1</v>
      </c>
      <c r="K429" s="21">
        <v>0</v>
      </c>
      <c r="L429" s="21">
        <v>0</v>
      </c>
      <c r="M429" s="21">
        <f>COUNTIF($A$2:$A$5481,A429)</f>
        <v>1</v>
      </c>
      <c r="N429" s="24">
        <f t="shared" si="6"/>
        <v>85.1000429</v>
      </c>
    </row>
    <row r="430" spans="1:14">
      <c r="A430" s="21" t="s">
        <v>1256</v>
      </c>
      <c r="B430" s="21" t="s">
        <v>26</v>
      </c>
      <c r="C430" s="21" t="s">
        <v>26</v>
      </c>
      <c r="D430" s="21" t="s">
        <v>921</v>
      </c>
      <c r="E430" s="21">
        <v>1</v>
      </c>
      <c r="F430" s="22">
        <v>45498.4420601852</v>
      </c>
      <c r="G430" s="22"/>
      <c r="H430" s="23">
        <v>243</v>
      </c>
      <c r="I430" s="23">
        <v>243</v>
      </c>
      <c r="J430" s="24">
        <v>243</v>
      </c>
      <c r="K430" s="21">
        <v>0</v>
      </c>
      <c r="L430" s="21">
        <v>0</v>
      </c>
      <c r="M430" s="21">
        <f>COUNTIF($A$2:$A$5481,A430)</f>
        <v>1</v>
      </c>
      <c r="N430" s="24">
        <f t="shared" si="6"/>
        <v>243.000043</v>
      </c>
    </row>
    <row r="431" spans="1:14">
      <c r="A431" s="21" t="s">
        <v>1257</v>
      </c>
      <c r="B431" s="21" t="s">
        <v>26</v>
      </c>
      <c r="C431" s="21" t="s">
        <v>26</v>
      </c>
      <c r="D431" s="21" t="s">
        <v>1068</v>
      </c>
      <c r="E431" s="21">
        <v>2.5</v>
      </c>
      <c r="F431" s="22">
        <v>45519.7159722222</v>
      </c>
      <c r="G431" s="22"/>
      <c r="H431" s="23">
        <v>450</v>
      </c>
      <c r="I431" s="23">
        <v>180</v>
      </c>
      <c r="J431" s="24">
        <v>450</v>
      </c>
      <c r="K431" s="21">
        <v>0</v>
      </c>
      <c r="L431" s="21">
        <v>0</v>
      </c>
      <c r="M431" s="21">
        <f>COUNTIF($A$2:$A$5481,A431)</f>
        <v>1</v>
      </c>
      <c r="N431" s="24">
        <f t="shared" si="6"/>
        <v>450.0000431</v>
      </c>
    </row>
    <row r="432" spans="1:14">
      <c r="A432" s="21" t="s">
        <v>1258</v>
      </c>
      <c r="B432" s="21" t="s">
        <v>929</v>
      </c>
      <c r="C432" s="21" t="s">
        <v>26</v>
      </c>
      <c r="D432" s="21" t="s">
        <v>921</v>
      </c>
      <c r="E432" s="21">
        <v>1.8</v>
      </c>
      <c r="F432" s="22">
        <v>45831.8515740741</v>
      </c>
      <c r="G432" s="22"/>
      <c r="H432" s="23">
        <v>720</v>
      </c>
      <c r="I432" s="23">
        <v>400</v>
      </c>
      <c r="J432" s="24">
        <v>720</v>
      </c>
      <c r="K432" s="21">
        <v>0</v>
      </c>
      <c r="L432" s="21">
        <v>0</v>
      </c>
      <c r="M432" s="21">
        <f>COUNTIF($A$2:$A$5481,A432)</f>
        <v>1</v>
      </c>
      <c r="N432" s="24">
        <f t="shared" si="6"/>
        <v>720.0000432</v>
      </c>
    </row>
    <row r="433" spans="1:14">
      <c r="A433" s="21" t="s">
        <v>1259</v>
      </c>
      <c r="B433" s="21" t="s">
        <v>929</v>
      </c>
      <c r="C433" s="21" t="s">
        <v>26</v>
      </c>
      <c r="D433" s="21" t="s">
        <v>1068</v>
      </c>
      <c r="E433" s="21">
        <v>8.79</v>
      </c>
      <c r="F433" s="22">
        <v>46204.657650463</v>
      </c>
      <c r="G433" s="22"/>
      <c r="H433" s="23">
        <v>507.51</v>
      </c>
      <c r="I433" s="23">
        <v>227.0546075085</v>
      </c>
      <c r="J433" s="24">
        <v>1995.7695</v>
      </c>
      <c r="K433" s="21">
        <v>0</v>
      </c>
      <c r="L433" s="21">
        <v>0</v>
      </c>
      <c r="M433" s="21">
        <f>COUNTIF($A$2:$A$5481,A433)</f>
        <v>1</v>
      </c>
      <c r="N433" s="24">
        <f t="shared" si="6"/>
        <v>1995.7695433</v>
      </c>
    </row>
    <row r="434" spans="1:14">
      <c r="A434" s="21" t="s">
        <v>1260</v>
      </c>
      <c r="B434" s="21" t="s">
        <v>920</v>
      </c>
      <c r="C434" s="21" t="s">
        <v>26</v>
      </c>
      <c r="D434" s="21" t="s">
        <v>931</v>
      </c>
      <c r="E434" s="21">
        <v>3</v>
      </c>
      <c r="F434" s="22">
        <v>45918.6984259259</v>
      </c>
      <c r="G434" s="22"/>
      <c r="H434" s="23">
        <v>630</v>
      </c>
      <c r="I434" s="23">
        <v>210</v>
      </c>
      <c r="J434" s="24">
        <v>630</v>
      </c>
      <c r="K434" s="21">
        <v>0</v>
      </c>
      <c r="L434" s="21">
        <v>0</v>
      </c>
      <c r="M434" s="21">
        <f>COUNTIF($A$2:$A$5481,A434)</f>
        <v>1</v>
      </c>
      <c r="N434" s="24">
        <f t="shared" si="6"/>
        <v>630.0000434</v>
      </c>
    </row>
    <row r="435" spans="1:14">
      <c r="A435" s="21" t="s">
        <v>1261</v>
      </c>
      <c r="B435" s="21" t="s">
        <v>920</v>
      </c>
      <c r="C435" s="21" t="s">
        <v>26</v>
      </c>
      <c r="D435" s="21" t="s">
        <v>921</v>
      </c>
      <c r="E435" s="21">
        <v>1</v>
      </c>
      <c r="F435" s="22">
        <v>46184.7131712963</v>
      </c>
      <c r="G435" s="22"/>
      <c r="H435" s="23">
        <v>33</v>
      </c>
      <c r="I435" s="23">
        <v>33</v>
      </c>
      <c r="J435" s="24">
        <v>33</v>
      </c>
      <c r="K435" s="21">
        <v>0</v>
      </c>
      <c r="L435" s="21">
        <v>0</v>
      </c>
      <c r="M435" s="21">
        <f>COUNTIF($A$2:$A$5481,A435)</f>
        <v>1</v>
      </c>
      <c r="N435" s="24">
        <f t="shared" si="6"/>
        <v>33.0000435</v>
      </c>
    </row>
    <row r="436" spans="1:14">
      <c r="A436" s="21" t="s">
        <v>31</v>
      </c>
      <c r="B436" s="21" t="s">
        <v>920</v>
      </c>
      <c r="C436" s="21" t="s">
        <v>35</v>
      </c>
      <c r="D436" s="21" t="s">
        <v>921</v>
      </c>
      <c r="E436" s="21">
        <v>1</v>
      </c>
      <c r="F436" s="22">
        <v>45492.4238773148</v>
      </c>
      <c r="G436" s="22">
        <v>45561.7476736111</v>
      </c>
      <c r="H436" s="23">
        <v>1507.36</v>
      </c>
      <c r="I436" s="23">
        <v>704.33667</v>
      </c>
      <c r="J436" s="24">
        <v>704.34</v>
      </c>
      <c r="K436" s="21">
        <v>0</v>
      </c>
      <c r="L436" s="21">
        <v>0</v>
      </c>
      <c r="M436" s="21">
        <f>COUNTIF($A$2:$A$5481,A436)</f>
        <v>2</v>
      </c>
      <c r="N436" s="24">
        <f t="shared" si="6"/>
        <v>704.3400436</v>
      </c>
    </row>
    <row r="437" spans="1:14">
      <c r="A437" s="21" t="s">
        <v>31</v>
      </c>
      <c r="B437" s="21" t="s">
        <v>920</v>
      </c>
      <c r="C437" s="21" t="s">
        <v>26</v>
      </c>
      <c r="D437" s="21" t="s">
        <v>921</v>
      </c>
      <c r="E437" s="21">
        <v>1</v>
      </c>
      <c r="F437" s="22">
        <v>46247.5520833333</v>
      </c>
      <c r="G437" s="22">
        <v>46254.5996412037</v>
      </c>
      <c r="H437" s="23">
        <v>569.62</v>
      </c>
      <c r="I437" s="23">
        <v>284.81</v>
      </c>
      <c r="J437" s="24">
        <v>284.81</v>
      </c>
      <c r="K437" s="21">
        <v>0</v>
      </c>
      <c r="L437" s="21">
        <v>0</v>
      </c>
      <c r="M437" s="21">
        <f>COUNTIF($A$2:$A$5481,A437)</f>
        <v>2</v>
      </c>
      <c r="N437" s="24">
        <f t="shared" si="6"/>
        <v>284.8100437</v>
      </c>
    </row>
    <row r="438" spans="1:14">
      <c r="A438" s="21" t="s">
        <v>1262</v>
      </c>
      <c r="B438" s="21" t="s">
        <v>920</v>
      </c>
      <c r="C438" s="21" t="s">
        <v>26</v>
      </c>
      <c r="D438" s="21" t="s">
        <v>921</v>
      </c>
      <c r="E438" s="21">
        <v>2</v>
      </c>
      <c r="F438" s="22">
        <v>46055.7260069445</v>
      </c>
      <c r="G438" s="22"/>
      <c r="H438" s="23">
        <v>1535.56</v>
      </c>
      <c r="I438" s="23">
        <v>767.78</v>
      </c>
      <c r="J438" s="24">
        <v>1535.56</v>
      </c>
      <c r="K438" s="21">
        <v>0</v>
      </c>
      <c r="L438" s="21">
        <v>0</v>
      </c>
      <c r="M438" s="21">
        <f>COUNTIF($A$2:$A$5481,A438)</f>
        <v>1</v>
      </c>
      <c r="N438" s="24">
        <f t="shared" si="6"/>
        <v>1535.5600438</v>
      </c>
    </row>
    <row r="439" spans="1:14">
      <c r="A439" s="21" t="s">
        <v>1263</v>
      </c>
      <c r="B439" s="21" t="s">
        <v>929</v>
      </c>
      <c r="C439" s="21" t="s">
        <v>26</v>
      </c>
      <c r="D439" s="21" t="s">
        <v>921</v>
      </c>
      <c r="E439" s="21">
        <v>1</v>
      </c>
      <c r="F439" s="22">
        <v>45552.8465625</v>
      </c>
      <c r="G439" s="22"/>
      <c r="H439" s="23">
        <v>4.59</v>
      </c>
      <c r="I439" s="23">
        <v>4.59</v>
      </c>
      <c r="J439" s="24">
        <v>4.59</v>
      </c>
      <c r="K439" s="21">
        <v>0</v>
      </c>
      <c r="L439" s="21">
        <v>0</v>
      </c>
      <c r="M439" s="21">
        <f>COUNTIF($A$2:$A$5481,A439)</f>
        <v>1</v>
      </c>
      <c r="N439" s="24">
        <f t="shared" si="6"/>
        <v>4.5900439</v>
      </c>
    </row>
    <row r="440" spans="1:14">
      <c r="A440" s="21" t="s">
        <v>1264</v>
      </c>
      <c r="B440" s="21" t="s">
        <v>926</v>
      </c>
      <c r="C440" s="21" t="s">
        <v>26</v>
      </c>
      <c r="D440" s="21" t="s">
        <v>931</v>
      </c>
      <c r="E440" s="21">
        <v>1</v>
      </c>
      <c r="F440" s="22">
        <v>45869.7064699074</v>
      </c>
      <c r="G440" s="22"/>
      <c r="H440" s="23">
        <v>877</v>
      </c>
      <c r="I440" s="23">
        <v>877</v>
      </c>
      <c r="J440" s="24">
        <v>877</v>
      </c>
      <c r="K440" s="21">
        <v>0</v>
      </c>
      <c r="L440" s="21">
        <v>0</v>
      </c>
      <c r="M440" s="21">
        <f>COUNTIF($A$2:$A$5481,A440)</f>
        <v>1</v>
      </c>
      <c r="N440" s="24">
        <f t="shared" si="6"/>
        <v>877.000044</v>
      </c>
    </row>
    <row r="441" spans="1:14">
      <c r="A441" s="21" t="s">
        <v>1265</v>
      </c>
      <c r="B441" s="21" t="s">
        <v>929</v>
      </c>
      <c r="C441" s="21" t="s">
        <v>26</v>
      </c>
      <c r="D441" s="21" t="s">
        <v>931</v>
      </c>
      <c r="E441" s="21">
        <v>1</v>
      </c>
      <c r="F441" s="22">
        <v>45923.682337963</v>
      </c>
      <c r="G441" s="22"/>
      <c r="H441" s="23">
        <v>292.82</v>
      </c>
      <c r="I441" s="23">
        <v>292.82</v>
      </c>
      <c r="J441" s="24">
        <v>292.82</v>
      </c>
      <c r="K441" s="21">
        <v>0</v>
      </c>
      <c r="L441" s="21">
        <v>0</v>
      </c>
      <c r="M441" s="21">
        <f>COUNTIF($A$2:$A$5481,A441)</f>
        <v>1</v>
      </c>
      <c r="N441" s="24">
        <f t="shared" si="6"/>
        <v>292.8200441</v>
      </c>
    </row>
    <row r="442" spans="1:14">
      <c r="A442" s="21" t="s">
        <v>1266</v>
      </c>
      <c r="B442" s="21" t="s">
        <v>26</v>
      </c>
      <c r="C442" s="21" t="s">
        <v>26</v>
      </c>
      <c r="D442" s="21" t="s">
        <v>921</v>
      </c>
      <c r="E442" s="21">
        <v>4</v>
      </c>
      <c r="F442" s="22">
        <v>45513.454849537</v>
      </c>
      <c r="G442" s="22"/>
      <c r="H442" s="23">
        <v>18.4</v>
      </c>
      <c r="I442" s="23">
        <v>4.6</v>
      </c>
      <c r="J442" s="24">
        <v>18.4</v>
      </c>
      <c r="K442" s="21">
        <v>0</v>
      </c>
      <c r="L442" s="21">
        <v>0</v>
      </c>
      <c r="M442" s="21">
        <f>COUNTIF($A$2:$A$5481,A442)</f>
        <v>1</v>
      </c>
      <c r="N442" s="24">
        <f t="shared" si="6"/>
        <v>18.4000442</v>
      </c>
    </row>
    <row r="443" spans="1:14">
      <c r="A443" s="21" t="s">
        <v>301</v>
      </c>
      <c r="B443" s="21" t="s">
        <v>920</v>
      </c>
      <c r="C443" s="21" t="s">
        <v>35</v>
      </c>
      <c r="D443" s="21" t="s">
        <v>921</v>
      </c>
      <c r="E443" s="21">
        <v>0</v>
      </c>
      <c r="F443" s="22">
        <v>46085.4340277778</v>
      </c>
      <c r="G443" s="22">
        <v>46090.5750347222</v>
      </c>
      <c r="H443" s="23">
        <v>4260</v>
      </c>
      <c r="I443" s="23">
        <v>4260</v>
      </c>
      <c r="J443" s="24">
        <v>0</v>
      </c>
      <c r="K443" s="21">
        <v>0</v>
      </c>
      <c r="L443" s="21">
        <v>0</v>
      </c>
      <c r="M443" s="21">
        <f>COUNTIF($A$2:$A$5481,A443)</f>
        <v>1</v>
      </c>
      <c r="N443" s="24">
        <f t="shared" si="6"/>
        <v>4.43e-5</v>
      </c>
    </row>
    <row r="444" spans="1:14">
      <c r="A444" s="21" t="s">
        <v>1267</v>
      </c>
      <c r="B444" s="21" t="s">
        <v>949</v>
      </c>
      <c r="C444" s="21" t="s">
        <v>26</v>
      </c>
      <c r="D444" s="21" t="s">
        <v>921</v>
      </c>
      <c r="E444" s="21">
        <v>8</v>
      </c>
      <c r="F444" s="22">
        <v>46058.5860648148</v>
      </c>
      <c r="G444" s="22"/>
      <c r="H444" s="23">
        <v>55.6</v>
      </c>
      <c r="I444" s="23">
        <v>6.95</v>
      </c>
      <c r="J444" s="24">
        <v>55.6</v>
      </c>
      <c r="K444" s="21">
        <v>0</v>
      </c>
      <c r="L444" s="21">
        <v>0</v>
      </c>
      <c r="M444" s="21">
        <f>COUNTIF($A$2:$A$5481,A444)</f>
        <v>1</v>
      </c>
      <c r="N444" s="24">
        <f t="shared" si="6"/>
        <v>55.6000444</v>
      </c>
    </row>
    <row r="445" spans="1:14">
      <c r="A445" s="21" t="s">
        <v>396</v>
      </c>
      <c r="B445" s="21" t="s">
        <v>920</v>
      </c>
      <c r="C445" s="21" t="s">
        <v>26</v>
      </c>
      <c r="D445" s="21" t="s">
        <v>921</v>
      </c>
      <c r="E445" s="21">
        <v>0</v>
      </c>
      <c r="F445" s="22">
        <v>45881.7117013889</v>
      </c>
      <c r="G445" s="22">
        <v>46175.6493981482</v>
      </c>
      <c r="H445" s="23">
        <v>16</v>
      </c>
      <c r="I445" s="23">
        <v>16</v>
      </c>
      <c r="J445" s="24">
        <v>0</v>
      </c>
      <c r="K445" s="21">
        <v>0</v>
      </c>
      <c r="L445" s="21">
        <v>0</v>
      </c>
      <c r="M445" s="21">
        <f>COUNTIF($A$2:$A$5481,A445)</f>
        <v>1</v>
      </c>
      <c r="N445" s="24">
        <f t="shared" si="6"/>
        <v>4.45e-5</v>
      </c>
    </row>
    <row r="446" spans="1:14">
      <c r="A446" s="21" t="s">
        <v>1268</v>
      </c>
      <c r="B446" s="21" t="s">
        <v>920</v>
      </c>
      <c r="C446" s="21" t="s">
        <v>35</v>
      </c>
      <c r="D446" s="21" t="s">
        <v>921</v>
      </c>
      <c r="E446" s="21">
        <v>0</v>
      </c>
      <c r="F446" s="22">
        <v>45267.5929861111</v>
      </c>
      <c r="G446" s="22">
        <v>45267.5619212963</v>
      </c>
      <c r="H446" s="23">
        <v>57.8</v>
      </c>
      <c r="I446" s="23">
        <v>0</v>
      </c>
      <c r="J446" s="24">
        <v>0</v>
      </c>
      <c r="K446" s="21">
        <v>0</v>
      </c>
      <c r="L446" s="21">
        <v>0</v>
      </c>
      <c r="M446" s="21">
        <f>COUNTIF($A$2:$A$5481,A446)</f>
        <v>1</v>
      </c>
      <c r="N446" s="24">
        <f t="shared" si="6"/>
        <v>4.46e-5</v>
      </c>
    </row>
    <row r="447" spans="1:14">
      <c r="A447" s="21" t="s">
        <v>1269</v>
      </c>
      <c r="B447" s="21" t="s">
        <v>920</v>
      </c>
      <c r="C447" s="21" t="s">
        <v>26</v>
      </c>
      <c r="D447" s="21" t="s">
        <v>921</v>
      </c>
      <c r="E447" s="21">
        <v>8</v>
      </c>
      <c r="F447" s="22">
        <v>46097.4972222222</v>
      </c>
      <c r="G447" s="22"/>
      <c r="H447" s="23">
        <v>116</v>
      </c>
      <c r="I447" s="23">
        <v>63.25</v>
      </c>
      <c r="J447" s="24">
        <v>506</v>
      </c>
      <c r="K447" s="21">
        <v>0</v>
      </c>
      <c r="L447" s="21">
        <v>0</v>
      </c>
      <c r="M447" s="21">
        <f>COUNTIF($A$2:$A$5481,A447)</f>
        <v>1</v>
      </c>
      <c r="N447" s="24">
        <f t="shared" si="6"/>
        <v>506.0000447</v>
      </c>
    </row>
    <row r="448" spans="1:14">
      <c r="A448" s="21" t="s">
        <v>1270</v>
      </c>
      <c r="B448" s="21" t="s">
        <v>920</v>
      </c>
      <c r="C448" s="21" t="s">
        <v>35</v>
      </c>
      <c r="D448" s="21" t="s">
        <v>921</v>
      </c>
      <c r="E448" s="21">
        <v>1</v>
      </c>
      <c r="F448" s="22">
        <v>46021.5372685185</v>
      </c>
      <c r="G448" s="22"/>
      <c r="H448" s="23">
        <v>3.32</v>
      </c>
      <c r="I448" s="23">
        <v>3.32</v>
      </c>
      <c r="J448" s="24">
        <v>3.32</v>
      </c>
      <c r="K448" s="21">
        <v>0</v>
      </c>
      <c r="L448" s="21">
        <v>0</v>
      </c>
      <c r="M448" s="21">
        <f>COUNTIF($A$2:$A$5481,A448)</f>
        <v>1</v>
      </c>
      <c r="N448" s="24">
        <f t="shared" si="6"/>
        <v>3.3200448</v>
      </c>
    </row>
    <row r="449" spans="1:14">
      <c r="A449" s="21" t="s">
        <v>1271</v>
      </c>
      <c r="B449" s="21" t="s">
        <v>920</v>
      </c>
      <c r="C449" s="21" t="s">
        <v>26</v>
      </c>
      <c r="D449" s="21" t="s">
        <v>921</v>
      </c>
      <c r="E449" s="21">
        <v>4</v>
      </c>
      <c r="F449" s="22">
        <v>46120.6807986111</v>
      </c>
      <c r="G449" s="22"/>
      <c r="H449" s="23">
        <v>276</v>
      </c>
      <c r="I449" s="23">
        <v>69</v>
      </c>
      <c r="J449" s="24">
        <v>276</v>
      </c>
      <c r="K449" s="21">
        <v>0</v>
      </c>
      <c r="L449" s="21">
        <v>0</v>
      </c>
      <c r="M449" s="21">
        <f>COUNTIF($A$2:$A$5481,A449)</f>
        <v>1</v>
      </c>
      <c r="N449" s="24">
        <f t="shared" si="6"/>
        <v>276.0000449</v>
      </c>
    </row>
    <row r="450" spans="1:14">
      <c r="A450" s="21" t="s">
        <v>1272</v>
      </c>
      <c r="B450" s="21" t="s">
        <v>920</v>
      </c>
      <c r="C450" s="21" t="s">
        <v>26</v>
      </c>
      <c r="D450" s="21" t="s">
        <v>921</v>
      </c>
      <c r="E450" s="21">
        <v>2</v>
      </c>
      <c r="F450" s="22">
        <v>46010.5683680556</v>
      </c>
      <c r="G450" s="22">
        <v>46010.5703703704</v>
      </c>
      <c r="H450" s="23">
        <v>255</v>
      </c>
      <c r="I450" s="23">
        <v>85</v>
      </c>
      <c r="J450" s="24">
        <v>170</v>
      </c>
      <c r="K450" s="21">
        <v>0</v>
      </c>
      <c r="L450" s="21">
        <v>0</v>
      </c>
      <c r="M450" s="21">
        <f>COUNTIF($A$2:$A$5481,A450)</f>
        <v>1</v>
      </c>
      <c r="N450" s="24">
        <f t="shared" ref="N450:N513" si="7">J450+ROW()/10000000</f>
        <v>170.000045</v>
      </c>
    </row>
    <row r="451" spans="1:14">
      <c r="A451" s="21" t="s">
        <v>1273</v>
      </c>
      <c r="B451" s="21" t="s">
        <v>920</v>
      </c>
      <c r="C451" s="21" t="s">
        <v>26</v>
      </c>
      <c r="D451" s="21" t="s">
        <v>921</v>
      </c>
      <c r="E451" s="21">
        <v>0</v>
      </c>
      <c r="F451" s="22">
        <v>46003.4416319444</v>
      </c>
      <c r="G451" s="22">
        <v>46013.5620717593</v>
      </c>
      <c r="H451" s="23">
        <v>212.44</v>
      </c>
      <c r="I451" s="23">
        <v>53.11</v>
      </c>
      <c r="J451" s="24">
        <v>0</v>
      </c>
      <c r="K451" s="21">
        <v>0</v>
      </c>
      <c r="L451" s="21">
        <v>0</v>
      </c>
      <c r="M451" s="21">
        <f>COUNTIF($A$2:$A$5481,A451)</f>
        <v>1</v>
      </c>
      <c r="N451" s="24">
        <f t="shared" si="7"/>
        <v>4.51e-5</v>
      </c>
    </row>
    <row r="452" spans="1:14">
      <c r="A452" s="21" t="s">
        <v>1274</v>
      </c>
      <c r="B452" s="21" t="s">
        <v>949</v>
      </c>
      <c r="C452" s="21" t="s">
        <v>26</v>
      </c>
      <c r="D452" s="21" t="s">
        <v>921</v>
      </c>
      <c r="E452" s="21">
        <v>6</v>
      </c>
      <c r="F452" s="22">
        <v>45484.7950462963</v>
      </c>
      <c r="G452" s="22"/>
      <c r="H452" s="23">
        <v>14.6</v>
      </c>
      <c r="I452" s="23">
        <v>6.42667</v>
      </c>
      <c r="J452" s="24">
        <v>38.58</v>
      </c>
      <c r="K452" s="21">
        <v>0</v>
      </c>
      <c r="L452" s="21">
        <v>0</v>
      </c>
      <c r="M452" s="21">
        <f>COUNTIF($A$2:$A$5481,A452)</f>
        <v>1</v>
      </c>
      <c r="N452" s="24">
        <f t="shared" si="7"/>
        <v>38.5800452</v>
      </c>
    </row>
    <row r="453" spans="1:14">
      <c r="A453" s="21" t="s">
        <v>1275</v>
      </c>
      <c r="B453" s="21" t="s">
        <v>949</v>
      </c>
      <c r="C453" s="21" t="s">
        <v>26</v>
      </c>
      <c r="D453" s="21" t="s">
        <v>921</v>
      </c>
      <c r="E453" s="21">
        <v>2</v>
      </c>
      <c r="F453" s="22">
        <v>45558.8315625</v>
      </c>
      <c r="G453" s="22"/>
      <c r="H453" s="23">
        <v>11.98</v>
      </c>
      <c r="I453" s="23">
        <v>5.99</v>
      </c>
      <c r="J453" s="24">
        <v>11.98</v>
      </c>
      <c r="K453" s="21">
        <v>0</v>
      </c>
      <c r="L453" s="21">
        <v>0</v>
      </c>
      <c r="M453" s="21">
        <f>COUNTIF($A$2:$A$5481,A453)</f>
        <v>1</v>
      </c>
      <c r="N453" s="24">
        <f t="shared" si="7"/>
        <v>11.9800453</v>
      </c>
    </row>
    <row r="454" spans="1:14">
      <c r="A454" s="21" t="s">
        <v>1276</v>
      </c>
      <c r="B454" s="21" t="s">
        <v>929</v>
      </c>
      <c r="C454" s="21" t="s">
        <v>414</v>
      </c>
      <c r="D454" s="21" t="s">
        <v>931</v>
      </c>
      <c r="E454" s="21">
        <v>1</v>
      </c>
      <c r="F454" s="22">
        <v>45400.3252430556</v>
      </c>
      <c r="G454" s="22"/>
      <c r="H454" s="23">
        <v>27.03</v>
      </c>
      <c r="I454" s="23">
        <v>27.03</v>
      </c>
      <c r="J454" s="24">
        <v>27.03</v>
      </c>
      <c r="K454" s="21">
        <v>0</v>
      </c>
      <c r="L454" s="21">
        <v>0</v>
      </c>
      <c r="M454" s="21">
        <f>COUNTIF($A$2:$A$5481,A454)</f>
        <v>1</v>
      </c>
      <c r="N454" s="24">
        <f t="shared" si="7"/>
        <v>27.0300454</v>
      </c>
    </row>
    <row r="455" spans="1:14">
      <c r="A455" s="21" t="s">
        <v>370</v>
      </c>
      <c r="B455" s="21" t="s">
        <v>920</v>
      </c>
      <c r="C455" s="21" t="s">
        <v>26</v>
      </c>
      <c r="D455" s="21" t="s">
        <v>921</v>
      </c>
      <c r="E455" s="21">
        <v>1</v>
      </c>
      <c r="F455" s="22">
        <v>45649.8271759259</v>
      </c>
      <c r="G455" s="22">
        <v>46132.6447453704</v>
      </c>
      <c r="H455" s="23">
        <v>36</v>
      </c>
      <c r="I455" s="23">
        <v>36</v>
      </c>
      <c r="J455" s="24">
        <v>36</v>
      </c>
      <c r="K455" s="21">
        <v>0</v>
      </c>
      <c r="L455" s="21">
        <v>0</v>
      </c>
      <c r="M455" s="21">
        <f>COUNTIF($A$2:$A$5481,A455)</f>
        <v>1</v>
      </c>
      <c r="N455" s="24">
        <f t="shared" si="7"/>
        <v>36.0000455</v>
      </c>
    </row>
    <row r="456" spans="1:14">
      <c r="A456" s="21" t="s">
        <v>861</v>
      </c>
      <c r="B456" s="21" t="s">
        <v>920</v>
      </c>
      <c r="C456" s="21" t="s">
        <v>35</v>
      </c>
      <c r="D456" s="21" t="s">
        <v>921</v>
      </c>
      <c r="E456" s="21">
        <v>0</v>
      </c>
      <c r="F456" s="22">
        <v>45289.5944328704</v>
      </c>
      <c r="G456" s="22">
        <v>46268.4369560185</v>
      </c>
      <c r="H456" s="23">
        <v>38</v>
      </c>
      <c r="I456" s="23">
        <v>38</v>
      </c>
      <c r="J456" s="24">
        <v>0</v>
      </c>
      <c r="K456" s="21">
        <v>0</v>
      </c>
      <c r="L456" s="21">
        <v>0</v>
      </c>
      <c r="M456" s="21">
        <f>COUNTIF($A$2:$A$5481,A456)</f>
        <v>1</v>
      </c>
      <c r="N456" s="24">
        <f t="shared" si="7"/>
        <v>4.56e-5</v>
      </c>
    </row>
    <row r="457" spans="1:14">
      <c r="A457" s="21" t="s">
        <v>1277</v>
      </c>
      <c r="B457" s="21" t="s">
        <v>26</v>
      </c>
      <c r="C457" s="21" t="s">
        <v>26</v>
      </c>
      <c r="D457" s="21" t="s">
        <v>921</v>
      </c>
      <c r="E457" s="21">
        <v>0</v>
      </c>
      <c r="F457" s="22">
        <v>45553.3722453704</v>
      </c>
      <c r="G457" s="22">
        <v>45555.3846296296</v>
      </c>
      <c r="H457" s="23">
        <v>33.95</v>
      </c>
      <c r="I457" s="23">
        <v>33.95</v>
      </c>
      <c r="J457" s="24">
        <v>0</v>
      </c>
      <c r="K457" s="21">
        <v>0</v>
      </c>
      <c r="L457" s="21">
        <v>0</v>
      </c>
      <c r="M457" s="21">
        <f>COUNTIF($A$2:$A$5481,A457)</f>
        <v>1</v>
      </c>
      <c r="N457" s="24">
        <f t="shared" si="7"/>
        <v>4.57e-5</v>
      </c>
    </row>
    <row r="458" spans="1:14">
      <c r="A458" s="21" t="s">
        <v>1278</v>
      </c>
      <c r="B458" s="21" t="s">
        <v>26</v>
      </c>
      <c r="C458" s="21" t="s">
        <v>26</v>
      </c>
      <c r="D458" s="21" t="s">
        <v>921</v>
      </c>
      <c r="E458" s="21">
        <v>2</v>
      </c>
      <c r="F458" s="22">
        <v>45755.3811458333</v>
      </c>
      <c r="G458" s="22"/>
      <c r="H458" s="23">
        <v>18</v>
      </c>
      <c r="I458" s="23">
        <v>9</v>
      </c>
      <c r="J458" s="24">
        <v>18</v>
      </c>
      <c r="K458" s="21">
        <v>0</v>
      </c>
      <c r="L458" s="21">
        <v>0</v>
      </c>
      <c r="M458" s="21">
        <f>COUNTIF($A$2:$A$5481,A458)</f>
        <v>1</v>
      </c>
      <c r="N458" s="24">
        <f t="shared" si="7"/>
        <v>18.0000458</v>
      </c>
    </row>
    <row r="459" spans="1:14">
      <c r="A459" s="21" t="s">
        <v>1279</v>
      </c>
      <c r="B459" s="21" t="s">
        <v>920</v>
      </c>
      <c r="C459" s="21" t="s">
        <v>35</v>
      </c>
      <c r="D459" s="21" t="s">
        <v>921</v>
      </c>
      <c r="E459" s="21">
        <v>1</v>
      </c>
      <c r="F459" s="22">
        <v>45301.7960763889</v>
      </c>
      <c r="G459" s="22"/>
      <c r="H459" s="23">
        <v>38</v>
      </c>
      <c r="I459" s="23">
        <v>38</v>
      </c>
      <c r="J459" s="24">
        <v>38</v>
      </c>
      <c r="K459" s="21">
        <v>0</v>
      </c>
      <c r="L459" s="21">
        <v>5</v>
      </c>
      <c r="M459" s="21">
        <f>COUNTIF($A$2:$A$5481,A459)</f>
        <v>1</v>
      </c>
      <c r="N459" s="24">
        <f t="shared" si="7"/>
        <v>38.0000459</v>
      </c>
    </row>
    <row r="460" spans="1:14">
      <c r="A460" s="21" t="s">
        <v>1280</v>
      </c>
      <c r="B460" s="21" t="s">
        <v>949</v>
      </c>
      <c r="C460" s="21" t="s">
        <v>26</v>
      </c>
      <c r="D460" s="21" t="s">
        <v>921</v>
      </c>
      <c r="E460" s="21">
        <v>1</v>
      </c>
      <c r="F460" s="22">
        <v>45369.4451388889</v>
      </c>
      <c r="G460" s="22">
        <v>45331.4256944444</v>
      </c>
      <c r="H460" s="23">
        <v>7.3</v>
      </c>
      <c r="I460" s="23">
        <v>7.3</v>
      </c>
      <c r="J460" s="24">
        <v>7.3</v>
      </c>
      <c r="K460" s="21">
        <v>0</v>
      </c>
      <c r="L460" s="21">
        <v>0</v>
      </c>
      <c r="M460" s="21">
        <f>COUNTIF($A$2:$A$5481,A460)</f>
        <v>1</v>
      </c>
      <c r="N460" s="24">
        <f t="shared" si="7"/>
        <v>7.300046</v>
      </c>
    </row>
    <row r="461" spans="1:14">
      <c r="A461" s="21" t="s">
        <v>381</v>
      </c>
      <c r="B461" s="21" t="s">
        <v>920</v>
      </c>
      <c r="C461" s="21" t="s">
        <v>26</v>
      </c>
      <c r="D461" s="21" t="s">
        <v>921</v>
      </c>
      <c r="E461" s="21">
        <v>5</v>
      </c>
      <c r="F461" s="22">
        <v>46154.3832291667</v>
      </c>
      <c r="G461" s="22">
        <v>46154.3849074074</v>
      </c>
      <c r="H461" s="23">
        <v>81</v>
      </c>
      <c r="I461" s="23">
        <v>13.5</v>
      </c>
      <c r="J461" s="24">
        <v>67.5</v>
      </c>
      <c r="K461" s="21">
        <v>0</v>
      </c>
      <c r="L461" s="21">
        <v>0</v>
      </c>
      <c r="M461" s="21">
        <f>COUNTIF($A$2:$A$5481,A461)</f>
        <v>1</v>
      </c>
      <c r="N461" s="24">
        <f t="shared" si="7"/>
        <v>67.5000461</v>
      </c>
    </row>
    <row r="462" spans="1:14">
      <c r="A462" s="21" t="s">
        <v>1281</v>
      </c>
      <c r="B462" s="21" t="s">
        <v>920</v>
      </c>
      <c r="C462" s="21" t="s">
        <v>26</v>
      </c>
      <c r="D462" s="21" t="s">
        <v>921</v>
      </c>
      <c r="E462" s="21">
        <v>0</v>
      </c>
      <c r="F462" s="22">
        <v>45897.0174305556</v>
      </c>
      <c r="G462" s="22">
        <v>45904.5811574074</v>
      </c>
      <c r="H462" s="23">
        <v>389.99</v>
      </c>
      <c r="I462" s="23">
        <v>389.99</v>
      </c>
      <c r="J462" s="24">
        <v>0</v>
      </c>
      <c r="K462" s="21">
        <v>0</v>
      </c>
      <c r="L462" s="21">
        <v>0</v>
      </c>
      <c r="M462" s="21">
        <f>COUNTIF($A$2:$A$5481,A462)</f>
        <v>1</v>
      </c>
      <c r="N462" s="24">
        <f t="shared" si="7"/>
        <v>4.62e-5</v>
      </c>
    </row>
    <row r="463" spans="1:14">
      <c r="A463" s="21" t="s">
        <v>1282</v>
      </c>
      <c r="B463" s="21" t="s">
        <v>1115</v>
      </c>
      <c r="C463" s="21" t="s">
        <v>26</v>
      </c>
      <c r="D463" s="21" t="s">
        <v>921</v>
      </c>
      <c r="E463" s="21">
        <v>2</v>
      </c>
      <c r="F463" s="22">
        <v>46112.8728935185</v>
      </c>
      <c r="G463" s="22"/>
      <c r="H463" s="23">
        <v>118</v>
      </c>
      <c r="I463" s="23">
        <v>59</v>
      </c>
      <c r="J463" s="24">
        <v>118</v>
      </c>
      <c r="K463" s="21">
        <v>0</v>
      </c>
      <c r="L463" s="21">
        <v>0</v>
      </c>
      <c r="M463" s="21">
        <f>COUNTIF($A$2:$A$5481,A463)</f>
        <v>1</v>
      </c>
      <c r="N463" s="24">
        <f t="shared" si="7"/>
        <v>118.0000463</v>
      </c>
    </row>
    <row r="464" spans="1:14">
      <c r="A464" s="21" t="s">
        <v>1283</v>
      </c>
      <c r="B464" s="21" t="s">
        <v>920</v>
      </c>
      <c r="C464" s="21" t="s">
        <v>35</v>
      </c>
      <c r="D464" s="21" t="s">
        <v>921</v>
      </c>
      <c r="E464" s="21">
        <v>5</v>
      </c>
      <c r="F464" s="22">
        <v>46184.733912037</v>
      </c>
      <c r="G464" s="22"/>
      <c r="H464" s="23">
        <v>55</v>
      </c>
      <c r="I464" s="23">
        <v>11</v>
      </c>
      <c r="J464" s="24">
        <v>55</v>
      </c>
      <c r="K464" s="21">
        <v>0</v>
      </c>
      <c r="L464" s="21">
        <v>0</v>
      </c>
      <c r="M464" s="21">
        <f>COUNTIF($A$2:$A$5481,A464)</f>
        <v>1</v>
      </c>
      <c r="N464" s="24">
        <f t="shared" si="7"/>
        <v>55.0000464</v>
      </c>
    </row>
    <row r="465" spans="1:14">
      <c r="A465" s="21" t="s">
        <v>1284</v>
      </c>
      <c r="B465" s="21" t="s">
        <v>920</v>
      </c>
      <c r="C465" s="21" t="s">
        <v>35</v>
      </c>
      <c r="D465" s="21" t="s">
        <v>921</v>
      </c>
      <c r="E465" s="21">
        <v>1</v>
      </c>
      <c r="F465" s="22">
        <v>45609.4794097222</v>
      </c>
      <c r="G465" s="22"/>
      <c r="H465" s="23">
        <v>230</v>
      </c>
      <c r="I465" s="23">
        <v>230</v>
      </c>
      <c r="J465" s="24">
        <v>230</v>
      </c>
      <c r="K465" s="21">
        <v>0</v>
      </c>
      <c r="L465" s="21">
        <v>0</v>
      </c>
      <c r="M465" s="21">
        <f>COUNTIF($A$2:$A$5481,A465)</f>
        <v>1</v>
      </c>
      <c r="N465" s="24">
        <f t="shared" si="7"/>
        <v>230.0000465</v>
      </c>
    </row>
    <row r="466" spans="1:14">
      <c r="A466" s="21" t="s">
        <v>1285</v>
      </c>
      <c r="B466" s="21" t="s">
        <v>26</v>
      </c>
      <c r="C466" s="21" t="s">
        <v>26</v>
      </c>
      <c r="D466" s="21" t="s">
        <v>921</v>
      </c>
      <c r="E466" s="21">
        <v>1</v>
      </c>
      <c r="F466" s="22">
        <v>45427.4729166667</v>
      </c>
      <c r="G466" s="22"/>
      <c r="H466" s="23">
        <v>1190</v>
      </c>
      <c r="I466" s="23">
        <v>1190</v>
      </c>
      <c r="J466" s="24">
        <v>1190</v>
      </c>
      <c r="K466" s="21">
        <v>0</v>
      </c>
      <c r="L466" s="21">
        <v>0</v>
      </c>
      <c r="M466" s="21">
        <f>COUNTIF($A$2:$A$5481,A466)</f>
        <v>1</v>
      </c>
      <c r="N466" s="24">
        <f t="shared" si="7"/>
        <v>1190.0000466</v>
      </c>
    </row>
    <row r="467" spans="1:14">
      <c r="A467" s="21" t="s">
        <v>1286</v>
      </c>
      <c r="B467" s="21" t="s">
        <v>920</v>
      </c>
      <c r="C467" s="21" t="s">
        <v>35</v>
      </c>
      <c r="D467" s="21" t="s">
        <v>931</v>
      </c>
      <c r="E467" s="21">
        <v>1</v>
      </c>
      <c r="F467" s="22">
        <v>45909.5967824074</v>
      </c>
      <c r="G467" s="22"/>
      <c r="H467" s="23">
        <v>140</v>
      </c>
      <c r="I467" s="23">
        <v>140</v>
      </c>
      <c r="J467" s="24">
        <v>140</v>
      </c>
      <c r="K467" s="21">
        <v>0</v>
      </c>
      <c r="L467" s="21">
        <v>0</v>
      </c>
      <c r="M467" s="21">
        <f>COUNTIF($A$2:$A$5481,A467)</f>
        <v>1</v>
      </c>
      <c r="N467" s="24">
        <f t="shared" si="7"/>
        <v>140.0000467</v>
      </c>
    </row>
    <row r="468" spans="1:14">
      <c r="A468" s="21" t="s">
        <v>1287</v>
      </c>
      <c r="B468" s="21" t="s">
        <v>920</v>
      </c>
      <c r="C468" s="21" t="s">
        <v>26</v>
      </c>
      <c r="D468" s="21" t="s">
        <v>931</v>
      </c>
      <c r="E468" s="21">
        <v>10</v>
      </c>
      <c r="F468" s="22">
        <v>45505.370775463</v>
      </c>
      <c r="G468" s="22"/>
      <c r="H468" s="23">
        <v>480</v>
      </c>
      <c r="I468" s="23">
        <v>240</v>
      </c>
      <c r="J468" s="24">
        <v>2400</v>
      </c>
      <c r="K468" s="21">
        <v>0</v>
      </c>
      <c r="L468" s="21">
        <v>0</v>
      </c>
      <c r="M468" s="21">
        <f>COUNTIF($A$2:$A$5481,A468)</f>
        <v>1</v>
      </c>
      <c r="N468" s="24">
        <f t="shared" si="7"/>
        <v>2400.0000468</v>
      </c>
    </row>
    <row r="469" spans="1:14">
      <c r="A469" s="21" t="s">
        <v>1288</v>
      </c>
      <c r="B469" s="21" t="s">
        <v>949</v>
      </c>
      <c r="C469" s="21" t="s">
        <v>26</v>
      </c>
      <c r="D469" s="21" t="s">
        <v>921</v>
      </c>
      <c r="E469" s="21">
        <v>4</v>
      </c>
      <c r="F469" s="22">
        <v>46196.708275463</v>
      </c>
      <c r="G469" s="22"/>
      <c r="H469" s="23">
        <v>27.96</v>
      </c>
      <c r="I469" s="23">
        <v>6.99</v>
      </c>
      <c r="J469" s="24">
        <v>27.96</v>
      </c>
      <c r="K469" s="21">
        <v>0</v>
      </c>
      <c r="L469" s="21">
        <v>0</v>
      </c>
      <c r="M469" s="21">
        <f>COUNTIF($A$2:$A$5481,A469)</f>
        <v>1</v>
      </c>
      <c r="N469" s="24">
        <f t="shared" si="7"/>
        <v>27.9600469</v>
      </c>
    </row>
    <row r="470" spans="1:14">
      <c r="A470" s="21" t="s">
        <v>1289</v>
      </c>
      <c r="B470" s="21" t="s">
        <v>920</v>
      </c>
      <c r="C470" s="21" t="s">
        <v>26</v>
      </c>
      <c r="D470" s="21" t="s">
        <v>921</v>
      </c>
      <c r="E470" s="21">
        <v>0</v>
      </c>
      <c r="F470" s="22">
        <v>45407.7394444444</v>
      </c>
      <c r="G470" s="22">
        <v>45692.5964814815</v>
      </c>
      <c r="H470" s="23">
        <v>23</v>
      </c>
      <c r="I470" s="23">
        <v>23</v>
      </c>
      <c r="J470" s="24">
        <v>0</v>
      </c>
      <c r="K470" s="21">
        <v>0</v>
      </c>
      <c r="L470" s="21">
        <v>0</v>
      </c>
      <c r="M470" s="21">
        <f>COUNTIF($A$2:$A$5481,A470)</f>
        <v>1</v>
      </c>
      <c r="N470" s="24">
        <f t="shared" si="7"/>
        <v>4.7e-5</v>
      </c>
    </row>
    <row r="471" spans="1:14">
      <c r="A471" s="21" t="s">
        <v>1290</v>
      </c>
      <c r="B471" s="21" t="s">
        <v>920</v>
      </c>
      <c r="C471" s="21" t="s">
        <v>35</v>
      </c>
      <c r="D471" s="21" t="s">
        <v>921</v>
      </c>
      <c r="E471" s="21">
        <v>0</v>
      </c>
      <c r="F471" s="22">
        <v>45867.5460532407</v>
      </c>
      <c r="G471" s="22">
        <v>45873.5928935185</v>
      </c>
      <c r="H471" s="23">
        <v>130</v>
      </c>
      <c r="I471" s="23">
        <v>130</v>
      </c>
      <c r="J471" s="24">
        <v>0</v>
      </c>
      <c r="K471" s="21">
        <v>0</v>
      </c>
      <c r="L471" s="21">
        <v>0</v>
      </c>
      <c r="M471" s="21">
        <f>COUNTIF($A$2:$A$5481,A471)</f>
        <v>1</v>
      </c>
      <c r="N471" s="24">
        <f t="shared" si="7"/>
        <v>4.71e-5</v>
      </c>
    </row>
    <row r="472" spans="1:14">
      <c r="A472" s="21" t="s">
        <v>1291</v>
      </c>
      <c r="B472" s="21" t="s">
        <v>920</v>
      </c>
      <c r="C472" s="21" t="s">
        <v>26</v>
      </c>
      <c r="D472" s="21" t="s">
        <v>921</v>
      </c>
      <c r="E472" s="21">
        <v>3</v>
      </c>
      <c r="F472" s="22">
        <v>45469.6143518519</v>
      </c>
      <c r="G472" s="22"/>
      <c r="H472" s="23">
        <v>261</v>
      </c>
      <c r="I472" s="23">
        <v>87</v>
      </c>
      <c r="J472" s="24">
        <v>261</v>
      </c>
      <c r="K472" s="21">
        <v>0</v>
      </c>
      <c r="L472" s="21">
        <v>0</v>
      </c>
      <c r="M472" s="21">
        <f>COUNTIF($A$2:$A$5481,A472)</f>
        <v>1</v>
      </c>
      <c r="N472" s="24">
        <f t="shared" si="7"/>
        <v>261.0000472</v>
      </c>
    </row>
    <row r="473" spans="1:14">
      <c r="A473" s="21" t="s">
        <v>1292</v>
      </c>
      <c r="B473" s="21" t="s">
        <v>920</v>
      </c>
      <c r="C473" s="21" t="s">
        <v>35</v>
      </c>
      <c r="D473" s="21" t="s">
        <v>931</v>
      </c>
      <c r="E473" s="21">
        <v>1</v>
      </c>
      <c r="F473" s="22">
        <v>45909.5967824074</v>
      </c>
      <c r="G473" s="22"/>
      <c r="H473" s="23">
        <v>90</v>
      </c>
      <c r="I473" s="23">
        <v>90</v>
      </c>
      <c r="J473" s="24">
        <v>90</v>
      </c>
      <c r="K473" s="21">
        <v>0</v>
      </c>
      <c r="L473" s="21">
        <v>0</v>
      </c>
      <c r="M473" s="21">
        <f>COUNTIF($A$2:$A$5481,A473)</f>
        <v>1</v>
      </c>
      <c r="N473" s="24">
        <f t="shared" si="7"/>
        <v>90.0000473</v>
      </c>
    </row>
    <row r="474" spans="1:14">
      <c r="A474" s="21" t="s">
        <v>1293</v>
      </c>
      <c r="B474" s="21" t="s">
        <v>920</v>
      </c>
      <c r="C474" s="21" t="s">
        <v>35</v>
      </c>
      <c r="D474" s="21" t="s">
        <v>921</v>
      </c>
      <c r="E474" s="21">
        <v>1</v>
      </c>
      <c r="F474" s="22">
        <v>45643.3444444445</v>
      </c>
      <c r="G474" s="22"/>
      <c r="H474" s="23">
        <v>287</v>
      </c>
      <c r="I474" s="23">
        <v>287</v>
      </c>
      <c r="J474" s="24">
        <v>287</v>
      </c>
      <c r="K474" s="21">
        <v>0</v>
      </c>
      <c r="L474" s="21">
        <v>0</v>
      </c>
      <c r="M474" s="21">
        <f>COUNTIF($A$2:$A$5481,A474)</f>
        <v>1</v>
      </c>
      <c r="N474" s="24">
        <f t="shared" si="7"/>
        <v>287.0000474</v>
      </c>
    </row>
    <row r="475" spans="1:14">
      <c r="A475" s="21" t="s">
        <v>1294</v>
      </c>
      <c r="B475" s="21" t="s">
        <v>920</v>
      </c>
      <c r="C475" s="21" t="s">
        <v>26</v>
      </c>
      <c r="D475" s="21" t="s">
        <v>931</v>
      </c>
      <c r="E475" s="21">
        <v>4</v>
      </c>
      <c r="F475" s="22">
        <v>45818.5935185185</v>
      </c>
      <c r="G475" s="22"/>
      <c r="H475" s="23">
        <v>280</v>
      </c>
      <c r="I475" s="23">
        <v>70</v>
      </c>
      <c r="J475" s="24">
        <v>280</v>
      </c>
      <c r="K475" s="21">
        <v>0</v>
      </c>
      <c r="L475" s="21">
        <v>0</v>
      </c>
      <c r="M475" s="21">
        <f>COUNTIF($A$2:$A$5481,A475)</f>
        <v>1</v>
      </c>
      <c r="N475" s="24">
        <f t="shared" si="7"/>
        <v>280.0000475</v>
      </c>
    </row>
    <row r="476" spans="1:14">
      <c r="A476" s="21" t="s">
        <v>1295</v>
      </c>
      <c r="B476" s="21" t="s">
        <v>920</v>
      </c>
      <c r="C476" s="21" t="s">
        <v>26</v>
      </c>
      <c r="D476" s="21" t="s">
        <v>931</v>
      </c>
      <c r="E476" s="21">
        <v>4</v>
      </c>
      <c r="F476" s="22">
        <v>45818.5935185185</v>
      </c>
      <c r="G476" s="22"/>
      <c r="H476" s="23">
        <v>140</v>
      </c>
      <c r="I476" s="23">
        <v>35</v>
      </c>
      <c r="J476" s="24">
        <v>140</v>
      </c>
      <c r="K476" s="21">
        <v>0</v>
      </c>
      <c r="L476" s="21">
        <v>0</v>
      </c>
      <c r="M476" s="21">
        <f>COUNTIF($A$2:$A$5481,A476)</f>
        <v>1</v>
      </c>
      <c r="N476" s="24">
        <f t="shared" si="7"/>
        <v>140.0000476</v>
      </c>
    </row>
    <row r="477" spans="1:14">
      <c r="A477" s="21" t="s">
        <v>1296</v>
      </c>
      <c r="B477" s="21" t="s">
        <v>920</v>
      </c>
      <c r="C477" s="21" t="s">
        <v>35</v>
      </c>
      <c r="D477" s="21" t="s">
        <v>921</v>
      </c>
      <c r="E477" s="21">
        <v>0</v>
      </c>
      <c r="F477" s="22">
        <v>45288.8029513889</v>
      </c>
      <c r="G477" s="22">
        <v>45288.8280671296</v>
      </c>
      <c r="H477" s="23">
        <v>2390</v>
      </c>
      <c r="I477" s="23">
        <v>1195</v>
      </c>
      <c r="J477" s="24">
        <v>0</v>
      </c>
      <c r="K477" s="21">
        <v>2</v>
      </c>
      <c r="L477" s="21">
        <v>4</v>
      </c>
      <c r="M477" s="21">
        <f>COUNTIF($A$2:$A$5481,A477)</f>
        <v>1</v>
      </c>
      <c r="N477" s="24">
        <f t="shared" si="7"/>
        <v>4.77e-5</v>
      </c>
    </row>
    <row r="478" spans="1:14">
      <c r="A478" s="21" t="s">
        <v>214</v>
      </c>
      <c r="B478" s="21" t="s">
        <v>920</v>
      </c>
      <c r="C478" s="21" t="s">
        <v>26</v>
      </c>
      <c r="D478" s="21" t="s">
        <v>921</v>
      </c>
      <c r="E478" s="21">
        <v>0</v>
      </c>
      <c r="F478" s="22">
        <v>46231.4368055556</v>
      </c>
      <c r="G478" s="22">
        <v>46231.4509953704</v>
      </c>
      <c r="H478" s="23">
        <v>1560</v>
      </c>
      <c r="I478" s="23">
        <v>780</v>
      </c>
      <c r="J478" s="24">
        <v>0</v>
      </c>
      <c r="K478" s="21">
        <v>0</v>
      </c>
      <c r="L478" s="21">
        <v>0</v>
      </c>
      <c r="M478" s="21">
        <f>COUNTIF($A$2:$A$5481,A478)</f>
        <v>1</v>
      </c>
      <c r="N478" s="24">
        <f t="shared" si="7"/>
        <v>4.78e-5</v>
      </c>
    </row>
    <row r="479" spans="1:14">
      <c r="A479" s="21" t="s">
        <v>1297</v>
      </c>
      <c r="B479" s="21" t="s">
        <v>920</v>
      </c>
      <c r="C479" s="21" t="s">
        <v>35</v>
      </c>
      <c r="D479" s="21" t="s">
        <v>921</v>
      </c>
      <c r="E479" s="21">
        <v>0</v>
      </c>
      <c r="F479" s="22">
        <v>45274.3890162037</v>
      </c>
      <c r="G479" s="22">
        <v>45274.4405324074</v>
      </c>
      <c r="H479" s="23">
        <v>1270</v>
      </c>
      <c r="I479" s="23">
        <v>635</v>
      </c>
      <c r="J479" s="24">
        <v>0</v>
      </c>
      <c r="K479" s="21">
        <v>0</v>
      </c>
      <c r="L479" s="21">
        <v>0</v>
      </c>
      <c r="M479" s="21">
        <f>COUNTIF($A$2:$A$5481,A479)</f>
        <v>1</v>
      </c>
      <c r="N479" s="24">
        <f t="shared" si="7"/>
        <v>4.79e-5</v>
      </c>
    </row>
    <row r="480" spans="1:14">
      <c r="A480" s="21" t="s">
        <v>1298</v>
      </c>
      <c r="B480" s="21" t="s">
        <v>920</v>
      </c>
      <c r="C480" s="21" t="s">
        <v>26</v>
      </c>
      <c r="D480" s="21" t="s">
        <v>921</v>
      </c>
      <c r="E480" s="21">
        <v>0</v>
      </c>
      <c r="F480" s="22">
        <v>45345.5958333333</v>
      </c>
      <c r="G480" s="22">
        <v>45560.6196064815</v>
      </c>
      <c r="H480" s="23">
        <v>1800</v>
      </c>
      <c r="I480" s="23">
        <v>450</v>
      </c>
      <c r="J480" s="24">
        <v>0</v>
      </c>
      <c r="K480" s="21">
        <v>0</v>
      </c>
      <c r="L480" s="21">
        <v>0</v>
      </c>
      <c r="M480" s="21">
        <f>COUNTIF($A$2:$A$5481,A480)</f>
        <v>1</v>
      </c>
      <c r="N480" s="24">
        <f t="shared" si="7"/>
        <v>4.8e-5</v>
      </c>
    </row>
    <row r="481" spans="1:14">
      <c r="A481" s="21" t="s">
        <v>1299</v>
      </c>
      <c r="B481" s="21" t="s">
        <v>920</v>
      </c>
      <c r="C481" s="21" t="s">
        <v>35</v>
      </c>
      <c r="D481" s="21" t="s">
        <v>921</v>
      </c>
      <c r="E481" s="21">
        <v>0</v>
      </c>
      <c r="F481" s="22">
        <v>45306.7319444444</v>
      </c>
      <c r="G481" s="22">
        <v>45478.5726851852</v>
      </c>
      <c r="H481" s="23">
        <v>2380</v>
      </c>
      <c r="I481" s="23">
        <v>595</v>
      </c>
      <c r="J481" s="24">
        <v>0</v>
      </c>
      <c r="K481" s="21">
        <v>0</v>
      </c>
      <c r="L481" s="21">
        <v>0</v>
      </c>
      <c r="M481" s="21">
        <f>COUNTIF($A$2:$A$5481,A481)</f>
        <v>1</v>
      </c>
      <c r="N481" s="24">
        <f t="shared" si="7"/>
        <v>4.81e-5</v>
      </c>
    </row>
    <row r="482" spans="1:14">
      <c r="A482" s="21" t="s">
        <v>221</v>
      </c>
      <c r="B482" s="21" t="s">
        <v>920</v>
      </c>
      <c r="C482" s="21" t="s">
        <v>26</v>
      </c>
      <c r="D482" s="21" t="s">
        <v>921</v>
      </c>
      <c r="E482" s="21">
        <v>2</v>
      </c>
      <c r="F482" s="22">
        <v>46055.7183217593</v>
      </c>
      <c r="G482" s="22">
        <v>46056.4721643519</v>
      </c>
      <c r="H482" s="23">
        <v>3796</v>
      </c>
      <c r="I482" s="23">
        <v>949</v>
      </c>
      <c r="J482" s="24">
        <v>1898</v>
      </c>
      <c r="K482" s="21">
        <v>0</v>
      </c>
      <c r="L482" s="21">
        <v>0</v>
      </c>
      <c r="M482" s="21">
        <f>COUNTIF($A$2:$A$5481,A482)</f>
        <v>1</v>
      </c>
      <c r="N482" s="24">
        <f t="shared" si="7"/>
        <v>1898.0000482</v>
      </c>
    </row>
    <row r="483" spans="1:14">
      <c r="A483" s="21" t="s">
        <v>1300</v>
      </c>
      <c r="B483" s="21" t="s">
        <v>920</v>
      </c>
      <c r="C483" s="21" t="s">
        <v>26</v>
      </c>
      <c r="D483" s="21" t="s">
        <v>921</v>
      </c>
      <c r="E483" s="21">
        <v>0</v>
      </c>
      <c r="F483" s="22">
        <v>45813.8571527778</v>
      </c>
      <c r="G483" s="22">
        <v>45818.4584259259</v>
      </c>
      <c r="H483" s="23">
        <v>1680</v>
      </c>
      <c r="I483" s="23">
        <v>840</v>
      </c>
      <c r="J483" s="24">
        <v>0</v>
      </c>
      <c r="K483" s="21">
        <v>0</v>
      </c>
      <c r="L483" s="21">
        <v>0</v>
      </c>
      <c r="M483" s="21">
        <f>COUNTIF($A$2:$A$5481,A483)</f>
        <v>1</v>
      </c>
      <c r="N483" s="24">
        <f t="shared" si="7"/>
        <v>4.83e-5</v>
      </c>
    </row>
    <row r="484" spans="1:14">
      <c r="A484" s="21" t="s">
        <v>1301</v>
      </c>
      <c r="B484" s="21" t="s">
        <v>920</v>
      </c>
      <c r="C484" s="21" t="s">
        <v>35</v>
      </c>
      <c r="D484" s="21" t="s">
        <v>921</v>
      </c>
      <c r="E484" s="21">
        <v>0</v>
      </c>
      <c r="F484" s="22">
        <v>45343.5077777778</v>
      </c>
      <c r="G484" s="22">
        <v>45544.729375</v>
      </c>
      <c r="H484" s="23">
        <v>1340</v>
      </c>
      <c r="I484" s="23">
        <v>670</v>
      </c>
      <c r="J484" s="24">
        <v>0</v>
      </c>
      <c r="K484" s="21">
        <v>0</v>
      </c>
      <c r="L484" s="21">
        <v>0</v>
      </c>
      <c r="M484" s="21">
        <f>COUNTIF($A$2:$A$5481,A484)</f>
        <v>1</v>
      </c>
      <c r="N484" s="24">
        <f t="shared" si="7"/>
        <v>4.84e-5</v>
      </c>
    </row>
    <row r="485" spans="1:14">
      <c r="A485" s="21" t="s">
        <v>1302</v>
      </c>
      <c r="B485" s="21" t="s">
        <v>26</v>
      </c>
      <c r="C485" s="21" t="s">
        <v>26</v>
      </c>
      <c r="D485" s="21" t="s">
        <v>921</v>
      </c>
      <c r="E485" s="21">
        <v>1</v>
      </c>
      <c r="F485" s="22">
        <v>45614.3534027778</v>
      </c>
      <c r="G485" s="22"/>
      <c r="H485" s="23">
        <v>130</v>
      </c>
      <c r="I485" s="23">
        <v>130</v>
      </c>
      <c r="J485" s="24">
        <v>130</v>
      </c>
      <c r="K485" s="21">
        <v>0</v>
      </c>
      <c r="L485" s="21">
        <v>0</v>
      </c>
      <c r="M485" s="21">
        <f>COUNTIF($A$2:$A$5481,A485)</f>
        <v>1</v>
      </c>
      <c r="N485" s="24">
        <f t="shared" si="7"/>
        <v>130.0000485</v>
      </c>
    </row>
    <row r="486" spans="1:14">
      <c r="A486" s="21" t="s">
        <v>1303</v>
      </c>
      <c r="B486" s="21" t="s">
        <v>26</v>
      </c>
      <c r="C486" s="21" t="s">
        <v>35</v>
      </c>
      <c r="D486" s="21" t="s">
        <v>921</v>
      </c>
      <c r="E486" s="21">
        <v>145</v>
      </c>
      <c r="F486" s="22">
        <v>45378.8676157407</v>
      </c>
      <c r="G486" s="22">
        <v>45861.3734722222</v>
      </c>
      <c r="H486" s="23">
        <v>910</v>
      </c>
      <c r="I486" s="23">
        <v>19.65333</v>
      </c>
      <c r="J486" s="24">
        <v>2849.25</v>
      </c>
      <c r="K486" s="21">
        <v>0</v>
      </c>
      <c r="L486" s="21">
        <v>0</v>
      </c>
      <c r="M486" s="21">
        <f>COUNTIF($A$2:$A$5481,A486)</f>
        <v>1</v>
      </c>
      <c r="N486" s="24">
        <f t="shared" si="7"/>
        <v>2849.2500486</v>
      </c>
    </row>
    <row r="487" spans="1:14">
      <c r="A487" s="21" t="s">
        <v>1304</v>
      </c>
      <c r="B487" s="21" t="s">
        <v>26</v>
      </c>
      <c r="C487" s="21" t="s">
        <v>35</v>
      </c>
      <c r="D487" s="21" t="s">
        <v>921</v>
      </c>
      <c r="E487" s="21">
        <v>100</v>
      </c>
      <c r="F487" s="22">
        <v>45479.3682407407</v>
      </c>
      <c r="G487" s="22"/>
      <c r="H487" s="23">
        <v>1128</v>
      </c>
      <c r="I487" s="23">
        <v>22.56</v>
      </c>
      <c r="J487" s="24">
        <v>2256</v>
      </c>
      <c r="K487" s="21">
        <v>0</v>
      </c>
      <c r="L487" s="21">
        <v>0</v>
      </c>
      <c r="M487" s="21">
        <f>COUNTIF($A$2:$A$5481,A487)</f>
        <v>2</v>
      </c>
      <c r="N487" s="24">
        <f t="shared" si="7"/>
        <v>2256.0000487</v>
      </c>
    </row>
    <row r="488" spans="1:14">
      <c r="A488" s="21" t="s">
        <v>1304</v>
      </c>
      <c r="B488" s="21" t="s">
        <v>26</v>
      </c>
      <c r="C488" s="21" t="s">
        <v>51</v>
      </c>
      <c r="D488" s="21" t="s">
        <v>921</v>
      </c>
      <c r="E488" s="21">
        <v>50</v>
      </c>
      <c r="F488" s="22">
        <v>46014.7233796296</v>
      </c>
      <c r="G488" s="22"/>
      <c r="H488" s="23">
        <v>1250</v>
      </c>
      <c r="I488" s="23">
        <v>25</v>
      </c>
      <c r="J488" s="24">
        <v>1250</v>
      </c>
      <c r="K488" s="21">
        <v>0</v>
      </c>
      <c r="L488" s="21">
        <v>0</v>
      </c>
      <c r="M488" s="21">
        <f>COUNTIF($A$2:$A$5481,A488)</f>
        <v>2</v>
      </c>
      <c r="N488" s="24">
        <f t="shared" si="7"/>
        <v>1250.0000488</v>
      </c>
    </row>
    <row r="489" spans="1:14">
      <c r="A489" s="21" t="s">
        <v>1305</v>
      </c>
      <c r="B489" s="21" t="s">
        <v>26</v>
      </c>
      <c r="C489" s="21" t="s">
        <v>26</v>
      </c>
      <c r="D489" s="21" t="s">
        <v>921</v>
      </c>
      <c r="E489" s="21">
        <v>20</v>
      </c>
      <c r="F489" s="22">
        <v>45547.4085069444</v>
      </c>
      <c r="G489" s="22"/>
      <c r="H489" s="23">
        <v>385</v>
      </c>
      <c r="I489" s="23">
        <v>19.25</v>
      </c>
      <c r="J489" s="24">
        <v>385</v>
      </c>
      <c r="K489" s="21">
        <v>0</v>
      </c>
      <c r="L489" s="21">
        <v>0</v>
      </c>
      <c r="M489" s="21">
        <f>COUNTIF($A$2:$A$5481,A489)</f>
        <v>2</v>
      </c>
      <c r="N489" s="24">
        <f t="shared" si="7"/>
        <v>385.0000489</v>
      </c>
    </row>
    <row r="490" spans="1:14">
      <c r="A490" s="21" t="s">
        <v>1305</v>
      </c>
      <c r="B490" s="21" t="s">
        <v>26</v>
      </c>
      <c r="C490" s="21" t="s">
        <v>35</v>
      </c>
      <c r="D490" s="21" t="s">
        <v>921</v>
      </c>
      <c r="E490" s="21">
        <v>30</v>
      </c>
      <c r="F490" s="22">
        <v>45623.3717592593</v>
      </c>
      <c r="G490" s="22"/>
      <c r="H490" s="23">
        <v>480</v>
      </c>
      <c r="I490" s="23">
        <v>24.85</v>
      </c>
      <c r="J490" s="24">
        <v>745.5</v>
      </c>
      <c r="K490" s="21">
        <v>0</v>
      </c>
      <c r="L490" s="21">
        <v>0</v>
      </c>
      <c r="M490" s="21">
        <f>COUNTIF($A$2:$A$5481,A490)</f>
        <v>2</v>
      </c>
      <c r="N490" s="24">
        <f t="shared" si="7"/>
        <v>745.500049</v>
      </c>
    </row>
    <row r="491" spans="1:14">
      <c r="A491" s="21" t="s">
        <v>1306</v>
      </c>
      <c r="B491" s="21" t="s">
        <v>929</v>
      </c>
      <c r="C491" s="21" t="s">
        <v>26</v>
      </c>
      <c r="D491" s="21" t="s">
        <v>921</v>
      </c>
      <c r="E491" s="21">
        <v>1</v>
      </c>
      <c r="F491" s="22">
        <v>45447.8281944445</v>
      </c>
      <c r="G491" s="22"/>
      <c r="H491" s="23">
        <v>22.5</v>
      </c>
      <c r="I491" s="23">
        <v>22.5</v>
      </c>
      <c r="J491" s="24">
        <v>22.5</v>
      </c>
      <c r="K491" s="21">
        <v>0</v>
      </c>
      <c r="L491" s="21">
        <v>0</v>
      </c>
      <c r="M491" s="21">
        <f>COUNTIF($A$2:$A$5481,A491)</f>
        <v>1</v>
      </c>
      <c r="N491" s="24">
        <f t="shared" si="7"/>
        <v>22.5000491</v>
      </c>
    </row>
    <row r="492" spans="1:14">
      <c r="A492" s="21" t="s">
        <v>1307</v>
      </c>
      <c r="B492" s="21" t="s">
        <v>929</v>
      </c>
      <c r="C492" s="21" t="s">
        <v>26</v>
      </c>
      <c r="D492" s="21" t="s">
        <v>921</v>
      </c>
      <c r="E492" s="21">
        <v>1</v>
      </c>
      <c r="F492" s="22">
        <v>45447.8281944445</v>
      </c>
      <c r="G492" s="22"/>
      <c r="H492" s="23">
        <v>42.5</v>
      </c>
      <c r="I492" s="23">
        <v>42.5</v>
      </c>
      <c r="J492" s="24">
        <v>42.5</v>
      </c>
      <c r="K492" s="21">
        <v>0</v>
      </c>
      <c r="L492" s="21">
        <v>0</v>
      </c>
      <c r="M492" s="21">
        <f>COUNTIF($A$2:$A$5481,A492)</f>
        <v>1</v>
      </c>
      <c r="N492" s="24">
        <f t="shared" si="7"/>
        <v>42.5000492</v>
      </c>
    </row>
    <row r="493" spans="1:14">
      <c r="A493" s="21" t="s">
        <v>1308</v>
      </c>
      <c r="B493" s="21" t="s">
        <v>948</v>
      </c>
      <c r="C493" s="21" t="s">
        <v>641</v>
      </c>
      <c r="D493" s="21" t="s">
        <v>921</v>
      </c>
      <c r="E493" s="21">
        <v>2</v>
      </c>
      <c r="F493" s="22">
        <v>45288.8160300926</v>
      </c>
      <c r="G493" s="22"/>
      <c r="H493" s="23">
        <v>65.8</v>
      </c>
      <c r="I493" s="23">
        <v>32.9</v>
      </c>
      <c r="J493" s="24">
        <v>65.8</v>
      </c>
      <c r="K493" s="21">
        <v>0</v>
      </c>
      <c r="L493" s="21">
        <v>0</v>
      </c>
      <c r="M493" s="21">
        <f>COUNTIF($A$2:$A$5481,A493)</f>
        <v>2</v>
      </c>
      <c r="N493" s="24">
        <f t="shared" si="7"/>
        <v>65.8000493</v>
      </c>
    </row>
    <row r="494" spans="1:14">
      <c r="A494" s="21" t="s">
        <v>1308</v>
      </c>
      <c r="B494" s="21" t="s">
        <v>948</v>
      </c>
      <c r="C494" s="21" t="s">
        <v>26</v>
      </c>
      <c r="D494" s="21" t="s">
        <v>921</v>
      </c>
      <c r="E494" s="21">
        <v>13</v>
      </c>
      <c r="F494" s="22">
        <v>46045.4493634259</v>
      </c>
      <c r="G494" s="22"/>
      <c r="H494" s="23">
        <v>60.6</v>
      </c>
      <c r="I494" s="23">
        <v>31.3292307692</v>
      </c>
      <c r="J494" s="24">
        <v>407.29</v>
      </c>
      <c r="K494" s="21">
        <v>0</v>
      </c>
      <c r="L494" s="21">
        <v>0</v>
      </c>
      <c r="M494" s="21">
        <f>COUNTIF($A$2:$A$5481,A494)</f>
        <v>2</v>
      </c>
      <c r="N494" s="24">
        <f t="shared" si="7"/>
        <v>407.2900494</v>
      </c>
    </row>
    <row r="495" spans="1:14">
      <c r="A495" s="21" t="s">
        <v>552</v>
      </c>
      <c r="B495" s="21" t="s">
        <v>920</v>
      </c>
      <c r="C495" s="21" t="s">
        <v>35</v>
      </c>
      <c r="D495" s="21" t="s">
        <v>921</v>
      </c>
      <c r="E495" s="21">
        <v>0</v>
      </c>
      <c r="F495" s="22">
        <v>45317.4708333333</v>
      </c>
      <c r="G495" s="22">
        <v>46251.7376273148</v>
      </c>
      <c r="H495" s="23">
        <v>446</v>
      </c>
      <c r="I495" s="23">
        <v>446</v>
      </c>
      <c r="J495" s="24">
        <v>0</v>
      </c>
      <c r="K495" s="21">
        <v>0</v>
      </c>
      <c r="L495" s="21">
        <v>0</v>
      </c>
      <c r="M495" s="21">
        <f>COUNTIF($A$2:$A$5481,A495)</f>
        <v>2</v>
      </c>
      <c r="N495" s="24">
        <f t="shared" si="7"/>
        <v>4.95e-5</v>
      </c>
    </row>
    <row r="496" spans="1:14">
      <c r="A496" s="21" t="s">
        <v>552</v>
      </c>
      <c r="B496" s="21" t="s">
        <v>920</v>
      </c>
      <c r="C496" s="21" t="s">
        <v>26</v>
      </c>
      <c r="D496" s="21" t="s">
        <v>921</v>
      </c>
      <c r="E496" s="21">
        <v>0</v>
      </c>
      <c r="F496" s="22">
        <v>46217.4107986111</v>
      </c>
      <c r="G496" s="22">
        <v>46251.7295949074</v>
      </c>
      <c r="H496" s="23">
        <v>550</v>
      </c>
      <c r="I496" s="23">
        <v>504.0714285714</v>
      </c>
      <c r="J496" s="24">
        <v>0</v>
      </c>
      <c r="K496" s="21">
        <v>0</v>
      </c>
      <c r="L496" s="21">
        <v>0</v>
      </c>
      <c r="M496" s="21">
        <f>COUNTIF($A$2:$A$5481,A496)</f>
        <v>2</v>
      </c>
      <c r="N496" s="24">
        <f t="shared" si="7"/>
        <v>4.96e-5</v>
      </c>
    </row>
    <row r="497" spans="1:14">
      <c r="A497" s="21" t="s">
        <v>553</v>
      </c>
      <c r="B497" s="21" t="s">
        <v>920</v>
      </c>
      <c r="C497" s="21" t="s">
        <v>26</v>
      </c>
      <c r="D497" s="21" t="s">
        <v>1309</v>
      </c>
      <c r="E497" s="21">
        <v>0</v>
      </c>
      <c r="F497" s="22">
        <v>46217.4107986111</v>
      </c>
      <c r="G497" s="22">
        <v>46251.7296064815</v>
      </c>
      <c r="H497" s="23">
        <v>283</v>
      </c>
      <c r="I497" s="23">
        <v>257.6875</v>
      </c>
      <c r="J497" s="24">
        <v>0</v>
      </c>
      <c r="K497" s="21">
        <v>0</v>
      </c>
      <c r="L497" s="21">
        <v>0</v>
      </c>
      <c r="M497" s="21">
        <f>COUNTIF($A$2:$A$5481,A497)</f>
        <v>1</v>
      </c>
      <c r="N497" s="24">
        <f t="shared" si="7"/>
        <v>4.97e-5</v>
      </c>
    </row>
    <row r="498" spans="1:14">
      <c r="A498" s="21" t="s">
        <v>557</v>
      </c>
      <c r="B498" s="21" t="s">
        <v>920</v>
      </c>
      <c r="C498" s="21" t="s">
        <v>35</v>
      </c>
      <c r="D498" s="21" t="s">
        <v>1310</v>
      </c>
      <c r="E498" s="21">
        <v>0</v>
      </c>
      <c r="F498" s="22">
        <v>45317.4708333333</v>
      </c>
      <c r="G498" s="22">
        <v>46251.7376157407</v>
      </c>
      <c r="H498" s="23">
        <v>557.88</v>
      </c>
      <c r="I498" s="23">
        <v>185.96</v>
      </c>
      <c r="J498" s="24">
        <v>0</v>
      </c>
      <c r="K498" s="21">
        <v>0</v>
      </c>
      <c r="L498" s="21">
        <v>0</v>
      </c>
      <c r="M498" s="21">
        <f>COUNTIF($A$2:$A$5481,A498)</f>
        <v>2</v>
      </c>
      <c r="N498" s="24">
        <f t="shared" si="7"/>
        <v>4.98e-5</v>
      </c>
    </row>
    <row r="499" spans="1:14">
      <c r="A499" s="21" t="s">
        <v>557</v>
      </c>
      <c r="B499" s="21" t="s">
        <v>920</v>
      </c>
      <c r="C499" s="21" t="s">
        <v>26</v>
      </c>
      <c r="D499" s="21" t="s">
        <v>1310</v>
      </c>
      <c r="E499" s="21">
        <v>19</v>
      </c>
      <c r="F499" s="22">
        <v>46150.5444444444</v>
      </c>
      <c r="G499" s="22"/>
      <c r="H499" s="23">
        <v>328</v>
      </c>
      <c r="I499" s="23">
        <v>152.7894736842</v>
      </c>
      <c r="J499" s="24">
        <v>2903.01</v>
      </c>
      <c r="K499" s="21">
        <v>0</v>
      </c>
      <c r="L499" s="21">
        <v>0</v>
      </c>
      <c r="M499" s="21">
        <f>COUNTIF($A$2:$A$5481,A499)</f>
        <v>2</v>
      </c>
      <c r="N499" s="24">
        <f t="shared" si="7"/>
        <v>2903.0100499</v>
      </c>
    </row>
    <row r="500" spans="1:14">
      <c r="A500" s="21" t="s">
        <v>1311</v>
      </c>
      <c r="B500" s="21" t="s">
        <v>929</v>
      </c>
      <c r="C500" s="21" t="s">
        <v>26</v>
      </c>
      <c r="D500" s="21" t="s">
        <v>921</v>
      </c>
      <c r="E500" s="21">
        <v>4</v>
      </c>
      <c r="F500" s="22">
        <v>45372.5319444445</v>
      </c>
      <c r="G500" s="22"/>
      <c r="H500" s="23">
        <v>130.4</v>
      </c>
      <c r="I500" s="23">
        <v>32.6</v>
      </c>
      <c r="J500" s="24">
        <v>130.4</v>
      </c>
      <c r="K500" s="21">
        <v>0</v>
      </c>
      <c r="L500" s="21">
        <v>0</v>
      </c>
      <c r="M500" s="21">
        <f>COUNTIF($A$2:$A$5481,A500)</f>
        <v>1</v>
      </c>
      <c r="N500" s="24">
        <f t="shared" si="7"/>
        <v>130.40005</v>
      </c>
    </row>
    <row r="501" spans="1:14">
      <c r="A501" s="21" t="s">
        <v>1312</v>
      </c>
      <c r="B501" s="21" t="s">
        <v>920</v>
      </c>
      <c r="C501" s="21" t="s">
        <v>26</v>
      </c>
      <c r="D501" s="21" t="s">
        <v>1309</v>
      </c>
      <c r="E501" s="21">
        <v>5</v>
      </c>
      <c r="F501" s="22">
        <v>46217.4107986111</v>
      </c>
      <c r="G501" s="22">
        <v>45554.3742361111</v>
      </c>
      <c r="H501" s="23">
        <v>676</v>
      </c>
      <c r="I501" s="23">
        <v>632.6</v>
      </c>
      <c r="J501" s="24">
        <v>3163</v>
      </c>
      <c r="K501" s="21">
        <v>0</v>
      </c>
      <c r="L501" s="21">
        <v>0</v>
      </c>
      <c r="M501" s="21">
        <f>COUNTIF($A$2:$A$5481,A501)</f>
        <v>1</v>
      </c>
      <c r="N501" s="24">
        <f t="shared" si="7"/>
        <v>3163.0000501</v>
      </c>
    </row>
    <row r="502" spans="1:14">
      <c r="A502" s="21" t="s">
        <v>714</v>
      </c>
      <c r="B502" s="21" t="s">
        <v>1175</v>
      </c>
      <c r="C502" s="21" t="s">
        <v>26</v>
      </c>
      <c r="D502" s="21" t="s">
        <v>921</v>
      </c>
      <c r="E502" s="21">
        <v>0</v>
      </c>
      <c r="F502" s="22">
        <v>45677.3584375</v>
      </c>
      <c r="G502" s="22">
        <v>46252.5691203704</v>
      </c>
      <c r="H502" s="23">
        <v>4380</v>
      </c>
      <c r="I502" s="23">
        <v>3996.95</v>
      </c>
      <c r="J502" s="24">
        <v>0</v>
      </c>
      <c r="K502" s="21">
        <v>0</v>
      </c>
      <c r="L502" s="21">
        <v>0</v>
      </c>
      <c r="M502" s="21">
        <f>COUNTIF($A$2:$A$5481,A502)</f>
        <v>1</v>
      </c>
      <c r="N502" s="24">
        <f t="shared" si="7"/>
        <v>5.02e-5</v>
      </c>
    </row>
    <row r="503" spans="1:14">
      <c r="A503" s="21" t="s">
        <v>713</v>
      </c>
      <c r="B503" s="21" t="s">
        <v>26</v>
      </c>
      <c r="C503" s="21" t="s">
        <v>26</v>
      </c>
      <c r="D503" s="21" t="s">
        <v>921</v>
      </c>
      <c r="E503" s="21">
        <v>0</v>
      </c>
      <c r="F503" s="22">
        <v>46055.714375</v>
      </c>
      <c r="G503" s="22">
        <v>46252.5691087963</v>
      </c>
      <c r="H503" s="23">
        <v>4248.04</v>
      </c>
      <c r="I503" s="23">
        <v>4248.04</v>
      </c>
      <c r="J503" s="24">
        <v>0</v>
      </c>
      <c r="K503" s="21">
        <v>0</v>
      </c>
      <c r="L503" s="21">
        <v>0</v>
      </c>
      <c r="M503" s="21">
        <f>COUNTIF($A$2:$A$5481,A503)</f>
        <v>1</v>
      </c>
      <c r="N503" s="24">
        <f t="shared" si="7"/>
        <v>5.03e-5</v>
      </c>
    </row>
    <row r="504" spans="1:14">
      <c r="A504" s="21" t="s">
        <v>1313</v>
      </c>
      <c r="B504" s="21" t="s">
        <v>1175</v>
      </c>
      <c r="C504" s="21" t="s">
        <v>26</v>
      </c>
      <c r="D504" s="21" t="s">
        <v>931</v>
      </c>
      <c r="E504" s="21">
        <v>1</v>
      </c>
      <c r="F504" s="22">
        <v>45840.5684722222</v>
      </c>
      <c r="G504" s="22"/>
      <c r="H504" s="23">
        <v>5999</v>
      </c>
      <c r="I504" s="23">
        <v>5999</v>
      </c>
      <c r="J504" s="24">
        <v>5999</v>
      </c>
      <c r="K504" s="21">
        <v>0</v>
      </c>
      <c r="L504" s="21">
        <v>0</v>
      </c>
      <c r="M504" s="21">
        <f>COUNTIF($A$2:$A$5481,A504)</f>
        <v>1</v>
      </c>
      <c r="N504" s="24">
        <f t="shared" si="7"/>
        <v>5999.0000504</v>
      </c>
    </row>
    <row r="505" spans="1:14">
      <c r="A505" s="21" t="s">
        <v>1314</v>
      </c>
      <c r="B505" s="21" t="s">
        <v>929</v>
      </c>
      <c r="C505" s="21" t="s">
        <v>414</v>
      </c>
      <c r="D505" s="21" t="s">
        <v>921</v>
      </c>
      <c r="E505" s="21">
        <v>16</v>
      </c>
      <c r="F505" s="22">
        <v>46138.5798611111</v>
      </c>
      <c r="G505" s="22"/>
      <c r="H505" s="23">
        <v>788.8</v>
      </c>
      <c r="I505" s="23">
        <v>49.3</v>
      </c>
      <c r="J505" s="24">
        <v>788.8</v>
      </c>
      <c r="K505" s="21">
        <v>0</v>
      </c>
      <c r="L505" s="21">
        <v>0</v>
      </c>
      <c r="M505" s="21">
        <f>COUNTIF($A$2:$A$5481,A505)</f>
        <v>1</v>
      </c>
      <c r="N505" s="24">
        <f t="shared" si="7"/>
        <v>788.8000505</v>
      </c>
    </row>
    <row r="506" spans="1:14">
      <c r="A506" s="21" t="s">
        <v>560</v>
      </c>
      <c r="B506" s="21" t="s">
        <v>26</v>
      </c>
      <c r="C506" s="21" t="s">
        <v>26</v>
      </c>
      <c r="D506" s="21" t="s">
        <v>921</v>
      </c>
      <c r="E506" s="21">
        <v>0</v>
      </c>
      <c r="F506" s="22">
        <v>45491.4339814815</v>
      </c>
      <c r="G506" s="22">
        <v>46251.7494328704</v>
      </c>
      <c r="H506" s="23">
        <v>34</v>
      </c>
      <c r="I506" s="23">
        <v>17</v>
      </c>
      <c r="J506" s="24">
        <v>0</v>
      </c>
      <c r="K506" s="21">
        <v>0</v>
      </c>
      <c r="L506" s="21">
        <v>0</v>
      </c>
      <c r="M506" s="21">
        <f>COUNTIF($A$2:$A$5481,A506)</f>
        <v>1</v>
      </c>
      <c r="N506" s="24">
        <f t="shared" si="7"/>
        <v>5.06e-5</v>
      </c>
    </row>
    <row r="507" spans="1:14">
      <c r="A507" s="21" t="s">
        <v>561</v>
      </c>
      <c r="B507" s="21" t="s">
        <v>26</v>
      </c>
      <c r="C507" s="21" t="s">
        <v>26</v>
      </c>
      <c r="D507" s="21" t="s">
        <v>921</v>
      </c>
      <c r="E507" s="21">
        <v>0</v>
      </c>
      <c r="F507" s="22">
        <v>45670.4643402778</v>
      </c>
      <c r="G507" s="22">
        <v>46251.7494444445</v>
      </c>
      <c r="H507" s="23">
        <v>76</v>
      </c>
      <c r="I507" s="23">
        <v>18.3333333333</v>
      </c>
      <c r="J507" s="24">
        <v>0</v>
      </c>
      <c r="K507" s="21">
        <v>0</v>
      </c>
      <c r="L507" s="21">
        <v>0</v>
      </c>
      <c r="M507" s="21">
        <f>COUNTIF($A$2:$A$5481,A507)</f>
        <v>1</v>
      </c>
      <c r="N507" s="24">
        <f t="shared" si="7"/>
        <v>5.07e-5</v>
      </c>
    </row>
    <row r="508" spans="1:14">
      <c r="A508" s="21" t="s">
        <v>562</v>
      </c>
      <c r="B508" s="21" t="s">
        <v>26</v>
      </c>
      <c r="C508" s="21" t="s">
        <v>26</v>
      </c>
      <c r="D508" s="21" t="s">
        <v>931</v>
      </c>
      <c r="E508" s="21">
        <v>0</v>
      </c>
      <c r="F508" s="22">
        <v>45812.3723032407</v>
      </c>
      <c r="G508" s="22">
        <v>46251.7494560185</v>
      </c>
      <c r="H508" s="23">
        <v>22.76</v>
      </c>
      <c r="I508" s="23">
        <v>16.46</v>
      </c>
      <c r="J508" s="24">
        <v>0</v>
      </c>
      <c r="K508" s="21">
        <v>0</v>
      </c>
      <c r="L508" s="21">
        <v>0</v>
      </c>
      <c r="M508" s="21">
        <f>COUNTIF($A$2:$A$5481,A508)</f>
        <v>1</v>
      </c>
      <c r="N508" s="24">
        <f t="shared" si="7"/>
        <v>5.08e-5</v>
      </c>
    </row>
    <row r="509" spans="1:14">
      <c r="A509" s="21" t="s">
        <v>1315</v>
      </c>
      <c r="B509" s="21" t="s">
        <v>929</v>
      </c>
      <c r="C509" s="21" t="s">
        <v>26</v>
      </c>
      <c r="D509" s="21" t="s">
        <v>921</v>
      </c>
      <c r="E509" s="21">
        <v>1</v>
      </c>
      <c r="F509" s="22">
        <v>45562.8479166667</v>
      </c>
      <c r="G509" s="22"/>
      <c r="H509" s="23">
        <v>54.75</v>
      </c>
      <c r="I509" s="23">
        <v>54.75</v>
      </c>
      <c r="J509" s="24">
        <v>54.75</v>
      </c>
      <c r="K509" s="21">
        <v>0</v>
      </c>
      <c r="L509" s="21">
        <v>0</v>
      </c>
      <c r="M509" s="21">
        <f>COUNTIF($A$2:$A$5481,A509)</f>
        <v>1</v>
      </c>
      <c r="N509" s="24">
        <f t="shared" si="7"/>
        <v>54.7500509</v>
      </c>
    </row>
    <row r="510" spans="1:14">
      <c r="A510" s="21" t="s">
        <v>1316</v>
      </c>
      <c r="B510" s="21" t="s">
        <v>929</v>
      </c>
      <c r="C510" s="21" t="s">
        <v>26</v>
      </c>
      <c r="D510" s="21" t="s">
        <v>921</v>
      </c>
      <c r="E510" s="21">
        <v>1</v>
      </c>
      <c r="F510" s="22">
        <v>45562.8479166667</v>
      </c>
      <c r="G510" s="22"/>
      <c r="H510" s="23">
        <v>92.43</v>
      </c>
      <c r="I510" s="23">
        <v>92.43</v>
      </c>
      <c r="J510" s="24">
        <v>92.43</v>
      </c>
      <c r="K510" s="21">
        <v>0</v>
      </c>
      <c r="L510" s="21">
        <v>0</v>
      </c>
      <c r="M510" s="21">
        <f>COUNTIF($A$2:$A$5481,A510)</f>
        <v>1</v>
      </c>
      <c r="N510" s="24">
        <f t="shared" si="7"/>
        <v>92.430051</v>
      </c>
    </row>
    <row r="511" spans="1:14">
      <c r="A511" s="21" t="s">
        <v>1317</v>
      </c>
      <c r="B511" s="21" t="s">
        <v>920</v>
      </c>
      <c r="C511" s="21" t="s">
        <v>35</v>
      </c>
      <c r="D511" s="21" t="s">
        <v>921</v>
      </c>
      <c r="E511" s="21">
        <v>1</v>
      </c>
      <c r="F511" s="22">
        <v>46050.6261689815</v>
      </c>
      <c r="G511" s="22"/>
      <c r="H511" s="23">
        <v>251.92</v>
      </c>
      <c r="I511" s="23">
        <v>251.92</v>
      </c>
      <c r="J511" s="24">
        <v>251.92</v>
      </c>
      <c r="K511" s="21">
        <v>0</v>
      </c>
      <c r="L511" s="21">
        <v>0</v>
      </c>
      <c r="M511" s="21">
        <f>COUNTIF($A$2:$A$5481,A511)</f>
        <v>1</v>
      </c>
      <c r="N511" s="24">
        <f t="shared" si="7"/>
        <v>251.9200511</v>
      </c>
    </row>
    <row r="512" spans="1:14">
      <c r="A512" s="21" t="s">
        <v>286</v>
      </c>
      <c r="B512" s="21" t="s">
        <v>920</v>
      </c>
      <c r="C512" s="21" t="s">
        <v>26</v>
      </c>
      <c r="D512" s="21" t="s">
        <v>921</v>
      </c>
      <c r="E512" s="21">
        <v>0</v>
      </c>
      <c r="F512" s="22">
        <v>46010.5569444444</v>
      </c>
      <c r="G512" s="22">
        <v>46078.7400578704</v>
      </c>
      <c r="H512" s="23">
        <v>541.2</v>
      </c>
      <c r="I512" s="23">
        <v>270.6</v>
      </c>
      <c r="J512" s="24">
        <v>0</v>
      </c>
      <c r="K512" s="21">
        <v>0</v>
      </c>
      <c r="L512" s="21">
        <v>0</v>
      </c>
      <c r="M512" s="21">
        <f>COUNTIF($A$2:$A$5481,A512)</f>
        <v>1</v>
      </c>
      <c r="N512" s="24">
        <f t="shared" si="7"/>
        <v>5.12e-5</v>
      </c>
    </row>
    <row r="513" spans="1:14">
      <c r="A513" s="21" t="s">
        <v>1318</v>
      </c>
      <c r="B513" s="21" t="s">
        <v>920</v>
      </c>
      <c r="C513" s="21" t="s">
        <v>26</v>
      </c>
      <c r="D513" s="21" t="s">
        <v>921</v>
      </c>
      <c r="E513" s="21">
        <v>1</v>
      </c>
      <c r="F513" s="22">
        <v>46034.6987615741</v>
      </c>
      <c r="G513" s="22"/>
      <c r="H513" s="23">
        <v>369</v>
      </c>
      <c r="I513" s="23">
        <v>369</v>
      </c>
      <c r="J513" s="24">
        <v>369</v>
      </c>
      <c r="K513" s="21">
        <v>0</v>
      </c>
      <c r="L513" s="21">
        <v>0</v>
      </c>
      <c r="M513" s="21">
        <f>COUNTIF($A$2:$A$5481,A513)</f>
        <v>1</v>
      </c>
      <c r="N513" s="24">
        <f t="shared" si="7"/>
        <v>369.0000513</v>
      </c>
    </row>
    <row r="514" spans="1:14">
      <c r="A514" s="21" t="s">
        <v>511</v>
      </c>
      <c r="B514" s="21" t="s">
        <v>920</v>
      </c>
      <c r="C514" s="21" t="s">
        <v>35</v>
      </c>
      <c r="D514" s="21" t="s">
        <v>921</v>
      </c>
      <c r="E514" s="21">
        <v>9</v>
      </c>
      <c r="F514" s="22">
        <v>46237.5763888889</v>
      </c>
      <c r="G514" s="22">
        <v>46240.6670023148</v>
      </c>
      <c r="H514" s="23">
        <v>788.35</v>
      </c>
      <c r="I514" s="23">
        <v>152.835</v>
      </c>
      <c r="J514" s="24">
        <v>1375.56</v>
      </c>
      <c r="K514" s="21">
        <v>0</v>
      </c>
      <c r="L514" s="21">
        <v>0</v>
      </c>
      <c r="M514" s="21">
        <f>COUNTIF($A$2:$A$5481,A514)</f>
        <v>1</v>
      </c>
      <c r="N514" s="24">
        <f t="shared" ref="N514:N577" si="8">J514+ROW()/10000000</f>
        <v>1375.5600514</v>
      </c>
    </row>
    <row r="515" spans="1:14">
      <c r="A515" s="21" t="s">
        <v>1319</v>
      </c>
      <c r="B515" s="21" t="s">
        <v>920</v>
      </c>
      <c r="C515" s="21" t="s">
        <v>35</v>
      </c>
      <c r="D515" s="21" t="s">
        <v>921</v>
      </c>
      <c r="E515" s="21">
        <v>4</v>
      </c>
      <c r="F515" s="22">
        <v>45981.3548148148</v>
      </c>
      <c r="G515" s="22"/>
      <c r="H515" s="23">
        <v>393.64</v>
      </c>
      <c r="I515" s="23">
        <v>98.41</v>
      </c>
      <c r="J515" s="24">
        <v>393.64</v>
      </c>
      <c r="K515" s="21">
        <v>0</v>
      </c>
      <c r="L515" s="21">
        <v>0</v>
      </c>
      <c r="M515" s="21">
        <f>COUNTIF($A$2:$A$5481,A515)</f>
        <v>1</v>
      </c>
      <c r="N515" s="24">
        <f t="shared" si="8"/>
        <v>393.6400515</v>
      </c>
    </row>
    <row r="516" spans="1:14">
      <c r="A516" s="21" t="s">
        <v>1320</v>
      </c>
      <c r="B516" s="21" t="s">
        <v>26</v>
      </c>
      <c r="C516" s="21" t="s">
        <v>26</v>
      </c>
      <c r="D516" s="21" t="s">
        <v>921</v>
      </c>
      <c r="E516" s="21">
        <v>3</v>
      </c>
      <c r="F516" s="22">
        <v>45630.4340625</v>
      </c>
      <c r="G516" s="22"/>
      <c r="H516" s="23">
        <v>36</v>
      </c>
      <c r="I516" s="23">
        <v>12</v>
      </c>
      <c r="J516" s="24">
        <v>36</v>
      </c>
      <c r="K516" s="21">
        <v>0</v>
      </c>
      <c r="L516" s="21">
        <v>0</v>
      </c>
      <c r="M516" s="21">
        <f>COUNTIF($A$2:$A$5481,A516)</f>
        <v>1</v>
      </c>
      <c r="N516" s="24">
        <f t="shared" si="8"/>
        <v>36.0000516</v>
      </c>
    </row>
    <row r="517" spans="1:14">
      <c r="A517" s="21" t="s">
        <v>1321</v>
      </c>
      <c r="B517" s="21" t="s">
        <v>26</v>
      </c>
      <c r="C517" s="21" t="s">
        <v>182</v>
      </c>
      <c r="D517" s="21" t="s">
        <v>921</v>
      </c>
      <c r="E517" s="21">
        <v>1</v>
      </c>
      <c r="F517" s="22">
        <v>45469.841875</v>
      </c>
      <c r="G517" s="22"/>
      <c r="H517" s="23">
        <v>99.9</v>
      </c>
      <c r="I517" s="23">
        <v>99.9</v>
      </c>
      <c r="J517" s="24">
        <v>99.9</v>
      </c>
      <c r="K517" s="21">
        <v>0</v>
      </c>
      <c r="L517" s="21">
        <v>0</v>
      </c>
      <c r="M517" s="21">
        <f>COUNTIF($A$2:$A$5481,A517)</f>
        <v>1</v>
      </c>
      <c r="N517" s="24">
        <f t="shared" si="8"/>
        <v>99.9000517</v>
      </c>
    </row>
    <row r="518" spans="1:14">
      <c r="A518" s="21" t="s">
        <v>1322</v>
      </c>
      <c r="B518" s="21" t="s">
        <v>929</v>
      </c>
      <c r="C518" s="21" t="s">
        <v>414</v>
      </c>
      <c r="D518" s="21" t="s">
        <v>921</v>
      </c>
      <c r="E518" s="21">
        <v>2</v>
      </c>
      <c r="F518" s="22">
        <v>45301.7846990741</v>
      </c>
      <c r="G518" s="22"/>
      <c r="H518" s="23">
        <v>6</v>
      </c>
      <c r="I518" s="23">
        <v>3</v>
      </c>
      <c r="J518" s="24">
        <v>6</v>
      </c>
      <c r="K518" s="21">
        <v>0</v>
      </c>
      <c r="L518" s="21">
        <v>4</v>
      </c>
      <c r="M518" s="21">
        <f>COUNTIF($A$2:$A$5481,A518)</f>
        <v>1</v>
      </c>
      <c r="N518" s="24">
        <f t="shared" si="8"/>
        <v>6.0000518</v>
      </c>
    </row>
    <row r="519" spans="1:14">
      <c r="A519" s="21" t="s">
        <v>1323</v>
      </c>
      <c r="B519" s="21" t="s">
        <v>26</v>
      </c>
      <c r="C519" s="21" t="s">
        <v>35</v>
      </c>
      <c r="D519" s="21" t="s">
        <v>931</v>
      </c>
      <c r="E519" s="21">
        <v>1</v>
      </c>
      <c r="F519" s="22">
        <v>45509.6122337963</v>
      </c>
      <c r="G519" s="22"/>
      <c r="H519" s="23">
        <v>761.55</v>
      </c>
      <c r="I519" s="23">
        <v>761.55</v>
      </c>
      <c r="J519" s="24">
        <v>761.55</v>
      </c>
      <c r="K519" s="21">
        <v>0</v>
      </c>
      <c r="L519" s="21">
        <v>0</v>
      </c>
      <c r="M519" s="21">
        <f>COUNTIF($A$2:$A$5481,A519)</f>
        <v>1</v>
      </c>
      <c r="N519" s="24">
        <f t="shared" si="8"/>
        <v>761.5500519</v>
      </c>
    </row>
    <row r="520" spans="1:14">
      <c r="A520" s="21" t="s">
        <v>474</v>
      </c>
      <c r="B520" s="21" t="s">
        <v>920</v>
      </c>
      <c r="C520" s="21" t="s">
        <v>26</v>
      </c>
      <c r="D520" s="21" t="s">
        <v>921</v>
      </c>
      <c r="E520" s="21">
        <v>0</v>
      </c>
      <c r="F520" s="22">
        <v>45933.5512152778</v>
      </c>
      <c r="G520" s="22">
        <v>46217.4291203704</v>
      </c>
      <c r="H520" s="23">
        <v>296.56</v>
      </c>
      <c r="I520" s="23">
        <v>296.56</v>
      </c>
      <c r="J520" s="24">
        <v>0</v>
      </c>
      <c r="K520" s="21">
        <v>0</v>
      </c>
      <c r="L520" s="21">
        <v>0</v>
      </c>
      <c r="M520" s="21">
        <f>COUNTIF($A$2:$A$5481,A520)</f>
        <v>1</v>
      </c>
      <c r="N520" s="24">
        <f t="shared" si="8"/>
        <v>5.2e-5</v>
      </c>
    </row>
    <row r="521" spans="1:14">
      <c r="A521" s="21" t="s">
        <v>168</v>
      </c>
      <c r="B521" s="21" t="s">
        <v>920</v>
      </c>
      <c r="C521" s="21" t="s">
        <v>26</v>
      </c>
      <c r="D521" s="21" t="s">
        <v>921</v>
      </c>
      <c r="E521" s="21">
        <v>0</v>
      </c>
      <c r="F521" s="22">
        <v>46206.5402777778</v>
      </c>
      <c r="G521" s="22">
        <v>46268.3440625</v>
      </c>
      <c r="H521" s="23">
        <v>329.9</v>
      </c>
      <c r="I521" s="23">
        <v>329.9</v>
      </c>
      <c r="J521" s="24">
        <v>0</v>
      </c>
      <c r="K521" s="21">
        <v>0</v>
      </c>
      <c r="L521" s="21">
        <v>0</v>
      </c>
      <c r="M521" s="21">
        <f>COUNTIF($A$2:$A$5481,A521)</f>
        <v>1</v>
      </c>
      <c r="N521" s="24">
        <f t="shared" si="8"/>
        <v>5.21e-5</v>
      </c>
    </row>
    <row r="522" spans="1:14">
      <c r="A522" s="21" t="s">
        <v>1324</v>
      </c>
      <c r="B522" s="21" t="s">
        <v>929</v>
      </c>
      <c r="C522" s="21" t="s">
        <v>182</v>
      </c>
      <c r="D522" s="21" t="s">
        <v>921</v>
      </c>
      <c r="E522" s="21">
        <v>0</v>
      </c>
      <c r="F522" s="22">
        <v>45328.3833333333</v>
      </c>
      <c r="G522" s="22">
        <v>45329.3691550926</v>
      </c>
      <c r="H522" s="23">
        <v>60</v>
      </c>
      <c r="I522" s="23">
        <v>60</v>
      </c>
      <c r="J522" s="24">
        <v>0</v>
      </c>
      <c r="K522" s="21">
        <v>0</v>
      </c>
      <c r="L522" s="21">
        <v>0</v>
      </c>
      <c r="M522" s="21">
        <f>COUNTIF($A$2:$A$5481,A522)</f>
        <v>1</v>
      </c>
      <c r="N522" s="24">
        <f t="shared" si="8"/>
        <v>5.22e-5</v>
      </c>
    </row>
    <row r="523" spans="1:14">
      <c r="A523" s="21" t="s">
        <v>1325</v>
      </c>
      <c r="B523" s="21" t="s">
        <v>26</v>
      </c>
      <c r="C523" s="21" t="s">
        <v>26</v>
      </c>
      <c r="D523" s="21" t="s">
        <v>931</v>
      </c>
      <c r="E523" s="21">
        <v>1</v>
      </c>
      <c r="F523" s="22">
        <v>45859.5729282407</v>
      </c>
      <c r="G523" s="22"/>
      <c r="H523" s="23">
        <v>22</v>
      </c>
      <c r="I523" s="23">
        <v>22</v>
      </c>
      <c r="J523" s="24">
        <v>22</v>
      </c>
      <c r="K523" s="21">
        <v>0</v>
      </c>
      <c r="L523" s="21">
        <v>0</v>
      </c>
      <c r="M523" s="21">
        <f>COUNTIF($A$2:$A$5481,A523)</f>
        <v>1</v>
      </c>
      <c r="N523" s="24">
        <f t="shared" si="8"/>
        <v>22.0000523</v>
      </c>
    </row>
    <row r="524" spans="1:14">
      <c r="A524" s="21" t="s">
        <v>1326</v>
      </c>
      <c r="B524" s="21" t="s">
        <v>929</v>
      </c>
      <c r="C524" s="21" t="s">
        <v>26</v>
      </c>
      <c r="D524" s="21" t="s">
        <v>921</v>
      </c>
      <c r="E524" s="21">
        <v>1</v>
      </c>
      <c r="F524" s="22">
        <v>45561.7426157407</v>
      </c>
      <c r="G524" s="22"/>
      <c r="H524" s="23">
        <v>65</v>
      </c>
      <c r="I524" s="23">
        <v>65</v>
      </c>
      <c r="J524" s="24">
        <v>65</v>
      </c>
      <c r="K524" s="21">
        <v>0</v>
      </c>
      <c r="L524" s="21">
        <v>0</v>
      </c>
      <c r="M524" s="21">
        <f>COUNTIF($A$2:$A$5481,A524)</f>
        <v>1</v>
      </c>
      <c r="N524" s="24">
        <f t="shared" si="8"/>
        <v>65.0000524</v>
      </c>
    </row>
    <row r="525" spans="1:14">
      <c r="A525" s="21" t="s">
        <v>1327</v>
      </c>
      <c r="B525" s="21" t="s">
        <v>929</v>
      </c>
      <c r="C525" s="21" t="s">
        <v>26</v>
      </c>
      <c r="D525" s="21" t="s">
        <v>921</v>
      </c>
      <c r="E525" s="21">
        <v>3</v>
      </c>
      <c r="F525" s="22">
        <v>46085.3777777778</v>
      </c>
      <c r="G525" s="22"/>
      <c r="H525" s="23">
        <v>45</v>
      </c>
      <c r="I525" s="23">
        <v>15</v>
      </c>
      <c r="J525" s="24">
        <v>45</v>
      </c>
      <c r="K525" s="21">
        <v>0</v>
      </c>
      <c r="L525" s="21">
        <v>0</v>
      </c>
      <c r="M525" s="21">
        <f>COUNTIF($A$2:$A$5481,A525)</f>
        <v>1</v>
      </c>
      <c r="N525" s="24">
        <f t="shared" si="8"/>
        <v>45.0000525</v>
      </c>
    </row>
    <row r="526" spans="1:14">
      <c r="A526" s="21" t="s">
        <v>1328</v>
      </c>
      <c r="B526" s="21" t="s">
        <v>26</v>
      </c>
      <c r="C526" s="21" t="s">
        <v>26</v>
      </c>
      <c r="D526" s="21" t="s">
        <v>921</v>
      </c>
      <c r="E526" s="21">
        <v>1</v>
      </c>
      <c r="F526" s="22">
        <v>45526.3767361111</v>
      </c>
      <c r="G526" s="22"/>
      <c r="H526" s="23">
        <v>1.5</v>
      </c>
      <c r="I526" s="23">
        <v>1.5</v>
      </c>
      <c r="J526" s="24">
        <v>1.5</v>
      </c>
      <c r="K526" s="21">
        <v>0</v>
      </c>
      <c r="L526" s="21">
        <v>0</v>
      </c>
      <c r="M526" s="21">
        <f>COUNTIF($A$2:$A$5481,A526)</f>
        <v>1</v>
      </c>
      <c r="N526" s="24">
        <f t="shared" si="8"/>
        <v>1.5000526</v>
      </c>
    </row>
    <row r="527" spans="1:14">
      <c r="A527" s="21" t="s">
        <v>1329</v>
      </c>
      <c r="B527" s="21" t="s">
        <v>929</v>
      </c>
      <c r="C527" s="21" t="s">
        <v>182</v>
      </c>
      <c r="D527" s="21" t="s">
        <v>921</v>
      </c>
      <c r="E527" s="21">
        <v>1</v>
      </c>
      <c r="F527" s="22">
        <v>45299.8205555556</v>
      </c>
      <c r="G527" s="22"/>
      <c r="H527" s="23">
        <v>79.15</v>
      </c>
      <c r="I527" s="23">
        <v>79.15</v>
      </c>
      <c r="J527" s="24">
        <v>79.15</v>
      </c>
      <c r="K527" s="21">
        <v>0</v>
      </c>
      <c r="L527" s="21">
        <v>2</v>
      </c>
      <c r="M527" s="21">
        <f>COUNTIF($A$2:$A$5481,A527)</f>
        <v>2</v>
      </c>
      <c r="N527" s="24">
        <f t="shared" si="8"/>
        <v>79.1500527</v>
      </c>
    </row>
    <row r="528" spans="1:14">
      <c r="A528" s="21" t="s">
        <v>1329</v>
      </c>
      <c r="B528" s="21" t="s">
        <v>929</v>
      </c>
      <c r="C528" s="21" t="s">
        <v>414</v>
      </c>
      <c r="D528" s="21" t="s">
        <v>921</v>
      </c>
      <c r="E528" s="21">
        <v>1</v>
      </c>
      <c r="F528" s="22">
        <v>45433.8435185185</v>
      </c>
      <c r="G528" s="22"/>
      <c r="H528" s="23">
        <v>87.95</v>
      </c>
      <c r="I528" s="23">
        <v>87.95</v>
      </c>
      <c r="J528" s="24">
        <v>87.95</v>
      </c>
      <c r="K528" s="21">
        <v>0</v>
      </c>
      <c r="L528" s="21">
        <v>2</v>
      </c>
      <c r="M528" s="21">
        <f>COUNTIF($A$2:$A$5481,A528)</f>
        <v>2</v>
      </c>
      <c r="N528" s="24">
        <f t="shared" si="8"/>
        <v>87.9500528</v>
      </c>
    </row>
    <row r="529" spans="1:14">
      <c r="A529" s="21" t="s">
        <v>1330</v>
      </c>
      <c r="B529" s="21" t="s">
        <v>966</v>
      </c>
      <c r="C529" s="21" t="s">
        <v>182</v>
      </c>
      <c r="D529" s="21" t="s">
        <v>921</v>
      </c>
      <c r="E529" s="21">
        <v>1</v>
      </c>
      <c r="F529" s="22">
        <v>45331.6368055556</v>
      </c>
      <c r="G529" s="22"/>
      <c r="H529" s="23">
        <v>69.99</v>
      </c>
      <c r="I529" s="23">
        <v>69.99</v>
      </c>
      <c r="J529" s="24">
        <v>69.99</v>
      </c>
      <c r="K529" s="21">
        <v>0</v>
      </c>
      <c r="L529" s="21">
        <v>0</v>
      </c>
      <c r="M529" s="21">
        <f>COUNTIF($A$2:$A$5481,A529)</f>
        <v>1</v>
      </c>
      <c r="N529" s="24">
        <f t="shared" si="8"/>
        <v>69.9900529</v>
      </c>
    </row>
    <row r="530" spans="1:14">
      <c r="A530" s="21" t="s">
        <v>479</v>
      </c>
      <c r="B530" s="21" t="s">
        <v>920</v>
      </c>
      <c r="C530" s="21" t="s">
        <v>26</v>
      </c>
      <c r="D530" s="21" t="s">
        <v>921</v>
      </c>
      <c r="E530" s="21">
        <v>0</v>
      </c>
      <c r="F530" s="22">
        <v>46010.5434606482</v>
      </c>
      <c r="G530" s="22">
        <v>46223.8645138889</v>
      </c>
      <c r="H530" s="23">
        <v>1889.64</v>
      </c>
      <c r="I530" s="23">
        <v>944.82</v>
      </c>
      <c r="J530" s="24">
        <v>0</v>
      </c>
      <c r="K530" s="21">
        <v>0</v>
      </c>
      <c r="L530" s="21">
        <v>0</v>
      </c>
      <c r="M530" s="21">
        <f>COUNTIF($A$2:$A$5481,A530)</f>
        <v>1</v>
      </c>
      <c r="N530" s="24">
        <f t="shared" si="8"/>
        <v>5.3e-5</v>
      </c>
    </row>
    <row r="531" spans="1:14">
      <c r="A531" s="21" t="s">
        <v>402</v>
      </c>
      <c r="B531" s="21" t="s">
        <v>920</v>
      </c>
      <c r="C531" s="21" t="s">
        <v>35</v>
      </c>
      <c r="D531" s="21" t="s">
        <v>921</v>
      </c>
      <c r="E531" s="21">
        <v>0</v>
      </c>
      <c r="F531" s="22">
        <v>45706.6335532407</v>
      </c>
      <c r="G531" s="22">
        <v>45939.4663425926</v>
      </c>
      <c r="H531" s="23">
        <v>1397.32</v>
      </c>
      <c r="I531" s="23">
        <v>698.66</v>
      </c>
      <c r="J531" s="24">
        <v>0</v>
      </c>
      <c r="K531" s="21">
        <v>0</v>
      </c>
      <c r="L531" s="21">
        <v>0</v>
      </c>
      <c r="M531" s="21">
        <f>COUNTIF($A$2:$A$5481,A531)</f>
        <v>2</v>
      </c>
      <c r="N531" s="24">
        <f t="shared" si="8"/>
        <v>5.31e-5</v>
      </c>
    </row>
    <row r="532" spans="1:14">
      <c r="A532" s="21" t="s">
        <v>402</v>
      </c>
      <c r="B532" s="21" t="s">
        <v>920</v>
      </c>
      <c r="C532" s="21" t="s">
        <v>26</v>
      </c>
      <c r="D532" s="21" t="s">
        <v>921</v>
      </c>
      <c r="E532" s="21">
        <v>0</v>
      </c>
      <c r="F532" s="22">
        <v>45936.3902546296</v>
      </c>
      <c r="G532" s="22">
        <v>46190.6525</v>
      </c>
      <c r="H532" s="23">
        <v>409.5</v>
      </c>
      <c r="I532" s="23">
        <v>409.5</v>
      </c>
      <c r="J532" s="24">
        <v>0</v>
      </c>
      <c r="K532" s="21">
        <v>0</v>
      </c>
      <c r="L532" s="21">
        <v>0</v>
      </c>
      <c r="M532" s="21">
        <f>COUNTIF($A$2:$A$5481,A532)</f>
        <v>2</v>
      </c>
      <c r="N532" s="24">
        <f t="shared" si="8"/>
        <v>5.32e-5</v>
      </c>
    </row>
    <row r="533" spans="1:14">
      <c r="A533" s="21" t="s">
        <v>192</v>
      </c>
      <c r="B533" s="21" t="s">
        <v>920</v>
      </c>
      <c r="C533" s="21" t="s">
        <v>35</v>
      </c>
      <c r="D533" s="21" t="s">
        <v>921</v>
      </c>
      <c r="E533" s="21">
        <v>0</v>
      </c>
      <c r="F533" s="22">
        <v>45706.6335532407</v>
      </c>
      <c r="G533" s="22">
        <v>46052.3959375</v>
      </c>
      <c r="H533" s="23">
        <v>2028</v>
      </c>
      <c r="I533" s="23">
        <v>676</v>
      </c>
      <c r="J533" s="24">
        <v>0</v>
      </c>
      <c r="K533" s="21">
        <v>0</v>
      </c>
      <c r="L533" s="21">
        <v>0</v>
      </c>
      <c r="M533" s="21">
        <f>COUNTIF($A$2:$A$5481,A533)</f>
        <v>2</v>
      </c>
      <c r="N533" s="24">
        <f t="shared" si="8"/>
        <v>5.33e-5</v>
      </c>
    </row>
    <row r="534" spans="1:14">
      <c r="A534" s="21" t="s">
        <v>192</v>
      </c>
      <c r="B534" s="21" t="s">
        <v>920</v>
      </c>
      <c r="C534" s="21" t="s">
        <v>26</v>
      </c>
      <c r="D534" s="21" t="s">
        <v>921</v>
      </c>
      <c r="E534" s="21">
        <v>0</v>
      </c>
      <c r="F534" s="22">
        <v>45936.3902546296</v>
      </c>
      <c r="G534" s="22">
        <v>46073.4409259259</v>
      </c>
      <c r="H534" s="23">
        <v>409.5</v>
      </c>
      <c r="I534" s="23">
        <v>409.5</v>
      </c>
      <c r="J534" s="24">
        <v>0</v>
      </c>
      <c r="K534" s="21">
        <v>0</v>
      </c>
      <c r="L534" s="21">
        <v>0</v>
      </c>
      <c r="M534" s="21">
        <f>COUNTIF($A$2:$A$5481,A534)</f>
        <v>2</v>
      </c>
      <c r="N534" s="24">
        <f t="shared" si="8"/>
        <v>5.34e-5</v>
      </c>
    </row>
    <row r="535" spans="1:14">
      <c r="A535" s="21" t="s">
        <v>1331</v>
      </c>
      <c r="B535" s="21" t="s">
        <v>929</v>
      </c>
      <c r="C535" s="21" t="s">
        <v>414</v>
      </c>
      <c r="D535" s="21" t="s">
        <v>921</v>
      </c>
      <c r="E535" s="21">
        <v>6</v>
      </c>
      <c r="F535" s="22">
        <v>46138.5798611111</v>
      </c>
      <c r="G535" s="22"/>
      <c r="H535" s="23">
        <v>160.2</v>
      </c>
      <c r="I535" s="23">
        <v>26.7</v>
      </c>
      <c r="J535" s="24">
        <v>160.2</v>
      </c>
      <c r="K535" s="21">
        <v>0</v>
      </c>
      <c r="L535" s="21">
        <v>0</v>
      </c>
      <c r="M535" s="21">
        <f>COUNTIF($A$2:$A$5481,A535)</f>
        <v>1</v>
      </c>
      <c r="N535" s="24">
        <f t="shared" si="8"/>
        <v>160.2000535</v>
      </c>
    </row>
    <row r="536" spans="1:14">
      <c r="A536" s="21" t="s">
        <v>341</v>
      </c>
      <c r="B536" s="21" t="s">
        <v>920</v>
      </c>
      <c r="C536" s="21" t="s">
        <v>35</v>
      </c>
      <c r="D536" s="21" t="s">
        <v>921</v>
      </c>
      <c r="E536" s="21">
        <v>0</v>
      </c>
      <c r="F536" s="22">
        <v>46013.5532986111</v>
      </c>
      <c r="G536" s="22">
        <v>46121.5356712963</v>
      </c>
      <c r="H536" s="23">
        <v>60</v>
      </c>
      <c r="I536" s="23">
        <v>60</v>
      </c>
      <c r="J536" s="24">
        <v>0</v>
      </c>
      <c r="K536" s="21">
        <v>0</v>
      </c>
      <c r="L536" s="21">
        <v>0</v>
      </c>
      <c r="M536" s="21">
        <f>COUNTIF($A$2:$A$5481,A536)</f>
        <v>1</v>
      </c>
      <c r="N536" s="24">
        <f t="shared" si="8"/>
        <v>5.36e-5</v>
      </c>
    </row>
    <row r="537" spans="1:14">
      <c r="A537" s="21" t="s">
        <v>344</v>
      </c>
      <c r="B537" s="21" t="s">
        <v>920</v>
      </c>
      <c r="C537" s="21" t="s">
        <v>35</v>
      </c>
      <c r="D537" s="21" t="s">
        <v>921</v>
      </c>
      <c r="E537" s="21">
        <v>0</v>
      </c>
      <c r="F537" s="22">
        <v>46013.5532986111</v>
      </c>
      <c r="G537" s="22">
        <v>46121.5357060185</v>
      </c>
      <c r="H537" s="23">
        <v>60</v>
      </c>
      <c r="I537" s="23">
        <v>60</v>
      </c>
      <c r="J537" s="24">
        <v>0</v>
      </c>
      <c r="K537" s="21">
        <v>0</v>
      </c>
      <c r="L537" s="21">
        <v>0</v>
      </c>
      <c r="M537" s="21">
        <f>COUNTIF($A$2:$A$5481,A537)</f>
        <v>1</v>
      </c>
      <c r="N537" s="24">
        <f t="shared" si="8"/>
        <v>5.37e-5</v>
      </c>
    </row>
    <row r="538" spans="1:14">
      <c r="A538" s="21" t="s">
        <v>473</v>
      </c>
      <c r="B538" s="21" t="s">
        <v>26</v>
      </c>
      <c r="C538" s="21" t="s">
        <v>26</v>
      </c>
      <c r="D538" s="21" t="s">
        <v>921</v>
      </c>
      <c r="E538" s="21">
        <v>2</v>
      </c>
      <c r="F538" s="22">
        <v>46071.585</v>
      </c>
      <c r="G538" s="22">
        <v>46217.4291087963</v>
      </c>
      <c r="H538" s="23">
        <v>396.44</v>
      </c>
      <c r="I538" s="23">
        <v>396.44</v>
      </c>
      <c r="J538" s="24">
        <v>792.88</v>
      </c>
      <c r="K538" s="21">
        <v>0</v>
      </c>
      <c r="L538" s="21">
        <v>0</v>
      </c>
      <c r="M538" s="21">
        <f>COUNTIF($A$2:$A$5481,A538)</f>
        <v>1</v>
      </c>
      <c r="N538" s="24">
        <f t="shared" si="8"/>
        <v>792.8800538</v>
      </c>
    </row>
    <row r="539" spans="1:14">
      <c r="A539" s="21" t="s">
        <v>177</v>
      </c>
      <c r="B539" s="21" t="s">
        <v>26</v>
      </c>
      <c r="C539" s="21" t="s">
        <v>26</v>
      </c>
      <c r="D539" s="21" t="s">
        <v>921</v>
      </c>
      <c r="E539" s="21">
        <v>4</v>
      </c>
      <c r="F539" s="22">
        <v>46217.5208333333</v>
      </c>
      <c r="G539" s="22">
        <v>46099.5834259259</v>
      </c>
      <c r="H539" s="23">
        <v>397.17</v>
      </c>
      <c r="I539" s="23">
        <v>396.805</v>
      </c>
      <c r="J539" s="24">
        <v>1587.24</v>
      </c>
      <c r="K539" s="21">
        <v>0</v>
      </c>
      <c r="L539" s="21">
        <v>0</v>
      </c>
      <c r="M539" s="21">
        <f>COUNTIF($A$2:$A$5481,A539)</f>
        <v>1</v>
      </c>
      <c r="N539" s="24">
        <f t="shared" si="8"/>
        <v>1587.2400539</v>
      </c>
    </row>
    <row r="540" spans="1:14">
      <c r="A540" s="21" t="s">
        <v>1332</v>
      </c>
      <c r="B540" s="21" t="s">
        <v>920</v>
      </c>
      <c r="C540" s="21" t="s">
        <v>26</v>
      </c>
      <c r="D540" s="21" t="s">
        <v>931</v>
      </c>
      <c r="E540" s="21">
        <v>3</v>
      </c>
      <c r="F540" s="22">
        <v>46162.5518402778</v>
      </c>
      <c r="G540" s="22">
        <v>45933.3892939815</v>
      </c>
      <c r="H540" s="23">
        <v>239</v>
      </c>
      <c r="I540" s="23">
        <v>239</v>
      </c>
      <c r="J540" s="24">
        <v>717</v>
      </c>
      <c r="K540" s="21">
        <v>0</v>
      </c>
      <c r="L540" s="21">
        <v>156</v>
      </c>
      <c r="M540" s="21">
        <f>COUNTIF($A$2:$A$5481,A540)</f>
        <v>1</v>
      </c>
      <c r="N540" s="24">
        <f t="shared" si="8"/>
        <v>717.000054</v>
      </c>
    </row>
    <row r="541" spans="1:14">
      <c r="A541" s="21" t="s">
        <v>1333</v>
      </c>
      <c r="B541" s="21" t="s">
        <v>929</v>
      </c>
      <c r="C541" s="21" t="s">
        <v>414</v>
      </c>
      <c r="D541" s="21" t="s">
        <v>921</v>
      </c>
      <c r="E541" s="21">
        <v>1</v>
      </c>
      <c r="F541" s="22">
        <v>45378.8511805556</v>
      </c>
      <c r="G541" s="22"/>
      <c r="H541" s="23">
        <v>31.71</v>
      </c>
      <c r="I541" s="23">
        <v>31.71</v>
      </c>
      <c r="J541" s="24">
        <v>31.71</v>
      </c>
      <c r="K541" s="21">
        <v>0</v>
      </c>
      <c r="L541" s="21">
        <v>0</v>
      </c>
      <c r="M541" s="21">
        <f>COUNTIF($A$2:$A$5481,A541)</f>
        <v>1</v>
      </c>
      <c r="N541" s="24">
        <f t="shared" si="8"/>
        <v>31.7100541</v>
      </c>
    </row>
    <row r="542" spans="1:14">
      <c r="A542" s="21" t="s">
        <v>742</v>
      </c>
      <c r="B542" s="21" t="s">
        <v>26</v>
      </c>
      <c r="C542" s="21" t="s">
        <v>26</v>
      </c>
      <c r="D542" s="21" t="s">
        <v>931</v>
      </c>
      <c r="E542" s="21">
        <v>0</v>
      </c>
      <c r="F542" s="22">
        <v>45582.5712615741</v>
      </c>
      <c r="G542" s="22">
        <v>46252.5694444445</v>
      </c>
      <c r="H542" s="23">
        <v>46.32</v>
      </c>
      <c r="I542" s="23">
        <v>23.16</v>
      </c>
      <c r="J542" s="24">
        <v>0</v>
      </c>
      <c r="K542" s="21">
        <v>0</v>
      </c>
      <c r="L542" s="21">
        <v>0</v>
      </c>
      <c r="M542" s="21">
        <f>COUNTIF($A$2:$A$5481,A542)</f>
        <v>1</v>
      </c>
      <c r="N542" s="24">
        <f t="shared" si="8"/>
        <v>5.42e-5</v>
      </c>
    </row>
    <row r="543" spans="1:14">
      <c r="A543" s="21" t="s">
        <v>1334</v>
      </c>
      <c r="B543" s="21" t="s">
        <v>929</v>
      </c>
      <c r="C543" s="21" t="s">
        <v>26</v>
      </c>
      <c r="D543" s="21" t="s">
        <v>921</v>
      </c>
      <c r="E543" s="21">
        <v>2</v>
      </c>
      <c r="F543" s="22">
        <v>45958.552025463</v>
      </c>
      <c r="G543" s="22"/>
      <c r="H543" s="23">
        <v>137.94</v>
      </c>
      <c r="I543" s="23">
        <v>68.97</v>
      </c>
      <c r="J543" s="24">
        <v>137.94</v>
      </c>
      <c r="K543" s="21">
        <v>0</v>
      </c>
      <c r="L543" s="21">
        <v>0</v>
      </c>
      <c r="M543" s="21">
        <f>COUNTIF($A$2:$A$5481,A543)</f>
        <v>1</v>
      </c>
      <c r="N543" s="24">
        <f t="shared" si="8"/>
        <v>137.9400543</v>
      </c>
    </row>
    <row r="544" spans="1:14">
      <c r="A544" s="21" t="s">
        <v>302</v>
      </c>
      <c r="B544" s="21" t="s">
        <v>920</v>
      </c>
      <c r="C544" s="21" t="s">
        <v>35</v>
      </c>
      <c r="D544" s="21" t="s">
        <v>921</v>
      </c>
      <c r="E544" s="21">
        <v>0</v>
      </c>
      <c r="F544" s="22">
        <v>46085.4340277778</v>
      </c>
      <c r="G544" s="22">
        <v>46090.5750462963</v>
      </c>
      <c r="H544" s="23">
        <v>530</v>
      </c>
      <c r="I544" s="23">
        <v>530</v>
      </c>
      <c r="J544" s="24">
        <v>0</v>
      </c>
      <c r="K544" s="21">
        <v>0</v>
      </c>
      <c r="L544" s="21">
        <v>0</v>
      </c>
      <c r="M544" s="21">
        <f>COUNTIF($A$2:$A$5481,A544)</f>
        <v>1</v>
      </c>
      <c r="N544" s="24">
        <f t="shared" si="8"/>
        <v>5.44e-5</v>
      </c>
    </row>
    <row r="545" spans="1:14">
      <c r="A545" s="21" t="s">
        <v>1335</v>
      </c>
      <c r="B545" s="21" t="s">
        <v>920</v>
      </c>
      <c r="C545" s="21" t="s">
        <v>26</v>
      </c>
      <c r="D545" s="21" t="s">
        <v>921</v>
      </c>
      <c r="E545" s="21">
        <v>1</v>
      </c>
      <c r="F545" s="22">
        <v>45569.7145833333</v>
      </c>
      <c r="G545" s="22">
        <v>45572.8161805556</v>
      </c>
      <c r="H545" s="23">
        <v>124.9</v>
      </c>
      <c r="I545" s="23">
        <v>124.9</v>
      </c>
      <c r="J545" s="24">
        <v>124.9</v>
      </c>
      <c r="K545" s="21">
        <v>0</v>
      </c>
      <c r="L545" s="21">
        <v>0</v>
      </c>
      <c r="M545" s="21">
        <f>COUNTIF($A$2:$A$5481,A545)</f>
        <v>1</v>
      </c>
      <c r="N545" s="24">
        <f t="shared" si="8"/>
        <v>124.9000545</v>
      </c>
    </row>
    <row r="546" spans="1:14">
      <c r="A546" s="21" t="s">
        <v>369</v>
      </c>
      <c r="B546" s="21" t="s">
        <v>920</v>
      </c>
      <c r="C546" s="21" t="s">
        <v>35</v>
      </c>
      <c r="D546" s="21" t="s">
        <v>921</v>
      </c>
      <c r="E546" s="21">
        <v>1</v>
      </c>
      <c r="F546" s="22">
        <v>46251.4965277778</v>
      </c>
      <c r="G546" s="22">
        <v>46254.4975578704</v>
      </c>
      <c r="H546" s="23">
        <v>1200</v>
      </c>
      <c r="I546" s="23">
        <v>975</v>
      </c>
      <c r="J546" s="24">
        <v>975</v>
      </c>
      <c r="K546" s="21">
        <v>0</v>
      </c>
      <c r="L546" s="21">
        <v>0</v>
      </c>
      <c r="M546" s="21">
        <f>COUNTIF($A$2:$A$5481,A546)</f>
        <v>1</v>
      </c>
      <c r="N546" s="24">
        <f t="shared" si="8"/>
        <v>975.0000546</v>
      </c>
    </row>
    <row r="547" spans="1:14">
      <c r="A547" s="21" t="s">
        <v>706</v>
      </c>
      <c r="B547" s="21" t="s">
        <v>1115</v>
      </c>
      <c r="C547" s="21" t="s">
        <v>26</v>
      </c>
      <c r="D547" s="21" t="s">
        <v>921</v>
      </c>
      <c r="E547" s="21">
        <v>0</v>
      </c>
      <c r="F547" s="22">
        <v>46095.4225810185</v>
      </c>
      <c r="G547" s="22">
        <v>46252.5690277778</v>
      </c>
      <c r="H547" s="23">
        <v>190.71</v>
      </c>
      <c r="I547" s="23">
        <v>190.71</v>
      </c>
      <c r="J547" s="24">
        <v>0</v>
      </c>
      <c r="K547" s="21">
        <v>0</v>
      </c>
      <c r="L547" s="21">
        <v>0</v>
      </c>
      <c r="M547" s="21">
        <f>COUNTIF($A$2:$A$5481,A547)</f>
        <v>1</v>
      </c>
      <c r="N547" s="24">
        <f t="shared" si="8"/>
        <v>5.47e-5</v>
      </c>
    </row>
    <row r="548" spans="1:14">
      <c r="A548" s="21" t="s">
        <v>1336</v>
      </c>
      <c r="B548" s="21" t="s">
        <v>920</v>
      </c>
      <c r="C548" s="21" t="s">
        <v>26</v>
      </c>
      <c r="D548" s="21" t="s">
        <v>931</v>
      </c>
      <c r="E548" s="21">
        <v>2</v>
      </c>
      <c r="F548" s="22">
        <v>45762.4621527778</v>
      </c>
      <c r="G548" s="22"/>
      <c r="H548" s="23">
        <v>152.4</v>
      </c>
      <c r="I548" s="23">
        <v>76.2</v>
      </c>
      <c r="J548" s="24">
        <v>152.4</v>
      </c>
      <c r="K548" s="21">
        <v>0</v>
      </c>
      <c r="L548" s="21">
        <v>0</v>
      </c>
      <c r="M548" s="21">
        <f>COUNTIF($A$2:$A$5481,A548)</f>
        <v>1</v>
      </c>
      <c r="N548" s="24">
        <f t="shared" si="8"/>
        <v>152.4000548</v>
      </c>
    </row>
    <row r="549" spans="1:14">
      <c r="A549" s="21" t="s">
        <v>1337</v>
      </c>
      <c r="B549" s="21" t="s">
        <v>920</v>
      </c>
      <c r="C549" s="21" t="s">
        <v>26</v>
      </c>
      <c r="D549" s="21" t="s">
        <v>921</v>
      </c>
      <c r="E549" s="21">
        <v>1</v>
      </c>
      <c r="F549" s="22">
        <v>46049.5236574074</v>
      </c>
      <c r="G549" s="22"/>
      <c r="H549" s="23">
        <v>849.73</v>
      </c>
      <c r="I549" s="23">
        <v>849.73</v>
      </c>
      <c r="J549" s="24">
        <v>849.73</v>
      </c>
      <c r="K549" s="21">
        <v>0</v>
      </c>
      <c r="L549" s="21">
        <v>0</v>
      </c>
      <c r="M549" s="21">
        <f>COUNTIF($A$2:$A$5481,A549)</f>
        <v>1</v>
      </c>
      <c r="N549" s="24">
        <f t="shared" si="8"/>
        <v>849.7300549</v>
      </c>
    </row>
    <row r="550" spans="1:14">
      <c r="A550" s="21" t="s">
        <v>462</v>
      </c>
      <c r="B550" s="21" t="s">
        <v>920</v>
      </c>
      <c r="C550" s="21" t="s">
        <v>35</v>
      </c>
      <c r="D550" s="21" t="s">
        <v>931</v>
      </c>
      <c r="E550" s="21">
        <v>2</v>
      </c>
      <c r="F550" s="22">
        <v>45728.3478472222</v>
      </c>
      <c r="G550" s="22">
        <v>46211.7055555556</v>
      </c>
      <c r="H550" s="23">
        <v>765</v>
      </c>
      <c r="I550" s="23">
        <v>255</v>
      </c>
      <c r="J550" s="24">
        <v>510</v>
      </c>
      <c r="K550" s="21">
        <v>0</v>
      </c>
      <c r="L550" s="21">
        <v>0</v>
      </c>
      <c r="M550" s="21">
        <f>COUNTIF($A$2:$A$5481,A550)</f>
        <v>1</v>
      </c>
      <c r="N550" s="24">
        <f t="shared" si="8"/>
        <v>510.000055</v>
      </c>
    </row>
    <row r="551" spans="1:14">
      <c r="A551" s="21" t="s">
        <v>1338</v>
      </c>
      <c r="B551" s="21" t="s">
        <v>929</v>
      </c>
      <c r="C551" s="21" t="s">
        <v>35</v>
      </c>
      <c r="D551" s="21" t="s">
        <v>921</v>
      </c>
      <c r="E551" s="21">
        <v>1</v>
      </c>
      <c r="F551" s="22">
        <v>45386.3350578704</v>
      </c>
      <c r="G551" s="22"/>
      <c r="H551" s="23">
        <v>290</v>
      </c>
      <c r="I551" s="23">
        <v>290</v>
      </c>
      <c r="J551" s="24">
        <v>290</v>
      </c>
      <c r="K551" s="21">
        <v>0</v>
      </c>
      <c r="L551" s="21">
        <v>0</v>
      </c>
      <c r="M551" s="21">
        <f>COUNTIF($A$2:$A$5481,A551)</f>
        <v>1</v>
      </c>
      <c r="N551" s="24">
        <f t="shared" si="8"/>
        <v>290.0000551</v>
      </c>
    </row>
    <row r="552" spans="1:14">
      <c r="A552" s="21" t="s">
        <v>1339</v>
      </c>
      <c r="B552" s="21" t="s">
        <v>920</v>
      </c>
      <c r="C552" s="21" t="s">
        <v>35</v>
      </c>
      <c r="D552" s="21" t="s">
        <v>921</v>
      </c>
      <c r="E552" s="21">
        <v>1</v>
      </c>
      <c r="F552" s="22">
        <v>45363.5958333333</v>
      </c>
      <c r="G552" s="22"/>
      <c r="H552" s="23">
        <v>126.61</v>
      </c>
      <c r="I552" s="23">
        <v>126.61</v>
      </c>
      <c r="J552" s="24">
        <v>126.61</v>
      </c>
      <c r="K552" s="21">
        <v>0</v>
      </c>
      <c r="L552" s="21">
        <v>0</v>
      </c>
      <c r="M552" s="21">
        <f>COUNTIF($A$2:$A$5481,A552)</f>
        <v>1</v>
      </c>
      <c r="N552" s="24">
        <f t="shared" si="8"/>
        <v>126.6100552</v>
      </c>
    </row>
    <row r="553" spans="1:14">
      <c r="A553" s="21" t="s">
        <v>1340</v>
      </c>
      <c r="B553" s="21" t="s">
        <v>920</v>
      </c>
      <c r="C553" s="21" t="s">
        <v>35</v>
      </c>
      <c r="D553" s="21" t="s">
        <v>921</v>
      </c>
      <c r="E553" s="21">
        <v>1</v>
      </c>
      <c r="F553" s="22">
        <v>45363.5958333333</v>
      </c>
      <c r="G553" s="22"/>
      <c r="H553" s="23">
        <v>173.14</v>
      </c>
      <c r="I553" s="23">
        <v>173.14</v>
      </c>
      <c r="J553" s="24">
        <v>173.14</v>
      </c>
      <c r="K553" s="21">
        <v>0</v>
      </c>
      <c r="L553" s="21">
        <v>0</v>
      </c>
      <c r="M553" s="21">
        <f>COUNTIF($A$2:$A$5481,A553)</f>
        <v>1</v>
      </c>
      <c r="N553" s="24">
        <f t="shared" si="8"/>
        <v>173.1400553</v>
      </c>
    </row>
    <row r="554" spans="1:14">
      <c r="A554" s="21" t="s">
        <v>1341</v>
      </c>
      <c r="B554" s="21" t="s">
        <v>1342</v>
      </c>
      <c r="C554" s="21" t="s">
        <v>182</v>
      </c>
      <c r="D554" s="21" t="s">
        <v>921</v>
      </c>
      <c r="E554" s="21">
        <v>0</v>
      </c>
      <c r="F554" s="22">
        <v>45348.8736111111</v>
      </c>
      <c r="G554" s="22">
        <v>45350.4310532407</v>
      </c>
      <c r="H554" s="23">
        <v>29.8</v>
      </c>
      <c r="I554" s="23">
        <v>14.9</v>
      </c>
      <c r="J554" s="24">
        <v>0</v>
      </c>
      <c r="K554" s="21">
        <v>0</v>
      </c>
      <c r="L554" s="21">
        <v>0</v>
      </c>
      <c r="M554" s="21">
        <f>COUNTIF($A$2:$A$5481,A554)</f>
        <v>2</v>
      </c>
      <c r="N554" s="24">
        <f t="shared" si="8"/>
        <v>5.54e-5</v>
      </c>
    </row>
    <row r="555" spans="1:14">
      <c r="A555" s="21" t="s">
        <v>1341</v>
      </c>
      <c r="B555" s="21" t="s">
        <v>1342</v>
      </c>
      <c r="C555" s="21" t="s">
        <v>390</v>
      </c>
      <c r="D555" s="21" t="s">
        <v>921</v>
      </c>
      <c r="E555" s="21">
        <v>1</v>
      </c>
      <c r="F555" s="22">
        <v>45629.4176388889</v>
      </c>
      <c r="G555" s="22"/>
      <c r="H555" s="23">
        <v>163.14</v>
      </c>
      <c r="I555" s="23">
        <v>163.14</v>
      </c>
      <c r="J555" s="24">
        <v>163.14</v>
      </c>
      <c r="K555" s="21">
        <v>0</v>
      </c>
      <c r="L555" s="21">
        <v>0</v>
      </c>
      <c r="M555" s="21">
        <f>COUNTIF($A$2:$A$5481,A555)</f>
        <v>2</v>
      </c>
      <c r="N555" s="24">
        <f t="shared" si="8"/>
        <v>163.1400555</v>
      </c>
    </row>
    <row r="556" spans="1:14">
      <c r="A556" s="21" t="s">
        <v>1343</v>
      </c>
      <c r="B556" s="21" t="s">
        <v>26</v>
      </c>
      <c r="C556" s="21" t="s">
        <v>26</v>
      </c>
      <c r="D556" s="21" t="s">
        <v>921</v>
      </c>
      <c r="E556" s="21">
        <v>1</v>
      </c>
      <c r="F556" s="22">
        <v>45491.4498611111</v>
      </c>
      <c r="G556" s="22"/>
      <c r="H556" s="23">
        <v>61</v>
      </c>
      <c r="I556" s="23">
        <v>61</v>
      </c>
      <c r="J556" s="24">
        <v>61</v>
      </c>
      <c r="K556" s="21">
        <v>0</v>
      </c>
      <c r="L556" s="21">
        <v>0</v>
      </c>
      <c r="M556" s="21">
        <f>COUNTIF($A$2:$A$5481,A556)</f>
        <v>1</v>
      </c>
      <c r="N556" s="24">
        <f t="shared" si="8"/>
        <v>61.0000556</v>
      </c>
    </row>
    <row r="557" spans="1:14">
      <c r="A557" s="21" t="s">
        <v>1344</v>
      </c>
      <c r="B557" s="21" t="s">
        <v>26</v>
      </c>
      <c r="C557" s="21" t="s">
        <v>182</v>
      </c>
      <c r="D557" s="21" t="s">
        <v>921</v>
      </c>
      <c r="E557" s="21">
        <v>10</v>
      </c>
      <c r="F557" s="22">
        <v>45293.8162847222</v>
      </c>
      <c r="G557" s="22">
        <v>45299.3538194444</v>
      </c>
      <c r="H557" s="23">
        <v>260.45</v>
      </c>
      <c r="I557" s="23">
        <v>52.09</v>
      </c>
      <c r="J557" s="24">
        <v>520.9</v>
      </c>
      <c r="K557" s="21">
        <v>0</v>
      </c>
      <c r="L557" s="21">
        <v>0</v>
      </c>
      <c r="M557" s="21">
        <f>COUNTIF($A$2:$A$5481,A557)</f>
        <v>2</v>
      </c>
      <c r="N557" s="24">
        <f t="shared" si="8"/>
        <v>520.9000557</v>
      </c>
    </row>
    <row r="558" spans="1:14">
      <c r="A558" s="21" t="s">
        <v>1344</v>
      </c>
      <c r="B558" s="21" t="s">
        <v>26</v>
      </c>
      <c r="C558" s="21" t="s">
        <v>26</v>
      </c>
      <c r="D558" s="21" t="s">
        <v>921</v>
      </c>
      <c r="E558" s="21">
        <v>7</v>
      </c>
      <c r="F558" s="22">
        <v>45764.3984375</v>
      </c>
      <c r="G558" s="22">
        <v>45888.4233217593</v>
      </c>
      <c r="H558" s="23">
        <v>335.4</v>
      </c>
      <c r="I558" s="23">
        <v>55.9</v>
      </c>
      <c r="J558" s="24">
        <v>391.3</v>
      </c>
      <c r="K558" s="21">
        <v>0</v>
      </c>
      <c r="L558" s="21">
        <v>0</v>
      </c>
      <c r="M558" s="21">
        <f>COUNTIF($A$2:$A$5481,A558)</f>
        <v>2</v>
      </c>
      <c r="N558" s="24">
        <f t="shared" si="8"/>
        <v>391.3000558</v>
      </c>
    </row>
    <row r="559" spans="1:14">
      <c r="A559" s="21" t="s">
        <v>499</v>
      </c>
      <c r="B559" s="21" t="s">
        <v>1115</v>
      </c>
      <c r="C559" s="21" t="s">
        <v>182</v>
      </c>
      <c r="D559" s="21" t="s">
        <v>921</v>
      </c>
      <c r="E559" s="21">
        <v>0</v>
      </c>
      <c r="F559" s="22">
        <v>45314.3832175926</v>
      </c>
      <c r="G559" s="22">
        <v>46247.4434490741</v>
      </c>
      <c r="H559" s="23">
        <v>11157.4</v>
      </c>
      <c r="I559" s="23">
        <v>48.35895</v>
      </c>
      <c r="J559" s="24">
        <v>0</v>
      </c>
      <c r="K559" s="21">
        <v>0</v>
      </c>
      <c r="L559" s="21">
        <v>0</v>
      </c>
      <c r="M559" s="21">
        <f>COUNTIF($A$2:$A$5481,A559)</f>
        <v>3</v>
      </c>
      <c r="N559" s="24">
        <f t="shared" si="8"/>
        <v>5.59e-5</v>
      </c>
    </row>
    <row r="560" spans="1:14">
      <c r="A560" s="21" t="s">
        <v>499</v>
      </c>
      <c r="B560" s="21" t="s">
        <v>1115</v>
      </c>
      <c r="C560" s="21" t="s">
        <v>35</v>
      </c>
      <c r="D560" s="21" t="s">
        <v>921</v>
      </c>
      <c r="E560" s="21">
        <v>397</v>
      </c>
      <c r="F560" s="22">
        <v>45867.6748032407</v>
      </c>
      <c r="G560" s="22"/>
      <c r="H560" s="23">
        <v>16336.55</v>
      </c>
      <c r="I560" s="23">
        <v>41.15</v>
      </c>
      <c r="J560" s="24">
        <v>16336.55</v>
      </c>
      <c r="K560" s="21">
        <v>0</v>
      </c>
      <c r="L560" s="21">
        <v>0</v>
      </c>
      <c r="M560" s="21">
        <f>COUNTIF($A$2:$A$5481,A560)</f>
        <v>3</v>
      </c>
      <c r="N560" s="24">
        <f t="shared" si="8"/>
        <v>16336.550056</v>
      </c>
    </row>
    <row r="561" spans="1:14">
      <c r="A561" s="21" t="s">
        <v>499</v>
      </c>
      <c r="B561" s="21" t="s">
        <v>1115</v>
      </c>
      <c r="C561" s="21" t="s">
        <v>51</v>
      </c>
      <c r="D561" s="21" t="s">
        <v>921</v>
      </c>
      <c r="E561" s="21">
        <v>12263.52</v>
      </c>
      <c r="F561" s="22">
        <v>46254.5708333333</v>
      </c>
      <c r="G561" s="22">
        <v>46279.6571643519</v>
      </c>
      <c r="H561" s="23">
        <v>30447.5</v>
      </c>
      <c r="I561" s="23">
        <v>19.7139417915</v>
      </c>
      <c r="J561" s="24">
        <v>241713.9792</v>
      </c>
      <c r="K561" s="21">
        <v>0</v>
      </c>
      <c r="L561" s="21">
        <v>0</v>
      </c>
      <c r="M561" s="21">
        <f>COUNTIF($A$2:$A$5481,A561)</f>
        <v>3</v>
      </c>
      <c r="N561" s="24">
        <f t="shared" si="8"/>
        <v>241713.9792561</v>
      </c>
    </row>
    <row r="562" spans="1:14">
      <c r="A562" s="21" t="s">
        <v>1345</v>
      </c>
      <c r="B562" s="21" t="s">
        <v>1346</v>
      </c>
      <c r="C562" s="21" t="s">
        <v>390</v>
      </c>
      <c r="D562" s="21" t="s">
        <v>921</v>
      </c>
      <c r="E562" s="21">
        <v>4</v>
      </c>
      <c r="F562" s="22">
        <v>45629.4176388889</v>
      </c>
      <c r="G562" s="22">
        <v>45863.4992592593</v>
      </c>
      <c r="H562" s="23">
        <v>289.27</v>
      </c>
      <c r="I562" s="23">
        <v>113.942</v>
      </c>
      <c r="J562" s="24">
        <v>455.76</v>
      </c>
      <c r="K562" s="21">
        <v>0</v>
      </c>
      <c r="L562" s="21">
        <v>0</v>
      </c>
      <c r="M562" s="21">
        <f>COUNTIF($A$2:$A$5481,A562)</f>
        <v>1</v>
      </c>
      <c r="N562" s="24">
        <f t="shared" si="8"/>
        <v>455.7600562</v>
      </c>
    </row>
    <row r="563" spans="1:14">
      <c r="A563" s="21" t="s">
        <v>1347</v>
      </c>
      <c r="B563" s="21" t="s">
        <v>926</v>
      </c>
      <c r="C563" s="21" t="s">
        <v>38</v>
      </c>
      <c r="D563" s="21" t="s">
        <v>921</v>
      </c>
      <c r="E563" s="21">
        <v>4</v>
      </c>
      <c r="F563" s="22">
        <v>46064.5834143519</v>
      </c>
      <c r="G563" s="22"/>
      <c r="H563" s="23">
        <v>340</v>
      </c>
      <c r="I563" s="23">
        <v>85</v>
      </c>
      <c r="J563" s="24">
        <v>340</v>
      </c>
      <c r="K563" s="21">
        <v>0</v>
      </c>
      <c r="L563" s="21">
        <v>0</v>
      </c>
      <c r="M563" s="21">
        <f>COUNTIF($A$2:$A$5481,A563)</f>
        <v>1</v>
      </c>
      <c r="N563" s="24">
        <f t="shared" si="8"/>
        <v>340.0000563</v>
      </c>
    </row>
    <row r="564" spans="1:14">
      <c r="A564" s="21" t="s">
        <v>737</v>
      </c>
      <c r="B564" s="21" t="s">
        <v>1175</v>
      </c>
      <c r="C564" s="21" t="s">
        <v>26</v>
      </c>
      <c r="D564" s="21" t="s">
        <v>931</v>
      </c>
      <c r="E564" s="21">
        <v>0</v>
      </c>
      <c r="F564" s="22">
        <v>45727.6071412037</v>
      </c>
      <c r="G564" s="22">
        <v>46252.5693865741</v>
      </c>
      <c r="H564" s="23">
        <v>219</v>
      </c>
      <c r="I564" s="23">
        <v>219</v>
      </c>
      <c r="J564" s="24">
        <v>0</v>
      </c>
      <c r="K564" s="21">
        <v>0</v>
      </c>
      <c r="L564" s="21">
        <v>0</v>
      </c>
      <c r="M564" s="21">
        <f>COUNTIF($A$2:$A$5481,A564)</f>
        <v>1</v>
      </c>
      <c r="N564" s="24">
        <f t="shared" si="8"/>
        <v>5.64e-5</v>
      </c>
    </row>
    <row r="565" spans="1:14">
      <c r="A565" s="21" t="s">
        <v>736</v>
      </c>
      <c r="B565" s="21" t="s">
        <v>929</v>
      </c>
      <c r="C565" s="21" t="s">
        <v>26</v>
      </c>
      <c r="D565" s="21" t="s">
        <v>931</v>
      </c>
      <c r="E565" s="21">
        <v>0</v>
      </c>
      <c r="F565" s="22">
        <v>45455.3834490741</v>
      </c>
      <c r="G565" s="22">
        <v>46252.569375</v>
      </c>
      <c r="H565" s="23">
        <v>1125</v>
      </c>
      <c r="I565" s="23">
        <v>212.14286</v>
      </c>
      <c r="J565" s="24">
        <v>0</v>
      </c>
      <c r="K565" s="21">
        <v>0</v>
      </c>
      <c r="L565" s="21">
        <v>0</v>
      </c>
      <c r="M565" s="21">
        <f>COUNTIF($A$2:$A$5481,A565)</f>
        <v>1</v>
      </c>
      <c r="N565" s="24">
        <f t="shared" si="8"/>
        <v>5.65e-5</v>
      </c>
    </row>
    <row r="566" spans="1:14">
      <c r="A566" s="21" t="s">
        <v>1348</v>
      </c>
      <c r="B566" s="21" t="s">
        <v>929</v>
      </c>
      <c r="C566" s="21" t="s">
        <v>414</v>
      </c>
      <c r="D566" s="21" t="s">
        <v>921</v>
      </c>
      <c r="E566" s="21">
        <v>4</v>
      </c>
      <c r="F566" s="22">
        <v>45268</v>
      </c>
      <c r="G566" s="22"/>
      <c r="H566" s="23">
        <v>680</v>
      </c>
      <c r="I566" s="23">
        <v>170</v>
      </c>
      <c r="J566" s="24">
        <v>680</v>
      </c>
      <c r="K566" s="21">
        <v>0</v>
      </c>
      <c r="L566" s="21">
        <v>0</v>
      </c>
      <c r="M566" s="21">
        <f>COUNTIF($A$2:$A$5481,A566)</f>
        <v>1</v>
      </c>
      <c r="N566" s="24">
        <f t="shared" si="8"/>
        <v>680.0000566</v>
      </c>
    </row>
    <row r="567" spans="1:14">
      <c r="A567" s="21" t="s">
        <v>1349</v>
      </c>
      <c r="B567" s="21" t="s">
        <v>929</v>
      </c>
      <c r="C567" s="21" t="s">
        <v>182</v>
      </c>
      <c r="D567" s="21" t="s">
        <v>921</v>
      </c>
      <c r="E567" s="21">
        <v>8</v>
      </c>
      <c r="F567" s="22">
        <v>45373.8055555556</v>
      </c>
      <c r="G567" s="22"/>
      <c r="H567" s="23">
        <v>247.2</v>
      </c>
      <c r="I567" s="23">
        <v>30.9</v>
      </c>
      <c r="J567" s="24">
        <v>247.2</v>
      </c>
      <c r="K567" s="21">
        <v>0</v>
      </c>
      <c r="L567" s="21">
        <v>0</v>
      </c>
      <c r="M567" s="21">
        <f>COUNTIF($A$2:$A$5481,A567)</f>
        <v>1</v>
      </c>
      <c r="N567" s="24">
        <f t="shared" si="8"/>
        <v>247.2000567</v>
      </c>
    </row>
    <row r="568" spans="1:14">
      <c r="A568" s="21" t="s">
        <v>1350</v>
      </c>
      <c r="B568" s="21" t="s">
        <v>929</v>
      </c>
      <c r="C568" s="21" t="s">
        <v>26</v>
      </c>
      <c r="D568" s="21" t="s">
        <v>921</v>
      </c>
      <c r="E568" s="21">
        <v>36</v>
      </c>
      <c r="F568" s="22">
        <v>45901.5752662037</v>
      </c>
      <c r="G568" s="22">
        <v>45372.4368981482</v>
      </c>
      <c r="H568" s="23">
        <v>146.46</v>
      </c>
      <c r="I568" s="23">
        <v>32.91</v>
      </c>
      <c r="J568" s="24">
        <v>1184.76</v>
      </c>
      <c r="K568" s="21">
        <v>0</v>
      </c>
      <c r="L568" s="21">
        <v>0</v>
      </c>
      <c r="M568" s="21">
        <f>COUNTIF($A$2:$A$5481,A568)</f>
        <v>1</v>
      </c>
      <c r="N568" s="24">
        <f t="shared" si="8"/>
        <v>1184.7600568</v>
      </c>
    </row>
    <row r="569" spans="1:14">
      <c r="A569" s="21" t="s">
        <v>239</v>
      </c>
      <c r="B569" s="21" t="s">
        <v>929</v>
      </c>
      <c r="C569" s="21" t="s">
        <v>182</v>
      </c>
      <c r="D569" s="21" t="s">
        <v>921</v>
      </c>
      <c r="E569" s="21">
        <v>6</v>
      </c>
      <c r="F569" s="22">
        <v>45369.6127777778</v>
      </c>
      <c r="G569" s="22"/>
      <c r="H569" s="23">
        <v>185.4</v>
      </c>
      <c r="I569" s="23">
        <v>30.9</v>
      </c>
      <c r="J569" s="24">
        <v>185.4</v>
      </c>
      <c r="K569" s="21">
        <v>0</v>
      </c>
      <c r="L569" s="21">
        <v>0</v>
      </c>
      <c r="M569" s="21">
        <f>COUNTIF($A$2:$A$5481,A569)</f>
        <v>2</v>
      </c>
      <c r="N569" s="24">
        <f t="shared" si="8"/>
        <v>185.4000569</v>
      </c>
    </row>
    <row r="570" spans="1:14">
      <c r="A570" s="21" t="s">
        <v>239</v>
      </c>
      <c r="B570" s="21" t="s">
        <v>929</v>
      </c>
      <c r="C570" s="21" t="s">
        <v>26</v>
      </c>
      <c r="D570" s="21" t="s">
        <v>921</v>
      </c>
      <c r="E570" s="21">
        <v>105</v>
      </c>
      <c r="F570" s="22">
        <v>46150.4277777778</v>
      </c>
      <c r="G570" s="22">
        <v>46072.4402314815</v>
      </c>
      <c r="H570" s="23">
        <v>185.4</v>
      </c>
      <c r="I570" s="23">
        <v>30.6213866771</v>
      </c>
      <c r="J570" s="24">
        <v>3215.1</v>
      </c>
      <c r="K570" s="21">
        <v>0</v>
      </c>
      <c r="L570" s="21">
        <v>0</v>
      </c>
      <c r="M570" s="21">
        <f>COUNTIF($A$2:$A$5481,A570)</f>
        <v>2</v>
      </c>
      <c r="N570" s="24">
        <f t="shared" si="8"/>
        <v>3215.100057</v>
      </c>
    </row>
    <row r="571" spans="1:14">
      <c r="A571" s="21" t="s">
        <v>1351</v>
      </c>
      <c r="B571" s="21" t="s">
        <v>1352</v>
      </c>
      <c r="C571" s="21" t="s">
        <v>414</v>
      </c>
      <c r="D571" s="21" t="s">
        <v>921</v>
      </c>
      <c r="E571" s="21">
        <v>10</v>
      </c>
      <c r="F571" s="22">
        <v>45273.8255671296</v>
      </c>
      <c r="G571" s="22"/>
      <c r="H571" s="23">
        <v>782.8</v>
      </c>
      <c r="I571" s="23">
        <v>78.28</v>
      </c>
      <c r="J571" s="24">
        <v>782.8</v>
      </c>
      <c r="K571" s="21">
        <v>0</v>
      </c>
      <c r="L571" s="21">
        <v>0</v>
      </c>
      <c r="M571" s="21">
        <f>COUNTIF($A$2:$A$5481,A571)</f>
        <v>1</v>
      </c>
      <c r="N571" s="24">
        <f t="shared" si="8"/>
        <v>782.8000571</v>
      </c>
    </row>
    <row r="572" spans="1:14">
      <c r="A572" s="21" t="s">
        <v>1353</v>
      </c>
      <c r="B572" s="21" t="s">
        <v>1352</v>
      </c>
      <c r="C572" s="21" t="s">
        <v>414</v>
      </c>
      <c r="D572" s="21" t="s">
        <v>921</v>
      </c>
      <c r="E572" s="21">
        <v>10</v>
      </c>
      <c r="F572" s="22">
        <v>45273.8204513889</v>
      </c>
      <c r="G572" s="22"/>
      <c r="H572" s="23">
        <v>782.8</v>
      </c>
      <c r="I572" s="23">
        <v>78.28</v>
      </c>
      <c r="J572" s="24">
        <v>782.8</v>
      </c>
      <c r="K572" s="21">
        <v>0</v>
      </c>
      <c r="L572" s="21">
        <v>0</v>
      </c>
      <c r="M572" s="21">
        <f>COUNTIF($A$2:$A$5481,A572)</f>
        <v>1</v>
      </c>
      <c r="N572" s="24">
        <f t="shared" si="8"/>
        <v>782.8000572</v>
      </c>
    </row>
    <row r="573" spans="1:14">
      <c r="A573" s="21" t="s">
        <v>703</v>
      </c>
      <c r="B573" s="21" t="s">
        <v>1352</v>
      </c>
      <c r="C573" s="21" t="s">
        <v>26</v>
      </c>
      <c r="D573" s="21" t="s">
        <v>921</v>
      </c>
      <c r="E573" s="21">
        <v>0</v>
      </c>
      <c r="F573" s="22">
        <v>46095.3875</v>
      </c>
      <c r="G573" s="22">
        <v>46252.5689930556</v>
      </c>
      <c r="H573" s="23">
        <v>226</v>
      </c>
      <c r="I573" s="23">
        <v>113</v>
      </c>
      <c r="J573" s="24">
        <v>0</v>
      </c>
      <c r="K573" s="21">
        <v>0</v>
      </c>
      <c r="L573" s="21">
        <v>0</v>
      </c>
      <c r="M573" s="21">
        <f>COUNTIF($A$2:$A$5481,A573)</f>
        <v>1</v>
      </c>
      <c r="N573" s="24">
        <f t="shared" si="8"/>
        <v>5.73e-5</v>
      </c>
    </row>
    <row r="574" spans="1:14">
      <c r="A574" s="21" t="s">
        <v>1354</v>
      </c>
      <c r="B574" s="21" t="s">
        <v>929</v>
      </c>
      <c r="C574" s="21" t="s">
        <v>26</v>
      </c>
      <c r="D574" s="21" t="s">
        <v>921</v>
      </c>
      <c r="E574" s="21">
        <v>0</v>
      </c>
      <c r="F574" s="22">
        <v>45371.6777777778</v>
      </c>
      <c r="G574" s="22">
        <v>45372.4368865741</v>
      </c>
      <c r="H574" s="23">
        <v>31.53</v>
      </c>
      <c r="I574" s="23">
        <v>31.53</v>
      </c>
      <c r="J574" s="24">
        <v>0</v>
      </c>
      <c r="K574" s="21">
        <v>0</v>
      </c>
      <c r="L574" s="21">
        <v>0</v>
      </c>
      <c r="M574" s="21">
        <f>COUNTIF($A$2:$A$5481,A574)</f>
        <v>1</v>
      </c>
      <c r="N574" s="24">
        <f t="shared" si="8"/>
        <v>5.74e-5</v>
      </c>
    </row>
    <row r="575" spans="1:14">
      <c r="A575" s="21" t="s">
        <v>1355</v>
      </c>
      <c r="B575" s="21" t="s">
        <v>929</v>
      </c>
      <c r="C575" s="21" t="s">
        <v>26</v>
      </c>
      <c r="D575" s="21" t="s">
        <v>921</v>
      </c>
      <c r="E575" s="21">
        <v>1</v>
      </c>
      <c r="F575" s="22">
        <v>45912.3903472222</v>
      </c>
      <c r="G575" s="22"/>
      <c r="H575" s="23">
        <v>5554.44</v>
      </c>
      <c r="I575" s="23">
        <v>5554.44</v>
      </c>
      <c r="J575" s="24">
        <v>5554.44</v>
      </c>
      <c r="K575" s="21">
        <v>0</v>
      </c>
      <c r="L575" s="21">
        <v>0</v>
      </c>
      <c r="M575" s="21">
        <f>COUNTIF($A$2:$A$5481,A575)</f>
        <v>1</v>
      </c>
      <c r="N575" s="24">
        <f t="shared" si="8"/>
        <v>5554.4400575</v>
      </c>
    </row>
    <row r="576" spans="1:14">
      <c r="A576" s="21" t="s">
        <v>434</v>
      </c>
      <c r="B576" s="21" t="s">
        <v>26</v>
      </c>
      <c r="C576" s="21" t="s">
        <v>26</v>
      </c>
      <c r="D576" s="21" t="s">
        <v>921</v>
      </c>
      <c r="E576" s="21">
        <v>11</v>
      </c>
      <c r="F576" s="22">
        <v>45811.6533449074</v>
      </c>
      <c r="G576" s="22">
        <v>46203.6424305556</v>
      </c>
      <c r="H576" s="23">
        <v>332.52</v>
      </c>
      <c r="I576" s="23">
        <v>64.53</v>
      </c>
      <c r="J576" s="24">
        <v>709.83</v>
      </c>
      <c r="K576" s="21">
        <v>0</v>
      </c>
      <c r="L576" s="21">
        <v>0</v>
      </c>
      <c r="M576" s="21">
        <f>COUNTIF($A$2:$A$5481,A576)</f>
        <v>1</v>
      </c>
      <c r="N576" s="24">
        <f t="shared" si="8"/>
        <v>709.8300576</v>
      </c>
    </row>
    <row r="577" spans="1:14">
      <c r="A577" s="21" t="s">
        <v>1356</v>
      </c>
      <c r="B577" s="21" t="s">
        <v>26</v>
      </c>
      <c r="C577" s="21" t="s">
        <v>26</v>
      </c>
      <c r="D577" s="21" t="s">
        <v>921</v>
      </c>
      <c r="E577" s="21">
        <v>7</v>
      </c>
      <c r="F577" s="22">
        <v>46120.3576388889</v>
      </c>
      <c r="G577" s="22"/>
      <c r="H577" s="23">
        <v>8.99</v>
      </c>
      <c r="I577" s="23">
        <v>7.2757142857</v>
      </c>
      <c r="J577" s="24">
        <v>50.96</v>
      </c>
      <c r="K577" s="21">
        <v>0</v>
      </c>
      <c r="L577" s="21">
        <v>0</v>
      </c>
      <c r="M577" s="21">
        <f>COUNTIF($A$2:$A$5481,A577)</f>
        <v>1</v>
      </c>
      <c r="N577" s="24">
        <f t="shared" si="8"/>
        <v>50.9600577</v>
      </c>
    </row>
    <row r="578" spans="1:14">
      <c r="A578" s="21" t="s">
        <v>1357</v>
      </c>
      <c r="B578" s="21" t="s">
        <v>920</v>
      </c>
      <c r="C578" s="21" t="s">
        <v>35</v>
      </c>
      <c r="D578" s="21" t="s">
        <v>931</v>
      </c>
      <c r="E578" s="21">
        <v>1</v>
      </c>
      <c r="F578" s="22">
        <v>45273.4090277778</v>
      </c>
      <c r="G578" s="22"/>
      <c r="H578" s="23">
        <v>67</v>
      </c>
      <c r="I578" s="23">
        <v>67</v>
      </c>
      <c r="J578" s="24">
        <v>67</v>
      </c>
      <c r="K578" s="21">
        <v>0</v>
      </c>
      <c r="L578" s="21">
        <v>0</v>
      </c>
      <c r="M578" s="21">
        <f>COUNTIF($A$2:$A$5481,A578)</f>
        <v>1</v>
      </c>
      <c r="N578" s="24">
        <f t="shared" ref="N578:N641" si="9">J578+ROW()/10000000</f>
        <v>67.0000578</v>
      </c>
    </row>
    <row r="579" spans="1:14">
      <c r="A579" s="21" t="s">
        <v>1358</v>
      </c>
      <c r="B579" s="21" t="s">
        <v>920</v>
      </c>
      <c r="C579" s="21" t="s">
        <v>26</v>
      </c>
      <c r="D579" s="21" t="s">
        <v>921</v>
      </c>
      <c r="E579" s="21">
        <v>1</v>
      </c>
      <c r="F579" s="22">
        <v>46155.5555555556</v>
      </c>
      <c r="G579" s="22"/>
      <c r="H579" s="23">
        <v>13.9</v>
      </c>
      <c r="I579" s="23">
        <v>13.9</v>
      </c>
      <c r="J579" s="24">
        <v>13.9</v>
      </c>
      <c r="K579" s="21">
        <v>0</v>
      </c>
      <c r="L579" s="21">
        <v>0</v>
      </c>
      <c r="M579" s="21">
        <f>COUNTIF($A$2:$A$5481,A579)</f>
        <v>1</v>
      </c>
      <c r="N579" s="24">
        <f t="shared" si="9"/>
        <v>13.9000579</v>
      </c>
    </row>
    <row r="580" spans="1:14">
      <c r="A580" s="21" t="s">
        <v>1359</v>
      </c>
      <c r="B580" s="21" t="s">
        <v>920</v>
      </c>
      <c r="C580" s="21" t="s">
        <v>26</v>
      </c>
      <c r="D580" s="21" t="s">
        <v>921</v>
      </c>
      <c r="E580" s="21">
        <v>1</v>
      </c>
      <c r="F580" s="22">
        <v>46113.5366087963</v>
      </c>
      <c r="G580" s="22"/>
      <c r="H580" s="23">
        <v>17.9</v>
      </c>
      <c r="I580" s="23">
        <v>17.9</v>
      </c>
      <c r="J580" s="24">
        <v>17.9</v>
      </c>
      <c r="K580" s="21">
        <v>0</v>
      </c>
      <c r="L580" s="21">
        <v>0</v>
      </c>
      <c r="M580" s="21">
        <f>COUNTIF($A$2:$A$5481,A580)</f>
        <v>1</v>
      </c>
      <c r="N580" s="24">
        <f t="shared" si="9"/>
        <v>17.900058</v>
      </c>
    </row>
    <row r="581" spans="1:14">
      <c r="A581" s="21" t="s">
        <v>1360</v>
      </c>
      <c r="B581" s="21" t="s">
        <v>26</v>
      </c>
      <c r="C581" s="21" t="s">
        <v>26</v>
      </c>
      <c r="D581" s="21" t="s">
        <v>921</v>
      </c>
      <c r="E581" s="21">
        <v>2</v>
      </c>
      <c r="F581" s="22">
        <v>45565.3647106482</v>
      </c>
      <c r="G581" s="22"/>
      <c r="H581" s="23">
        <v>55</v>
      </c>
      <c r="I581" s="23">
        <v>55</v>
      </c>
      <c r="J581" s="24">
        <v>110</v>
      </c>
      <c r="K581" s="21">
        <v>0</v>
      </c>
      <c r="L581" s="21">
        <v>0</v>
      </c>
      <c r="M581" s="21">
        <f>COUNTIF($A$2:$A$5481,A581)</f>
        <v>2</v>
      </c>
      <c r="N581" s="24">
        <f t="shared" si="9"/>
        <v>110.0000581</v>
      </c>
    </row>
    <row r="582" spans="1:14">
      <c r="A582" s="21" t="s">
        <v>1360</v>
      </c>
      <c r="B582" s="21" t="s">
        <v>26</v>
      </c>
      <c r="C582" s="21" t="s">
        <v>35</v>
      </c>
      <c r="D582" s="21" t="s">
        <v>921</v>
      </c>
      <c r="E582" s="21">
        <v>1</v>
      </c>
      <c r="F582" s="22">
        <v>45709.4223032407</v>
      </c>
      <c r="G582" s="22"/>
      <c r="H582" s="23">
        <v>87</v>
      </c>
      <c r="I582" s="23">
        <v>87</v>
      </c>
      <c r="J582" s="24">
        <v>87</v>
      </c>
      <c r="K582" s="21">
        <v>0</v>
      </c>
      <c r="L582" s="21">
        <v>0</v>
      </c>
      <c r="M582" s="21">
        <f>COUNTIF($A$2:$A$5481,A582)</f>
        <v>2</v>
      </c>
      <c r="N582" s="24">
        <f t="shared" si="9"/>
        <v>87.0000582</v>
      </c>
    </row>
    <row r="583" spans="1:14">
      <c r="A583" s="21" t="s">
        <v>1361</v>
      </c>
      <c r="B583" s="21" t="s">
        <v>929</v>
      </c>
      <c r="C583" s="21" t="s">
        <v>414</v>
      </c>
      <c r="D583" s="21" t="s">
        <v>921</v>
      </c>
      <c r="E583" s="21">
        <v>0</v>
      </c>
      <c r="F583" s="22">
        <v>45274.4048958333</v>
      </c>
      <c r="G583" s="22">
        <v>45274.4437037037</v>
      </c>
      <c r="H583" s="23">
        <v>19.2</v>
      </c>
      <c r="I583" s="23">
        <v>4.8</v>
      </c>
      <c r="J583" s="24">
        <v>0</v>
      </c>
      <c r="K583" s="21">
        <v>0</v>
      </c>
      <c r="L583" s="21">
        <v>0</v>
      </c>
      <c r="M583" s="21">
        <f>COUNTIF($A$2:$A$5481,A583)</f>
        <v>2</v>
      </c>
      <c r="N583" s="24">
        <f t="shared" si="9"/>
        <v>5.83e-5</v>
      </c>
    </row>
    <row r="584" spans="1:14">
      <c r="A584" s="21" t="s">
        <v>1361</v>
      </c>
      <c r="B584" s="21" t="s">
        <v>929</v>
      </c>
      <c r="C584" s="21" t="s">
        <v>26</v>
      </c>
      <c r="D584" s="21" t="s">
        <v>921</v>
      </c>
      <c r="E584" s="21">
        <v>4</v>
      </c>
      <c r="F584" s="22">
        <v>45527.3571180556</v>
      </c>
      <c r="G584" s="22">
        <v>45889.407337963</v>
      </c>
      <c r="H584" s="23">
        <v>12.93</v>
      </c>
      <c r="I584" s="23">
        <v>5.05857</v>
      </c>
      <c r="J584" s="24">
        <v>20.24</v>
      </c>
      <c r="K584" s="21">
        <v>0</v>
      </c>
      <c r="L584" s="21">
        <v>0</v>
      </c>
      <c r="M584" s="21">
        <f>COUNTIF($A$2:$A$5481,A584)</f>
        <v>2</v>
      </c>
      <c r="N584" s="24">
        <f t="shared" si="9"/>
        <v>20.2400584</v>
      </c>
    </row>
    <row r="585" spans="1:14">
      <c r="A585" s="21" t="s">
        <v>1362</v>
      </c>
      <c r="B585" s="21" t="s">
        <v>26</v>
      </c>
      <c r="C585" s="21" t="s">
        <v>26</v>
      </c>
      <c r="D585" s="21" t="s">
        <v>921</v>
      </c>
      <c r="E585" s="21">
        <v>1</v>
      </c>
      <c r="F585" s="22">
        <v>45546.3828009259</v>
      </c>
      <c r="G585" s="22"/>
      <c r="H585" s="23">
        <v>41.33</v>
      </c>
      <c r="I585" s="23">
        <v>41.33</v>
      </c>
      <c r="J585" s="24">
        <v>41.33</v>
      </c>
      <c r="K585" s="21">
        <v>0</v>
      </c>
      <c r="L585" s="21">
        <v>0</v>
      </c>
      <c r="M585" s="21">
        <f>COUNTIF($A$2:$A$5481,A585)</f>
        <v>1</v>
      </c>
      <c r="N585" s="24">
        <f t="shared" si="9"/>
        <v>41.3300585</v>
      </c>
    </row>
    <row r="586" spans="1:14">
      <c r="A586" s="21" t="s">
        <v>1363</v>
      </c>
      <c r="B586" s="21" t="s">
        <v>26</v>
      </c>
      <c r="C586" s="21" t="s">
        <v>26</v>
      </c>
      <c r="D586" s="21" t="s">
        <v>921</v>
      </c>
      <c r="E586" s="21">
        <v>2</v>
      </c>
      <c r="F586" s="22">
        <v>46156.5487962963</v>
      </c>
      <c r="G586" s="22"/>
      <c r="H586" s="23">
        <v>25.31</v>
      </c>
      <c r="I586" s="23">
        <v>25.31</v>
      </c>
      <c r="J586" s="24">
        <v>50.62</v>
      </c>
      <c r="K586" s="21">
        <v>0</v>
      </c>
      <c r="L586" s="21">
        <v>0</v>
      </c>
      <c r="M586" s="21">
        <f>COUNTIF($A$2:$A$5481,A586)</f>
        <v>1</v>
      </c>
      <c r="N586" s="24">
        <f t="shared" si="9"/>
        <v>50.6200586</v>
      </c>
    </row>
    <row r="587" spans="1:14">
      <c r="A587" s="21" t="s">
        <v>1364</v>
      </c>
      <c r="B587" s="21" t="s">
        <v>26</v>
      </c>
      <c r="C587" s="21" t="s">
        <v>26</v>
      </c>
      <c r="D587" s="21" t="s">
        <v>921</v>
      </c>
      <c r="E587" s="21">
        <v>1</v>
      </c>
      <c r="F587" s="22">
        <v>45495.3945949074</v>
      </c>
      <c r="G587" s="22"/>
      <c r="H587" s="23">
        <v>25.31</v>
      </c>
      <c r="I587" s="23">
        <v>25.31</v>
      </c>
      <c r="J587" s="24">
        <v>25.31</v>
      </c>
      <c r="K587" s="21">
        <v>0</v>
      </c>
      <c r="L587" s="21">
        <v>0</v>
      </c>
      <c r="M587" s="21">
        <f>COUNTIF($A$2:$A$5481,A587)</f>
        <v>1</v>
      </c>
      <c r="N587" s="24">
        <f t="shared" si="9"/>
        <v>25.3100587</v>
      </c>
    </row>
    <row r="588" spans="1:14">
      <c r="A588" s="21" t="s">
        <v>1365</v>
      </c>
      <c r="B588" s="21" t="s">
        <v>920</v>
      </c>
      <c r="C588" s="21" t="s">
        <v>26</v>
      </c>
      <c r="D588" s="21" t="s">
        <v>921</v>
      </c>
      <c r="E588" s="21">
        <v>20</v>
      </c>
      <c r="F588" s="22">
        <v>45630.7091203704</v>
      </c>
      <c r="G588" s="22"/>
      <c r="H588" s="23">
        <v>448</v>
      </c>
      <c r="I588" s="23">
        <v>39.9</v>
      </c>
      <c r="J588" s="24">
        <v>798</v>
      </c>
      <c r="K588" s="21">
        <v>1</v>
      </c>
      <c r="L588" s="21">
        <v>30</v>
      </c>
      <c r="M588" s="21">
        <f>COUNTIF($A$2:$A$5481,A588)</f>
        <v>1</v>
      </c>
      <c r="N588" s="24">
        <f t="shared" si="9"/>
        <v>798.0000588</v>
      </c>
    </row>
    <row r="589" spans="1:14">
      <c r="A589" s="21" t="s">
        <v>1366</v>
      </c>
      <c r="B589" s="21" t="s">
        <v>920</v>
      </c>
      <c r="C589" s="21" t="s">
        <v>26</v>
      </c>
      <c r="D589" s="21" t="s">
        <v>921</v>
      </c>
      <c r="E589" s="21">
        <v>2</v>
      </c>
      <c r="F589" s="22">
        <v>46161.60625</v>
      </c>
      <c r="G589" s="22"/>
      <c r="H589" s="23">
        <v>17.9</v>
      </c>
      <c r="I589" s="23">
        <v>23.4</v>
      </c>
      <c r="J589" s="24">
        <v>46.8</v>
      </c>
      <c r="K589" s="21">
        <v>0</v>
      </c>
      <c r="L589" s="21">
        <v>0</v>
      </c>
      <c r="M589" s="21">
        <f>COUNTIF($A$2:$A$5481,A589)</f>
        <v>1</v>
      </c>
      <c r="N589" s="24">
        <f t="shared" si="9"/>
        <v>46.8000589</v>
      </c>
    </row>
    <row r="590" spans="1:14">
      <c r="A590" s="21" t="s">
        <v>1367</v>
      </c>
      <c r="B590" s="21" t="s">
        <v>920</v>
      </c>
      <c r="C590" s="21" t="s">
        <v>26</v>
      </c>
      <c r="D590" s="21" t="s">
        <v>921</v>
      </c>
      <c r="E590" s="21">
        <v>2</v>
      </c>
      <c r="F590" s="22">
        <v>46161.60625</v>
      </c>
      <c r="G590" s="22"/>
      <c r="H590" s="23">
        <v>28.9</v>
      </c>
      <c r="I590" s="23">
        <v>23.4</v>
      </c>
      <c r="J590" s="24">
        <v>46.8</v>
      </c>
      <c r="K590" s="21">
        <v>0</v>
      </c>
      <c r="L590" s="21">
        <v>0</v>
      </c>
      <c r="M590" s="21">
        <f>COUNTIF($A$2:$A$5481,A590)</f>
        <v>1</v>
      </c>
      <c r="N590" s="24">
        <f t="shared" si="9"/>
        <v>46.800059</v>
      </c>
    </row>
    <row r="591" spans="1:14">
      <c r="A591" s="21" t="s">
        <v>1368</v>
      </c>
      <c r="B591" s="21" t="s">
        <v>920</v>
      </c>
      <c r="C591" s="21" t="s">
        <v>35</v>
      </c>
      <c r="D591" s="21" t="s">
        <v>921</v>
      </c>
      <c r="E591" s="21">
        <v>2</v>
      </c>
      <c r="F591" s="22">
        <v>45301.7925462963</v>
      </c>
      <c r="G591" s="22">
        <v>45306.4422337963</v>
      </c>
      <c r="H591" s="23">
        <v>30.4</v>
      </c>
      <c r="I591" s="23">
        <v>7.6</v>
      </c>
      <c r="J591" s="24">
        <v>15.2</v>
      </c>
      <c r="K591" s="21">
        <v>2</v>
      </c>
      <c r="L591" s="21">
        <v>20</v>
      </c>
      <c r="M591" s="21">
        <f>COUNTIF($A$2:$A$5481,A591)</f>
        <v>2</v>
      </c>
      <c r="N591" s="24">
        <f t="shared" si="9"/>
        <v>15.2000591</v>
      </c>
    </row>
    <row r="592" spans="1:14">
      <c r="A592" s="21" t="s">
        <v>1368</v>
      </c>
      <c r="B592" s="21" t="s">
        <v>920</v>
      </c>
      <c r="C592" s="21" t="s">
        <v>26</v>
      </c>
      <c r="D592" s="21" t="s">
        <v>921</v>
      </c>
      <c r="E592" s="21">
        <v>6</v>
      </c>
      <c r="F592" s="22">
        <v>45980.4414583333</v>
      </c>
      <c r="G592" s="22"/>
      <c r="H592" s="23">
        <v>48</v>
      </c>
      <c r="I592" s="23">
        <v>8</v>
      </c>
      <c r="J592" s="24">
        <v>48</v>
      </c>
      <c r="K592" s="21">
        <v>2</v>
      </c>
      <c r="L592" s="21">
        <v>20</v>
      </c>
      <c r="M592" s="21">
        <f>COUNTIF($A$2:$A$5481,A592)</f>
        <v>2</v>
      </c>
      <c r="N592" s="24">
        <f t="shared" si="9"/>
        <v>48.0000592</v>
      </c>
    </row>
    <row r="593" spans="1:14">
      <c r="A593" s="21" t="s">
        <v>1369</v>
      </c>
      <c r="B593" s="21" t="s">
        <v>920</v>
      </c>
      <c r="C593" s="21" t="s">
        <v>35</v>
      </c>
      <c r="D593" s="21" t="s">
        <v>921</v>
      </c>
      <c r="E593" s="21">
        <v>4</v>
      </c>
      <c r="F593" s="22">
        <v>45301.781087963</v>
      </c>
      <c r="G593" s="22">
        <v>45306.4422222222</v>
      </c>
      <c r="H593" s="23">
        <v>60</v>
      </c>
      <c r="I593" s="23">
        <v>6</v>
      </c>
      <c r="J593" s="24">
        <v>24</v>
      </c>
      <c r="K593" s="21">
        <v>2</v>
      </c>
      <c r="L593" s="21">
        <v>20</v>
      </c>
      <c r="M593" s="21">
        <f>COUNTIF($A$2:$A$5481,A593)</f>
        <v>2</v>
      </c>
      <c r="N593" s="24">
        <f t="shared" si="9"/>
        <v>24.0000593</v>
      </c>
    </row>
    <row r="594" spans="1:14">
      <c r="A594" s="21" t="s">
        <v>1369</v>
      </c>
      <c r="B594" s="21" t="s">
        <v>920</v>
      </c>
      <c r="C594" s="21" t="s">
        <v>26</v>
      </c>
      <c r="D594" s="21" t="s">
        <v>921</v>
      </c>
      <c r="E594" s="21">
        <v>6</v>
      </c>
      <c r="F594" s="22">
        <v>45980.4414583333</v>
      </c>
      <c r="G594" s="22"/>
      <c r="H594" s="23">
        <v>48</v>
      </c>
      <c r="I594" s="23">
        <v>8</v>
      </c>
      <c r="J594" s="24">
        <v>48</v>
      </c>
      <c r="K594" s="21">
        <v>2</v>
      </c>
      <c r="L594" s="21">
        <v>20</v>
      </c>
      <c r="M594" s="21">
        <f>COUNTIF($A$2:$A$5481,A594)</f>
        <v>2</v>
      </c>
      <c r="N594" s="24">
        <f t="shared" si="9"/>
        <v>48.0000594</v>
      </c>
    </row>
    <row r="595" spans="1:14">
      <c r="A595" s="21" t="s">
        <v>1370</v>
      </c>
      <c r="B595" s="21" t="s">
        <v>929</v>
      </c>
      <c r="C595" s="21" t="s">
        <v>26</v>
      </c>
      <c r="D595" s="21" t="s">
        <v>921</v>
      </c>
      <c r="E595" s="21">
        <v>4</v>
      </c>
      <c r="F595" s="22">
        <v>46087.4743055556</v>
      </c>
      <c r="G595" s="22"/>
      <c r="H595" s="23">
        <v>190</v>
      </c>
      <c r="I595" s="23">
        <v>190</v>
      </c>
      <c r="J595" s="24">
        <v>760</v>
      </c>
      <c r="K595" s="21">
        <v>0</v>
      </c>
      <c r="L595" s="21">
        <v>0</v>
      </c>
      <c r="M595" s="21">
        <f>COUNTIF($A$2:$A$5481,A595)</f>
        <v>1</v>
      </c>
      <c r="N595" s="24">
        <f t="shared" si="9"/>
        <v>760.0000595</v>
      </c>
    </row>
    <row r="596" spans="1:14">
      <c r="A596" s="21" t="s">
        <v>1371</v>
      </c>
      <c r="B596" s="21" t="s">
        <v>929</v>
      </c>
      <c r="C596" s="21" t="s">
        <v>26</v>
      </c>
      <c r="D596" s="21" t="s">
        <v>921</v>
      </c>
      <c r="E596" s="21">
        <v>2</v>
      </c>
      <c r="F596" s="22">
        <v>45358</v>
      </c>
      <c r="G596" s="22"/>
      <c r="H596" s="23">
        <v>228</v>
      </c>
      <c r="I596" s="23">
        <v>114</v>
      </c>
      <c r="J596" s="24">
        <v>228</v>
      </c>
      <c r="K596" s="21">
        <v>0</v>
      </c>
      <c r="L596" s="21">
        <v>0</v>
      </c>
      <c r="M596" s="21">
        <f>COUNTIF($A$2:$A$5481,A596)</f>
        <v>1</v>
      </c>
      <c r="N596" s="24">
        <f t="shared" si="9"/>
        <v>228.0000596</v>
      </c>
    </row>
    <row r="597" spans="1:14">
      <c r="A597" s="21" t="s">
        <v>1372</v>
      </c>
      <c r="B597" s="21" t="s">
        <v>929</v>
      </c>
      <c r="C597" s="21" t="s">
        <v>26</v>
      </c>
      <c r="D597" s="21" t="s">
        <v>921</v>
      </c>
      <c r="E597" s="21">
        <v>3</v>
      </c>
      <c r="F597" s="22">
        <v>46087.4743055556</v>
      </c>
      <c r="G597" s="22"/>
      <c r="H597" s="23">
        <v>177</v>
      </c>
      <c r="I597" s="23">
        <v>177</v>
      </c>
      <c r="J597" s="24">
        <v>531</v>
      </c>
      <c r="K597" s="21">
        <v>0</v>
      </c>
      <c r="L597" s="21">
        <v>0</v>
      </c>
      <c r="M597" s="21">
        <f>COUNTIF($A$2:$A$5481,A597)</f>
        <v>1</v>
      </c>
      <c r="N597" s="24">
        <f t="shared" si="9"/>
        <v>531.0000597</v>
      </c>
    </row>
    <row r="598" spans="1:14">
      <c r="A598" s="21" t="s">
        <v>423</v>
      </c>
      <c r="B598" s="21" t="s">
        <v>26</v>
      </c>
      <c r="C598" s="21" t="s">
        <v>26</v>
      </c>
      <c r="D598" s="21" t="s">
        <v>921</v>
      </c>
      <c r="E598" s="21">
        <v>12</v>
      </c>
      <c r="F598" s="22">
        <v>46174.558275463</v>
      </c>
      <c r="G598" s="22">
        <v>46196.7034837963</v>
      </c>
      <c r="H598" s="23">
        <v>198.12</v>
      </c>
      <c r="I598" s="23">
        <v>33.2538461538</v>
      </c>
      <c r="J598" s="24">
        <v>399</v>
      </c>
      <c r="K598" s="21">
        <v>0</v>
      </c>
      <c r="L598" s="21">
        <v>0</v>
      </c>
      <c r="M598" s="21">
        <f>COUNTIF($A$2:$A$5481,A598)</f>
        <v>1</v>
      </c>
      <c r="N598" s="24">
        <f t="shared" si="9"/>
        <v>399.0000598</v>
      </c>
    </row>
    <row r="599" spans="1:14">
      <c r="A599" s="21" t="s">
        <v>329</v>
      </c>
      <c r="B599" s="21" t="s">
        <v>920</v>
      </c>
      <c r="C599" s="21" t="s">
        <v>26</v>
      </c>
      <c r="D599" s="21" t="s">
        <v>931</v>
      </c>
      <c r="E599" s="21">
        <v>1</v>
      </c>
      <c r="F599" s="22">
        <v>45994.682662037</v>
      </c>
      <c r="G599" s="22">
        <v>46111.5377777778</v>
      </c>
      <c r="H599" s="23">
        <v>598</v>
      </c>
      <c r="I599" s="23">
        <v>299</v>
      </c>
      <c r="J599" s="24">
        <v>299</v>
      </c>
      <c r="K599" s="21">
        <v>0</v>
      </c>
      <c r="L599" s="21">
        <v>0</v>
      </c>
      <c r="M599" s="21">
        <f>COUNTIF($A$2:$A$5481,A599)</f>
        <v>1</v>
      </c>
      <c r="N599" s="24">
        <f t="shared" si="9"/>
        <v>299.0000599</v>
      </c>
    </row>
    <row r="600" spans="1:14">
      <c r="A600" s="21" t="s">
        <v>1373</v>
      </c>
      <c r="B600" s="21" t="s">
        <v>929</v>
      </c>
      <c r="C600" s="21" t="s">
        <v>26</v>
      </c>
      <c r="D600" s="21" t="s">
        <v>921</v>
      </c>
      <c r="E600" s="21">
        <v>6</v>
      </c>
      <c r="F600" s="22">
        <v>45985.3802546296</v>
      </c>
      <c r="G600" s="22"/>
      <c r="H600" s="23">
        <v>159.52</v>
      </c>
      <c r="I600" s="23">
        <v>38.5033333333</v>
      </c>
      <c r="J600" s="24">
        <v>231</v>
      </c>
      <c r="K600" s="21">
        <v>0</v>
      </c>
      <c r="L600" s="21">
        <v>0</v>
      </c>
      <c r="M600" s="21">
        <f>COUNTIF($A$2:$A$5481,A600)</f>
        <v>1</v>
      </c>
      <c r="N600" s="24">
        <f t="shared" si="9"/>
        <v>231.00006</v>
      </c>
    </row>
    <row r="601" spans="1:14">
      <c r="A601" s="21" t="s">
        <v>1374</v>
      </c>
      <c r="B601" s="21" t="s">
        <v>929</v>
      </c>
      <c r="C601" s="21" t="s">
        <v>414</v>
      </c>
      <c r="D601" s="21" t="s">
        <v>921</v>
      </c>
      <c r="E601" s="21">
        <v>2</v>
      </c>
      <c r="F601" s="22">
        <v>45289.5589814815</v>
      </c>
      <c r="G601" s="22"/>
      <c r="H601" s="23">
        <v>72.96</v>
      </c>
      <c r="I601" s="23">
        <v>36.48</v>
      </c>
      <c r="J601" s="24">
        <v>72.96</v>
      </c>
      <c r="K601" s="21">
        <v>0</v>
      </c>
      <c r="L601" s="21">
        <v>10</v>
      </c>
      <c r="M601" s="21">
        <f>COUNTIF($A$2:$A$5481,A601)</f>
        <v>1</v>
      </c>
      <c r="N601" s="24">
        <f t="shared" si="9"/>
        <v>72.9600601</v>
      </c>
    </row>
    <row r="602" spans="1:14">
      <c r="A602" s="21" t="s">
        <v>1375</v>
      </c>
      <c r="B602" s="21" t="s">
        <v>929</v>
      </c>
      <c r="C602" s="21" t="s">
        <v>26</v>
      </c>
      <c r="D602" s="21" t="s">
        <v>921</v>
      </c>
      <c r="E602" s="21">
        <v>1</v>
      </c>
      <c r="F602" s="22">
        <v>45639.6581597222</v>
      </c>
      <c r="G602" s="22"/>
      <c r="H602" s="23">
        <v>23.41</v>
      </c>
      <c r="I602" s="23">
        <v>23.41</v>
      </c>
      <c r="J602" s="24">
        <v>23.41</v>
      </c>
      <c r="K602" s="21">
        <v>0</v>
      </c>
      <c r="L602" s="21">
        <v>0</v>
      </c>
      <c r="M602" s="21">
        <f>COUNTIF($A$2:$A$5481,A602)</f>
        <v>1</v>
      </c>
      <c r="N602" s="24">
        <f t="shared" si="9"/>
        <v>23.4100602</v>
      </c>
    </row>
    <row r="603" spans="1:14">
      <c r="A603" s="21" t="s">
        <v>1376</v>
      </c>
      <c r="B603" s="21" t="s">
        <v>929</v>
      </c>
      <c r="C603" s="21" t="s">
        <v>414</v>
      </c>
      <c r="D603" s="21" t="s">
        <v>921</v>
      </c>
      <c r="E603" s="21">
        <v>0</v>
      </c>
      <c r="F603" s="22">
        <v>45275.4531481482</v>
      </c>
      <c r="G603" s="22">
        <v>45278.3941550926</v>
      </c>
      <c r="H603" s="23">
        <v>22.48</v>
      </c>
      <c r="I603" s="23">
        <v>11.24</v>
      </c>
      <c r="J603" s="24">
        <v>0</v>
      </c>
      <c r="K603" s="21">
        <v>0</v>
      </c>
      <c r="L603" s="21">
        <v>0</v>
      </c>
      <c r="M603" s="21">
        <f>COUNTIF($A$2:$A$5481,A603)</f>
        <v>2</v>
      </c>
      <c r="N603" s="24">
        <f t="shared" si="9"/>
        <v>6.03e-5</v>
      </c>
    </row>
    <row r="604" spans="1:14">
      <c r="A604" s="21" t="s">
        <v>1376</v>
      </c>
      <c r="B604" s="21" t="s">
        <v>929</v>
      </c>
      <c r="C604" s="21" t="s">
        <v>26</v>
      </c>
      <c r="D604" s="21" t="s">
        <v>921</v>
      </c>
      <c r="E604" s="21">
        <v>4</v>
      </c>
      <c r="F604" s="22">
        <v>45639.6581597222</v>
      </c>
      <c r="G604" s="22"/>
      <c r="H604" s="23">
        <v>12.24</v>
      </c>
      <c r="I604" s="23">
        <v>11.49</v>
      </c>
      <c r="J604" s="24">
        <v>45.96</v>
      </c>
      <c r="K604" s="21">
        <v>0</v>
      </c>
      <c r="L604" s="21">
        <v>0</v>
      </c>
      <c r="M604" s="21">
        <f>COUNTIF($A$2:$A$5481,A604)</f>
        <v>2</v>
      </c>
      <c r="N604" s="24">
        <f t="shared" si="9"/>
        <v>45.9600604</v>
      </c>
    </row>
    <row r="605" spans="1:14">
      <c r="A605" s="21" t="s">
        <v>1377</v>
      </c>
      <c r="B605" s="21" t="s">
        <v>929</v>
      </c>
      <c r="C605" s="21" t="s">
        <v>414</v>
      </c>
      <c r="D605" s="21" t="s">
        <v>921</v>
      </c>
      <c r="E605" s="21">
        <v>2</v>
      </c>
      <c r="F605" s="22">
        <v>45349.8137037037</v>
      </c>
      <c r="G605" s="22"/>
      <c r="H605" s="23">
        <v>57.4</v>
      </c>
      <c r="I605" s="23">
        <v>28.7</v>
      </c>
      <c r="J605" s="24">
        <v>57.4</v>
      </c>
      <c r="K605" s="21">
        <v>0</v>
      </c>
      <c r="L605" s="21">
        <v>0</v>
      </c>
      <c r="M605" s="21">
        <f>COUNTIF($A$2:$A$5481,A605)</f>
        <v>2</v>
      </c>
      <c r="N605" s="24">
        <f t="shared" si="9"/>
        <v>57.4000605</v>
      </c>
    </row>
    <row r="606" spans="1:14">
      <c r="A606" s="21" t="s">
        <v>1377</v>
      </c>
      <c r="B606" s="21" t="s">
        <v>929</v>
      </c>
      <c r="C606" s="21" t="s">
        <v>26</v>
      </c>
      <c r="D606" s="21" t="s">
        <v>921</v>
      </c>
      <c r="E606" s="21">
        <v>12</v>
      </c>
      <c r="F606" s="22">
        <v>45554.3470486111</v>
      </c>
      <c r="G606" s="22"/>
      <c r="H606" s="23">
        <v>287</v>
      </c>
      <c r="I606" s="23">
        <v>28.7</v>
      </c>
      <c r="J606" s="24">
        <v>344.4</v>
      </c>
      <c r="K606" s="21">
        <v>0</v>
      </c>
      <c r="L606" s="21">
        <v>0</v>
      </c>
      <c r="M606" s="21">
        <f>COUNTIF($A$2:$A$5481,A606)</f>
        <v>2</v>
      </c>
      <c r="N606" s="24">
        <f t="shared" si="9"/>
        <v>344.4000606</v>
      </c>
    </row>
    <row r="607" spans="1:14">
      <c r="A607" s="21" t="s">
        <v>1378</v>
      </c>
      <c r="B607" s="21" t="s">
        <v>929</v>
      </c>
      <c r="C607" s="21" t="s">
        <v>26</v>
      </c>
      <c r="D607" s="21" t="s">
        <v>921</v>
      </c>
      <c r="E607" s="21">
        <v>2</v>
      </c>
      <c r="F607" s="22">
        <v>45352.4984027778</v>
      </c>
      <c r="G607" s="22"/>
      <c r="H607" s="23">
        <v>37.42</v>
      </c>
      <c r="I607" s="23">
        <v>18.71</v>
      </c>
      <c r="J607" s="24">
        <v>37.42</v>
      </c>
      <c r="K607" s="21">
        <v>0</v>
      </c>
      <c r="L607" s="21">
        <v>0</v>
      </c>
      <c r="M607" s="21">
        <f>COUNTIF($A$2:$A$5481,A607)</f>
        <v>1</v>
      </c>
      <c r="N607" s="24">
        <f t="shared" si="9"/>
        <v>37.4200607</v>
      </c>
    </row>
    <row r="608" spans="1:14">
      <c r="A608" s="21" t="s">
        <v>1379</v>
      </c>
      <c r="B608" s="21" t="s">
        <v>26</v>
      </c>
      <c r="C608" s="21" t="s">
        <v>26</v>
      </c>
      <c r="D608" s="21" t="s">
        <v>921</v>
      </c>
      <c r="E608" s="21">
        <v>2</v>
      </c>
      <c r="F608" s="22">
        <v>45554.3470486111</v>
      </c>
      <c r="G608" s="22"/>
      <c r="H608" s="23">
        <v>20.94</v>
      </c>
      <c r="I608" s="23">
        <v>10.47</v>
      </c>
      <c r="J608" s="24">
        <v>20.94</v>
      </c>
      <c r="K608" s="21">
        <v>0</v>
      </c>
      <c r="L608" s="21">
        <v>0</v>
      </c>
      <c r="M608" s="21">
        <f>COUNTIF($A$2:$A$5481,A608)</f>
        <v>1</v>
      </c>
      <c r="N608" s="24">
        <f t="shared" si="9"/>
        <v>20.9400608</v>
      </c>
    </row>
    <row r="609" spans="1:14">
      <c r="A609" s="21" t="s">
        <v>1380</v>
      </c>
      <c r="B609" s="21" t="s">
        <v>929</v>
      </c>
      <c r="C609" s="21" t="s">
        <v>26</v>
      </c>
      <c r="D609" s="21" t="s">
        <v>921</v>
      </c>
      <c r="E609" s="21">
        <v>2</v>
      </c>
      <c r="F609" s="22">
        <v>45965.3756018519</v>
      </c>
      <c r="G609" s="22"/>
      <c r="H609" s="23">
        <v>42</v>
      </c>
      <c r="I609" s="23">
        <v>21</v>
      </c>
      <c r="J609" s="24">
        <v>42</v>
      </c>
      <c r="K609" s="21">
        <v>0</v>
      </c>
      <c r="L609" s="21">
        <v>0</v>
      </c>
      <c r="M609" s="21">
        <f>COUNTIF($A$2:$A$5481,A609)</f>
        <v>1</v>
      </c>
      <c r="N609" s="24">
        <f t="shared" si="9"/>
        <v>42.0000609</v>
      </c>
    </row>
    <row r="610" spans="1:14">
      <c r="A610" s="21" t="s">
        <v>1381</v>
      </c>
      <c r="B610" s="21" t="s">
        <v>929</v>
      </c>
      <c r="C610" s="21" t="s">
        <v>26</v>
      </c>
      <c r="D610" s="21" t="s">
        <v>921</v>
      </c>
      <c r="E610" s="21">
        <v>2</v>
      </c>
      <c r="F610" s="22">
        <v>46147.3625</v>
      </c>
      <c r="G610" s="22"/>
      <c r="H610" s="23">
        <v>11.52</v>
      </c>
      <c r="I610" s="23">
        <v>5.76</v>
      </c>
      <c r="J610" s="24">
        <v>11.52</v>
      </c>
      <c r="K610" s="21">
        <v>0</v>
      </c>
      <c r="L610" s="21">
        <v>0</v>
      </c>
      <c r="M610" s="21">
        <f>COUNTIF($A$2:$A$5481,A610)</f>
        <v>1</v>
      </c>
      <c r="N610" s="24">
        <f t="shared" si="9"/>
        <v>11.520061</v>
      </c>
    </row>
    <row r="611" spans="1:14">
      <c r="A611" s="21" t="s">
        <v>1382</v>
      </c>
      <c r="B611" s="21" t="s">
        <v>26</v>
      </c>
      <c r="C611" s="21" t="s">
        <v>26</v>
      </c>
      <c r="D611" s="21" t="s">
        <v>921</v>
      </c>
      <c r="E611" s="21">
        <v>8</v>
      </c>
      <c r="F611" s="22">
        <v>45937.3617824074</v>
      </c>
      <c r="G611" s="22"/>
      <c r="H611" s="23">
        <v>2.24</v>
      </c>
      <c r="I611" s="23">
        <v>2</v>
      </c>
      <c r="J611" s="24">
        <v>16</v>
      </c>
      <c r="K611" s="21">
        <v>0</v>
      </c>
      <c r="L611" s="21">
        <v>0</v>
      </c>
      <c r="M611" s="21">
        <f>COUNTIF($A$2:$A$5481,A611)</f>
        <v>1</v>
      </c>
      <c r="N611" s="24">
        <f t="shared" si="9"/>
        <v>16.0000611</v>
      </c>
    </row>
    <row r="612" spans="1:14">
      <c r="A612" s="21" t="s">
        <v>1383</v>
      </c>
      <c r="B612" s="21" t="s">
        <v>929</v>
      </c>
      <c r="C612" s="21" t="s">
        <v>26</v>
      </c>
      <c r="D612" s="21" t="s">
        <v>921</v>
      </c>
      <c r="E612" s="21">
        <v>10</v>
      </c>
      <c r="F612" s="22">
        <v>46010.5472916667</v>
      </c>
      <c r="G612" s="22"/>
      <c r="H612" s="23">
        <v>42</v>
      </c>
      <c r="I612" s="23">
        <v>6.312</v>
      </c>
      <c r="J612" s="24">
        <v>63.1</v>
      </c>
      <c r="K612" s="21">
        <v>0</v>
      </c>
      <c r="L612" s="21">
        <v>0</v>
      </c>
      <c r="M612" s="21">
        <f>COUNTIF($A$2:$A$5481,A612)</f>
        <v>1</v>
      </c>
      <c r="N612" s="24">
        <f t="shared" si="9"/>
        <v>63.1000612</v>
      </c>
    </row>
    <row r="613" spans="1:14">
      <c r="A613" s="21" t="s">
        <v>1384</v>
      </c>
      <c r="B613" s="21" t="s">
        <v>929</v>
      </c>
      <c r="C613" s="21" t="s">
        <v>414</v>
      </c>
      <c r="D613" s="21" t="s">
        <v>921</v>
      </c>
      <c r="E613" s="21">
        <v>0</v>
      </c>
      <c r="F613" s="22">
        <v>45275.4531481482</v>
      </c>
      <c r="G613" s="22">
        <v>45278.3941666667</v>
      </c>
      <c r="H613" s="23">
        <v>4.36</v>
      </c>
      <c r="I613" s="23">
        <v>1.09</v>
      </c>
      <c r="J613" s="24">
        <v>0</v>
      </c>
      <c r="K613" s="21">
        <v>0</v>
      </c>
      <c r="L613" s="21">
        <v>0</v>
      </c>
      <c r="M613" s="21">
        <f>COUNTIF($A$2:$A$5481,A613)</f>
        <v>2</v>
      </c>
      <c r="N613" s="24">
        <f t="shared" si="9"/>
        <v>6.13e-5</v>
      </c>
    </row>
    <row r="614" spans="1:14">
      <c r="A614" s="21" t="s">
        <v>1384</v>
      </c>
      <c r="B614" s="21" t="s">
        <v>929</v>
      </c>
      <c r="C614" s="21" t="s">
        <v>26</v>
      </c>
      <c r="D614" s="21" t="s">
        <v>921</v>
      </c>
      <c r="E614" s="21">
        <v>14</v>
      </c>
      <c r="F614" s="22">
        <v>46065.6945949074</v>
      </c>
      <c r="G614" s="22"/>
      <c r="H614" s="23">
        <v>2.86</v>
      </c>
      <c r="I614" s="23">
        <v>3.4335714286</v>
      </c>
      <c r="J614" s="24">
        <v>48.02</v>
      </c>
      <c r="K614" s="21">
        <v>0</v>
      </c>
      <c r="L614" s="21">
        <v>0</v>
      </c>
      <c r="M614" s="21">
        <f>COUNTIF($A$2:$A$5481,A614)</f>
        <v>2</v>
      </c>
      <c r="N614" s="24">
        <f t="shared" si="9"/>
        <v>48.0200614</v>
      </c>
    </row>
    <row r="615" spans="1:14">
      <c r="A615" s="21" t="s">
        <v>1385</v>
      </c>
      <c r="B615" s="21" t="s">
        <v>929</v>
      </c>
      <c r="C615" s="21" t="s">
        <v>414</v>
      </c>
      <c r="D615" s="21" t="s">
        <v>921</v>
      </c>
      <c r="E615" s="21">
        <v>4</v>
      </c>
      <c r="F615" s="22">
        <v>45349.8120949074</v>
      </c>
      <c r="G615" s="22"/>
      <c r="H615" s="23">
        <v>30.6</v>
      </c>
      <c r="I615" s="23">
        <v>7.65</v>
      </c>
      <c r="J615" s="24">
        <v>30.6</v>
      </c>
      <c r="K615" s="21">
        <v>0</v>
      </c>
      <c r="L615" s="21">
        <v>0</v>
      </c>
      <c r="M615" s="21">
        <f>COUNTIF($A$2:$A$5481,A615)</f>
        <v>1</v>
      </c>
      <c r="N615" s="24">
        <f t="shared" si="9"/>
        <v>30.6000615</v>
      </c>
    </row>
    <row r="616" spans="1:14">
      <c r="A616" s="21" t="s">
        <v>1386</v>
      </c>
      <c r="B616" s="21" t="s">
        <v>929</v>
      </c>
      <c r="C616" s="21" t="s">
        <v>26</v>
      </c>
      <c r="D616" s="21" t="s">
        <v>921</v>
      </c>
      <c r="E616" s="21">
        <v>2</v>
      </c>
      <c r="F616" s="22">
        <v>45937.3617824074</v>
      </c>
      <c r="G616" s="22"/>
      <c r="H616" s="23">
        <v>7.22</v>
      </c>
      <c r="I616" s="23">
        <v>3.61</v>
      </c>
      <c r="J616" s="24">
        <v>7.22</v>
      </c>
      <c r="K616" s="21">
        <v>0</v>
      </c>
      <c r="L616" s="21">
        <v>0</v>
      </c>
      <c r="M616" s="21">
        <f>COUNTIF($A$2:$A$5481,A616)</f>
        <v>1</v>
      </c>
      <c r="N616" s="24">
        <f t="shared" si="9"/>
        <v>7.2200616</v>
      </c>
    </row>
    <row r="617" spans="1:14">
      <c r="A617" s="21" t="s">
        <v>1387</v>
      </c>
      <c r="B617" s="21" t="s">
        <v>26</v>
      </c>
      <c r="C617" s="21" t="s">
        <v>26</v>
      </c>
      <c r="D617" s="21" t="s">
        <v>921</v>
      </c>
      <c r="E617" s="21">
        <v>2</v>
      </c>
      <c r="F617" s="22">
        <v>45554.3470486111</v>
      </c>
      <c r="G617" s="22"/>
      <c r="H617" s="23">
        <v>15.8</v>
      </c>
      <c r="I617" s="23">
        <v>7.9</v>
      </c>
      <c r="J617" s="24">
        <v>15.8</v>
      </c>
      <c r="K617" s="21">
        <v>0</v>
      </c>
      <c r="L617" s="21">
        <v>0</v>
      </c>
      <c r="M617" s="21">
        <f>COUNTIF($A$2:$A$5481,A617)</f>
        <v>1</v>
      </c>
      <c r="N617" s="24">
        <f t="shared" si="9"/>
        <v>15.8000617</v>
      </c>
    </row>
    <row r="618" spans="1:14">
      <c r="A618" s="21" t="s">
        <v>1388</v>
      </c>
      <c r="B618" s="21" t="s">
        <v>929</v>
      </c>
      <c r="C618" s="21" t="s">
        <v>26</v>
      </c>
      <c r="D618" s="21" t="s">
        <v>921</v>
      </c>
      <c r="E618" s="21">
        <v>4</v>
      </c>
      <c r="F618" s="22">
        <v>45352.6444444444</v>
      </c>
      <c r="G618" s="22"/>
      <c r="H618" s="23">
        <v>30.6</v>
      </c>
      <c r="I618" s="23">
        <v>7.65</v>
      </c>
      <c r="J618" s="24">
        <v>30.6</v>
      </c>
      <c r="K618" s="21">
        <v>0</v>
      </c>
      <c r="L618" s="21">
        <v>0</v>
      </c>
      <c r="M618" s="21">
        <f>COUNTIF($A$2:$A$5481,A618)</f>
        <v>1</v>
      </c>
      <c r="N618" s="24">
        <f t="shared" si="9"/>
        <v>30.6000618</v>
      </c>
    </row>
    <row r="619" spans="1:14">
      <c r="A619" s="21" t="s">
        <v>1389</v>
      </c>
      <c r="B619" s="21" t="s">
        <v>26</v>
      </c>
      <c r="C619" s="21" t="s">
        <v>26</v>
      </c>
      <c r="D619" s="21" t="s">
        <v>921</v>
      </c>
      <c r="E619" s="21">
        <v>3</v>
      </c>
      <c r="F619" s="22">
        <v>45777.3692592593</v>
      </c>
      <c r="G619" s="22"/>
      <c r="H619" s="23">
        <v>3.53</v>
      </c>
      <c r="I619" s="23">
        <v>18.35</v>
      </c>
      <c r="J619" s="24">
        <v>55.05</v>
      </c>
      <c r="K619" s="21">
        <v>0</v>
      </c>
      <c r="L619" s="21">
        <v>0</v>
      </c>
      <c r="M619" s="21">
        <f>COUNTIF($A$2:$A$5481,A619)</f>
        <v>1</v>
      </c>
      <c r="N619" s="24">
        <f t="shared" si="9"/>
        <v>55.0500619</v>
      </c>
    </row>
    <row r="620" spans="1:14">
      <c r="A620" s="21" t="s">
        <v>1390</v>
      </c>
      <c r="B620" s="21" t="s">
        <v>929</v>
      </c>
      <c r="C620" s="21" t="s">
        <v>26</v>
      </c>
      <c r="D620" s="21" t="s">
        <v>921</v>
      </c>
      <c r="E620" s="21">
        <v>23</v>
      </c>
      <c r="F620" s="22">
        <v>46031.3832407407</v>
      </c>
      <c r="G620" s="22"/>
      <c r="H620" s="23">
        <v>5.2</v>
      </c>
      <c r="I620" s="23">
        <v>1.9265217391</v>
      </c>
      <c r="J620" s="24">
        <v>44.39</v>
      </c>
      <c r="K620" s="21">
        <v>0</v>
      </c>
      <c r="L620" s="21">
        <v>0</v>
      </c>
      <c r="M620" s="21">
        <f>COUNTIF($A$2:$A$5481,A620)</f>
        <v>1</v>
      </c>
      <c r="N620" s="24">
        <f t="shared" si="9"/>
        <v>44.390062</v>
      </c>
    </row>
    <row r="621" spans="1:14">
      <c r="A621" s="21" t="s">
        <v>1391</v>
      </c>
      <c r="B621" s="21" t="s">
        <v>929</v>
      </c>
      <c r="C621" s="21" t="s">
        <v>26</v>
      </c>
      <c r="D621" s="21" t="s">
        <v>921</v>
      </c>
      <c r="E621" s="21">
        <v>1</v>
      </c>
      <c r="F621" s="22">
        <v>45327.4092476852</v>
      </c>
      <c r="G621" s="22"/>
      <c r="H621" s="23">
        <v>0.81</v>
      </c>
      <c r="I621" s="23">
        <v>0.81</v>
      </c>
      <c r="J621" s="24">
        <v>0.81</v>
      </c>
      <c r="K621" s="21">
        <v>0</v>
      </c>
      <c r="L621" s="21">
        <v>0</v>
      </c>
      <c r="M621" s="21">
        <f>COUNTIF($A$2:$A$5481,A621)</f>
        <v>1</v>
      </c>
      <c r="N621" s="24">
        <f t="shared" si="9"/>
        <v>0.8100621</v>
      </c>
    </row>
    <row r="622" spans="1:14">
      <c r="A622" s="21" t="s">
        <v>1392</v>
      </c>
      <c r="B622" s="21" t="s">
        <v>26</v>
      </c>
      <c r="C622" s="21" t="s">
        <v>26</v>
      </c>
      <c r="D622" s="21" t="s">
        <v>921</v>
      </c>
      <c r="E622" s="21">
        <v>4</v>
      </c>
      <c r="F622" s="22">
        <v>46196.623587963</v>
      </c>
      <c r="G622" s="22"/>
      <c r="H622" s="23">
        <v>6.9</v>
      </c>
      <c r="I622" s="23">
        <v>5.125</v>
      </c>
      <c r="J622" s="24">
        <v>20.52</v>
      </c>
      <c r="K622" s="21">
        <v>0</v>
      </c>
      <c r="L622" s="21">
        <v>0</v>
      </c>
      <c r="M622" s="21">
        <f>COUNTIF($A$2:$A$5481,A622)</f>
        <v>1</v>
      </c>
      <c r="N622" s="24">
        <f t="shared" si="9"/>
        <v>20.5200622</v>
      </c>
    </row>
    <row r="623" spans="1:14">
      <c r="A623" s="21" t="s">
        <v>1393</v>
      </c>
      <c r="B623" s="21" t="s">
        <v>1394</v>
      </c>
      <c r="C623" s="21" t="s">
        <v>182</v>
      </c>
      <c r="D623" s="21" t="s">
        <v>921</v>
      </c>
      <c r="E623" s="21">
        <v>1</v>
      </c>
      <c r="F623" s="22">
        <v>45384.5784722222</v>
      </c>
      <c r="G623" s="22"/>
      <c r="H623" s="23">
        <v>350</v>
      </c>
      <c r="I623" s="23">
        <v>350</v>
      </c>
      <c r="J623" s="24">
        <v>350</v>
      </c>
      <c r="K623" s="21">
        <v>0</v>
      </c>
      <c r="L623" s="21">
        <v>0</v>
      </c>
      <c r="M623" s="21">
        <f>COUNTIF($A$2:$A$5481,A623)</f>
        <v>1</v>
      </c>
      <c r="N623" s="24">
        <f t="shared" si="9"/>
        <v>350.0000623</v>
      </c>
    </row>
    <row r="624" spans="1:14">
      <c r="A624" s="21" t="s">
        <v>1395</v>
      </c>
      <c r="B624" s="21" t="s">
        <v>929</v>
      </c>
      <c r="C624" s="21" t="s">
        <v>26</v>
      </c>
      <c r="D624" s="21" t="s">
        <v>1396</v>
      </c>
      <c r="E624" s="21">
        <v>0.2</v>
      </c>
      <c r="F624" s="22">
        <v>45345.5030208333</v>
      </c>
      <c r="G624" s="22"/>
      <c r="H624" s="23">
        <v>38</v>
      </c>
      <c r="I624" s="23">
        <v>190</v>
      </c>
      <c r="J624" s="24">
        <v>38</v>
      </c>
      <c r="K624" s="21">
        <v>0</v>
      </c>
      <c r="L624" s="21">
        <v>0</v>
      </c>
      <c r="M624" s="21">
        <f>COUNTIF($A$2:$A$5481,A624)</f>
        <v>1</v>
      </c>
      <c r="N624" s="24">
        <f t="shared" si="9"/>
        <v>38.0000624</v>
      </c>
    </row>
    <row r="625" spans="1:14">
      <c r="A625" s="21" t="s">
        <v>1397</v>
      </c>
      <c r="B625" s="21" t="s">
        <v>920</v>
      </c>
      <c r="C625" s="21" t="s">
        <v>26</v>
      </c>
      <c r="D625" s="21" t="s">
        <v>921</v>
      </c>
      <c r="E625" s="21">
        <v>20</v>
      </c>
      <c r="F625" s="22">
        <v>45995.5278009259</v>
      </c>
      <c r="G625" s="22"/>
      <c r="H625" s="23">
        <v>150</v>
      </c>
      <c r="I625" s="23">
        <v>17.5</v>
      </c>
      <c r="J625" s="24">
        <v>350</v>
      </c>
      <c r="K625" s="21">
        <v>0</v>
      </c>
      <c r="L625" s="21">
        <v>0</v>
      </c>
      <c r="M625" s="21">
        <f>COUNTIF($A$2:$A$5481,A625)</f>
        <v>1</v>
      </c>
      <c r="N625" s="24">
        <f t="shared" si="9"/>
        <v>350.0000625</v>
      </c>
    </row>
    <row r="626" spans="1:14">
      <c r="A626" s="21" t="s">
        <v>1398</v>
      </c>
      <c r="B626" s="21" t="s">
        <v>929</v>
      </c>
      <c r="C626" s="21" t="s">
        <v>414</v>
      </c>
      <c r="D626" s="21" t="s">
        <v>921</v>
      </c>
      <c r="E626" s="21">
        <v>0</v>
      </c>
      <c r="F626" s="22">
        <v>45275.4531481482</v>
      </c>
      <c r="G626" s="22">
        <v>45278.3941435185</v>
      </c>
      <c r="H626" s="23">
        <v>23.16</v>
      </c>
      <c r="I626" s="23">
        <v>3.86</v>
      </c>
      <c r="J626" s="24">
        <v>0</v>
      </c>
      <c r="K626" s="21">
        <v>0</v>
      </c>
      <c r="L626" s="21">
        <v>0</v>
      </c>
      <c r="M626" s="21">
        <f>COUNTIF($A$2:$A$5481,A626)</f>
        <v>2</v>
      </c>
      <c r="N626" s="24">
        <f t="shared" si="9"/>
        <v>6.26e-5</v>
      </c>
    </row>
    <row r="627" spans="1:14">
      <c r="A627" s="21" t="s">
        <v>1398</v>
      </c>
      <c r="B627" s="21" t="s">
        <v>929</v>
      </c>
      <c r="C627" s="21" t="s">
        <v>26</v>
      </c>
      <c r="D627" s="21" t="s">
        <v>921</v>
      </c>
      <c r="E627" s="21">
        <v>1</v>
      </c>
      <c r="F627" s="22">
        <v>46031.3832407407</v>
      </c>
      <c r="G627" s="22"/>
      <c r="H627" s="23">
        <v>4.31</v>
      </c>
      <c r="I627" s="23">
        <v>4.31</v>
      </c>
      <c r="J627" s="24">
        <v>4.31</v>
      </c>
      <c r="K627" s="21">
        <v>0</v>
      </c>
      <c r="L627" s="21">
        <v>0</v>
      </c>
      <c r="M627" s="21">
        <f>COUNTIF($A$2:$A$5481,A627)</f>
        <v>2</v>
      </c>
      <c r="N627" s="24">
        <f t="shared" si="9"/>
        <v>4.3100627</v>
      </c>
    </row>
    <row r="628" spans="1:14">
      <c r="A628" s="21" t="s">
        <v>1399</v>
      </c>
      <c r="B628" s="21" t="s">
        <v>929</v>
      </c>
      <c r="C628" s="21" t="s">
        <v>26</v>
      </c>
      <c r="D628" s="21" t="s">
        <v>921</v>
      </c>
      <c r="E628" s="21">
        <v>3</v>
      </c>
      <c r="F628" s="22">
        <v>45327.406099537</v>
      </c>
      <c r="G628" s="22"/>
      <c r="H628" s="23">
        <v>8.88</v>
      </c>
      <c r="I628" s="23">
        <v>2.96</v>
      </c>
      <c r="J628" s="24">
        <v>8.88</v>
      </c>
      <c r="K628" s="21">
        <v>0</v>
      </c>
      <c r="L628" s="21">
        <v>0</v>
      </c>
      <c r="M628" s="21">
        <f>COUNTIF($A$2:$A$5481,A628)</f>
        <v>1</v>
      </c>
      <c r="N628" s="24">
        <f t="shared" si="9"/>
        <v>8.8800628</v>
      </c>
    </row>
    <row r="629" spans="1:14">
      <c r="A629" s="21" t="s">
        <v>1400</v>
      </c>
      <c r="B629" s="21" t="s">
        <v>929</v>
      </c>
      <c r="C629" s="21" t="s">
        <v>26</v>
      </c>
      <c r="D629" s="21" t="s">
        <v>921</v>
      </c>
      <c r="E629" s="21">
        <v>4</v>
      </c>
      <c r="F629" s="22">
        <v>46175.5487152778</v>
      </c>
      <c r="G629" s="22"/>
      <c r="H629" s="23">
        <v>4.4</v>
      </c>
      <c r="I629" s="23">
        <v>2.22</v>
      </c>
      <c r="J629" s="24">
        <v>8.88</v>
      </c>
      <c r="K629" s="21">
        <v>0</v>
      </c>
      <c r="L629" s="21">
        <v>0</v>
      </c>
      <c r="M629" s="21">
        <f>COUNTIF($A$2:$A$5481,A629)</f>
        <v>1</v>
      </c>
      <c r="N629" s="24">
        <f t="shared" si="9"/>
        <v>8.8800629</v>
      </c>
    </row>
    <row r="630" spans="1:14">
      <c r="A630" s="21" t="s">
        <v>1401</v>
      </c>
      <c r="B630" s="21" t="s">
        <v>920</v>
      </c>
      <c r="C630" s="21" t="s">
        <v>26</v>
      </c>
      <c r="D630" s="21" t="s">
        <v>921</v>
      </c>
      <c r="E630" s="21">
        <v>8</v>
      </c>
      <c r="F630" s="22">
        <v>46206.694525463</v>
      </c>
      <c r="G630" s="22"/>
      <c r="H630" s="23">
        <v>120</v>
      </c>
      <c r="I630" s="23">
        <v>15</v>
      </c>
      <c r="J630" s="24">
        <v>120</v>
      </c>
      <c r="K630" s="21">
        <v>0</v>
      </c>
      <c r="L630" s="21">
        <v>0</v>
      </c>
      <c r="M630" s="21">
        <f>COUNTIF($A$2:$A$5481,A630)</f>
        <v>1</v>
      </c>
      <c r="N630" s="24">
        <f t="shared" si="9"/>
        <v>120.000063</v>
      </c>
    </row>
    <row r="631" spans="1:14">
      <c r="A631" s="21" t="s">
        <v>1402</v>
      </c>
      <c r="B631" s="21" t="s">
        <v>929</v>
      </c>
      <c r="C631" s="21" t="s">
        <v>26</v>
      </c>
      <c r="D631" s="21" t="s">
        <v>921</v>
      </c>
      <c r="E631" s="21">
        <v>8</v>
      </c>
      <c r="F631" s="22">
        <v>46175.5487152778</v>
      </c>
      <c r="G631" s="22"/>
      <c r="H631" s="23">
        <v>4.05</v>
      </c>
      <c r="I631" s="23">
        <v>3.29</v>
      </c>
      <c r="J631" s="24">
        <v>26.32</v>
      </c>
      <c r="K631" s="21">
        <v>0</v>
      </c>
      <c r="L631" s="21">
        <v>0</v>
      </c>
      <c r="M631" s="21">
        <f>COUNTIF($A$2:$A$5481,A631)</f>
        <v>1</v>
      </c>
      <c r="N631" s="24">
        <f t="shared" si="9"/>
        <v>26.3200631</v>
      </c>
    </row>
    <row r="632" spans="1:14">
      <c r="A632" s="21" t="s">
        <v>1403</v>
      </c>
      <c r="B632" s="21" t="s">
        <v>929</v>
      </c>
      <c r="C632" s="21" t="s">
        <v>26</v>
      </c>
      <c r="D632" s="21" t="s">
        <v>931</v>
      </c>
      <c r="E632" s="21">
        <v>1</v>
      </c>
      <c r="F632" s="22">
        <v>45777.3692592593</v>
      </c>
      <c r="G632" s="22"/>
      <c r="H632" s="23">
        <v>35.18</v>
      </c>
      <c r="I632" s="23">
        <v>35.18</v>
      </c>
      <c r="J632" s="24">
        <v>35.18</v>
      </c>
      <c r="K632" s="21">
        <v>0</v>
      </c>
      <c r="L632" s="21">
        <v>0</v>
      </c>
      <c r="M632" s="21">
        <f>COUNTIF($A$2:$A$5481,A632)</f>
        <v>1</v>
      </c>
      <c r="N632" s="24">
        <f t="shared" si="9"/>
        <v>35.1800632</v>
      </c>
    </row>
    <row r="633" spans="1:14">
      <c r="A633" s="21" t="s">
        <v>1404</v>
      </c>
      <c r="B633" s="21" t="s">
        <v>929</v>
      </c>
      <c r="C633" s="21" t="s">
        <v>26</v>
      </c>
      <c r="D633" s="21" t="s">
        <v>921</v>
      </c>
      <c r="E633" s="21">
        <v>2</v>
      </c>
      <c r="F633" s="22">
        <v>45925.5633680556</v>
      </c>
      <c r="G633" s="22"/>
      <c r="H633" s="23">
        <v>46.4</v>
      </c>
      <c r="I633" s="23">
        <v>23.2</v>
      </c>
      <c r="J633" s="24">
        <v>46.4</v>
      </c>
      <c r="K633" s="21">
        <v>0</v>
      </c>
      <c r="L633" s="21">
        <v>0</v>
      </c>
      <c r="M633" s="21">
        <f>COUNTIF($A$2:$A$5481,A633)</f>
        <v>1</v>
      </c>
      <c r="N633" s="24">
        <f t="shared" si="9"/>
        <v>46.4000633</v>
      </c>
    </row>
    <row r="634" spans="1:14">
      <c r="A634" s="21" t="s">
        <v>1405</v>
      </c>
      <c r="B634" s="21" t="s">
        <v>929</v>
      </c>
      <c r="C634" s="21" t="s">
        <v>414</v>
      </c>
      <c r="D634" s="21" t="s">
        <v>921</v>
      </c>
      <c r="E634" s="21">
        <v>2</v>
      </c>
      <c r="F634" s="22">
        <v>45289.5628125</v>
      </c>
      <c r="G634" s="22"/>
      <c r="H634" s="23">
        <v>10.2</v>
      </c>
      <c r="I634" s="23">
        <v>5.1</v>
      </c>
      <c r="J634" s="24">
        <v>10.2</v>
      </c>
      <c r="K634" s="21">
        <v>0</v>
      </c>
      <c r="L634" s="21">
        <v>0</v>
      </c>
      <c r="M634" s="21">
        <f>COUNTIF($A$2:$A$5481,A634)</f>
        <v>1</v>
      </c>
      <c r="N634" s="24">
        <f t="shared" si="9"/>
        <v>10.2000634</v>
      </c>
    </row>
    <row r="635" spans="1:14">
      <c r="A635" s="21" t="s">
        <v>1406</v>
      </c>
      <c r="B635" s="21" t="s">
        <v>929</v>
      </c>
      <c r="C635" s="21" t="s">
        <v>26</v>
      </c>
      <c r="D635" s="21" t="s">
        <v>921</v>
      </c>
      <c r="E635" s="21">
        <v>5</v>
      </c>
      <c r="F635" s="22">
        <v>46175.5487152778</v>
      </c>
      <c r="G635" s="22"/>
      <c r="H635" s="23">
        <v>1.6</v>
      </c>
      <c r="I635" s="23">
        <v>1.248</v>
      </c>
      <c r="J635" s="24">
        <v>6.25</v>
      </c>
      <c r="K635" s="21">
        <v>0</v>
      </c>
      <c r="L635" s="21">
        <v>0</v>
      </c>
      <c r="M635" s="21">
        <f>COUNTIF($A$2:$A$5481,A635)</f>
        <v>1</v>
      </c>
      <c r="N635" s="24">
        <f t="shared" si="9"/>
        <v>6.2500635</v>
      </c>
    </row>
    <row r="636" spans="1:14">
      <c r="A636" s="21" t="s">
        <v>1407</v>
      </c>
      <c r="B636" s="21" t="s">
        <v>26</v>
      </c>
      <c r="C636" s="21" t="s">
        <v>26</v>
      </c>
      <c r="D636" s="21" t="s">
        <v>921</v>
      </c>
      <c r="E636" s="21">
        <v>1</v>
      </c>
      <c r="F636" s="22">
        <v>45589.3651851852</v>
      </c>
      <c r="G636" s="22"/>
      <c r="H636" s="23">
        <v>5.81</v>
      </c>
      <c r="I636" s="23">
        <v>5.81</v>
      </c>
      <c r="J636" s="24">
        <v>5.81</v>
      </c>
      <c r="K636" s="21">
        <v>0</v>
      </c>
      <c r="L636" s="21">
        <v>0</v>
      </c>
      <c r="M636" s="21">
        <f>COUNTIF($A$2:$A$5481,A636)</f>
        <v>1</v>
      </c>
      <c r="N636" s="24">
        <f t="shared" si="9"/>
        <v>5.8100636</v>
      </c>
    </row>
    <row r="637" spans="1:14">
      <c r="A637" s="21" t="s">
        <v>1408</v>
      </c>
      <c r="B637" s="21" t="s">
        <v>929</v>
      </c>
      <c r="C637" s="21" t="s">
        <v>547</v>
      </c>
      <c r="D637" s="21" t="s">
        <v>921</v>
      </c>
      <c r="E637" s="21">
        <v>1</v>
      </c>
      <c r="F637" s="22">
        <v>45327.5770138889</v>
      </c>
      <c r="G637" s="22"/>
      <c r="H637" s="23">
        <v>97.3</v>
      </c>
      <c r="I637" s="23">
        <v>97.3</v>
      </c>
      <c r="J637" s="24">
        <v>97.3</v>
      </c>
      <c r="K637" s="21">
        <v>0</v>
      </c>
      <c r="L637" s="21">
        <v>0</v>
      </c>
      <c r="M637" s="21">
        <f>COUNTIF($A$2:$A$5481,A637)</f>
        <v>2</v>
      </c>
      <c r="N637" s="24">
        <f t="shared" si="9"/>
        <v>97.3000637</v>
      </c>
    </row>
    <row r="638" spans="1:14">
      <c r="A638" s="21" t="s">
        <v>1408</v>
      </c>
      <c r="B638" s="21" t="s">
        <v>929</v>
      </c>
      <c r="C638" s="21" t="s">
        <v>26</v>
      </c>
      <c r="D638" s="21" t="s">
        <v>921</v>
      </c>
      <c r="E638" s="21">
        <v>1</v>
      </c>
      <c r="F638" s="22">
        <v>45420.4579976852</v>
      </c>
      <c r="G638" s="22"/>
      <c r="H638" s="23">
        <v>84.83</v>
      </c>
      <c r="I638" s="23">
        <v>84.83</v>
      </c>
      <c r="J638" s="24">
        <v>84.83</v>
      </c>
      <c r="K638" s="21">
        <v>0</v>
      </c>
      <c r="L638" s="21">
        <v>0</v>
      </c>
      <c r="M638" s="21">
        <f>COUNTIF($A$2:$A$5481,A638)</f>
        <v>2</v>
      </c>
      <c r="N638" s="24">
        <f t="shared" si="9"/>
        <v>84.8300638</v>
      </c>
    </row>
    <row r="639" spans="1:14">
      <c r="A639" s="21" t="s">
        <v>1409</v>
      </c>
      <c r="B639" s="21" t="s">
        <v>26</v>
      </c>
      <c r="C639" s="21" t="s">
        <v>26</v>
      </c>
      <c r="D639" s="21" t="s">
        <v>921</v>
      </c>
      <c r="E639" s="21">
        <v>4</v>
      </c>
      <c r="F639" s="22">
        <v>46148.3930555556</v>
      </c>
      <c r="G639" s="22"/>
      <c r="H639" s="23">
        <v>17.09</v>
      </c>
      <c r="I639" s="23">
        <v>15.48</v>
      </c>
      <c r="J639" s="24">
        <v>61.92</v>
      </c>
      <c r="K639" s="21">
        <v>0</v>
      </c>
      <c r="L639" s="21">
        <v>0</v>
      </c>
      <c r="M639" s="21">
        <f>COUNTIF($A$2:$A$5481,A639)</f>
        <v>1</v>
      </c>
      <c r="N639" s="24">
        <f t="shared" si="9"/>
        <v>61.9200639</v>
      </c>
    </row>
    <row r="640" spans="1:14">
      <c r="A640" s="21" t="s">
        <v>1410</v>
      </c>
      <c r="B640" s="21" t="s">
        <v>929</v>
      </c>
      <c r="C640" s="21" t="s">
        <v>26</v>
      </c>
      <c r="D640" s="21" t="s">
        <v>921</v>
      </c>
      <c r="E640" s="21">
        <v>0</v>
      </c>
      <c r="F640" s="22">
        <v>45918.6963657407</v>
      </c>
      <c r="G640" s="22">
        <v>45922.4407291667</v>
      </c>
      <c r="H640" s="23">
        <v>158.46</v>
      </c>
      <c r="I640" s="23">
        <v>52.82</v>
      </c>
      <c r="J640" s="24">
        <v>0</v>
      </c>
      <c r="K640" s="21">
        <v>0</v>
      </c>
      <c r="L640" s="21">
        <v>0</v>
      </c>
      <c r="M640" s="21">
        <f>COUNTIF($A$2:$A$5481,A640)</f>
        <v>1</v>
      </c>
      <c r="N640" s="24">
        <f t="shared" si="9"/>
        <v>6.4e-5</v>
      </c>
    </row>
    <row r="641" spans="1:14">
      <c r="A641" s="21" t="s">
        <v>1411</v>
      </c>
      <c r="B641" s="21" t="s">
        <v>1175</v>
      </c>
      <c r="C641" s="21" t="s">
        <v>182</v>
      </c>
      <c r="D641" s="21" t="s">
        <v>921</v>
      </c>
      <c r="E641" s="21">
        <v>3</v>
      </c>
      <c r="F641" s="22">
        <v>45325</v>
      </c>
      <c r="G641" s="22"/>
      <c r="H641" s="23">
        <v>1647</v>
      </c>
      <c r="I641" s="23">
        <v>549</v>
      </c>
      <c r="J641" s="24">
        <v>1647</v>
      </c>
      <c r="K641" s="21">
        <v>0</v>
      </c>
      <c r="L641" s="21">
        <v>0</v>
      </c>
      <c r="M641" s="21">
        <f>COUNTIF($A$2:$A$5481,A641)</f>
        <v>1</v>
      </c>
      <c r="N641" s="24">
        <f t="shared" si="9"/>
        <v>1647.0000641</v>
      </c>
    </row>
    <row r="642" spans="1:14">
      <c r="A642" s="21" t="s">
        <v>1412</v>
      </c>
      <c r="B642" s="21" t="s">
        <v>1175</v>
      </c>
      <c r="C642" s="21" t="s">
        <v>26</v>
      </c>
      <c r="D642" s="21" t="s">
        <v>921</v>
      </c>
      <c r="E642" s="21">
        <v>7</v>
      </c>
      <c r="F642" s="22">
        <v>45866.6970023148</v>
      </c>
      <c r="G642" s="22"/>
      <c r="H642" s="23">
        <v>1797</v>
      </c>
      <c r="I642" s="23">
        <v>876.2857142857</v>
      </c>
      <c r="J642" s="24">
        <v>6134.03</v>
      </c>
      <c r="K642" s="21">
        <v>0</v>
      </c>
      <c r="L642" s="21">
        <v>0</v>
      </c>
      <c r="M642" s="21">
        <f>COUNTIF($A$2:$A$5481,A642)</f>
        <v>1</v>
      </c>
      <c r="N642" s="24">
        <f t="shared" ref="N642:N705" si="10">J642+ROW()/10000000</f>
        <v>6134.0300642</v>
      </c>
    </row>
    <row r="643" spans="1:14">
      <c r="A643" s="21" t="s">
        <v>1413</v>
      </c>
      <c r="B643" s="21" t="s">
        <v>966</v>
      </c>
      <c r="C643" s="21" t="s">
        <v>26</v>
      </c>
      <c r="D643" s="21" t="s">
        <v>921</v>
      </c>
      <c r="E643" s="21">
        <v>1</v>
      </c>
      <c r="F643" s="22">
        <v>46076.5291319444</v>
      </c>
      <c r="G643" s="22"/>
      <c r="H643" s="23">
        <v>2136.55</v>
      </c>
      <c r="I643" s="23">
        <v>2136.55</v>
      </c>
      <c r="J643" s="24">
        <v>2136.55</v>
      </c>
      <c r="K643" s="21">
        <v>0</v>
      </c>
      <c r="L643" s="21">
        <v>0</v>
      </c>
      <c r="M643" s="21">
        <f>COUNTIF($A$2:$A$5481,A643)</f>
        <v>1</v>
      </c>
      <c r="N643" s="24">
        <f t="shared" si="10"/>
        <v>2136.5500643</v>
      </c>
    </row>
    <row r="644" spans="1:14">
      <c r="A644" s="21" t="s">
        <v>1414</v>
      </c>
      <c r="B644" s="21" t="s">
        <v>1175</v>
      </c>
      <c r="C644" s="21" t="s">
        <v>26</v>
      </c>
      <c r="D644" s="21" t="s">
        <v>921</v>
      </c>
      <c r="E644" s="21">
        <v>3</v>
      </c>
      <c r="F644" s="22">
        <v>45484.6444444444</v>
      </c>
      <c r="G644" s="22"/>
      <c r="H644" s="23">
        <v>1797</v>
      </c>
      <c r="I644" s="23">
        <v>599</v>
      </c>
      <c r="J644" s="24">
        <v>1797</v>
      </c>
      <c r="K644" s="21">
        <v>0</v>
      </c>
      <c r="L644" s="21">
        <v>0</v>
      </c>
      <c r="M644" s="21">
        <f>COUNTIF($A$2:$A$5481,A644)</f>
        <v>1</v>
      </c>
      <c r="N644" s="24">
        <f t="shared" si="10"/>
        <v>1797.0000644</v>
      </c>
    </row>
    <row r="645" spans="1:14">
      <c r="A645" s="21" t="s">
        <v>1415</v>
      </c>
      <c r="B645" s="21" t="s">
        <v>929</v>
      </c>
      <c r="C645" s="21" t="s">
        <v>26</v>
      </c>
      <c r="D645" s="21" t="s">
        <v>921</v>
      </c>
      <c r="E645" s="21">
        <v>1</v>
      </c>
      <c r="F645" s="22">
        <v>45558.8228009259</v>
      </c>
      <c r="G645" s="22">
        <v>45932.3746064815</v>
      </c>
      <c r="H645" s="23">
        <v>488.26</v>
      </c>
      <c r="I645" s="23">
        <v>244.13</v>
      </c>
      <c r="J645" s="24">
        <v>244.13</v>
      </c>
      <c r="K645" s="21">
        <v>0</v>
      </c>
      <c r="L645" s="21">
        <v>0</v>
      </c>
      <c r="M645" s="21">
        <f>COUNTIF($A$2:$A$5481,A645)</f>
        <v>1</v>
      </c>
      <c r="N645" s="24">
        <f t="shared" si="10"/>
        <v>244.1300645</v>
      </c>
    </row>
    <row r="646" spans="1:14">
      <c r="A646" s="21" t="s">
        <v>1416</v>
      </c>
      <c r="B646" s="21" t="s">
        <v>26</v>
      </c>
      <c r="C646" s="21" t="s">
        <v>26</v>
      </c>
      <c r="D646" s="21" t="s">
        <v>921</v>
      </c>
      <c r="E646" s="21">
        <v>6</v>
      </c>
      <c r="F646" s="22">
        <v>45916.5818634259</v>
      </c>
      <c r="G646" s="22">
        <v>45849.4550925926</v>
      </c>
      <c r="H646" s="23">
        <v>302.19</v>
      </c>
      <c r="I646" s="23">
        <v>101.865</v>
      </c>
      <c r="J646" s="24">
        <v>611.22</v>
      </c>
      <c r="K646" s="21">
        <v>0</v>
      </c>
      <c r="L646" s="21">
        <v>0</v>
      </c>
      <c r="M646" s="21">
        <f>COUNTIF($A$2:$A$5481,A646)</f>
        <v>1</v>
      </c>
      <c r="N646" s="24">
        <f t="shared" si="10"/>
        <v>611.2200646</v>
      </c>
    </row>
    <row r="647" spans="1:14">
      <c r="A647" s="21" t="s">
        <v>1417</v>
      </c>
      <c r="B647" s="21" t="s">
        <v>920</v>
      </c>
      <c r="C647" s="21" t="s">
        <v>26</v>
      </c>
      <c r="D647" s="21" t="s">
        <v>921</v>
      </c>
      <c r="E647" s="21">
        <v>2</v>
      </c>
      <c r="F647" s="22">
        <v>45643.3716203704</v>
      </c>
      <c r="G647" s="22"/>
      <c r="H647" s="23">
        <v>115.59</v>
      </c>
      <c r="I647" s="23">
        <v>107.595</v>
      </c>
      <c r="J647" s="24">
        <v>215.2</v>
      </c>
      <c r="K647" s="21">
        <v>0</v>
      </c>
      <c r="L647" s="21">
        <v>0</v>
      </c>
      <c r="M647" s="21">
        <f>COUNTIF($A$2:$A$5481,A647)</f>
        <v>1</v>
      </c>
      <c r="N647" s="24">
        <f t="shared" si="10"/>
        <v>215.2000647</v>
      </c>
    </row>
    <row r="648" spans="1:14">
      <c r="A648" s="21" t="s">
        <v>1418</v>
      </c>
      <c r="B648" s="21" t="s">
        <v>920</v>
      </c>
      <c r="C648" s="21" t="s">
        <v>26</v>
      </c>
      <c r="D648" s="21" t="s">
        <v>921</v>
      </c>
      <c r="E648" s="21">
        <v>17</v>
      </c>
      <c r="F648" s="22">
        <v>46240.6102893519</v>
      </c>
      <c r="G648" s="22">
        <v>45874.4572337963</v>
      </c>
      <c r="H648" s="23">
        <v>392.91</v>
      </c>
      <c r="I648" s="23">
        <v>198.4958823529</v>
      </c>
      <c r="J648" s="24">
        <v>3374.5</v>
      </c>
      <c r="K648" s="21">
        <v>0</v>
      </c>
      <c r="L648" s="21">
        <v>0</v>
      </c>
      <c r="M648" s="21">
        <f>COUNTIF($A$2:$A$5481,A648)</f>
        <v>1</v>
      </c>
      <c r="N648" s="24">
        <f t="shared" si="10"/>
        <v>3374.5000648</v>
      </c>
    </row>
    <row r="649" spans="1:14">
      <c r="A649" s="21" t="s">
        <v>435</v>
      </c>
      <c r="B649" s="21" t="s">
        <v>26</v>
      </c>
      <c r="C649" s="21" t="s">
        <v>26</v>
      </c>
      <c r="D649" s="21" t="s">
        <v>921</v>
      </c>
      <c r="E649" s="21">
        <v>30</v>
      </c>
      <c r="F649" s="22">
        <v>46050.7141666667</v>
      </c>
      <c r="G649" s="22">
        <v>46269.6109375</v>
      </c>
      <c r="H649" s="23">
        <v>139.59</v>
      </c>
      <c r="I649" s="23">
        <v>51.06073375</v>
      </c>
      <c r="J649" s="24">
        <v>1531.8</v>
      </c>
      <c r="K649" s="21">
        <v>0</v>
      </c>
      <c r="L649" s="21">
        <v>0</v>
      </c>
      <c r="M649" s="21">
        <f>COUNTIF($A$2:$A$5481,A649)</f>
        <v>1</v>
      </c>
      <c r="N649" s="24">
        <f t="shared" si="10"/>
        <v>1531.8000649</v>
      </c>
    </row>
    <row r="650" spans="1:14">
      <c r="A650" s="21" t="s">
        <v>1419</v>
      </c>
      <c r="B650" s="21" t="s">
        <v>920</v>
      </c>
      <c r="C650" s="21" t="s">
        <v>35</v>
      </c>
      <c r="D650" s="21" t="s">
        <v>921</v>
      </c>
      <c r="E650" s="21">
        <v>5</v>
      </c>
      <c r="F650" s="22">
        <v>45362.69375</v>
      </c>
      <c r="G650" s="22">
        <v>45518.7385300926</v>
      </c>
      <c r="H650" s="23">
        <v>359.04</v>
      </c>
      <c r="I650" s="23">
        <v>59.84</v>
      </c>
      <c r="J650" s="24">
        <v>299.2</v>
      </c>
      <c r="K650" s="21">
        <v>1</v>
      </c>
      <c r="L650" s="21">
        <v>10</v>
      </c>
      <c r="M650" s="21">
        <f>COUNTIF($A$2:$A$5481,A650)</f>
        <v>2</v>
      </c>
      <c r="N650" s="24">
        <f t="shared" si="10"/>
        <v>299.200065</v>
      </c>
    </row>
    <row r="651" spans="1:14">
      <c r="A651" s="21" t="s">
        <v>1419</v>
      </c>
      <c r="B651" s="21" t="s">
        <v>920</v>
      </c>
      <c r="C651" s="21" t="s">
        <v>26</v>
      </c>
      <c r="D651" s="21" t="s">
        <v>921</v>
      </c>
      <c r="E651" s="21">
        <v>1</v>
      </c>
      <c r="F651" s="22">
        <v>45902.6701273148</v>
      </c>
      <c r="G651" s="22"/>
      <c r="H651" s="23">
        <v>41.9</v>
      </c>
      <c r="I651" s="23">
        <v>41.9</v>
      </c>
      <c r="J651" s="24">
        <v>41.9</v>
      </c>
      <c r="K651" s="21">
        <v>1</v>
      </c>
      <c r="L651" s="21">
        <v>10</v>
      </c>
      <c r="M651" s="21">
        <f>COUNTIF($A$2:$A$5481,A651)</f>
        <v>2</v>
      </c>
      <c r="N651" s="24">
        <f t="shared" si="10"/>
        <v>41.9000651</v>
      </c>
    </row>
    <row r="652" spans="1:14">
      <c r="A652" s="21" t="s">
        <v>1420</v>
      </c>
      <c r="B652" s="21" t="s">
        <v>920</v>
      </c>
      <c r="C652" s="21" t="s">
        <v>26</v>
      </c>
      <c r="D652" s="21" t="s">
        <v>921</v>
      </c>
      <c r="E652" s="21">
        <v>4</v>
      </c>
      <c r="F652" s="22">
        <v>45587.8093634259</v>
      </c>
      <c r="G652" s="22"/>
      <c r="H652" s="23">
        <v>256.52</v>
      </c>
      <c r="I652" s="23">
        <v>64.13</v>
      </c>
      <c r="J652" s="24">
        <v>256.52</v>
      </c>
      <c r="K652" s="21">
        <v>0</v>
      </c>
      <c r="L652" s="21">
        <v>0</v>
      </c>
      <c r="M652" s="21">
        <f>COUNTIF($A$2:$A$5481,A652)</f>
        <v>1</v>
      </c>
      <c r="N652" s="24">
        <f t="shared" si="10"/>
        <v>256.5200652</v>
      </c>
    </row>
    <row r="653" spans="1:14">
      <c r="A653" s="21" t="s">
        <v>1421</v>
      </c>
      <c r="B653" s="21" t="s">
        <v>26</v>
      </c>
      <c r="C653" s="21" t="s">
        <v>26</v>
      </c>
      <c r="D653" s="21" t="s">
        <v>921</v>
      </c>
      <c r="E653" s="21">
        <v>11</v>
      </c>
      <c r="F653" s="22">
        <v>46182.6954282407</v>
      </c>
      <c r="G653" s="22"/>
      <c r="H653" s="23">
        <v>345.5</v>
      </c>
      <c r="I653" s="23">
        <v>64.2836363636</v>
      </c>
      <c r="J653" s="24">
        <v>707.08</v>
      </c>
      <c r="K653" s="21">
        <v>0</v>
      </c>
      <c r="L653" s="21">
        <v>0</v>
      </c>
      <c r="M653" s="21">
        <f>COUNTIF($A$2:$A$5481,A653)</f>
        <v>1</v>
      </c>
      <c r="N653" s="24">
        <f t="shared" si="10"/>
        <v>707.0800653</v>
      </c>
    </row>
    <row r="654" spans="1:14">
      <c r="A654" s="21" t="s">
        <v>1422</v>
      </c>
      <c r="B654" s="21" t="s">
        <v>26</v>
      </c>
      <c r="C654" s="21" t="s">
        <v>26</v>
      </c>
      <c r="D654" s="21" t="s">
        <v>921</v>
      </c>
      <c r="E654" s="21">
        <v>1</v>
      </c>
      <c r="F654" s="22">
        <v>45673.8500462963</v>
      </c>
      <c r="G654" s="22"/>
      <c r="H654" s="23">
        <v>854.12</v>
      </c>
      <c r="I654" s="23">
        <v>854.12</v>
      </c>
      <c r="J654" s="24">
        <v>854.12</v>
      </c>
      <c r="K654" s="21">
        <v>0</v>
      </c>
      <c r="L654" s="21">
        <v>0</v>
      </c>
      <c r="M654" s="21">
        <f>COUNTIF($A$2:$A$5481,A654)</f>
        <v>1</v>
      </c>
      <c r="N654" s="24">
        <f t="shared" si="10"/>
        <v>854.1200654</v>
      </c>
    </row>
    <row r="655" spans="1:14">
      <c r="A655" s="21" t="s">
        <v>1423</v>
      </c>
      <c r="B655" s="21" t="s">
        <v>26</v>
      </c>
      <c r="C655" s="21" t="s">
        <v>26</v>
      </c>
      <c r="D655" s="21" t="s">
        <v>921</v>
      </c>
      <c r="E655" s="21">
        <v>3</v>
      </c>
      <c r="F655" s="22">
        <v>46003.4050925926</v>
      </c>
      <c r="G655" s="22"/>
      <c r="H655" s="23">
        <v>31.2</v>
      </c>
      <c r="I655" s="23">
        <v>10.4</v>
      </c>
      <c r="J655" s="24">
        <v>31.2</v>
      </c>
      <c r="K655" s="21">
        <v>0</v>
      </c>
      <c r="L655" s="21">
        <v>0</v>
      </c>
      <c r="M655" s="21">
        <f>COUNTIF($A$2:$A$5481,A655)</f>
        <v>1</v>
      </c>
      <c r="N655" s="24">
        <f t="shared" si="10"/>
        <v>31.2000655</v>
      </c>
    </row>
    <row r="656" spans="1:14">
      <c r="A656" s="21" t="s">
        <v>1424</v>
      </c>
      <c r="B656" s="21" t="s">
        <v>26</v>
      </c>
      <c r="C656" s="21" t="s">
        <v>26</v>
      </c>
      <c r="D656" s="21" t="s">
        <v>921</v>
      </c>
      <c r="E656" s="21">
        <v>1</v>
      </c>
      <c r="F656" s="22">
        <v>46003.4050925926</v>
      </c>
      <c r="G656" s="22"/>
      <c r="H656" s="23">
        <v>15.64</v>
      </c>
      <c r="I656" s="23">
        <v>15.64</v>
      </c>
      <c r="J656" s="24">
        <v>15.64</v>
      </c>
      <c r="K656" s="21">
        <v>0</v>
      </c>
      <c r="L656" s="21">
        <v>0</v>
      </c>
      <c r="M656" s="21">
        <f>COUNTIF($A$2:$A$5481,A656)</f>
        <v>1</v>
      </c>
      <c r="N656" s="24">
        <f t="shared" si="10"/>
        <v>15.6400656</v>
      </c>
    </row>
    <row r="657" spans="1:14">
      <c r="A657" s="21" t="s">
        <v>1425</v>
      </c>
      <c r="B657" s="21" t="s">
        <v>920</v>
      </c>
      <c r="C657" s="21" t="s">
        <v>26</v>
      </c>
      <c r="D657" s="21" t="s">
        <v>931</v>
      </c>
      <c r="E657" s="21">
        <v>2</v>
      </c>
      <c r="F657" s="22">
        <v>45915.6407407407</v>
      </c>
      <c r="G657" s="22"/>
      <c r="H657" s="23">
        <v>563.04</v>
      </c>
      <c r="I657" s="23">
        <v>512.515</v>
      </c>
      <c r="J657" s="24">
        <v>1025.04</v>
      </c>
      <c r="K657" s="21">
        <v>0</v>
      </c>
      <c r="L657" s="21">
        <v>0</v>
      </c>
      <c r="M657" s="21">
        <f>COUNTIF($A$2:$A$5481,A657)</f>
        <v>1</v>
      </c>
      <c r="N657" s="24">
        <f t="shared" si="10"/>
        <v>1025.0400657</v>
      </c>
    </row>
    <row r="658" spans="1:14">
      <c r="A658" s="21" t="s">
        <v>1426</v>
      </c>
      <c r="B658" s="21" t="s">
        <v>920</v>
      </c>
      <c r="C658" s="21" t="s">
        <v>26</v>
      </c>
      <c r="D658" s="21" t="s">
        <v>921</v>
      </c>
      <c r="E658" s="21">
        <v>20</v>
      </c>
      <c r="F658" s="22">
        <v>46161.6085069445</v>
      </c>
      <c r="G658" s="22"/>
      <c r="H658" s="23">
        <v>592.6</v>
      </c>
      <c r="I658" s="23">
        <v>51.78</v>
      </c>
      <c r="J658" s="24">
        <v>1035.6</v>
      </c>
      <c r="K658" s="21">
        <v>0</v>
      </c>
      <c r="L658" s="21">
        <v>0</v>
      </c>
      <c r="M658" s="21">
        <f>COUNTIF($A$2:$A$5481,A658)</f>
        <v>1</v>
      </c>
      <c r="N658" s="24">
        <f t="shared" si="10"/>
        <v>1035.6000658</v>
      </c>
    </row>
    <row r="659" spans="1:14">
      <c r="A659" s="21" t="s">
        <v>1427</v>
      </c>
      <c r="B659" s="21" t="s">
        <v>920</v>
      </c>
      <c r="C659" s="21" t="s">
        <v>35</v>
      </c>
      <c r="D659" s="21" t="s">
        <v>921</v>
      </c>
      <c r="E659" s="21">
        <v>6</v>
      </c>
      <c r="F659" s="22">
        <v>45362.6880555556</v>
      </c>
      <c r="G659" s="22"/>
      <c r="H659" s="23">
        <v>137.4</v>
      </c>
      <c r="I659" s="23">
        <v>22.9</v>
      </c>
      <c r="J659" s="24">
        <v>137.4</v>
      </c>
      <c r="K659" s="21">
        <v>1</v>
      </c>
      <c r="L659" s="21">
        <v>10</v>
      </c>
      <c r="M659" s="21">
        <f>COUNTIF($A$2:$A$5481,A659)</f>
        <v>2</v>
      </c>
      <c r="N659" s="24">
        <f t="shared" si="10"/>
        <v>137.4000659</v>
      </c>
    </row>
    <row r="660" spans="1:14">
      <c r="A660" s="21" t="s">
        <v>1427</v>
      </c>
      <c r="B660" s="21" t="s">
        <v>920</v>
      </c>
      <c r="C660" s="21" t="s">
        <v>26</v>
      </c>
      <c r="D660" s="21" t="s">
        <v>921</v>
      </c>
      <c r="E660" s="21">
        <v>44</v>
      </c>
      <c r="F660" s="22">
        <v>46050.7141666667</v>
      </c>
      <c r="G660" s="22">
        <v>45849.4550810185</v>
      </c>
      <c r="H660" s="23">
        <v>88.74</v>
      </c>
      <c r="I660" s="23">
        <v>25.2972068182</v>
      </c>
      <c r="J660" s="24">
        <v>1113.2</v>
      </c>
      <c r="K660" s="21">
        <v>1</v>
      </c>
      <c r="L660" s="21">
        <v>10</v>
      </c>
      <c r="M660" s="21">
        <f>COUNTIF($A$2:$A$5481,A660)</f>
        <v>2</v>
      </c>
      <c r="N660" s="24">
        <f t="shared" si="10"/>
        <v>1113.200066</v>
      </c>
    </row>
    <row r="661" spans="1:14">
      <c r="A661" s="21" t="s">
        <v>1428</v>
      </c>
      <c r="B661" s="21" t="s">
        <v>929</v>
      </c>
      <c r="C661" s="21" t="s">
        <v>26</v>
      </c>
      <c r="D661" s="21" t="s">
        <v>921</v>
      </c>
      <c r="E661" s="21">
        <v>13</v>
      </c>
      <c r="F661" s="22">
        <v>46058.7040277778</v>
      </c>
      <c r="G661" s="22">
        <v>45469.5801273148</v>
      </c>
      <c r="H661" s="23">
        <v>309.12</v>
      </c>
      <c r="I661" s="23">
        <v>127.0453846154</v>
      </c>
      <c r="J661" s="24">
        <v>1651.65</v>
      </c>
      <c r="K661" s="21">
        <v>0</v>
      </c>
      <c r="L661" s="21">
        <v>0</v>
      </c>
      <c r="M661" s="21">
        <f>COUNTIF($A$2:$A$5481,A661)</f>
        <v>1</v>
      </c>
      <c r="N661" s="24">
        <f t="shared" si="10"/>
        <v>1651.6500661</v>
      </c>
    </row>
    <row r="662" spans="1:14">
      <c r="A662" s="21" t="s">
        <v>1429</v>
      </c>
      <c r="B662" s="21" t="s">
        <v>920</v>
      </c>
      <c r="C662" s="21" t="s">
        <v>26</v>
      </c>
      <c r="D662" s="21" t="s">
        <v>921</v>
      </c>
      <c r="E662" s="21">
        <v>6</v>
      </c>
      <c r="F662" s="22">
        <v>46163.6570486111</v>
      </c>
      <c r="G662" s="22"/>
      <c r="H662" s="23">
        <v>152.58</v>
      </c>
      <c r="I662" s="23">
        <v>59.95</v>
      </c>
      <c r="J662" s="24">
        <v>359.7</v>
      </c>
      <c r="K662" s="21">
        <v>0</v>
      </c>
      <c r="L662" s="21">
        <v>0</v>
      </c>
      <c r="M662" s="21">
        <f>COUNTIF($A$2:$A$5481,A662)</f>
        <v>1</v>
      </c>
      <c r="N662" s="24">
        <f t="shared" si="10"/>
        <v>359.7000662</v>
      </c>
    </row>
    <row r="663" spans="1:14">
      <c r="A663" s="21" t="s">
        <v>1430</v>
      </c>
      <c r="B663" s="21" t="s">
        <v>920</v>
      </c>
      <c r="C663" s="21" t="s">
        <v>35</v>
      </c>
      <c r="D663" s="21" t="s">
        <v>921</v>
      </c>
      <c r="E663" s="21">
        <v>0</v>
      </c>
      <c r="F663" s="22">
        <v>45267.5931597222</v>
      </c>
      <c r="G663" s="22">
        <v>45267.5618402778</v>
      </c>
      <c r="H663" s="23">
        <v>46.4</v>
      </c>
      <c r="I663" s="23">
        <v>0</v>
      </c>
      <c r="J663" s="24">
        <v>0</v>
      </c>
      <c r="K663" s="21">
        <v>0</v>
      </c>
      <c r="L663" s="21">
        <v>0</v>
      </c>
      <c r="M663" s="21">
        <f>COUNTIF($A$2:$A$5481,A663)</f>
        <v>1</v>
      </c>
      <c r="N663" s="24">
        <f t="shared" si="10"/>
        <v>6.63e-5</v>
      </c>
    </row>
    <row r="664" spans="1:14">
      <c r="A664" s="21" t="s">
        <v>1431</v>
      </c>
      <c r="B664" s="21" t="s">
        <v>920</v>
      </c>
      <c r="C664" s="21" t="s">
        <v>26</v>
      </c>
      <c r="D664" s="21" t="s">
        <v>1309</v>
      </c>
      <c r="E664" s="21">
        <v>1</v>
      </c>
      <c r="F664" s="22">
        <v>45916.5818634259</v>
      </c>
      <c r="G664" s="22"/>
      <c r="H664" s="23">
        <v>283.23</v>
      </c>
      <c r="I664" s="23">
        <v>283.23</v>
      </c>
      <c r="J664" s="24">
        <v>283.23</v>
      </c>
      <c r="K664" s="21">
        <v>0</v>
      </c>
      <c r="L664" s="21">
        <v>0</v>
      </c>
      <c r="M664" s="21">
        <f>COUNTIF($A$2:$A$5481,A664)</f>
        <v>1</v>
      </c>
      <c r="N664" s="24">
        <f t="shared" si="10"/>
        <v>283.2300664</v>
      </c>
    </row>
    <row r="665" spans="1:14">
      <c r="A665" s="21" t="s">
        <v>1432</v>
      </c>
      <c r="B665" s="21" t="s">
        <v>920</v>
      </c>
      <c r="C665" s="21" t="s">
        <v>26</v>
      </c>
      <c r="D665" s="21" t="s">
        <v>921</v>
      </c>
      <c r="E665" s="21">
        <v>1</v>
      </c>
      <c r="F665" s="22">
        <v>46029.5842361111</v>
      </c>
      <c r="G665" s="22"/>
      <c r="H665" s="23">
        <v>402.92</v>
      </c>
      <c r="I665" s="23">
        <v>402.92</v>
      </c>
      <c r="J665" s="24">
        <v>402.92</v>
      </c>
      <c r="K665" s="21">
        <v>0</v>
      </c>
      <c r="L665" s="21">
        <v>0</v>
      </c>
      <c r="M665" s="21">
        <f>COUNTIF($A$2:$A$5481,A665)</f>
        <v>1</v>
      </c>
      <c r="N665" s="24">
        <f t="shared" si="10"/>
        <v>402.9200665</v>
      </c>
    </row>
    <row r="666" spans="1:14">
      <c r="A666" s="21" t="s">
        <v>172</v>
      </c>
      <c r="B666" s="21" t="s">
        <v>920</v>
      </c>
      <c r="C666" s="21" t="s">
        <v>35</v>
      </c>
      <c r="D666" s="21" t="s">
        <v>921</v>
      </c>
      <c r="E666" s="21">
        <v>0</v>
      </c>
      <c r="F666" s="22">
        <v>45309.7899768519</v>
      </c>
      <c r="G666" s="22">
        <v>45497.4172569444</v>
      </c>
      <c r="H666" s="23">
        <v>190</v>
      </c>
      <c r="I666" s="23">
        <v>38</v>
      </c>
      <c r="J666" s="24">
        <v>0</v>
      </c>
      <c r="K666" s="21">
        <v>2</v>
      </c>
      <c r="L666" s="21">
        <v>20</v>
      </c>
      <c r="M666" s="21">
        <f>COUNTIF($A$2:$A$5481,A666)</f>
        <v>2</v>
      </c>
      <c r="N666" s="24">
        <f t="shared" si="10"/>
        <v>6.66e-5</v>
      </c>
    </row>
    <row r="667" spans="1:14">
      <c r="A667" s="21" t="s">
        <v>172</v>
      </c>
      <c r="B667" s="21" t="s">
        <v>920</v>
      </c>
      <c r="C667" s="21" t="s">
        <v>26</v>
      </c>
      <c r="D667" s="21" t="s">
        <v>921</v>
      </c>
      <c r="E667" s="21">
        <v>18</v>
      </c>
      <c r="F667" s="22">
        <v>46190.7021064815</v>
      </c>
      <c r="G667" s="22">
        <v>46268.4268865741</v>
      </c>
      <c r="H667" s="23">
        <v>190</v>
      </c>
      <c r="I667" s="23">
        <v>38.4818796241</v>
      </c>
      <c r="J667" s="24">
        <v>692.64</v>
      </c>
      <c r="K667" s="21">
        <v>2</v>
      </c>
      <c r="L667" s="21">
        <v>20</v>
      </c>
      <c r="M667" s="21">
        <f>COUNTIF($A$2:$A$5481,A667)</f>
        <v>2</v>
      </c>
      <c r="N667" s="24">
        <f t="shared" si="10"/>
        <v>692.6400667</v>
      </c>
    </row>
    <row r="668" spans="1:14">
      <c r="A668" s="21" t="s">
        <v>1433</v>
      </c>
      <c r="B668" s="21" t="s">
        <v>929</v>
      </c>
      <c r="C668" s="21" t="s">
        <v>26</v>
      </c>
      <c r="D668" s="21" t="s">
        <v>921</v>
      </c>
      <c r="E668" s="21">
        <v>5</v>
      </c>
      <c r="F668" s="22">
        <v>46157.5895949074</v>
      </c>
      <c r="G668" s="22"/>
      <c r="H668" s="23">
        <v>16.8</v>
      </c>
      <c r="I668" s="23">
        <v>41.44</v>
      </c>
      <c r="J668" s="24">
        <v>207.2</v>
      </c>
      <c r="K668" s="21">
        <v>0</v>
      </c>
      <c r="L668" s="21">
        <v>0</v>
      </c>
      <c r="M668" s="21">
        <f>COUNTIF($A$2:$A$5481,A668)</f>
        <v>1</v>
      </c>
      <c r="N668" s="24">
        <f t="shared" si="10"/>
        <v>207.2000668</v>
      </c>
    </row>
    <row r="669" spans="1:14">
      <c r="A669" s="21" t="s">
        <v>1434</v>
      </c>
      <c r="B669" s="21" t="s">
        <v>26</v>
      </c>
      <c r="C669" s="21" t="s">
        <v>26</v>
      </c>
      <c r="D669" s="21" t="s">
        <v>921</v>
      </c>
      <c r="E669" s="21">
        <v>2</v>
      </c>
      <c r="F669" s="22">
        <v>45784.3956481482</v>
      </c>
      <c r="G669" s="22"/>
      <c r="H669" s="23">
        <v>46</v>
      </c>
      <c r="I669" s="23">
        <v>23</v>
      </c>
      <c r="J669" s="24">
        <v>46</v>
      </c>
      <c r="K669" s="21">
        <v>0</v>
      </c>
      <c r="L669" s="21">
        <v>0</v>
      </c>
      <c r="M669" s="21">
        <f>COUNTIF($A$2:$A$5481,A669)</f>
        <v>1</v>
      </c>
      <c r="N669" s="24">
        <f t="shared" si="10"/>
        <v>46.0000669</v>
      </c>
    </row>
    <row r="670" spans="1:14">
      <c r="A670" s="21" t="s">
        <v>1435</v>
      </c>
      <c r="B670" s="21" t="s">
        <v>920</v>
      </c>
      <c r="C670" s="21" t="s">
        <v>35</v>
      </c>
      <c r="D670" s="21" t="s">
        <v>921</v>
      </c>
      <c r="E670" s="21">
        <v>2</v>
      </c>
      <c r="F670" s="22">
        <v>45352.5510069444</v>
      </c>
      <c r="G670" s="22"/>
      <c r="H670" s="23">
        <v>52</v>
      </c>
      <c r="I670" s="23">
        <v>26</v>
      </c>
      <c r="J670" s="24">
        <v>52</v>
      </c>
      <c r="K670" s="21">
        <v>0</v>
      </c>
      <c r="L670" s="21">
        <v>0</v>
      </c>
      <c r="M670" s="21">
        <f>COUNTIF($A$2:$A$5481,A670)</f>
        <v>2</v>
      </c>
      <c r="N670" s="24">
        <f t="shared" si="10"/>
        <v>52.000067</v>
      </c>
    </row>
    <row r="671" spans="1:14">
      <c r="A671" s="21" t="s">
        <v>1435</v>
      </c>
      <c r="B671" s="21" t="s">
        <v>920</v>
      </c>
      <c r="C671" s="21" t="s">
        <v>414</v>
      </c>
      <c r="D671" s="21" t="s">
        <v>921</v>
      </c>
      <c r="E671" s="21">
        <v>1</v>
      </c>
      <c r="F671" s="22">
        <v>45646.4846296296</v>
      </c>
      <c r="G671" s="22"/>
      <c r="H671" s="23">
        <v>39.2</v>
      </c>
      <c r="I671" s="23">
        <v>39.2</v>
      </c>
      <c r="J671" s="24">
        <v>39.2</v>
      </c>
      <c r="K671" s="21">
        <v>0</v>
      </c>
      <c r="L671" s="21">
        <v>0</v>
      </c>
      <c r="M671" s="21">
        <f>COUNTIF($A$2:$A$5481,A671)</f>
        <v>2</v>
      </c>
      <c r="N671" s="24">
        <f t="shared" si="10"/>
        <v>39.2000671</v>
      </c>
    </row>
    <row r="672" spans="1:14">
      <c r="A672" s="21" t="s">
        <v>1436</v>
      </c>
      <c r="B672" s="21" t="s">
        <v>920</v>
      </c>
      <c r="C672" s="21" t="s">
        <v>35</v>
      </c>
      <c r="D672" s="21" t="s">
        <v>921</v>
      </c>
      <c r="E672" s="21">
        <v>0</v>
      </c>
      <c r="F672" s="22">
        <v>45322.7139236111</v>
      </c>
      <c r="G672" s="22">
        <v>45372.4414236111</v>
      </c>
      <c r="H672" s="23">
        <v>180</v>
      </c>
      <c r="I672" s="23">
        <v>36</v>
      </c>
      <c r="J672" s="24">
        <v>0</v>
      </c>
      <c r="K672" s="21">
        <v>2</v>
      </c>
      <c r="L672" s="21">
        <v>10</v>
      </c>
      <c r="M672" s="21">
        <f>COUNTIF($A$2:$A$5481,A672)</f>
        <v>2</v>
      </c>
      <c r="N672" s="24">
        <f t="shared" si="10"/>
        <v>6.72e-5</v>
      </c>
    </row>
    <row r="673" spans="1:14">
      <c r="A673" s="21" t="s">
        <v>1436</v>
      </c>
      <c r="B673" s="21" t="s">
        <v>920</v>
      </c>
      <c r="C673" s="21" t="s">
        <v>26</v>
      </c>
      <c r="D673" s="21" t="s">
        <v>921</v>
      </c>
      <c r="E673" s="21">
        <v>5</v>
      </c>
      <c r="F673" s="22">
        <v>45387.8378240741</v>
      </c>
      <c r="G673" s="22">
        <v>45398.8399421296</v>
      </c>
      <c r="H673" s="23">
        <v>216</v>
      </c>
      <c r="I673" s="23">
        <v>36</v>
      </c>
      <c r="J673" s="24">
        <v>180</v>
      </c>
      <c r="K673" s="21">
        <v>2</v>
      </c>
      <c r="L673" s="21">
        <v>10</v>
      </c>
      <c r="M673" s="21">
        <f>COUNTIF($A$2:$A$5481,A673)</f>
        <v>2</v>
      </c>
      <c r="N673" s="24">
        <f t="shared" si="10"/>
        <v>180.0000673</v>
      </c>
    </row>
    <row r="674" spans="1:14">
      <c r="A674" s="21" t="s">
        <v>1437</v>
      </c>
      <c r="B674" s="21" t="s">
        <v>929</v>
      </c>
      <c r="C674" s="21" t="s">
        <v>26</v>
      </c>
      <c r="D674" s="21" t="s">
        <v>921</v>
      </c>
      <c r="E674" s="21">
        <v>10</v>
      </c>
      <c r="F674" s="22">
        <v>45615.5476736111</v>
      </c>
      <c r="G674" s="22"/>
      <c r="H674" s="23">
        <v>491.67</v>
      </c>
      <c r="I674" s="23">
        <v>447.532</v>
      </c>
      <c r="J674" s="24">
        <v>4475.3</v>
      </c>
      <c r="K674" s="21">
        <v>0</v>
      </c>
      <c r="L674" s="21">
        <v>0</v>
      </c>
      <c r="M674" s="21">
        <f>COUNTIF($A$2:$A$5481,A674)</f>
        <v>1</v>
      </c>
      <c r="N674" s="24">
        <f t="shared" si="10"/>
        <v>4475.3000674</v>
      </c>
    </row>
    <row r="675" spans="1:14">
      <c r="A675" s="21" t="s">
        <v>1438</v>
      </c>
      <c r="B675" s="21" t="s">
        <v>26</v>
      </c>
      <c r="C675" s="21" t="s">
        <v>26</v>
      </c>
      <c r="D675" s="21" t="s">
        <v>921</v>
      </c>
      <c r="E675" s="21">
        <v>6</v>
      </c>
      <c r="F675" s="22">
        <v>45944.5543518519</v>
      </c>
      <c r="G675" s="22"/>
      <c r="H675" s="23">
        <v>422.88</v>
      </c>
      <c r="I675" s="23">
        <v>70.48</v>
      </c>
      <c r="J675" s="24">
        <v>422.88</v>
      </c>
      <c r="K675" s="21">
        <v>0</v>
      </c>
      <c r="L675" s="21">
        <v>0</v>
      </c>
      <c r="M675" s="21">
        <f>COUNTIF($A$2:$A$5481,A675)</f>
        <v>1</v>
      </c>
      <c r="N675" s="24">
        <f t="shared" si="10"/>
        <v>422.8800675</v>
      </c>
    </row>
    <row r="676" spans="1:14">
      <c r="A676" s="21" t="s">
        <v>1439</v>
      </c>
      <c r="B676" s="21" t="s">
        <v>26</v>
      </c>
      <c r="C676" s="21" t="s">
        <v>26</v>
      </c>
      <c r="D676" s="21" t="s">
        <v>921</v>
      </c>
      <c r="E676" s="21">
        <v>3</v>
      </c>
      <c r="F676" s="22">
        <v>45944.5543518519</v>
      </c>
      <c r="G676" s="22"/>
      <c r="H676" s="23">
        <v>195.6</v>
      </c>
      <c r="I676" s="23">
        <v>65.2</v>
      </c>
      <c r="J676" s="24">
        <v>195.6</v>
      </c>
      <c r="K676" s="21">
        <v>0</v>
      </c>
      <c r="L676" s="21">
        <v>0</v>
      </c>
      <c r="M676" s="21">
        <f>COUNTIF($A$2:$A$5481,A676)</f>
        <v>1</v>
      </c>
      <c r="N676" s="24">
        <f t="shared" si="10"/>
        <v>195.6000676</v>
      </c>
    </row>
    <row r="677" spans="1:14">
      <c r="A677" s="21" t="s">
        <v>1440</v>
      </c>
      <c r="B677" s="21" t="s">
        <v>929</v>
      </c>
      <c r="C677" s="21" t="s">
        <v>182</v>
      </c>
      <c r="D677" s="21" t="s">
        <v>921</v>
      </c>
      <c r="E677" s="21">
        <v>5</v>
      </c>
      <c r="F677" s="22">
        <v>45299.8180324074</v>
      </c>
      <c r="G677" s="22">
        <v>45645.430462963</v>
      </c>
      <c r="H677" s="23">
        <v>592.26</v>
      </c>
      <c r="I677" s="23">
        <v>98.71</v>
      </c>
      <c r="J677" s="24">
        <v>493.55</v>
      </c>
      <c r="K677" s="21">
        <v>2</v>
      </c>
      <c r="L677" s="21">
        <v>20</v>
      </c>
      <c r="M677" s="21">
        <f>COUNTIF($A$2:$A$5481,A677)</f>
        <v>2</v>
      </c>
      <c r="N677" s="24">
        <f t="shared" si="10"/>
        <v>493.5500677</v>
      </c>
    </row>
    <row r="678" spans="1:14">
      <c r="A678" s="21" t="s">
        <v>1440</v>
      </c>
      <c r="B678" s="21" t="s">
        <v>929</v>
      </c>
      <c r="C678" s="21" t="s">
        <v>26</v>
      </c>
      <c r="D678" s="21" t="s">
        <v>921</v>
      </c>
      <c r="E678" s="21">
        <v>46</v>
      </c>
      <c r="F678" s="22">
        <v>46220.598275463</v>
      </c>
      <c r="G678" s="22">
        <v>45924.5646412037</v>
      </c>
      <c r="H678" s="23">
        <v>468.58</v>
      </c>
      <c r="I678" s="23">
        <v>58.5176397515</v>
      </c>
      <c r="J678" s="24">
        <v>2691.92</v>
      </c>
      <c r="K678" s="21">
        <v>2</v>
      </c>
      <c r="L678" s="21">
        <v>20</v>
      </c>
      <c r="M678" s="21">
        <f>COUNTIF($A$2:$A$5481,A678)</f>
        <v>2</v>
      </c>
      <c r="N678" s="24">
        <f t="shared" si="10"/>
        <v>2691.9200678</v>
      </c>
    </row>
    <row r="679" spans="1:14">
      <c r="A679" s="21" t="s">
        <v>1441</v>
      </c>
      <c r="B679" s="21" t="s">
        <v>929</v>
      </c>
      <c r="C679" s="21" t="s">
        <v>414</v>
      </c>
      <c r="D679" s="21" t="s">
        <v>921</v>
      </c>
      <c r="E679" s="21">
        <v>5</v>
      </c>
      <c r="F679" s="22">
        <v>45327.5820138889</v>
      </c>
      <c r="G679" s="22"/>
      <c r="H679" s="23">
        <v>44.5</v>
      </c>
      <c r="I679" s="23">
        <v>8.9</v>
      </c>
      <c r="J679" s="24">
        <v>44.5</v>
      </c>
      <c r="K679" s="21">
        <v>0</v>
      </c>
      <c r="L679" s="21">
        <v>0</v>
      </c>
      <c r="M679" s="21">
        <f>COUNTIF($A$2:$A$5481,A679)</f>
        <v>2</v>
      </c>
      <c r="N679" s="24">
        <f t="shared" si="10"/>
        <v>44.5000679</v>
      </c>
    </row>
    <row r="680" spans="1:14">
      <c r="A680" s="21" t="s">
        <v>1441</v>
      </c>
      <c r="B680" s="21" t="s">
        <v>929</v>
      </c>
      <c r="C680" s="21" t="s">
        <v>26</v>
      </c>
      <c r="D680" s="21" t="s">
        <v>921</v>
      </c>
      <c r="E680" s="21">
        <v>3</v>
      </c>
      <c r="F680" s="22">
        <v>46227.7340046296</v>
      </c>
      <c r="G680" s="22">
        <v>45918.4204166667</v>
      </c>
      <c r="H680" s="23">
        <v>20</v>
      </c>
      <c r="I680" s="23">
        <v>10.1566666667</v>
      </c>
      <c r="J680" s="24">
        <v>30.48</v>
      </c>
      <c r="K680" s="21">
        <v>0</v>
      </c>
      <c r="L680" s="21">
        <v>0</v>
      </c>
      <c r="M680" s="21">
        <f>COUNTIF($A$2:$A$5481,A680)</f>
        <v>2</v>
      </c>
      <c r="N680" s="24">
        <f t="shared" si="10"/>
        <v>30.480068</v>
      </c>
    </row>
    <row r="681" spans="1:14">
      <c r="A681" s="21" t="s">
        <v>1442</v>
      </c>
      <c r="B681" s="21" t="s">
        <v>929</v>
      </c>
      <c r="C681" s="21" t="s">
        <v>26</v>
      </c>
      <c r="D681" s="21" t="s">
        <v>921</v>
      </c>
      <c r="E681" s="21">
        <v>6</v>
      </c>
      <c r="F681" s="22">
        <v>46050.3611111111</v>
      </c>
      <c r="G681" s="22"/>
      <c r="H681" s="23">
        <v>97.02</v>
      </c>
      <c r="I681" s="23">
        <v>16.17</v>
      </c>
      <c r="J681" s="24">
        <v>97.02</v>
      </c>
      <c r="K681" s="21">
        <v>0</v>
      </c>
      <c r="L681" s="21">
        <v>0</v>
      </c>
      <c r="M681" s="21">
        <f>COUNTIF($A$2:$A$5481,A681)</f>
        <v>1</v>
      </c>
      <c r="N681" s="24">
        <f t="shared" si="10"/>
        <v>97.0200681</v>
      </c>
    </row>
    <row r="682" spans="1:14">
      <c r="A682" s="21" t="s">
        <v>1443</v>
      </c>
      <c r="B682" s="21" t="s">
        <v>926</v>
      </c>
      <c r="C682" s="21" t="s">
        <v>38</v>
      </c>
      <c r="D682" s="21" t="s">
        <v>921</v>
      </c>
      <c r="E682" s="21">
        <v>4</v>
      </c>
      <c r="F682" s="22">
        <v>45861.4689930556</v>
      </c>
      <c r="G682" s="22"/>
      <c r="H682" s="23">
        <v>204.76</v>
      </c>
      <c r="I682" s="23">
        <v>51.19</v>
      </c>
      <c r="J682" s="24">
        <v>204.76</v>
      </c>
      <c r="K682" s="21">
        <v>0</v>
      </c>
      <c r="L682" s="21">
        <v>0</v>
      </c>
      <c r="M682" s="21">
        <f>COUNTIF($A$2:$A$5481,A682)</f>
        <v>1</v>
      </c>
      <c r="N682" s="24">
        <f t="shared" si="10"/>
        <v>204.7600682</v>
      </c>
    </row>
    <row r="683" spans="1:14">
      <c r="A683" s="21" t="s">
        <v>1444</v>
      </c>
      <c r="B683" s="21" t="s">
        <v>920</v>
      </c>
      <c r="C683" s="21" t="s">
        <v>35</v>
      </c>
      <c r="D683" s="21" t="s">
        <v>921</v>
      </c>
      <c r="E683" s="21">
        <v>1</v>
      </c>
      <c r="F683" s="22">
        <v>45919.3923148148</v>
      </c>
      <c r="G683" s="22"/>
      <c r="H683" s="23">
        <v>138.17</v>
      </c>
      <c r="I683" s="23">
        <v>138.17</v>
      </c>
      <c r="J683" s="24">
        <v>138.17</v>
      </c>
      <c r="K683" s="21">
        <v>0</v>
      </c>
      <c r="L683" s="21">
        <v>0</v>
      </c>
      <c r="M683" s="21">
        <f>COUNTIF($A$2:$A$5481,A683)</f>
        <v>1</v>
      </c>
      <c r="N683" s="24">
        <f t="shared" si="10"/>
        <v>138.1700683</v>
      </c>
    </row>
    <row r="684" spans="1:14">
      <c r="A684" s="21" t="s">
        <v>1445</v>
      </c>
      <c r="B684" s="21" t="s">
        <v>1346</v>
      </c>
      <c r="C684" s="21" t="s">
        <v>390</v>
      </c>
      <c r="D684" s="21" t="s">
        <v>921</v>
      </c>
      <c r="E684" s="21">
        <v>26</v>
      </c>
      <c r="F684" s="22">
        <v>45685.5747916667</v>
      </c>
      <c r="G684" s="22">
        <v>45903.3862962963</v>
      </c>
      <c r="H684" s="23">
        <v>1067.36</v>
      </c>
      <c r="I684" s="23">
        <v>65.70667</v>
      </c>
      <c r="J684" s="24">
        <v>1708.46</v>
      </c>
      <c r="K684" s="21">
        <v>0</v>
      </c>
      <c r="L684" s="21">
        <v>0</v>
      </c>
      <c r="M684" s="21">
        <f>COUNTIF($A$2:$A$5481,A684)</f>
        <v>1</v>
      </c>
      <c r="N684" s="24">
        <f t="shared" si="10"/>
        <v>1708.4600684</v>
      </c>
    </row>
    <row r="685" spans="1:14">
      <c r="A685" s="21" t="s">
        <v>389</v>
      </c>
      <c r="B685" s="21" t="s">
        <v>926</v>
      </c>
      <c r="C685" s="21" t="s">
        <v>38</v>
      </c>
      <c r="D685" s="21" t="s">
        <v>921</v>
      </c>
      <c r="E685" s="21">
        <v>76</v>
      </c>
      <c r="F685" s="22">
        <v>46064.5834143519</v>
      </c>
      <c r="G685" s="22">
        <v>46267.5888888889</v>
      </c>
      <c r="H685" s="23">
        <v>1440.4</v>
      </c>
      <c r="I685" s="23">
        <v>70.7302222222</v>
      </c>
      <c r="J685" s="24">
        <v>5375.48</v>
      </c>
      <c r="K685" s="21">
        <v>0</v>
      </c>
      <c r="L685" s="21">
        <v>0</v>
      </c>
      <c r="M685" s="21">
        <f>COUNTIF($A$2:$A$5481,A685)</f>
        <v>3</v>
      </c>
      <c r="N685" s="24">
        <f t="shared" si="10"/>
        <v>5375.4800685</v>
      </c>
    </row>
    <row r="686" spans="1:14">
      <c r="A686" s="21" t="s">
        <v>389</v>
      </c>
      <c r="B686" s="21" t="s">
        <v>926</v>
      </c>
      <c r="C686" s="21" t="s">
        <v>182</v>
      </c>
      <c r="D686" s="21" t="s">
        <v>921</v>
      </c>
      <c r="E686" s="21">
        <v>12</v>
      </c>
      <c r="F686" s="22">
        <v>46136.6605671296</v>
      </c>
      <c r="G686" s="22"/>
      <c r="H686" s="23">
        <v>898.32</v>
      </c>
      <c r="I686" s="23">
        <v>74.86</v>
      </c>
      <c r="J686" s="24">
        <v>898.32</v>
      </c>
      <c r="K686" s="21">
        <v>0</v>
      </c>
      <c r="L686" s="21">
        <v>0</v>
      </c>
      <c r="M686" s="21">
        <f>COUNTIF($A$2:$A$5481,A686)</f>
        <v>3</v>
      </c>
      <c r="N686" s="24">
        <f t="shared" si="10"/>
        <v>898.3200686</v>
      </c>
    </row>
    <row r="687" spans="1:14">
      <c r="A687" s="21" t="s">
        <v>389</v>
      </c>
      <c r="B687" s="21" t="s">
        <v>926</v>
      </c>
      <c r="C687" s="21" t="s">
        <v>390</v>
      </c>
      <c r="D687" s="21" t="s">
        <v>921</v>
      </c>
      <c r="E687" s="21">
        <v>55</v>
      </c>
      <c r="F687" s="22">
        <v>46231.5965277778</v>
      </c>
      <c r="G687" s="22">
        <v>46164.3819444445</v>
      </c>
      <c r="H687" s="23">
        <v>2513.6</v>
      </c>
      <c r="I687" s="23">
        <v>94.721102</v>
      </c>
      <c r="J687" s="24">
        <v>5209.6</v>
      </c>
      <c r="K687" s="21">
        <v>0</v>
      </c>
      <c r="L687" s="21">
        <v>0</v>
      </c>
      <c r="M687" s="21">
        <f>COUNTIF($A$2:$A$5481,A687)</f>
        <v>3</v>
      </c>
      <c r="N687" s="24">
        <f t="shared" si="10"/>
        <v>5209.6000687</v>
      </c>
    </row>
    <row r="688" spans="1:14">
      <c r="A688" s="21" t="s">
        <v>1446</v>
      </c>
      <c r="B688" s="21" t="s">
        <v>926</v>
      </c>
      <c r="C688" s="21" t="s">
        <v>26</v>
      </c>
      <c r="D688" s="21" t="s">
        <v>921</v>
      </c>
      <c r="E688" s="21">
        <v>4</v>
      </c>
      <c r="F688" s="22">
        <v>46191.6926851852</v>
      </c>
      <c r="G688" s="22"/>
      <c r="H688" s="23">
        <v>205.44</v>
      </c>
      <c r="I688" s="23">
        <v>51.36</v>
      </c>
      <c r="J688" s="24">
        <v>205.44</v>
      </c>
      <c r="K688" s="21">
        <v>0</v>
      </c>
      <c r="L688" s="21">
        <v>0</v>
      </c>
      <c r="M688" s="21">
        <f>COUNTIF($A$2:$A$5481,A688)</f>
        <v>1</v>
      </c>
      <c r="N688" s="24">
        <f t="shared" si="10"/>
        <v>205.4400688</v>
      </c>
    </row>
    <row r="689" spans="1:14">
      <c r="A689" s="21" t="s">
        <v>1447</v>
      </c>
      <c r="B689" s="21" t="s">
        <v>926</v>
      </c>
      <c r="C689" s="21" t="s">
        <v>26</v>
      </c>
      <c r="D689" s="21" t="s">
        <v>921</v>
      </c>
      <c r="E689" s="21">
        <v>1</v>
      </c>
      <c r="F689" s="22">
        <v>46160.6449768519</v>
      </c>
      <c r="G689" s="22"/>
      <c r="H689" s="23">
        <v>51.36</v>
      </c>
      <c r="I689" s="23">
        <v>51.36</v>
      </c>
      <c r="J689" s="24">
        <v>51.36</v>
      </c>
      <c r="K689" s="21">
        <v>0</v>
      </c>
      <c r="L689" s="21">
        <v>0</v>
      </c>
      <c r="M689" s="21">
        <f>COUNTIF($A$2:$A$5481,A689)</f>
        <v>1</v>
      </c>
      <c r="N689" s="24">
        <f t="shared" si="10"/>
        <v>51.3600689</v>
      </c>
    </row>
    <row r="690" spans="1:14">
      <c r="A690" s="21" t="s">
        <v>1448</v>
      </c>
      <c r="B690" s="21" t="s">
        <v>926</v>
      </c>
      <c r="C690" s="21" t="s">
        <v>26</v>
      </c>
      <c r="D690" s="21" t="s">
        <v>921</v>
      </c>
      <c r="E690" s="21">
        <v>12</v>
      </c>
      <c r="F690" s="22">
        <v>46196.647662037</v>
      </c>
      <c r="G690" s="22"/>
      <c r="H690" s="23">
        <v>616.32</v>
      </c>
      <c r="I690" s="23">
        <v>51.36</v>
      </c>
      <c r="J690" s="24">
        <v>616.32</v>
      </c>
      <c r="K690" s="21">
        <v>0</v>
      </c>
      <c r="L690" s="21">
        <v>0</v>
      </c>
      <c r="M690" s="21">
        <f>COUNTIF($A$2:$A$5481,A690)</f>
        <v>1</v>
      </c>
      <c r="N690" s="24">
        <f t="shared" si="10"/>
        <v>616.320069</v>
      </c>
    </row>
    <row r="691" spans="1:14">
      <c r="A691" s="21" t="s">
        <v>1449</v>
      </c>
      <c r="B691" s="21" t="s">
        <v>926</v>
      </c>
      <c r="C691" s="21" t="s">
        <v>26</v>
      </c>
      <c r="D691" s="21" t="s">
        <v>921</v>
      </c>
      <c r="E691" s="21">
        <v>1</v>
      </c>
      <c r="F691" s="22">
        <v>46184.6373958333</v>
      </c>
      <c r="G691" s="22"/>
      <c r="H691" s="23">
        <v>1357.19</v>
      </c>
      <c r="I691" s="23">
        <v>1357.19</v>
      </c>
      <c r="J691" s="24">
        <v>1357.19</v>
      </c>
      <c r="K691" s="21">
        <v>0</v>
      </c>
      <c r="L691" s="21">
        <v>0</v>
      </c>
      <c r="M691" s="21">
        <f>COUNTIF($A$2:$A$5481,A691)</f>
        <v>1</v>
      </c>
      <c r="N691" s="24">
        <f t="shared" si="10"/>
        <v>1357.1900691</v>
      </c>
    </row>
    <row r="692" spans="1:14">
      <c r="A692" s="21" t="s">
        <v>1450</v>
      </c>
      <c r="B692" s="21" t="s">
        <v>926</v>
      </c>
      <c r="C692" s="21" t="s">
        <v>26</v>
      </c>
      <c r="D692" s="21" t="s">
        <v>921</v>
      </c>
      <c r="E692" s="21">
        <v>1</v>
      </c>
      <c r="F692" s="22">
        <v>46184.6373958333</v>
      </c>
      <c r="G692" s="22"/>
      <c r="H692" s="23">
        <v>1143.03</v>
      </c>
      <c r="I692" s="23">
        <v>1143.03</v>
      </c>
      <c r="J692" s="24">
        <v>1143.03</v>
      </c>
      <c r="K692" s="21">
        <v>0</v>
      </c>
      <c r="L692" s="21">
        <v>0</v>
      </c>
      <c r="M692" s="21">
        <f>COUNTIF($A$2:$A$5481,A692)</f>
        <v>1</v>
      </c>
      <c r="N692" s="24">
        <f t="shared" si="10"/>
        <v>1143.0300692</v>
      </c>
    </row>
    <row r="693" spans="1:14">
      <c r="A693" s="21" t="s">
        <v>1451</v>
      </c>
      <c r="B693" s="21" t="s">
        <v>920</v>
      </c>
      <c r="C693" s="21" t="s">
        <v>26</v>
      </c>
      <c r="D693" s="21" t="s">
        <v>931</v>
      </c>
      <c r="E693" s="21">
        <v>0</v>
      </c>
      <c r="F693" s="22">
        <v>45453.4686689815</v>
      </c>
      <c r="G693" s="22">
        <v>45467.8394791667</v>
      </c>
      <c r="H693" s="23">
        <v>1352</v>
      </c>
      <c r="I693" s="23">
        <v>676</v>
      </c>
      <c r="J693" s="24">
        <v>0</v>
      </c>
      <c r="K693" s="21">
        <v>0</v>
      </c>
      <c r="L693" s="21">
        <v>0</v>
      </c>
      <c r="M693" s="21">
        <f>COUNTIF($A$2:$A$5481,A693)</f>
        <v>2</v>
      </c>
      <c r="N693" s="24">
        <f t="shared" si="10"/>
        <v>6.93e-5</v>
      </c>
    </row>
    <row r="694" spans="1:14">
      <c r="A694" s="21" t="s">
        <v>1451</v>
      </c>
      <c r="B694" s="21" t="s">
        <v>920</v>
      </c>
      <c r="C694" s="21" t="s">
        <v>35</v>
      </c>
      <c r="D694" s="21" t="s">
        <v>931</v>
      </c>
      <c r="E694" s="21">
        <v>0</v>
      </c>
      <c r="F694" s="22">
        <v>45510.3609375</v>
      </c>
      <c r="G694" s="22">
        <v>45595.4758333333</v>
      </c>
      <c r="H694" s="23">
        <v>1248.5</v>
      </c>
      <c r="I694" s="23">
        <v>1248.5</v>
      </c>
      <c r="J694" s="24">
        <v>0</v>
      </c>
      <c r="K694" s="21">
        <v>0</v>
      </c>
      <c r="L694" s="21">
        <v>0</v>
      </c>
      <c r="M694" s="21">
        <f>COUNTIF($A$2:$A$5481,A694)</f>
        <v>2</v>
      </c>
      <c r="N694" s="24">
        <f t="shared" si="10"/>
        <v>6.94e-5</v>
      </c>
    </row>
    <row r="695" spans="1:14">
      <c r="A695" s="21" t="s">
        <v>1452</v>
      </c>
      <c r="B695" s="21" t="s">
        <v>920</v>
      </c>
      <c r="C695" s="21" t="s">
        <v>26</v>
      </c>
      <c r="D695" s="21" t="s">
        <v>931</v>
      </c>
      <c r="E695" s="21">
        <v>2</v>
      </c>
      <c r="F695" s="22">
        <v>45967.75375</v>
      </c>
      <c r="G695" s="22">
        <v>45951.4344675926</v>
      </c>
      <c r="H695" s="23">
        <v>1860</v>
      </c>
      <c r="I695" s="23">
        <v>1359.2075</v>
      </c>
      <c r="J695" s="24">
        <v>2718.42</v>
      </c>
      <c r="K695" s="21">
        <v>0</v>
      </c>
      <c r="L695" s="21">
        <v>0</v>
      </c>
      <c r="M695" s="21">
        <f>COUNTIF($A$2:$A$5481,A695)</f>
        <v>1</v>
      </c>
      <c r="N695" s="24">
        <f t="shared" si="10"/>
        <v>2718.4200695</v>
      </c>
    </row>
    <row r="696" spans="1:14">
      <c r="A696" s="21" t="s">
        <v>1453</v>
      </c>
      <c r="B696" s="21" t="s">
        <v>920</v>
      </c>
      <c r="C696" s="21" t="s">
        <v>26</v>
      </c>
      <c r="D696" s="21" t="s">
        <v>921</v>
      </c>
      <c r="E696" s="21">
        <v>0</v>
      </c>
      <c r="F696" s="22">
        <v>45454.8272106482</v>
      </c>
      <c r="G696" s="22">
        <v>45454.8280787037</v>
      </c>
      <c r="H696" s="23">
        <v>780</v>
      </c>
      <c r="I696" s="23">
        <v>780</v>
      </c>
      <c r="J696" s="24">
        <v>0</v>
      </c>
      <c r="K696" s="21">
        <v>0</v>
      </c>
      <c r="L696" s="21">
        <v>0</v>
      </c>
      <c r="M696" s="21">
        <f>COUNTIF($A$2:$A$5481,A696)</f>
        <v>1</v>
      </c>
      <c r="N696" s="24">
        <f t="shared" si="10"/>
        <v>6.96e-5</v>
      </c>
    </row>
    <row r="697" spans="1:14">
      <c r="A697" s="21" t="s">
        <v>1454</v>
      </c>
      <c r="B697" s="21" t="s">
        <v>920</v>
      </c>
      <c r="C697" s="21" t="s">
        <v>26</v>
      </c>
      <c r="D697" s="21" t="s">
        <v>931</v>
      </c>
      <c r="E697" s="21">
        <v>0</v>
      </c>
      <c r="F697" s="22">
        <v>45786.3800578704</v>
      </c>
      <c r="G697" s="22">
        <v>45793.4713773148</v>
      </c>
      <c r="H697" s="23">
        <v>1298</v>
      </c>
      <c r="I697" s="23">
        <v>1298</v>
      </c>
      <c r="J697" s="24">
        <v>0</v>
      </c>
      <c r="K697" s="21">
        <v>0</v>
      </c>
      <c r="L697" s="21">
        <v>0</v>
      </c>
      <c r="M697" s="21">
        <f>COUNTIF($A$2:$A$5481,A697)</f>
        <v>1</v>
      </c>
      <c r="N697" s="24">
        <f t="shared" si="10"/>
        <v>6.97e-5</v>
      </c>
    </row>
    <row r="698" spans="1:14">
      <c r="A698" s="21" t="s">
        <v>1455</v>
      </c>
      <c r="B698" s="21" t="s">
        <v>920</v>
      </c>
      <c r="C698" s="21" t="s">
        <v>26</v>
      </c>
      <c r="D698" s="21" t="s">
        <v>921</v>
      </c>
      <c r="E698" s="21">
        <v>2</v>
      </c>
      <c r="F698" s="22">
        <v>45782.3574768519</v>
      </c>
      <c r="G698" s="22"/>
      <c r="H698" s="23">
        <v>90</v>
      </c>
      <c r="I698" s="23">
        <v>85</v>
      </c>
      <c r="J698" s="24">
        <v>170</v>
      </c>
      <c r="K698" s="21">
        <v>0</v>
      </c>
      <c r="L698" s="21">
        <v>0</v>
      </c>
      <c r="M698" s="21">
        <f>COUNTIF($A$2:$A$5481,A698)</f>
        <v>1</v>
      </c>
      <c r="N698" s="24">
        <f t="shared" si="10"/>
        <v>170.0000698</v>
      </c>
    </row>
    <row r="699" spans="1:14">
      <c r="A699" s="21" t="s">
        <v>1456</v>
      </c>
      <c r="B699" s="21" t="s">
        <v>920</v>
      </c>
      <c r="C699" s="21" t="s">
        <v>35</v>
      </c>
      <c r="D699" s="21" t="s">
        <v>921</v>
      </c>
      <c r="E699" s="21">
        <v>3</v>
      </c>
      <c r="F699" s="22">
        <v>45418.8107175926</v>
      </c>
      <c r="G699" s="22"/>
      <c r="H699" s="23">
        <v>120</v>
      </c>
      <c r="I699" s="23">
        <v>40</v>
      </c>
      <c r="J699" s="24">
        <v>120</v>
      </c>
      <c r="K699" s="21">
        <v>0</v>
      </c>
      <c r="L699" s="21">
        <v>0</v>
      </c>
      <c r="M699" s="21">
        <f>COUNTIF($A$2:$A$5481,A699)</f>
        <v>1</v>
      </c>
      <c r="N699" s="24">
        <f t="shared" si="10"/>
        <v>120.0000699</v>
      </c>
    </row>
    <row r="700" spans="1:14">
      <c r="A700" s="21" t="s">
        <v>1457</v>
      </c>
      <c r="B700" s="21" t="s">
        <v>26</v>
      </c>
      <c r="C700" s="21" t="s">
        <v>26</v>
      </c>
      <c r="D700" s="21" t="s">
        <v>921</v>
      </c>
      <c r="E700" s="21">
        <v>36</v>
      </c>
      <c r="F700" s="22">
        <v>45701.3455555556</v>
      </c>
      <c r="G700" s="22"/>
      <c r="H700" s="23">
        <v>160</v>
      </c>
      <c r="I700" s="23">
        <v>9.44444</v>
      </c>
      <c r="J700" s="24">
        <v>339.84</v>
      </c>
      <c r="K700" s="21">
        <v>0</v>
      </c>
      <c r="L700" s="21">
        <v>0</v>
      </c>
      <c r="M700" s="21">
        <f>COUNTIF($A$2:$A$5481,A700)</f>
        <v>1</v>
      </c>
      <c r="N700" s="24">
        <f t="shared" si="10"/>
        <v>339.84007</v>
      </c>
    </row>
    <row r="701" spans="1:14">
      <c r="A701" s="21" t="s">
        <v>1458</v>
      </c>
      <c r="B701" s="21" t="s">
        <v>26</v>
      </c>
      <c r="C701" s="21" t="s">
        <v>26</v>
      </c>
      <c r="D701" s="21" t="s">
        <v>921</v>
      </c>
      <c r="E701" s="21">
        <v>3</v>
      </c>
      <c r="F701" s="22">
        <v>45743.8645023148</v>
      </c>
      <c r="G701" s="22"/>
      <c r="H701" s="23">
        <v>25</v>
      </c>
      <c r="I701" s="23">
        <v>25</v>
      </c>
      <c r="J701" s="24">
        <v>75</v>
      </c>
      <c r="K701" s="21">
        <v>0</v>
      </c>
      <c r="L701" s="21">
        <v>0</v>
      </c>
      <c r="M701" s="21">
        <f>COUNTIF($A$2:$A$5481,A701)</f>
        <v>1</v>
      </c>
      <c r="N701" s="24">
        <f t="shared" si="10"/>
        <v>75.0000701</v>
      </c>
    </row>
    <row r="702" spans="1:14">
      <c r="A702" s="21" t="s">
        <v>1459</v>
      </c>
      <c r="B702" s="21" t="s">
        <v>920</v>
      </c>
      <c r="C702" s="21" t="s">
        <v>35</v>
      </c>
      <c r="D702" s="21" t="s">
        <v>921</v>
      </c>
      <c r="E702" s="21">
        <v>4</v>
      </c>
      <c r="F702" s="22">
        <v>45308.7977893519</v>
      </c>
      <c r="G702" s="22"/>
      <c r="H702" s="23">
        <v>200</v>
      </c>
      <c r="I702" s="23">
        <v>110</v>
      </c>
      <c r="J702" s="24">
        <v>440</v>
      </c>
      <c r="K702" s="21">
        <v>0</v>
      </c>
      <c r="L702" s="21">
        <v>0</v>
      </c>
      <c r="M702" s="21">
        <f>COUNTIF($A$2:$A$5481,A702)</f>
        <v>1</v>
      </c>
      <c r="N702" s="24">
        <f t="shared" si="10"/>
        <v>440.0000702</v>
      </c>
    </row>
    <row r="703" spans="1:14">
      <c r="A703" s="21" t="s">
        <v>1460</v>
      </c>
      <c r="B703" s="21" t="s">
        <v>26</v>
      </c>
      <c r="C703" s="21" t="s">
        <v>26</v>
      </c>
      <c r="D703" s="21" t="s">
        <v>921</v>
      </c>
      <c r="E703" s="21">
        <v>1</v>
      </c>
      <c r="F703" s="22">
        <v>45744.4414699074</v>
      </c>
      <c r="G703" s="22"/>
      <c r="H703" s="23">
        <v>96.62</v>
      </c>
      <c r="I703" s="23">
        <v>96.62</v>
      </c>
      <c r="J703" s="24">
        <v>96.62</v>
      </c>
      <c r="K703" s="21">
        <v>0</v>
      </c>
      <c r="L703" s="21">
        <v>0</v>
      </c>
      <c r="M703" s="21">
        <f>COUNTIF($A$2:$A$5481,A703)</f>
        <v>1</v>
      </c>
      <c r="N703" s="24">
        <f t="shared" si="10"/>
        <v>96.6200703</v>
      </c>
    </row>
    <row r="704" spans="1:14">
      <c r="A704" s="21" t="s">
        <v>1461</v>
      </c>
      <c r="B704" s="21" t="s">
        <v>920</v>
      </c>
      <c r="C704" s="21" t="s">
        <v>26</v>
      </c>
      <c r="D704" s="21" t="s">
        <v>921</v>
      </c>
      <c r="E704" s="21">
        <v>1</v>
      </c>
      <c r="F704" s="22">
        <v>46055.7105324074</v>
      </c>
      <c r="G704" s="22"/>
      <c r="H704" s="23">
        <v>82.2</v>
      </c>
      <c r="I704" s="23">
        <v>82.2</v>
      </c>
      <c r="J704" s="24">
        <v>82.2</v>
      </c>
      <c r="K704" s="21">
        <v>0</v>
      </c>
      <c r="L704" s="21">
        <v>0</v>
      </c>
      <c r="M704" s="21">
        <f>COUNTIF($A$2:$A$5481,A704)</f>
        <v>1</v>
      </c>
      <c r="N704" s="24">
        <f t="shared" si="10"/>
        <v>82.2000704</v>
      </c>
    </row>
    <row r="705" spans="1:14">
      <c r="A705" s="21" t="s">
        <v>1462</v>
      </c>
      <c r="B705" s="21" t="s">
        <v>929</v>
      </c>
      <c r="C705" s="21" t="s">
        <v>26</v>
      </c>
      <c r="D705" s="21" t="s">
        <v>921</v>
      </c>
      <c r="E705" s="21">
        <v>10</v>
      </c>
      <c r="F705" s="22">
        <v>46231.6867824074</v>
      </c>
      <c r="G705" s="22"/>
      <c r="H705" s="23">
        <v>178.1</v>
      </c>
      <c r="I705" s="23">
        <v>17.81</v>
      </c>
      <c r="J705" s="24">
        <v>178.1</v>
      </c>
      <c r="K705" s="21">
        <v>0</v>
      </c>
      <c r="L705" s="21">
        <v>0</v>
      </c>
      <c r="M705" s="21">
        <f>COUNTIF($A$2:$A$5481,A705)</f>
        <v>1</v>
      </c>
      <c r="N705" s="24">
        <f t="shared" si="10"/>
        <v>178.1000705</v>
      </c>
    </row>
    <row r="706" spans="1:14">
      <c r="A706" s="21" t="s">
        <v>1463</v>
      </c>
      <c r="B706" s="21" t="s">
        <v>1342</v>
      </c>
      <c r="C706" s="21" t="s">
        <v>26</v>
      </c>
      <c r="D706" s="21" t="s">
        <v>921</v>
      </c>
      <c r="E706" s="21">
        <v>21</v>
      </c>
      <c r="F706" s="22">
        <v>46055.7105324074</v>
      </c>
      <c r="G706" s="22">
        <v>45807.4762847222</v>
      </c>
      <c r="H706" s="23">
        <v>34.1</v>
      </c>
      <c r="I706" s="23">
        <v>15.0650761905</v>
      </c>
      <c r="J706" s="24">
        <v>316.47</v>
      </c>
      <c r="K706" s="21">
        <v>0</v>
      </c>
      <c r="L706" s="21">
        <v>0</v>
      </c>
      <c r="M706" s="21">
        <f>COUNTIF($A$2:$A$5481,A706)</f>
        <v>1</v>
      </c>
      <c r="N706" s="24">
        <f t="shared" ref="N706:N769" si="11">J706+ROW()/10000000</f>
        <v>316.4700706</v>
      </c>
    </row>
    <row r="707" spans="1:14">
      <c r="A707" s="21" t="s">
        <v>1464</v>
      </c>
      <c r="B707" s="21" t="s">
        <v>929</v>
      </c>
      <c r="C707" s="21" t="s">
        <v>26</v>
      </c>
      <c r="D707" s="21" t="s">
        <v>921</v>
      </c>
      <c r="E707" s="21">
        <v>1</v>
      </c>
      <c r="F707" s="22">
        <v>45562.8479166667</v>
      </c>
      <c r="G707" s="22"/>
      <c r="H707" s="23">
        <v>68.35</v>
      </c>
      <c r="I707" s="23">
        <v>68.35</v>
      </c>
      <c r="J707" s="24">
        <v>68.35</v>
      </c>
      <c r="K707" s="21">
        <v>0</v>
      </c>
      <c r="L707" s="21">
        <v>0</v>
      </c>
      <c r="M707" s="21">
        <f>COUNTIF($A$2:$A$5481,A707)</f>
        <v>1</v>
      </c>
      <c r="N707" s="24">
        <f t="shared" si="11"/>
        <v>68.3500707</v>
      </c>
    </row>
    <row r="708" spans="1:14">
      <c r="A708" s="21" t="s">
        <v>1465</v>
      </c>
      <c r="B708" s="21" t="s">
        <v>929</v>
      </c>
      <c r="C708" s="21" t="s">
        <v>26</v>
      </c>
      <c r="D708" s="21" t="s">
        <v>921</v>
      </c>
      <c r="E708" s="21">
        <v>1</v>
      </c>
      <c r="F708" s="22">
        <v>45562.8479166667</v>
      </c>
      <c r="G708" s="22"/>
      <c r="H708" s="23">
        <v>51.2</v>
      </c>
      <c r="I708" s="23">
        <v>51.2</v>
      </c>
      <c r="J708" s="24">
        <v>51.2</v>
      </c>
      <c r="K708" s="21">
        <v>0</v>
      </c>
      <c r="L708" s="21">
        <v>0</v>
      </c>
      <c r="M708" s="21">
        <f>COUNTIF($A$2:$A$5481,A708)</f>
        <v>1</v>
      </c>
      <c r="N708" s="24">
        <f t="shared" si="11"/>
        <v>51.2000708</v>
      </c>
    </row>
    <row r="709" spans="1:14">
      <c r="A709" s="21" t="s">
        <v>1466</v>
      </c>
      <c r="B709" s="21" t="s">
        <v>26</v>
      </c>
      <c r="C709" s="21" t="s">
        <v>26</v>
      </c>
      <c r="D709" s="21" t="s">
        <v>921</v>
      </c>
      <c r="E709" s="21">
        <v>1</v>
      </c>
      <c r="F709" s="22">
        <v>46057.7970023148</v>
      </c>
      <c r="G709" s="22"/>
      <c r="H709" s="23">
        <v>0.89</v>
      </c>
      <c r="I709" s="23">
        <v>0.89</v>
      </c>
      <c r="J709" s="24">
        <v>0.89</v>
      </c>
      <c r="K709" s="21">
        <v>0</v>
      </c>
      <c r="L709" s="21">
        <v>0</v>
      </c>
      <c r="M709" s="21">
        <f>COUNTIF($A$2:$A$5481,A709)</f>
        <v>1</v>
      </c>
      <c r="N709" s="24">
        <f t="shared" si="11"/>
        <v>0.8900709</v>
      </c>
    </row>
    <row r="710" spans="1:14">
      <c r="A710" s="21" t="s">
        <v>1467</v>
      </c>
      <c r="B710" s="21" t="s">
        <v>26</v>
      </c>
      <c r="C710" s="21" t="s">
        <v>26</v>
      </c>
      <c r="D710" s="21" t="s">
        <v>921</v>
      </c>
      <c r="E710" s="21">
        <v>0</v>
      </c>
      <c r="F710" s="22">
        <v>45583.4342824074</v>
      </c>
      <c r="G710" s="22">
        <v>45583.439525463</v>
      </c>
      <c r="H710" s="23">
        <v>8.29</v>
      </c>
      <c r="I710" s="23">
        <v>8.29</v>
      </c>
      <c r="J710" s="24">
        <v>0</v>
      </c>
      <c r="K710" s="21">
        <v>0</v>
      </c>
      <c r="L710" s="21">
        <v>0</v>
      </c>
      <c r="M710" s="21">
        <f>COUNTIF($A$2:$A$5481,A710)</f>
        <v>1</v>
      </c>
      <c r="N710" s="24">
        <f t="shared" si="11"/>
        <v>7.1e-5</v>
      </c>
    </row>
    <row r="711" spans="1:14">
      <c r="A711" s="21" t="s">
        <v>1468</v>
      </c>
      <c r="B711" s="21" t="s">
        <v>26</v>
      </c>
      <c r="C711" s="21" t="s">
        <v>26</v>
      </c>
      <c r="D711" s="21" t="s">
        <v>921</v>
      </c>
      <c r="E711" s="21">
        <v>1</v>
      </c>
      <c r="F711" s="22">
        <v>45672.46125</v>
      </c>
      <c r="G711" s="22">
        <v>45741.6518402778</v>
      </c>
      <c r="H711" s="23">
        <v>959.6</v>
      </c>
      <c r="I711" s="23">
        <v>239.9</v>
      </c>
      <c r="J711" s="24">
        <v>239.9</v>
      </c>
      <c r="K711" s="21">
        <v>0</v>
      </c>
      <c r="L711" s="21">
        <v>0</v>
      </c>
      <c r="M711" s="21">
        <f>COUNTIF($A$2:$A$5481,A711)</f>
        <v>1</v>
      </c>
      <c r="N711" s="24">
        <f t="shared" si="11"/>
        <v>239.9000711</v>
      </c>
    </row>
    <row r="712" spans="1:14">
      <c r="A712" s="21" t="s">
        <v>1469</v>
      </c>
      <c r="B712" s="21" t="s">
        <v>26</v>
      </c>
      <c r="C712" s="21" t="s">
        <v>26</v>
      </c>
      <c r="D712" s="21" t="s">
        <v>921</v>
      </c>
      <c r="E712" s="21">
        <v>1</v>
      </c>
      <c r="F712" s="22">
        <v>45757.4162152778</v>
      </c>
      <c r="G712" s="22">
        <v>45789.3576967593</v>
      </c>
      <c r="H712" s="23">
        <v>348</v>
      </c>
      <c r="I712" s="23">
        <v>174</v>
      </c>
      <c r="J712" s="24">
        <v>174</v>
      </c>
      <c r="K712" s="21">
        <v>0</v>
      </c>
      <c r="L712" s="21">
        <v>0</v>
      </c>
      <c r="M712" s="21">
        <f>COUNTIF($A$2:$A$5481,A712)</f>
        <v>1</v>
      </c>
      <c r="N712" s="24">
        <f t="shared" si="11"/>
        <v>174.0000712</v>
      </c>
    </row>
    <row r="713" spans="1:14">
      <c r="A713" s="21" t="s">
        <v>1470</v>
      </c>
      <c r="B713" s="21" t="s">
        <v>920</v>
      </c>
      <c r="C713" s="21" t="s">
        <v>35</v>
      </c>
      <c r="D713" s="21" t="s">
        <v>921</v>
      </c>
      <c r="E713" s="21">
        <v>0</v>
      </c>
      <c r="F713" s="22">
        <v>45329.6506481482</v>
      </c>
      <c r="G713" s="22">
        <v>45343.3667592593</v>
      </c>
      <c r="H713" s="23">
        <v>247.69</v>
      </c>
      <c r="I713" s="23">
        <v>247.69</v>
      </c>
      <c r="J713" s="24">
        <v>0</v>
      </c>
      <c r="K713" s="21">
        <v>0</v>
      </c>
      <c r="L713" s="21">
        <v>0</v>
      </c>
      <c r="M713" s="21">
        <f>COUNTIF($A$2:$A$5481,A713)</f>
        <v>1</v>
      </c>
      <c r="N713" s="24">
        <f t="shared" si="11"/>
        <v>7.13e-5</v>
      </c>
    </row>
    <row r="714" spans="1:14">
      <c r="A714" s="21" t="s">
        <v>1471</v>
      </c>
      <c r="B714" s="21" t="s">
        <v>26</v>
      </c>
      <c r="C714" s="21" t="s">
        <v>26</v>
      </c>
      <c r="D714" s="21" t="s">
        <v>921</v>
      </c>
      <c r="E714" s="21">
        <v>1</v>
      </c>
      <c r="F714" s="22">
        <v>45547.4011574074</v>
      </c>
      <c r="G714" s="22"/>
      <c r="H714" s="23">
        <v>99.75</v>
      </c>
      <c r="I714" s="23">
        <v>99.75</v>
      </c>
      <c r="J714" s="24">
        <v>99.75</v>
      </c>
      <c r="K714" s="21">
        <v>0</v>
      </c>
      <c r="L714" s="21">
        <v>0</v>
      </c>
      <c r="M714" s="21">
        <f>COUNTIF($A$2:$A$5481,A714)</f>
        <v>1</v>
      </c>
      <c r="N714" s="24">
        <f t="shared" si="11"/>
        <v>99.7500714</v>
      </c>
    </row>
    <row r="715" spans="1:14">
      <c r="A715" s="21" t="s">
        <v>378</v>
      </c>
      <c r="B715" s="21" t="s">
        <v>920</v>
      </c>
      <c r="C715" s="21" t="s">
        <v>26</v>
      </c>
      <c r="D715" s="21" t="s">
        <v>931</v>
      </c>
      <c r="E715" s="21">
        <v>1</v>
      </c>
      <c r="F715" s="22">
        <v>45734.5483449074</v>
      </c>
      <c r="G715" s="22">
        <v>46149.6238773148</v>
      </c>
      <c r="H715" s="23">
        <v>246</v>
      </c>
      <c r="I715" s="23">
        <v>123</v>
      </c>
      <c r="J715" s="24">
        <v>123</v>
      </c>
      <c r="K715" s="21">
        <v>0</v>
      </c>
      <c r="L715" s="21">
        <v>0</v>
      </c>
      <c r="M715" s="21">
        <f>COUNTIF($A$2:$A$5481,A715)</f>
        <v>1</v>
      </c>
      <c r="N715" s="24">
        <f t="shared" si="11"/>
        <v>123.0000715</v>
      </c>
    </row>
    <row r="716" spans="1:14">
      <c r="A716" s="21" t="s">
        <v>1472</v>
      </c>
      <c r="B716" s="21" t="s">
        <v>920</v>
      </c>
      <c r="C716" s="21" t="s">
        <v>26</v>
      </c>
      <c r="D716" s="21" t="s">
        <v>921</v>
      </c>
      <c r="E716" s="21">
        <v>2</v>
      </c>
      <c r="F716" s="22">
        <v>45926.3777893519</v>
      </c>
      <c r="G716" s="22"/>
      <c r="H716" s="23">
        <v>248</v>
      </c>
      <c r="I716" s="23">
        <v>124</v>
      </c>
      <c r="J716" s="24">
        <v>248</v>
      </c>
      <c r="K716" s="21">
        <v>0</v>
      </c>
      <c r="L716" s="21">
        <v>0</v>
      </c>
      <c r="M716" s="21">
        <f>COUNTIF($A$2:$A$5481,A716)</f>
        <v>1</v>
      </c>
      <c r="N716" s="24">
        <f t="shared" si="11"/>
        <v>248.0000716</v>
      </c>
    </row>
    <row r="717" spans="1:14">
      <c r="A717" s="21" t="s">
        <v>1473</v>
      </c>
      <c r="B717" s="21" t="s">
        <v>920</v>
      </c>
      <c r="C717" s="21" t="s">
        <v>35</v>
      </c>
      <c r="D717" s="21" t="s">
        <v>921</v>
      </c>
      <c r="E717" s="21">
        <v>1</v>
      </c>
      <c r="F717" s="22">
        <v>45307.8511574074</v>
      </c>
      <c r="G717" s="22">
        <v>45308.4313888889</v>
      </c>
      <c r="H717" s="23">
        <v>430</v>
      </c>
      <c r="I717" s="23">
        <v>215</v>
      </c>
      <c r="J717" s="24">
        <v>215</v>
      </c>
      <c r="K717" s="21">
        <v>0</v>
      </c>
      <c r="L717" s="21">
        <v>10</v>
      </c>
      <c r="M717" s="21">
        <f>COUNTIF($A$2:$A$5481,A717)</f>
        <v>1</v>
      </c>
      <c r="N717" s="24">
        <f t="shared" si="11"/>
        <v>215.0000717</v>
      </c>
    </row>
    <row r="718" spans="1:14">
      <c r="A718" s="21" t="s">
        <v>1474</v>
      </c>
      <c r="B718" s="21" t="s">
        <v>920</v>
      </c>
      <c r="C718" s="21" t="s">
        <v>35</v>
      </c>
      <c r="D718" s="21" t="s">
        <v>921</v>
      </c>
      <c r="E718" s="21">
        <v>1</v>
      </c>
      <c r="F718" s="22">
        <v>45359.4763888889</v>
      </c>
      <c r="G718" s="22"/>
      <c r="H718" s="23">
        <v>210</v>
      </c>
      <c r="I718" s="23">
        <v>210</v>
      </c>
      <c r="J718" s="24">
        <v>210</v>
      </c>
      <c r="K718" s="21">
        <v>0</v>
      </c>
      <c r="L718" s="21">
        <v>0</v>
      </c>
      <c r="M718" s="21">
        <f>COUNTIF($A$2:$A$5481,A718)</f>
        <v>1</v>
      </c>
      <c r="N718" s="24">
        <f t="shared" si="11"/>
        <v>210.0000718</v>
      </c>
    </row>
    <row r="719" spans="1:14">
      <c r="A719" s="21" t="s">
        <v>241</v>
      </c>
      <c r="B719" s="21" t="s">
        <v>920</v>
      </c>
      <c r="C719" s="21" t="s">
        <v>35</v>
      </c>
      <c r="D719" s="21" t="s">
        <v>921</v>
      </c>
      <c r="E719" s="21">
        <v>0</v>
      </c>
      <c r="F719" s="22">
        <v>45273.4640277778</v>
      </c>
      <c r="G719" s="22">
        <v>45273.4677083333</v>
      </c>
      <c r="H719" s="23">
        <v>199</v>
      </c>
      <c r="I719" s="23">
        <v>199</v>
      </c>
      <c r="J719" s="24">
        <v>0</v>
      </c>
      <c r="K719" s="21">
        <v>0</v>
      </c>
      <c r="L719" s="21">
        <v>0</v>
      </c>
      <c r="M719" s="21">
        <f>COUNTIF($A$2:$A$5481,A719)</f>
        <v>2</v>
      </c>
      <c r="N719" s="24">
        <f t="shared" si="11"/>
        <v>7.19e-5</v>
      </c>
    </row>
    <row r="720" spans="1:14">
      <c r="A720" s="21" t="s">
        <v>241</v>
      </c>
      <c r="B720" s="21" t="s">
        <v>920</v>
      </c>
      <c r="C720" s="21" t="s">
        <v>26</v>
      </c>
      <c r="D720" s="21" t="s">
        <v>921</v>
      </c>
      <c r="E720" s="21">
        <v>3</v>
      </c>
      <c r="F720" s="22">
        <v>46099.5105439815</v>
      </c>
      <c r="G720" s="22">
        <v>46101.5120486111</v>
      </c>
      <c r="H720" s="23">
        <v>278</v>
      </c>
      <c r="I720" s="23">
        <v>140.6666666667</v>
      </c>
      <c r="J720" s="24">
        <v>422.01</v>
      </c>
      <c r="K720" s="21">
        <v>0</v>
      </c>
      <c r="L720" s="21">
        <v>0</v>
      </c>
      <c r="M720" s="21">
        <f>COUNTIF($A$2:$A$5481,A720)</f>
        <v>2</v>
      </c>
      <c r="N720" s="24">
        <f t="shared" si="11"/>
        <v>422.010072</v>
      </c>
    </row>
    <row r="721" spans="1:14">
      <c r="A721" s="21" t="s">
        <v>1475</v>
      </c>
      <c r="B721" s="21" t="s">
        <v>920</v>
      </c>
      <c r="C721" s="21" t="s">
        <v>35</v>
      </c>
      <c r="D721" s="21" t="s">
        <v>921</v>
      </c>
      <c r="E721" s="21">
        <v>2</v>
      </c>
      <c r="F721" s="22">
        <v>45421.8104166667</v>
      </c>
      <c r="G721" s="22">
        <v>45691.5397916667</v>
      </c>
      <c r="H721" s="23">
        <v>3470</v>
      </c>
      <c r="I721" s="23">
        <v>1726.33333</v>
      </c>
      <c r="J721" s="24">
        <v>3452.66</v>
      </c>
      <c r="K721" s="21">
        <v>0</v>
      </c>
      <c r="L721" s="21">
        <v>0</v>
      </c>
      <c r="M721" s="21">
        <f>COUNTIF($A$2:$A$5481,A721)</f>
        <v>1</v>
      </c>
      <c r="N721" s="24">
        <f t="shared" si="11"/>
        <v>3452.6600721</v>
      </c>
    </row>
    <row r="722" spans="1:14">
      <c r="A722" s="21" t="s">
        <v>1476</v>
      </c>
      <c r="B722" s="21" t="s">
        <v>920</v>
      </c>
      <c r="C722" s="21" t="s">
        <v>35</v>
      </c>
      <c r="D722" s="21" t="s">
        <v>921</v>
      </c>
      <c r="E722" s="21">
        <v>1</v>
      </c>
      <c r="F722" s="22">
        <v>45995.401412037</v>
      </c>
      <c r="G722" s="22"/>
      <c r="H722" s="23">
        <v>1780</v>
      </c>
      <c r="I722" s="23">
        <v>1780</v>
      </c>
      <c r="J722" s="24">
        <v>1780</v>
      </c>
      <c r="K722" s="21">
        <v>0</v>
      </c>
      <c r="L722" s="21">
        <v>0</v>
      </c>
      <c r="M722" s="21">
        <f>COUNTIF($A$2:$A$5481,A722)</f>
        <v>1</v>
      </c>
      <c r="N722" s="24">
        <f t="shared" si="11"/>
        <v>1780.0000722</v>
      </c>
    </row>
    <row r="723" spans="1:14">
      <c r="A723" s="21" t="s">
        <v>1477</v>
      </c>
      <c r="B723" s="21" t="s">
        <v>920</v>
      </c>
      <c r="C723" s="21" t="s">
        <v>35</v>
      </c>
      <c r="D723" s="21" t="s">
        <v>921</v>
      </c>
      <c r="E723" s="21">
        <v>2</v>
      </c>
      <c r="F723" s="22">
        <v>45412.5813657407</v>
      </c>
      <c r="G723" s="22">
        <v>45306.7505787037</v>
      </c>
      <c r="H723" s="23">
        <v>0</v>
      </c>
      <c r="I723" s="23">
        <v>0</v>
      </c>
      <c r="J723" s="24">
        <v>0</v>
      </c>
      <c r="K723" s="21">
        <v>0</v>
      </c>
      <c r="L723" s="21">
        <v>5</v>
      </c>
      <c r="M723" s="21">
        <f>COUNTIF($A$2:$A$5481,A723)</f>
        <v>1</v>
      </c>
      <c r="N723" s="24">
        <f t="shared" si="11"/>
        <v>7.23e-5</v>
      </c>
    </row>
    <row r="724" spans="1:14">
      <c r="A724" s="21" t="s">
        <v>793</v>
      </c>
      <c r="B724" s="21" t="s">
        <v>920</v>
      </c>
      <c r="C724" s="21" t="s">
        <v>35</v>
      </c>
      <c r="D724" s="21" t="s">
        <v>921</v>
      </c>
      <c r="E724" s="21">
        <v>0</v>
      </c>
      <c r="F724" s="22">
        <v>45329.6506481482</v>
      </c>
      <c r="G724" s="22">
        <v>46254.5917939815</v>
      </c>
      <c r="H724" s="23">
        <v>2999.8</v>
      </c>
      <c r="I724" s="23">
        <v>1499.9</v>
      </c>
      <c r="J724" s="24">
        <v>0</v>
      </c>
      <c r="K724" s="21">
        <v>0</v>
      </c>
      <c r="L724" s="21">
        <v>0</v>
      </c>
      <c r="M724" s="21">
        <f>COUNTIF($A$2:$A$5481,A724)</f>
        <v>1</v>
      </c>
      <c r="N724" s="24">
        <f t="shared" si="11"/>
        <v>7.24e-5</v>
      </c>
    </row>
    <row r="725" spans="1:14">
      <c r="A725" s="21" t="s">
        <v>1478</v>
      </c>
      <c r="B725" s="21" t="s">
        <v>920</v>
      </c>
      <c r="C725" s="21" t="s">
        <v>35</v>
      </c>
      <c r="D725" s="21" t="s">
        <v>921</v>
      </c>
      <c r="E725" s="21">
        <v>1</v>
      </c>
      <c r="F725" s="22">
        <v>45300.4508101852</v>
      </c>
      <c r="G725" s="22">
        <v>45308.4496180556</v>
      </c>
      <c r="H725" s="23">
        <v>2999.16</v>
      </c>
      <c r="I725" s="23">
        <v>1499.58</v>
      </c>
      <c r="J725" s="24">
        <v>1499.58</v>
      </c>
      <c r="K725" s="21">
        <v>0</v>
      </c>
      <c r="L725" s="21">
        <v>0</v>
      </c>
      <c r="M725" s="21">
        <f>COUNTIF($A$2:$A$5481,A725)</f>
        <v>1</v>
      </c>
      <c r="N725" s="24">
        <f t="shared" si="11"/>
        <v>1499.5800725</v>
      </c>
    </row>
    <row r="726" spans="1:14">
      <c r="A726" s="21" t="s">
        <v>1479</v>
      </c>
      <c r="B726" s="21" t="s">
        <v>920</v>
      </c>
      <c r="C726" s="21" t="s">
        <v>26</v>
      </c>
      <c r="D726" s="21" t="s">
        <v>921</v>
      </c>
      <c r="E726" s="21">
        <v>1</v>
      </c>
      <c r="F726" s="22">
        <v>45583.3505555556</v>
      </c>
      <c r="G726" s="22">
        <v>45944.608912037</v>
      </c>
      <c r="H726" s="23">
        <v>358</v>
      </c>
      <c r="I726" s="23">
        <v>216</v>
      </c>
      <c r="J726" s="24">
        <v>216</v>
      </c>
      <c r="K726" s="21">
        <v>0</v>
      </c>
      <c r="L726" s="21">
        <v>0</v>
      </c>
      <c r="M726" s="21">
        <f>COUNTIF($A$2:$A$5481,A726)</f>
        <v>1</v>
      </c>
      <c r="N726" s="24">
        <f t="shared" si="11"/>
        <v>216.0000726</v>
      </c>
    </row>
    <row r="727" spans="1:14">
      <c r="A727" s="21" t="s">
        <v>294</v>
      </c>
      <c r="B727" s="21" t="s">
        <v>920</v>
      </c>
      <c r="C727" s="21" t="s">
        <v>26</v>
      </c>
      <c r="D727" s="21" t="s">
        <v>921</v>
      </c>
      <c r="E727" s="21">
        <v>4</v>
      </c>
      <c r="F727" s="22">
        <v>45805.8103009259</v>
      </c>
      <c r="G727" s="22">
        <v>46090.4206597222</v>
      </c>
      <c r="H727" s="23">
        <v>556</v>
      </c>
      <c r="I727" s="23">
        <v>138</v>
      </c>
      <c r="J727" s="24">
        <v>552</v>
      </c>
      <c r="K727" s="21">
        <v>0</v>
      </c>
      <c r="L727" s="21">
        <v>0</v>
      </c>
      <c r="M727" s="21">
        <f>COUNTIF($A$2:$A$5481,A727)</f>
        <v>1</v>
      </c>
      <c r="N727" s="24">
        <f t="shared" si="11"/>
        <v>552.0000727</v>
      </c>
    </row>
    <row r="728" spans="1:14">
      <c r="A728" s="21" t="s">
        <v>858</v>
      </c>
      <c r="B728" s="21" t="s">
        <v>920</v>
      </c>
      <c r="C728" s="21" t="s">
        <v>35</v>
      </c>
      <c r="D728" s="21" t="s">
        <v>931</v>
      </c>
      <c r="E728" s="21">
        <v>0</v>
      </c>
      <c r="F728" s="22">
        <v>45467.3465277778</v>
      </c>
      <c r="G728" s="22">
        <v>45601.4923958333</v>
      </c>
      <c r="H728" s="23">
        <v>609</v>
      </c>
      <c r="I728" s="23">
        <v>609</v>
      </c>
      <c r="J728" s="24">
        <v>0</v>
      </c>
      <c r="K728" s="21">
        <v>0</v>
      </c>
      <c r="L728" s="21">
        <v>0</v>
      </c>
      <c r="M728" s="21">
        <f>COUNTIF($A$2:$A$5481,A728)</f>
        <v>2</v>
      </c>
      <c r="N728" s="24">
        <f t="shared" si="11"/>
        <v>7.28e-5</v>
      </c>
    </row>
    <row r="729" spans="1:14">
      <c r="A729" s="21" t="s">
        <v>858</v>
      </c>
      <c r="B729" s="21" t="s">
        <v>920</v>
      </c>
      <c r="C729" s="21" t="s">
        <v>26</v>
      </c>
      <c r="D729" s="21" t="s">
        <v>931</v>
      </c>
      <c r="E729" s="21">
        <v>1</v>
      </c>
      <c r="F729" s="22">
        <v>46265.5791666667</v>
      </c>
      <c r="G729" s="22">
        <v>46268.425787037</v>
      </c>
      <c r="H729" s="23">
        <v>791.38</v>
      </c>
      <c r="I729" s="23">
        <v>395.69</v>
      </c>
      <c r="J729" s="24">
        <v>395.69</v>
      </c>
      <c r="K729" s="21">
        <v>0</v>
      </c>
      <c r="L729" s="21">
        <v>0</v>
      </c>
      <c r="M729" s="21">
        <f>COUNTIF($A$2:$A$5481,A729)</f>
        <v>2</v>
      </c>
      <c r="N729" s="24">
        <f t="shared" si="11"/>
        <v>395.6900729</v>
      </c>
    </row>
    <row r="730" spans="1:14">
      <c r="A730" s="21" t="s">
        <v>1480</v>
      </c>
      <c r="B730" s="21" t="s">
        <v>920</v>
      </c>
      <c r="C730" s="21" t="s">
        <v>26</v>
      </c>
      <c r="D730" s="21" t="s">
        <v>921</v>
      </c>
      <c r="E730" s="21">
        <v>1</v>
      </c>
      <c r="F730" s="22">
        <v>46078.7197685185</v>
      </c>
      <c r="G730" s="22"/>
      <c r="H730" s="23">
        <v>74</v>
      </c>
      <c r="I730" s="23">
        <v>74</v>
      </c>
      <c r="J730" s="24">
        <v>74</v>
      </c>
      <c r="K730" s="21">
        <v>0</v>
      </c>
      <c r="L730" s="21">
        <v>0</v>
      </c>
      <c r="M730" s="21">
        <f>COUNTIF($A$2:$A$5481,A730)</f>
        <v>1</v>
      </c>
      <c r="N730" s="24">
        <f t="shared" si="11"/>
        <v>74.000073</v>
      </c>
    </row>
    <row r="731" spans="1:14">
      <c r="A731" s="21" t="s">
        <v>1481</v>
      </c>
      <c r="B731" s="21" t="s">
        <v>920</v>
      </c>
      <c r="C731" s="21" t="s">
        <v>35</v>
      </c>
      <c r="D731" s="21" t="s">
        <v>921</v>
      </c>
      <c r="E731" s="21">
        <v>0</v>
      </c>
      <c r="F731" s="22">
        <v>45868.8183449074</v>
      </c>
      <c r="G731" s="22">
        <v>45953.3443287037</v>
      </c>
      <c r="H731" s="23">
        <v>1254.93</v>
      </c>
      <c r="I731" s="23">
        <v>1254.93</v>
      </c>
      <c r="J731" s="24">
        <v>0</v>
      </c>
      <c r="K731" s="21">
        <v>0</v>
      </c>
      <c r="L731" s="21">
        <v>0</v>
      </c>
      <c r="M731" s="21">
        <f>COUNTIF($A$2:$A$5481,A731)</f>
        <v>1</v>
      </c>
      <c r="N731" s="24">
        <f t="shared" si="11"/>
        <v>7.31e-5</v>
      </c>
    </row>
    <row r="732" spans="1:14">
      <c r="A732" s="21" t="s">
        <v>204</v>
      </c>
      <c r="B732" s="21" t="s">
        <v>920</v>
      </c>
      <c r="C732" s="21" t="s">
        <v>26</v>
      </c>
      <c r="D732" s="21" t="s">
        <v>921</v>
      </c>
      <c r="E732" s="21">
        <v>6</v>
      </c>
      <c r="F732" s="22">
        <v>45967.3440509259</v>
      </c>
      <c r="G732" s="22">
        <v>46050.4357523148</v>
      </c>
      <c r="H732" s="23">
        <v>895</v>
      </c>
      <c r="I732" s="23">
        <v>179</v>
      </c>
      <c r="J732" s="24">
        <v>1074</v>
      </c>
      <c r="K732" s="21">
        <v>0</v>
      </c>
      <c r="L732" s="21">
        <v>0</v>
      </c>
      <c r="M732" s="21">
        <f>COUNTIF($A$2:$A$5481,A732)</f>
        <v>1</v>
      </c>
      <c r="N732" s="24">
        <f t="shared" si="11"/>
        <v>1074.0000732</v>
      </c>
    </row>
    <row r="733" spans="1:14">
      <c r="A733" s="21" t="s">
        <v>1482</v>
      </c>
      <c r="B733" s="21" t="s">
        <v>920</v>
      </c>
      <c r="C733" s="21" t="s">
        <v>26</v>
      </c>
      <c r="D733" s="21" t="s">
        <v>921</v>
      </c>
      <c r="E733" s="21">
        <v>0</v>
      </c>
      <c r="F733" s="22">
        <v>45971.3565162037</v>
      </c>
      <c r="G733" s="22">
        <v>45973.4484953704</v>
      </c>
      <c r="H733" s="23">
        <v>226</v>
      </c>
      <c r="I733" s="23">
        <v>226</v>
      </c>
      <c r="J733" s="24">
        <v>0</v>
      </c>
      <c r="K733" s="21">
        <v>0</v>
      </c>
      <c r="L733" s="21">
        <v>0</v>
      </c>
      <c r="M733" s="21">
        <f>COUNTIF($A$2:$A$5481,A733)</f>
        <v>1</v>
      </c>
      <c r="N733" s="24">
        <f t="shared" si="11"/>
        <v>7.33e-5</v>
      </c>
    </row>
    <row r="734" spans="1:14">
      <c r="A734" s="21" t="s">
        <v>1483</v>
      </c>
      <c r="B734" s="21" t="s">
        <v>920</v>
      </c>
      <c r="C734" s="21" t="s">
        <v>26</v>
      </c>
      <c r="D734" s="21" t="s">
        <v>921</v>
      </c>
      <c r="E734" s="21">
        <v>3</v>
      </c>
      <c r="F734" s="22">
        <v>46064.6108564815</v>
      </c>
      <c r="G734" s="22"/>
      <c r="H734" s="23">
        <v>585.96</v>
      </c>
      <c r="I734" s="23">
        <v>195.32</v>
      </c>
      <c r="J734" s="24">
        <v>585.96</v>
      </c>
      <c r="K734" s="21">
        <v>0</v>
      </c>
      <c r="L734" s="21">
        <v>0</v>
      </c>
      <c r="M734" s="21">
        <f>COUNTIF($A$2:$A$5481,A734)</f>
        <v>1</v>
      </c>
      <c r="N734" s="24">
        <f t="shared" si="11"/>
        <v>585.9600734</v>
      </c>
    </row>
    <row r="735" spans="1:14">
      <c r="A735" s="21" t="s">
        <v>1484</v>
      </c>
      <c r="B735" s="21" t="s">
        <v>920</v>
      </c>
      <c r="C735" s="21" t="s">
        <v>26</v>
      </c>
      <c r="D735" s="21" t="s">
        <v>921</v>
      </c>
      <c r="E735" s="21">
        <v>0</v>
      </c>
      <c r="F735" s="22">
        <v>45889.7923148148</v>
      </c>
      <c r="G735" s="22">
        <v>45889.8590277778</v>
      </c>
      <c r="H735" s="23">
        <v>99</v>
      </c>
      <c r="I735" s="23">
        <v>99</v>
      </c>
      <c r="J735" s="24">
        <v>0</v>
      </c>
      <c r="K735" s="21">
        <v>0</v>
      </c>
      <c r="L735" s="21">
        <v>0</v>
      </c>
      <c r="M735" s="21">
        <f>COUNTIF($A$2:$A$5481,A735)</f>
        <v>1</v>
      </c>
      <c r="N735" s="24">
        <f t="shared" si="11"/>
        <v>7.35e-5</v>
      </c>
    </row>
    <row r="736" spans="1:14">
      <c r="A736" s="21" t="s">
        <v>240</v>
      </c>
      <c r="B736" s="21" t="s">
        <v>920</v>
      </c>
      <c r="C736" s="21" t="s">
        <v>26</v>
      </c>
      <c r="D736" s="21" t="s">
        <v>921</v>
      </c>
      <c r="E736" s="21">
        <v>2</v>
      </c>
      <c r="F736" s="22">
        <v>46036.5900925926</v>
      </c>
      <c r="G736" s="22">
        <v>46064.3587268519</v>
      </c>
      <c r="H736" s="23">
        <v>294</v>
      </c>
      <c r="I736" s="23">
        <v>98</v>
      </c>
      <c r="J736" s="24">
        <v>196</v>
      </c>
      <c r="K736" s="21">
        <v>0</v>
      </c>
      <c r="L736" s="21">
        <v>0</v>
      </c>
      <c r="M736" s="21">
        <f>COUNTIF($A$2:$A$5481,A736)</f>
        <v>1</v>
      </c>
      <c r="N736" s="24">
        <f t="shared" si="11"/>
        <v>196.0000736</v>
      </c>
    </row>
    <row r="737" spans="1:14">
      <c r="A737" s="21" t="s">
        <v>327</v>
      </c>
      <c r="B737" s="21" t="s">
        <v>920</v>
      </c>
      <c r="C737" s="21" t="s">
        <v>26</v>
      </c>
      <c r="D737" s="21" t="s">
        <v>921</v>
      </c>
      <c r="E737" s="21">
        <v>0</v>
      </c>
      <c r="F737" s="22">
        <v>46101.5003240741</v>
      </c>
      <c r="G737" s="22">
        <v>46106.6881018519</v>
      </c>
      <c r="H737" s="23">
        <v>229</v>
      </c>
      <c r="I737" s="23">
        <v>229</v>
      </c>
      <c r="J737" s="24">
        <v>0</v>
      </c>
      <c r="K737" s="21">
        <v>0</v>
      </c>
      <c r="L737" s="21">
        <v>0</v>
      </c>
      <c r="M737" s="21">
        <f>COUNTIF($A$2:$A$5481,A737)</f>
        <v>1</v>
      </c>
      <c r="N737" s="24">
        <f t="shared" si="11"/>
        <v>7.37e-5</v>
      </c>
    </row>
    <row r="738" spans="1:14">
      <c r="A738" s="21" t="s">
        <v>165</v>
      </c>
      <c r="B738" s="21" t="s">
        <v>920</v>
      </c>
      <c r="C738" s="21" t="s">
        <v>26</v>
      </c>
      <c r="D738" s="21" t="s">
        <v>921</v>
      </c>
      <c r="E738" s="21">
        <v>0</v>
      </c>
      <c r="F738" s="22">
        <v>46055.7260069445</v>
      </c>
      <c r="G738" s="22">
        <v>46282.7153472222</v>
      </c>
      <c r="H738" s="23">
        <v>275.44</v>
      </c>
      <c r="I738" s="23">
        <v>100.3428571429</v>
      </c>
      <c r="J738" s="24">
        <v>0</v>
      </c>
      <c r="K738" s="21">
        <v>0</v>
      </c>
      <c r="L738" s="21">
        <v>0</v>
      </c>
      <c r="M738" s="21">
        <f>COUNTIF($A$2:$A$5481,A738)</f>
        <v>2</v>
      </c>
      <c r="N738" s="24">
        <f t="shared" si="11"/>
        <v>7.38e-5</v>
      </c>
    </row>
    <row r="739" spans="1:14">
      <c r="A739" s="21" t="s">
        <v>165</v>
      </c>
      <c r="B739" s="21" t="s">
        <v>920</v>
      </c>
      <c r="C739" s="21" t="s">
        <v>35</v>
      </c>
      <c r="D739" s="21" t="s">
        <v>921</v>
      </c>
      <c r="E739" s="21">
        <v>10</v>
      </c>
      <c r="F739" s="22">
        <v>46128.5863888889</v>
      </c>
      <c r="G739" s="22">
        <v>46036.3594444445</v>
      </c>
      <c r="H739" s="23">
        <v>1413.6</v>
      </c>
      <c r="I739" s="23">
        <v>141.359999</v>
      </c>
      <c r="J739" s="24">
        <v>1413.6</v>
      </c>
      <c r="K739" s="21">
        <v>0</v>
      </c>
      <c r="L739" s="21">
        <v>0</v>
      </c>
      <c r="M739" s="21">
        <f>COUNTIF($A$2:$A$5481,A739)</f>
        <v>2</v>
      </c>
      <c r="N739" s="24">
        <f t="shared" si="11"/>
        <v>1413.6000739</v>
      </c>
    </row>
    <row r="740" spans="1:14">
      <c r="A740" s="21" t="s">
        <v>1485</v>
      </c>
      <c r="B740" s="21" t="s">
        <v>920</v>
      </c>
      <c r="C740" s="21" t="s">
        <v>26</v>
      </c>
      <c r="D740" s="21" t="s">
        <v>921</v>
      </c>
      <c r="E740" s="21">
        <v>4</v>
      </c>
      <c r="F740" s="22">
        <v>45971.3565162037</v>
      </c>
      <c r="G740" s="22"/>
      <c r="H740" s="23">
        <v>460</v>
      </c>
      <c r="I740" s="23">
        <v>115</v>
      </c>
      <c r="J740" s="24">
        <v>460</v>
      </c>
      <c r="K740" s="21">
        <v>0</v>
      </c>
      <c r="L740" s="21">
        <v>0</v>
      </c>
      <c r="M740" s="21">
        <f>COUNTIF($A$2:$A$5481,A740)</f>
        <v>1</v>
      </c>
      <c r="N740" s="24">
        <f t="shared" si="11"/>
        <v>460.000074</v>
      </c>
    </row>
    <row r="741" spans="1:14">
      <c r="A741" s="21" t="s">
        <v>1486</v>
      </c>
      <c r="B741" s="21" t="s">
        <v>920</v>
      </c>
      <c r="C741" s="21" t="s">
        <v>26</v>
      </c>
      <c r="D741" s="21" t="s">
        <v>921</v>
      </c>
      <c r="E741" s="21">
        <v>2</v>
      </c>
      <c r="F741" s="22">
        <v>45604.7444212963</v>
      </c>
      <c r="G741" s="22"/>
      <c r="H741" s="23">
        <v>254</v>
      </c>
      <c r="I741" s="23">
        <v>127</v>
      </c>
      <c r="J741" s="24">
        <v>254</v>
      </c>
      <c r="K741" s="21">
        <v>0</v>
      </c>
      <c r="L741" s="21">
        <v>0</v>
      </c>
      <c r="M741" s="21">
        <f>COUNTIF($A$2:$A$5481,A741)</f>
        <v>1</v>
      </c>
      <c r="N741" s="24">
        <f t="shared" si="11"/>
        <v>254.0000741</v>
      </c>
    </row>
    <row r="742" spans="1:14">
      <c r="A742" s="21" t="s">
        <v>1487</v>
      </c>
      <c r="B742" s="21" t="s">
        <v>920</v>
      </c>
      <c r="C742" s="21" t="s">
        <v>26</v>
      </c>
      <c r="D742" s="21" t="s">
        <v>921</v>
      </c>
      <c r="E742" s="21">
        <v>0</v>
      </c>
      <c r="F742" s="22">
        <v>45559.6145833333</v>
      </c>
      <c r="G742" s="22">
        <v>45840.429849537</v>
      </c>
      <c r="H742" s="23">
        <v>157.49</v>
      </c>
      <c r="I742" s="23">
        <v>157.49</v>
      </c>
      <c r="J742" s="24">
        <v>0</v>
      </c>
      <c r="K742" s="21">
        <v>0</v>
      </c>
      <c r="L742" s="21">
        <v>0</v>
      </c>
      <c r="M742" s="21">
        <f>COUNTIF($A$2:$A$5481,A742)</f>
        <v>1</v>
      </c>
      <c r="N742" s="24">
        <f t="shared" si="11"/>
        <v>7.42e-5</v>
      </c>
    </row>
    <row r="743" spans="1:14">
      <c r="A743" s="21" t="s">
        <v>312</v>
      </c>
      <c r="B743" s="21" t="s">
        <v>920</v>
      </c>
      <c r="C743" s="21" t="s">
        <v>26</v>
      </c>
      <c r="D743" s="21" t="s">
        <v>921</v>
      </c>
      <c r="E743" s="21">
        <v>2</v>
      </c>
      <c r="F743" s="22">
        <v>45607.6931944444</v>
      </c>
      <c r="G743" s="22">
        <v>46097.4596296296</v>
      </c>
      <c r="H743" s="23">
        <v>238</v>
      </c>
      <c r="I743" s="23">
        <v>102.2</v>
      </c>
      <c r="J743" s="24">
        <v>204.4</v>
      </c>
      <c r="K743" s="21">
        <v>0</v>
      </c>
      <c r="L743" s="21">
        <v>0</v>
      </c>
      <c r="M743" s="21">
        <f>COUNTIF($A$2:$A$5481,A743)</f>
        <v>1</v>
      </c>
      <c r="N743" s="24">
        <f t="shared" si="11"/>
        <v>204.4000743</v>
      </c>
    </row>
    <row r="744" spans="1:14">
      <c r="A744" s="21" t="s">
        <v>326</v>
      </c>
      <c r="B744" s="21" t="s">
        <v>920</v>
      </c>
      <c r="C744" s="21" t="s">
        <v>26</v>
      </c>
      <c r="D744" s="21" t="s">
        <v>921</v>
      </c>
      <c r="E744" s="21">
        <v>3</v>
      </c>
      <c r="F744" s="22">
        <v>46129.6563541667</v>
      </c>
      <c r="G744" s="22">
        <v>46106.6880902778</v>
      </c>
      <c r="H744" s="23">
        <v>143.8</v>
      </c>
      <c r="I744" s="23">
        <v>71.9</v>
      </c>
      <c r="J744" s="24">
        <v>215.7</v>
      </c>
      <c r="K744" s="21">
        <v>0</v>
      </c>
      <c r="L744" s="21">
        <v>0</v>
      </c>
      <c r="M744" s="21">
        <f>COUNTIF($A$2:$A$5481,A744)</f>
        <v>1</v>
      </c>
      <c r="N744" s="24">
        <f t="shared" si="11"/>
        <v>215.7000744</v>
      </c>
    </row>
    <row r="745" spans="1:14">
      <c r="A745" s="21" t="s">
        <v>1488</v>
      </c>
      <c r="B745" s="21" t="s">
        <v>920</v>
      </c>
      <c r="C745" s="21" t="s">
        <v>35</v>
      </c>
      <c r="D745" s="21" t="s">
        <v>931</v>
      </c>
      <c r="E745" s="21">
        <v>2</v>
      </c>
      <c r="F745" s="22">
        <v>45524.5841203704</v>
      </c>
      <c r="G745" s="22"/>
      <c r="H745" s="23">
        <v>1440</v>
      </c>
      <c r="I745" s="23">
        <v>720</v>
      </c>
      <c r="J745" s="24">
        <v>1440</v>
      </c>
      <c r="K745" s="21">
        <v>0</v>
      </c>
      <c r="L745" s="21">
        <v>0</v>
      </c>
      <c r="M745" s="21">
        <f>COUNTIF($A$2:$A$5481,A745)</f>
        <v>1</v>
      </c>
      <c r="N745" s="24">
        <f t="shared" si="11"/>
        <v>1440.0000745</v>
      </c>
    </row>
    <row r="746" spans="1:14">
      <c r="A746" s="21" t="s">
        <v>1489</v>
      </c>
      <c r="B746" s="21" t="s">
        <v>929</v>
      </c>
      <c r="C746" s="21" t="s">
        <v>414</v>
      </c>
      <c r="D746" s="21" t="s">
        <v>921</v>
      </c>
      <c r="E746" s="21">
        <v>1</v>
      </c>
      <c r="F746" s="22">
        <v>45293.3591898148</v>
      </c>
      <c r="G746" s="22"/>
      <c r="H746" s="23">
        <v>393.57</v>
      </c>
      <c r="I746" s="23">
        <v>393.57</v>
      </c>
      <c r="J746" s="24">
        <v>393.57</v>
      </c>
      <c r="K746" s="21">
        <v>0</v>
      </c>
      <c r="L746" s="21">
        <v>0</v>
      </c>
      <c r="M746" s="21">
        <f>COUNTIF($A$2:$A$5481,A746)</f>
        <v>2</v>
      </c>
      <c r="N746" s="24">
        <f t="shared" si="11"/>
        <v>393.5700746</v>
      </c>
    </row>
    <row r="747" spans="1:14">
      <c r="A747" s="21" t="s">
        <v>1489</v>
      </c>
      <c r="B747" s="21" t="s">
        <v>929</v>
      </c>
      <c r="C747" s="21" t="s">
        <v>35</v>
      </c>
      <c r="D747" s="21" t="s">
        <v>921</v>
      </c>
      <c r="E747" s="21">
        <v>1</v>
      </c>
      <c r="F747" s="22">
        <v>45329.4507175926</v>
      </c>
      <c r="G747" s="22"/>
      <c r="H747" s="23">
        <v>393.57</v>
      </c>
      <c r="I747" s="23">
        <v>393.57</v>
      </c>
      <c r="J747" s="24">
        <v>393.57</v>
      </c>
      <c r="K747" s="21">
        <v>0</v>
      </c>
      <c r="L747" s="21">
        <v>0</v>
      </c>
      <c r="M747" s="21">
        <f>COUNTIF($A$2:$A$5481,A747)</f>
        <v>2</v>
      </c>
      <c r="N747" s="24">
        <f t="shared" si="11"/>
        <v>393.5700747</v>
      </c>
    </row>
    <row r="748" spans="1:14">
      <c r="A748" s="21" t="s">
        <v>1490</v>
      </c>
      <c r="B748" s="21" t="s">
        <v>26</v>
      </c>
      <c r="C748" s="21" t="s">
        <v>26</v>
      </c>
      <c r="D748" s="21" t="s">
        <v>921</v>
      </c>
      <c r="E748" s="21">
        <v>0</v>
      </c>
      <c r="F748" s="22">
        <v>45666.4355787037</v>
      </c>
      <c r="G748" s="22">
        <v>45673.4304513889</v>
      </c>
      <c r="H748" s="23">
        <v>988.27</v>
      </c>
      <c r="I748" s="23">
        <v>0</v>
      </c>
      <c r="J748" s="24">
        <v>0</v>
      </c>
      <c r="K748" s="21">
        <v>0</v>
      </c>
      <c r="L748" s="21">
        <v>0</v>
      </c>
      <c r="M748" s="21">
        <f>COUNTIF($A$2:$A$5481,A748)</f>
        <v>1</v>
      </c>
      <c r="N748" s="24">
        <f t="shared" si="11"/>
        <v>7.48e-5</v>
      </c>
    </row>
    <row r="749" spans="1:14">
      <c r="A749" s="21" t="s">
        <v>1491</v>
      </c>
      <c r="B749" s="21" t="s">
        <v>1492</v>
      </c>
      <c r="C749" s="21" t="s">
        <v>51</v>
      </c>
      <c r="D749" s="21" t="s">
        <v>921</v>
      </c>
      <c r="E749" s="21">
        <v>2</v>
      </c>
      <c r="F749" s="22">
        <v>45352.5891203704</v>
      </c>
      <c r="G749" s="22"/>
      <c r="H749" s="23">
        <v>22</v>
      </c>
      <c r="I749" s="23">
        <v>11</v>
      </c>
      <c r="J749" s="24">
        <v>22</v>
      </c>
      <c r="K749" s="21">
        <v>0</v>
      </c>
      <c r="L749" s="21">
        <v>0</v>
      </c>
      <c r="M749" s="21">
        <f>COUNTIF($A$2:$A$5481,A749)</f>
        <v>1</v>
      </c>
      <c r="N749" s="24">
        <f t="shared" si="11"/>
        <v>22.0000749</v>
      </c>
    </row>
    <row r="750" spans="1:14">
      <c r="A750" s="21" t="s">
        <v>1493</v>
      </c>
      <c r="B750" s="21" t="s">
        <v>920</v>
      </c>
      <c r="C750" s="21" t="s">
        <v>26</v>
      </c>
      <c r="D750" s="21" t="s">
        <v>921</v>
      </c>
      <c r="E750" s="21">
        <v>4</v>
      </c>
      <c r="F750" s="22">
        <v>45404.6210763889</v>
      </c>
      <c r="G750" s="22"/>
      <c r="H750" s="23">
        <v>160</v>
      </c>
      <c r="I750" s="23">
        <v>40</v>
      </c>
      <c r="J750" s="24">
        <v>160</v>
      </c>
      <c r="K750" s="21">
        <v>0</v>
      </c>
      <c r="L750" s="21">
        <v>0</v>
      </c>
      <c r="M750" s="21">
        <f>COUNTIF($A$2:$A$5481,A750)</f>
        <v>1</v>
      </c>
      <c r="N750" s="24">
        <f t="shared" si="11"/>
        <v>160.000075</v>
      </c>
    </row>
    <row r="751" spans="1:14">
      <c r="A751" s="21" t="s">
        <v>1494</v>
      </c>
      <c r="B751" s="21" t="s">
        <v>920</v>
      </c>
      <c r="C751" s="21" t="s">
        <v>35</v>
      </c>
      <c r="D751" s="21" t="s">
        <v>931</v>
      </c>
      <c r="E751" s="21">
        <v>0</v>
      </c>
      <c r="F751" s="22">
        <v>45813.4097453704</v>
      </c>
      <c r="G751" s="22">
        <v>45817.4374421296</v>
      </c>
      <c r="H751" s="23">
        <v>28.48</v>
      </c>
      <c r="I751" s="23">
        <v>3.56</v>
      </c>
      <c r="J751" s="24">
        <v>0</v>
      </c>
      <c r="K751" s="21">
        <v>0</v>
      </c>
      <c r="L751" s="21">
        <v>0</v>
      </c>
      <c r="M751" s="21">
        <f>COUNTIF($A$2:$A$5481,A751)</f>
        <v>1</v>
      </c>
      <c r="N751" s="24">
        <f t="shared" si="11"/>
        <v>7.51e-5</v>
      </c>
    </row>
    <row r="752" spans="1:14">
      <c r="A752" s="21" t="s">
        <v>1495</v>
      </c>
      <c r="B752" s="21" t="s">
        <v>920</v>
      </c>
      <c r="C752" s="21" t="s">
        <v>26</v>
      </c>
      <c r="D752" s="21" t="s">
        <v>921</v>
      </c>
      <c r="E752" s="21">
        <v>1</v>
      </c>
      <c r="F752" s="22">
        <v>45469.6143518519</v>
      </c>
      <c r="G752" s="22">
        <v>45469.654837963</v>
      </c>
      <c r="H752" s="23">
        <v>620</v>
      </c>
      <c r="I752" s="23">
        <v>310</v>
      </c>
      <c r="J752" s="24">
        <v>310</v>
      </c>
      <c r="K752" s="21">
        <v>0</v>
      </c>
      <c r="L752" s="21">
        <v>0</v>
      </c>
      <c r="M752" s="21">
        <f>COUNTIF($A$2:$A$5481,A752)</f>
        <v>1</v>
      </c>
      <c r="N752" s="24">
        <f t="shared" si="11"/>
        <v>310.0000752</v>
      </c>
    </row>
    <row r="753" spans="1:14">
      <c r="A753" s="21" t="s">
        <v>1496</v>
      </c>
      <c r="B753" s="21" t="s">
        <v>920</v>
      </c>
      <c r="C753" s="21" t="s">
        <v>35</v>
      </c>
      <c r="D753" s="21" t="s">
        <v>931</v>
      </c>
      <c r="E753" s="21">
        <v>4</v>
      </c>
      <c r="F753" s="22">
        <v>45813.4035069444</v>
      </c>
      <c r="G753" s="22"/>
      <c r="H753" s="23">
        <v>20.48</v>
      </c>
      <c r="I753" s="23">
        <v>5.12</v>
      </c>
      <c r="J753" s="24">
        <v>20.48</v>
      </c>
      <c r="K753" s="21">
        <v>0</v>
      </c>
      <c r="L753" s="21">
        <v>0</v>
      </c>
      <c r="M753" s="21">
        <f>COUNTIF($A$2:$A$5481,A753)</f>
        <v>1</v>
      </c>
      <c r="N753" s="24">
        <f t="shared" si="11"/>
        <v>20.4800753</v>
      </c>
    </row>
    <row r="754" spans="1:14">
      <c r="A754" s="21" t="s">
        <v>1497</v>
      </c>
      <c r="B754" s="21" t="s">
        <v>26</v>
      </c>
      <c r="C754" s="21" t="s">
        <v>182</v>
      </c>
      <c r="D754" s="21" t="s">
        <v>921</v>
      </c>
      <c r="E754" s="21">
        <v>1</v>
      </c>
      <c r="F754" s="22">
        <v>45521.7527777778</v>
      </c>
      <c r="G754" s="22"/>
      <c r="H754" s="23">
        <v>1500</v>
      </c>
      <c r="I754" s="23">
        <v>1500</v>
      </c>
      <c r="J754" s="24">
        <v>1500</v>
      </c>
      <c r="K754" s="21">
        <v>0</v>
      </c>
      <c r="L754" s="21">
        <v>0</v>
      </c>
      <c r="M754" s="21">
        <f>COUNTIF($A$2:$A$5481,A754)</f>
        <v>1</v>
      </c>
      <c r="N754" s="24">
        <f t="shared" si="11"/>
        <v>1500.0000754</v>
      </c>
    </row>
    <row r="755" spans="1:14">
      <c r="A755" s="21" t="s">
        <v>677</v>
      </c>
      <c r="B755" s="21" t="s">
        <v>26</v>
      </c>
      <c r="C755" s="21" t="s">
        <v>26</v>
      </c>
      <c r="D755" s="21" t="s">
        <v>921</v>
      </c>
      <c r="E755" s="21">
        <v>0</v>
      </c>
      <c r="F755" s="22">
        <v>46184.6832986111</v>
      </c>
      <c r="G755" s="22">
        <v>46252.5531018519</v>
      </c>
      <c r="H755" s="23">
        <v>175.34</v>
      </c>
      <c r="I755" s="23">
        <v>175.34</v>
      </c>
      <c r="J755" s="24">
        <v>0</v>
      </c>
      <c r="K755" s="21">
        <v>0</v>
      </c>
      <c r="L755" s="21">
        <v>0</v>
      </c>
      <c r="M755" s="21">
        <f>COUNTIF($A$2:$A$5481,A755)</f>
        <v>1</v>
      </c>
      <c r="N755" s="24">
        <f t="shared" si="11"/>
        <v>7.55e-5</v>
      </c>
    </row>
    <row r="756" spans="1:14">
      <c r="A756" s="21" t="s">
        <v>1498</v>
      </c>
      <c r="B756" s="21" t="s">
        <v>1346</v>
      </c>
      <c r="C756" s="21" t="s">
        <v>390</v>
      </c>
      <c r="D756" s="21" t="s">
        <v>921</v>
      </c>
      <c r="E756" s="21">
        <v>6</v>
      </c>
      <c r="F756" s="22">
        <v>45427.475</v>
      </c>
      <c r="G756" s="22"/>
      <c r="H756" s="23">
        <v>9766.08</v>
      </c>
      <c r="I756" s="23">
        <v>1627.68</v>
      </c>
      <c r="J756" s="24">
        <v>9766.08</v>
      </c>
      <c r="K756" s="21">
        <v>0</v>
      </c>
      <c r="L756" s="21">
        <v>0</v>
      </c>
      <c r="M756" s="21">
        <f>COUNTIF($A$2:$A$5481,A756)</f>
        <v>1</v>
      </c>
      <c r="N756" s="24">
        <f t="shared" si="11"/>
        <v>9766.0800756</v>
      </c>
    </row>
    <row r="757" spans="1:14">
      <c r="A757" s="21" t="s">
        <v>1499</v>
      </c>
      <c r="B757" s="21" t="s">
        <v>1346</v>
      </c>
      <c r="C757" s="21" t="s">
        <v>390</v>
      </c>
      <c r="D757" s="21" t="s">
        <v>921</v>
      </c>
      <c r="E757" s="21">
        <v>44</v>
      </c>
      <c r="F757" s="22">
        <v>45674.3925694445</v>
      </c>
      <c r="G757" s="22"/>
      <c r="H757" s="23">
        <v>8456.8</v>
      </c>
      <c r="I757" s="23">
        <v>370.10909</v>
      </c>
      <c r="J757" s="24">
        <v>16284.84</v>
      </c>
      <c r="K757" s="21">
        <v>0</v>
      </c>
      <c r="L757" s="21">
        <v>0</v>
      </c>
      <c r="M757" s="21">
        <f>COUNTIF($A$2:$A$5481,A757)</f>
        <v>1</v>
      </c>
      <c r="N757" s="24">
        <f t="shared" si="11"/>
        <v>16284.8400757</v>
      </c>
    </row>
    <row r="758" spans="1:14">
      <c r="A758" s="21" t="s">
        <v>1500</v>
      </c>
      <c r="B758" s="21" t="s">
        <v>1346</v>
      </c>
      <c r="C758" s="21" t="s">
        <v>390</v>
      </c>
      <c r="D758" s="21" t="s">
        <v>921</v>
      </c>
      <c r="E758" s="21">
        <v>36</v>
      </c>
      <c r="F758" s="22">
        <v>45574.3473726852</v>
      </c>
      <c r="G758" s="22"/>
      <c r="H758" s="23">
        <v>4463.64</v>
      </c>
      <c r="I758" s="23">
        <v>123.99</v>
      </c>
      <c r="J758" s="24">
        <v>4463.64</v>
      </c>
      <c r="K758" s="21">
        <v>0</v>
      </c>
      <c r="L758" s="21">
        <v>0</v>
      </c>
      <c r="M758" s="21">
        <f>COUNTIF($A$2:$A$5481,A758)</f>
        <v>2</v>
      </c>
      <c r="N758" s="24">
        <f t="shared" si="11"/>
        <v>4463.6400758</v>
      </c>
    </row>
    <row r="759" spans="1:14">
      <c r="A759" s="21" t="s">
        <v>1500</v>
      </c>
      <c r="B759" s="21" t="s">
        <v>1346</v>
      </c>
      <c r="C759" s="21" t="s">
        <v>51</v>
      </c>
      <c r="D759" s="21" t="s">
        <v>921</v>
      </c>
      <c r="E759" s="21">
        <v>3.6</v>
      </c>
      <c r="F759" s="22">
        <v>45588.4806481482</v>
      </c>
      <c r="G759" s="22"/>
      <c r="H759" s="23">
        <v>4687.13</v>
      </c>
      <c r="I759" s="23">
        <v>1301.98056</v>
      </c>
      <c r="J759" s="24">
        <v>4687.128</v>
      </c>
      <c r="K759" s="21">
        <v>0</v>
      </c>
      <c r="L759" s="21">
        <v>0</v>
      </c>
      <c r="M759" s="21">
        <f>COUNTIF($A$2:$A$5481,A759)</f>
        <v>2</v>
      </c>
      <c r="N759" s="24">
        <f t="shared" si="11"/>
        <v>4687.1280759</v>
      </c>
    </row>
    <row r="760" spans="1:14">
      <c r="A760" s="21" t="s">
        <v>1501</v>
      </c>
      <c r="B760" s="21" t="s">
        <v>1346</v>
      </c>
      <c r="C760" s="21" t="s">
        <v>26</v>
      </c>
      <c r="D760" s="21" t="s">
        <v>921</v>
      </c>
      <c r="E760" s="21">
        <v>7.5</v>
      </c>
      <c r="F760" s="22">
        <v>45440.3777777778</v>
      </c>
      <c r="G760" s="22"/>
      <c r="H760" s="23">
        <v>1912.28</v>
      </c>
      <c r="I760" s="23">
        <v>254.97067</v>
      </c>
      <c r="J760" s="24">
        <v>1912.275</v>
      </c>
      <c r="K760" s="21">
        <v>0</v>
      </c>
      <c r="L760" s="21">
        <v>0</v>
      </c>
      <c r="M760" s="21">
        <f>COUNTIF($A$2:$A$5481,A760)</f>
        <v>1</v>
      </c>
      <c r="N760" s="24">
        <f t="shared" si="11"/>
        <v>1912.275076</v>
      </c>
    </row>
    <row r="761" spans="1:14">
      <c r="A761" s="21" t="s">
        <v>1502</v>
      </c>
      <c r="B761" s="21" t="s">
        <v>1346</v>
      </c>
      <c r="C761" s="21" t="s">
        <v>390</v>
      </c>
      <c r="D761" s="21" t="s">
        <v>921</v>
      </c>
      <c r="E761" s="21">
        <v>0</v>
      </c>
      <c r="F761" s="22">
        <v>45315.75</v>
      </c>
      <c r="G761" s="22">
        <v>45348.5015856482</v>
      </c>
      <c r="H761" s="23">
        <v>4933.5</v>
      </c>
      <c r="I761" s="23">
        <v>2466.75</v>
      </c>
      <c r="J761" s="24">
        <v>0</v>
      </c>
      <c r="K761" s="21">
        <v>0</v>
      </c>
      <c r="L761" s="21">
        <v>0</v>
      </c>
      <c r="M761" s="21">
        <f>COUNTIF($A$2:$A$5481,A761)</f>
        <v>1</v>
      </c>
      <c r="N761" s="24">
        <f t="shared" si="11"/>
        <v>7.61e-5</v>
      </c>
    </row>
    <row r="762" spans="1:14">
      <c r="A762" s="21" t="s">
        <v>1503</v>
      </c>
      <c r="B762" s="21" t="s">
        <v>1346</v>
      </c>
      <c r="C762" s="21" t="s">
        <v>390</v>
      </c>
      <c r="D762" s="21" t="s">
        <v>921</v>
      </c>
      <c r="E762" s="21">
        <v>44.8</v>
      </c>
      <c r="F762" s="22">
        <v>45574.3474421296</v>
      </c>
      <c r="G762" s="22">
        <v>45348.4992708333</v>
      </c>
      <c r="H762" s="23">
        <v>8616</v>
      </c>
      <c r="I762" s="23">
        <v>402.06964</v>
      </c>
      <c r="J762" s="24">
        <v>18012.736</v>
      </c>
      <c r="K762" s="21">
        <v>0</v>
      </c>
      <c r="L762" s="21">
        <v>0</v>
      </c>
      <c r="M762" s="21">
        <f>COUNTIF($A$2:$A$5481,A762)</f>
        <v>1</v>
      </c>
      <c r="N762" s="24">
        <f t="shared" si="11"/>
        <v>18012.7360762</v>
      </c>
    </row>
    <row r="763" spans="1:14">
      <c r="A763" s="21" t="s">
        <v>1504</v>
      </c>
      <c r="B763" s="21" t="s">
        <v>1346</v>
      </c>
      <c r="C763" s="21" t="s">
        <v>390</v>
      </c>
      <c r="D763" s="21" t="s">
        <v>921</v>
      </c>
      <c r="E763" s="21">
        <v>3</v>
      </c>
      <c r="F763" s="22">
        <v>45674.3925694445</v>
      </c>
      <c r="G763" s="22">
        <v>45348.4992592593</v>
      </c>
      <c r="H763" s="23">
        <v>5565.78</v>
      </c>
      <c r="I763" s="23">
        <v>1855.26001</v>
      </c>
      <c r="J763" s="24">
        <v>5565.78</v>
      </c>
      <c r="K763" s="21">
        <v>0</v>
      </c>
      <c r="L763" s="21">
        <v>0</v>
      </c>
      <c r="M763" s="21">
        <f>COUNTIF($A$2:$A$5481,A763)</f>
        <v>1</v>
      </c>
      <c r="N763" s="24">
        <f t="shared" si="11"/>
        <v>5565.7800763</v>
      </c>
    </row>
    <row r="764" spans="1:14">
      <c r="A764" s="21" t="s">
        <v>1505</v>
      </c>
      <c r="B764" s="21" t="s">
        <v>1346</v>
      </c>
      <c r="C764" s="21" t="s">
        <v>51</v>
      </c>
      <c r="D764" s="21" t="s">
        <v>921</v>
      </c>
      <c r="E764" s="21">
        <v>6.4</v>
      </c>
      <c r="F764" s="22">
        <v>45588.4806481482</v>
      </c>
      <c r="G764" s="22"/>
      <c r="H764" s="23">
        <v>7088.45</v>
      </c>
      <c r="I764" s="23">
        <v>1107.57031</v>
      </c>
      <c r="J764" s="24">
        <v>7088.448</v>
      </c>
      <c r="K764" s="21">
        <v>0</v>
      </c>
      <c r="L764" s="21">
        <v>0</v>
      </c>
      <c r="M764" s="21">
        <f>COUNTIF($A$2:$A$5481,A764)</f>
        <v>2</v>
      </c>
      <c r="N764" s="24">
        <f t="shared" si="11"/>
        <v>7088.4480764</v>
      </c>
    </row>
    <row r="765" spans="1:14">
      <c r="A765" s="21" t="s">
        <v>1505</v>
      </c>
      <c r="B765" s="21" t="s">
        <v>1346</v>
      </c>
      <c r="C765" s="21" t="s">
        <v>390</v>
      </c>
      <c r="D765" s="21" t="s">
        <v>921</v>
      </c>
      <c r="E765" s="21">
        <v>404</v>
      </c>
      <c r="F765" s="22">
        <v>45674.3925694445</v>
      </c>
      <c r="G765" s="22">
        <v>45348.4992476852</v>
      </c>
      <c r="H765" s="23">
        <v>104.6688</v>
      </c>
      <c r="I765" s="23">
        <v>10.21948</v>
      </c>
      <c r="J765" s="24">
        <v>4128.88</v>
      </c>
      <c r="K765" s="21">
        <v>0</v>
      </c>
      <c r="L765" s="21">
        <v>0</v>
      </c>
      <c r="M765" s="21">
        <f>COUNTIF($A$2:$A$5481,A765)</f>
        <v>2</v>
      </c>
      <c r="N765" s="24">
        <f t="shared" si="11"/>
        <v>4128.8800765</v>
      </c>
    </row>
    <row r="766" spans="1:14">
      <c r="A766" s="21" t="s">
        <v>1506</v>
      </c>
      <c r="B766" s="21" t="s">
        <v>1346</v>
      </c>
      <c r="C766" s="21" t="s">
        <v>390</v>
      </c>
      <c r="D766" s="21" t="s">
        <v>921</v>
      </c>
      <c r="E766" s="21">
        <v>5.6</v>
      </c>
      <c r="F766" s="22">
        <v>46006.5381944445</v>
      </c>
      <c r="G766" s="22">
        <v>45348.4992361111</v>
      </c>
      <c r="H766" s="23">
        <v>977.9</v>
      </c>
      <c r="I766" s="23">
        <v>722.8800035714</v>
      </c>
      <c r="J766" s="24">
        <v>4048.128</v>
      </c>
      <c r="K766" s="21">
        <v>0</v>
      </c>
      <c r="L766" s="21">
        <v>0</v>
      </c>
      <c r="M766" s="21">
        <f>COUNTIF($A$2:$A$5481,A766)</f>
        <v>1</v>
      </c>
      <c r="N766" s="24">
        <f t="shared" si="11"/>
        <v>4048.1280766</v>
      </c>
    </row>
    <row r="767" spans="1:14">
      <c r="A767" s="21" t="s">
        <v>1507</v>
      </c>
      <c r="B767" s="21" t="s">
        <v>1346</v>
      </c>
      <c r="C767" s="21" t="s">
        <v>51</v>
      </c>
      <c r="D767" s="21" t="s">
        <v>921</v>
      </c>
      <c r="E767" s="21">
        <v>6.4</v>
      </c>
      <c r="F767" s="22">
        <v>45588.4806481482</v>
      </c>
      <c r="G767" s="22"/>
      <c r="H767" s="23">
        <v>3952.83</v>
      </c>
      <c r="I767" s="23">
        <v>617.62969</v>
      </c>
      <c r="J767" s="24">
        <v>3952.832</v>
      </c>
      <c r="K767" s="21">
        <v>0</v>
      </c>
      <c r="L767" s="21">
        <v>0</v>
      </c>
      <c r="M767" s="21">
        <f>COUNTIF($A$2:$A$5481,A767)</f>
        <v>2</v>
      </c>
      <c r="N767" s="24">
        <f t="shared" si="11"/>
        <v>3952.8320767</v>
      </c>
    </row>
    <row r="768" spans="1:14">
      <c r="A768" s="21" t="s">
        <v>1507</v>
      </c>
      <c r="B768" s="21" t="s">
        <v>1346</v>
      </c>
      <c r="C768" s="21" t="s">
        <v>390</v>
      </c>
      <c r="D768" s="21" t="s">
        <v>921</v>
      </c>
      <c r="E768" s="21">
        <v>8</v>
      </c>
      <c r="F768" s="22">
        <v>45674.3925694445</v>
      </c>
      <c r="G768" s="22">
        <v>45348.499224537</v>
      </c>
      <c r="H768" s="23">
        <v>5188.08</v>
      </c>
      <c r="I768" s="23">
        <v>648.51001</v>
      </c>
      <c r="J768" s="24">
        <v>5188.08</v>
      </c>
      <c r="K768" s="21">
        <v>0</v>
      </c>
      <c r="L768" s="21">
        <v>0</v>
      </c>
      <c r="M768" s="21">
        <f>COUNTIF($A$2:$A$5481,A768)</f>
        <v>2</v>
      </c>
      <c r="N768" s="24">
        <f t="shared" si="11"/>
        <v>5188.0800768</v>
      </c>
    </row>
    <row r="769" spans="1:14">
      <c r="A769" s="21" t="s">
        <v>1508</v>
      </c>
      <c r="B769" s="21" t="s">
        <v>1346</v>
      </c>
      <c r="C769" s="21" t="s">
        <v>390</v>
      </c>
      <c r="D769" s="21" t="s">
        <v>921</v>
      </c>
      <c r="E769" s="21">
        <v>0</v>
      </c>
      <c r="F769" s="22">
        <v>45321.7502430556</v>
      </c>
      <c r="G769" s="22">
        <v>45348.499212963</v>
      </c>
      <c r="H769" s="23">
        <v>8430.8</v>
      </c>
      <c r="I769" s="23">
        <v>421.54</v>
      </c>
      <c r="J769" s="24">
        <v>0</v>
      </c>
      <c r="K769" s="21">
        <v>0</v>
      </c>
      <c r="L769" s="21">
        <v>0</v>
      </c>
      <c r="M769" s="21">
        <f>COUNTIF($A$2:$A$5481,A769)</f>
        <v>1</v>
      </c>
      <c r="N769" s="24">
        <f t="shared" si="11"/>
        <v>7.69e-5</v>
      </c>
    </row>
    <row r="770" spans="1:14">
      <c r="A770" s="21" t="s">
        <v>1509</v>
      </c>
      <c r="B770" s="21" t="s">
        <v>1346</v>
      </c>
      <c r="C770" s="21" t="s">
        <v>51</v>
      </c>
      <c r="D770" s="21" t="s">
        <v>921</v>
      </c>
      <c r="E770" s="21">
        <v>20.7</v>
      </c>
      <c r="F770" s="22">
        <v>45588.4806481482</v>
      </c>
      <c r="G770" s="22"/>
      <c r="H770" s="23">
        <v>8491.55</v>
      </c>
      <c r="I770" s="23">
        <v>410.21981</v>
      </c>
      <c r="J770" s="24">
        <v>8491.554</v>
      </c>
      <c r="K770" s="21">
        <v>0</v>
      </c>
      <c r="L770" s="21">
        <v>0</v>
      </c>
      <c r="M770" s="21">
        <f>COUNTIF($A$2:$A$5481,A770)</f>
        <v>2</v>
      </c>
      <c r="N770" s="24">
        <f t="shared" ref="N770:N833" si="12">J770+ROW()/10000000</f>
        <v>8491.554077</v>
      </c>
    </row>
    <row r="771" spans="1:14">
      <c r="A771" s="21" t="s">
        <v>1509</v>
      </c>
      <c r="B771" s="21" t="s">
        <v>1346</v>
      </c>
      <c r="C771" s="21" t="s">
        <v>390</v>
      </c>
      <c r="D771" s="21" t="s">
        <v>921</v>
      </c>
      <c r="E771" s="21">
        <v>3813.4</v>
      </c>
      <c r="F771" s="22">
        <v>45783.4200925926</v>
      </c>
      <c r="G771" s="22">
        <v>45476.4336921296</v>
      </c>
      <c r="H771" s="23">
        <v>3774.024</v>
      </c>
      <c r="I771" s="23">
        <v>333.36902</v>
      </c>
      <c r="J771" s="24">
        <v>1271273.158</v>
      </c>
      <c r="K771" s="21">
        <v>0</v>
      </c>
      <c r="L771" s="21">
        <v>0</v>
      </c>
      <c r="M771" s="21">
        <f>COUNTIF($A$2:$A$5481,A771)</f>
        <v>2</v>
      </c>
      <c r="N771" s="24">
        <f t="shared" si="12"/>
        <v>1271273.1580771</v>
      </c>
    </row>
    <row r="772" spans="1:14">
      <c r="A772" s="21" t="s">
        <v>835</v>
      </c>
      <c r="B772" s="21" t="s">
        <v>1510</v>
      </c>
      <c r="C772" s="21" t="s">
        <v>390</v>
      </c>
      <c r="D772" s="21" t="s">
        <v>921</v>
      </c>
      <c r="E772" s="21">
        <v>0</v>
      </c>
      <c r="F772" s="22">
        <v>46260.4979166667</v>
      </c>
      <c r="G772" s="22">
        <v>46266.5020949074</v>
      </c>
      <c r="H772" s="23">
        <v>5117.5</v>
      </c>
      <c r="I772" s="23">
        <v>132.6851851852</v>
      </c>
      <c r="J772" s="24">
        <v>0</v>
      </c>
      <c r="K772" s="21">
        <v>0</v>
      </c>
      <c r="L772" s="21">
        <v>0</v>
      </c>
      <c r="M772" s="21">
        <f>COUNTIF($A$2:$A$5481,A772)</f>
        <v>1</v>
      </c>
      <c r="N772" s="24">
        <f t="shared" si="12"/>
        <v>7.72e-5</v>
      </c>
    </row>
    <row r="773" spans="1:14">
      <c r="A773" s="21" t="s">
        <v>1511</v>
      </c>
      <c r="B773" s="21" t="s">
        <v>26</v>
      </c>
      <c r="C773" s="21" t="s">
        <v>390</v>
      </c>
      <c r="D773" s="21" t="s">
        <v>921</v>
      </c>
      <c r="E773" s="21">
        <v>3</v>
      </c>
      <c r="F773" s="22">
        <v>45674.3925694445</v>
      </c>
      <c r="G773" s="22"/>
      <c r="H773" s="23">
        <v>3755.97</v>
      </c>
      <c r="I773" s="23">
        <v>1251.99</v>
      </c>
      <c r="J773" s="24">
        <v>3755.97</v>
      </c>
      <c r="K773" s="21">
        <v>0</v>
      </c>
      <c r="L773" s="21">
        <v>0</v>
      </c>
      <c r="M773" s="21">
        <f>COUNTIF($A$2:$A$5481,A773)</f>
        <v>1</v>
      </c>
      <c r="N773" s="24">
        <f t="shared" si="12"/>
        <v>3755.9700773</v>
      </c>
    </row>
    <row r="774" spans="1:14">
      <c r="A774" s="21" t="s">
        <v>1512</v>
      </c>
      <c r="B774" s="21" t="s">
        <v>26</v>
      </c>
      <c r="C774" s="21" t="s">
        <v>390</v>
      </c>
      <c r="D774" s="21" t="s">
        <v>921</v>
      </c>
      <c r="E774" s="21">
        <v>7</v>
      </c>
      <c r="F774" s="22">
        <v>45674.3925694445</v>
      </c>
      <c r="G774" s="22"/>
      <c r="H774" s="23">
        <v>5017.74</v>
      </c>
      <c r="I774" s="23">
        <v>716.82</v>
      </c>
      <c r="J774" s="24">
        <v>5017.74</v>
      </c>
      <c r="K774" s="21">
        <v>0</v>
      </c>
      <c r="L774" s="21">
        <v>0</v>
      </c>
      <c r="M774" s="21">
        <f>COUNTIF($A$2:$A$5481,A774)</f>
        <v>1</v>
      </c>
      <c r="N774" s="24">
        <f t="shared" si="12"/>
        <v>5017.7400774</v>
      </c>
    </row>
    <row r="775" spans="1:14">
      <c r="A775" s="21" t="s">
        <v>1513</v>
      </c>
      <c r="B775" s="21" t="s">
        <v>1510</v>
      </c>
      <c r="C775" s="21" t="s">
        <v>390</v>
      </c>
      <c r="D775" s="21" t="s">
        <v>921</v>
      </c>
      <c r="E775" s="21">
        <v>4000</v>
      </c>
      <c r="F775" s="22">
        <v>45671.7340277778</v>
      </c>
      <c r="G775" s="22"/>
      <c r="H775" s="23">
        <v>12920</v>
      </c>
      <c r="I775" s="23">
        <v>3.23</v>
      </c>
      <c r="J775" s="24">
        <v>12920</v>
      </c>
      <c r="K775" s="21">
        <v>0</v>
      </c>
      <c r="L775" s="21">
        <v>0</v>
      </c>
      <c r="M775" s="21">
        <f>COUNTIF($A$2:$A$5481,A775)</f>
        <v>1</v>
      </c>
      <c r="N775" s="24">
        <f t="shared" si="12"/>
        <v>12920.0000775</v>
      </c>
    </row>
    <row r="776" spans="1:14">
      <c r="A776" s="21" t="s">
        <v>1514</v>
      </c>
      <c r="B776" s="21" t="s">
        <v>1346</v>
      </c>
      <c r="C776" s="21" t="s">
        <v>390</v>
      </c>
      <c r="D776" s="21" t="s">
        <v>921</v>
      </c>
      <c r="E776" s="21">
        <v>50</v>
      </c>
      <c r="F776" s="22">
        <v>45574.3472916667</v>
      </c>
      <c r="G776" s="22"/>
      <c r="H776" s="23">
        <v>2770.4</v>
      </c>
      <c r="I776" s="23">
        <v>174.792</v>
      </c>
      <c r="J776" s="24">
        <v>8739.5</v>
      </c>
      <c r="K776" s="21">
        <v>0</v>
      </c>
      <c r="L776" s="21">
        <v>0</v>
      </c>
      <c r="M776" s="21">
        <f>COUNTIF($A$2:$A$5481,A776)</f>
        <v>1</v>
      </c>
      <c r="N776" s="24">
        <f t="shared" si="12"/>
        <v>8739.5000776</v>
      </c>
    </row>
    <row r="777" spans="1:14">
      <c r="A777" s="21" t="s">
        <v>1515</v>
      </c>
      <c r="B777" s="21" t="s">
        <v>1346</v>
      </c>
      <c r="C777" s="21" t="s">
        <v>390</v>
      </c>
      <c r="D777" s="21" t="s">
        <v>921</v>
      </c>
      <c r="E777" s="21">
        <v>142.6</v>
      </c>
      <c r="F777" s="22">
        <v>46148.5756944444</v>
      </c>
      <c r="G777" s="22"/>
      <c r="H777" s="23">
        <v>4236.4</v>
      </c>
      <c r="I777" s="23">
        <v>178.1879382889</v>
      </c>
      <c r="J777" s="24">
        <v>25409.894</v>
      </c>
      <c r="K777" s="21">
        <v>0</v>
      </c>
      <c r="L777" s="21">
        <v>0</v>
      </c>
      <c r="M777" s="21">
        <f>COUNTIF($A$2:$A$5481,A777)</f>
        <v>1</v>
      </c>
      <c r="N777" s="24">
        <f t="shared" si="12"/>
        <v>25409.8940777</v>
      </c>
    </row>
    <row r="778" spans="1:14">
      <c r="A778" s="21" t="s">
        <v>1516</v>
      </c>
      <c r="B778" s="21" t="s">
        <v>1346</v>
      </c>
      <c r="C778" s="21" t="s">
        <v>390</v>
      </c>
      <c r="D778" s="21" t="s">
        <v>921</v>
      </c>
      <c r="E778" s="21">
        <v>0</v>
      </c>
      <c r="F778" s="22">
        <v>45342.75</v>
      </c>
      <c r="G778" s="22">
        <v>45348.4992013889</v>
      </c>
      <c r="H778" s="23">
        <v>9228.9</v>
      </c>
      <c r="I778" s="23">
        <v>2884.03125</v>
      </c>
      <c r="J778" s="24">
        <v>0</v>
      </c>
      <c r="K778" s="21">
        <v>0</v>
      </c>
      <c r="L778" s="21">
        <v>0</v>
      </c>
      <c r="M778" s="21">
        <f>COUNTIF($A$2:$A$5481,A778)</f>
        <v>1</v>
      </c>
      <c r="N778" s="24">
        <f t="shared" si="12"/>
        <v>7.78e-5</v>
      </c>
    </row>
    <row r="779" spans="1:14">
      <c r="A779" s="21" t="s">
        <v>1517</v>
      </c>
      <c r="B779" s="21" t="s">
        <v>1346</v>
      </c>
      <c r="C779" s="21" t="s">
        <v>390</v>
      </c>
      <c r="D779" s="21" t="s">
        <v>921</v>
      </c>
      <c r="E779" s="21">
        <v>0</v>
      </c>
      <c r="F779" s="22">
        <v>45342.75</v>
      </c>
      <c r="G779" s="22">
        <v>45348.4991898148</v>
      </c>
      <c r="H779" s="23">
        <v>8675.1</v>
      </c>
      <c r="I779" s="23">
        <v>2891.7</v>
      </c>
      <c r="J779" s="24">
        <v>0</v>
      </c>
      <c r="K779" s="21">
        <v>0</v>
      </c>
      <c r="L779" s="21">
        <v>0</v>
      </c>
      <c r="M779" s="21">
        <f>COUNTIF($A$2:$A$5481,A779)</f>
        <v>1</v>
      </c>
      <c r="N779" s="24">
        <f t="shared" si="12"/>
        <v>7.79e-5</v>
      </c>
    </row>
    <row r="780" spans="1:14">
      <c r="A780" s="21" t="s">
        <v>1518</v>
      </c>
      <c r="B780" s="21" t="s">
        <v>1346</v>
      </c>
      <c r="C780" s="21" t="s">
        <v>390</v>
      </c>
      <c r="D780" s="21" t="s">
        <v>921</v>
      </c>
      <c r="E780" s="21">
        <v>0</v>
      </c>
      <c r="F780" s="22">
        <v>45315.75</v>
      </c>
      <c r="G780" s="22">
        <v>45348.4991782407</v>
      </c>
      <c r="H780" s="23">
        <v>1574.68</v>
      </c>
      <c r="I780" s="23">
        <v>1211.29231</v>
      </c>
      <c r="J780" s="24">
        <v>0</v>
      </c>
      <c r="K780" s="21">
        <v>0</v>
      </c>
      <c r="L780" s="21">
        <v>0</v>
      </c>
      <c r="M780" s="21">
        <f>COUNTIF($A$2:$A$5481,A780)</f>
        <v>1</v>
      </c>
      <c r="N780" s="24">
        <f t="shared" si="12"/>
        <v>7.8e-5</v>
      </c>
    </row>
    <row r="781" spans="1:14">
      <c r="A781" s="21" t="s">
        <v>837</v>
      </c>
      <c r="B781" s="21" t="s">
        <v>1346</v>
      </c>
      <c r="C781" s="21" t="s">
        <v>26</v>
      </c>
      <c r="D781" s="21" t="s">
        <v>921</v>
      </c>
      <c r="E781" s="21">
        <v>4</v>
      </c>
      <c r="F781" s="22">
        <v>45440.3777777778</v>
      </c>
      <c r="G781" s="22"/>
      <c r="H781" s="23">
        <v>5075.92</v>
      </c>
      <c r="I781" s="23">
        <v>1268.98</v>
      </c>
      <c r="J781" s="24">
        <v>5075.92</v>
      </c>
      <c r="K781" s="21">
        <v>0</v>
      </c>
      <c r="L781" s="21">
        <v>0</v>
      </c>
      <c r="M781" s="21">
        <f>COUNTIF($A$2:$A$5481,A781)</f>
        <v>2</v>
      </c>
      <c r="N781" s="24">
        <f t="shared" si="12"/>
        <v>5075.9200781</v>
      </c>
    </row>
    <row r="782" spans="1:14">
      <c r="A782" s="21" t="s">
        <v>837</v>
      </c>
      <c r="B782" s="21" t="s">
        <v>1346</v>
      </c>
      <c r="C782" s="21" t="s">
        <v>390</v>
      </c>
      <c r="D782" s="21" t="s">
        <v>921</v>
      </c>
      <c r="E782" s="21">
        <v>0</v>
      </c>
      <c r="F782" s="22">
        <v>46260.4979166667</v>
      </c>
      <c r="G782" s="22">
        <v>46266.5021180556</v>
      </c>
      <c r="H782" s="23">
        <v>1945.53</v>
      </c>
      <c r="I782" s="23">
        <v>648.51</v>
      </c>
      <c r="J782" s="24">
        <v>0</v>
      </c>
      <c r="K782" s="21">
        <v>0</v>
      </c>
      <c r="L782" s="21">
        <v>0</v>
      </c>
      <c r="M782" s="21">
        <f>COUNTIF($A$2:$A$5481,A782)</f>
        <v>2</v>
      </c>
      <c r="N782" s="24">
        <f t="shared" si="12"/>
        <v>7.82e-5</v>
      </c>
    </row>
    <row r="783" spans="1:14">
      <c r="A783" s="21" t="s">
        <v>1519</v>
      </c>
      <c r="B783" s="21" t="s">
        <v>1346</v>
      </c>
      <c r="C783" s="21" t="s">
        <v>26</v>
      </c>
      <c r="D783" s="21" t="s">
        <v>921</v>
      </c>
      <c r="E783" s="21">
        <v>4</v>
      </c>
      <c r="F783" s="22">
        <v>45440.3777777778</v>
      </c>
      <c r="G783" s="22"/>
      <c r="H783" s="23">
        <v>4037.68</v>
      </c>
      <c r="I783" s="23">
        <v>1009.42</v>
      </c>
      <c r="J783" s="24">
        <v>4037.68</v>
      </c>
      <c r="K783" s="21">
        <v>0</v>
      </c>
      <c r="L783" s="21">
        <v>0</v>
      </c>
      <c r="M783" s="21">
        <f>COUNTIF($A$2:$A$5481,A783)</f>
        <v>1</v>
      </c>
      <c r="N783" s="24">
        <f t="shared" si="12"/>
        <v>4037.6800783</v>
      </c>
    </row>
    <row r="784" spans="1:14">
      <c r="A784" s="21" t="s">
        <v>1520</v>
      </c>
      <c r="B784" s="21" t="s">
        <v>1346</v>
      </c>
      <c r="C784" s="21" t="s">
        <v>26</v>
      </c>
      <c r="D784" s="21" t="s">
        <v>921</v>
      </c>
      <c r="E784" s="21">
        <v>4</v>
      </c>
      <c r="F784" s="22">
        <v>45440.3777777778</v>
      </c>
      <c r="G784" s="22"/>
      <c r="H784" s="23">
        <v>2422.6</v>
      </c>
      <c r="I784" s="23">
        <v>605.65</v>
      </c>
      <c r="J784" s="24">
        <v>2422.6</v>
      </c>
      <c r="K784" s="21">
        <v>0</v>
      </c>
      <c r="L784" s="21">
        <v>0</v>
      </c>
      <c r="M784" s="21">
        <f>COUNTIF($A$2:$A$5481,A784)</f>
        <v>1</v>
      </c>
      <c r="N784" s="24">
        <f t="shared" si="12"/>
        <v>2422.6000784</v>
      </c>
    </row>
    <row r="785" spans="1:14">
      <c r="A785" s="21" t="s">
        <v>836</v>
      </c>
      <c r="B785" s="21" t="s">
        <v>26</v>
      </c>
      <c r="C785" s="21" t="s">
        <v>35</v>
      </c>
      <c r="D785" s="21" t="s">
        <v>921</v>
      </c>
      <c r="E785" s="21">
        <v>29.9</v>
      </c>
      <c r="F785" s="22">
        <v>46182.6862152778</v>
      </c>
      <c r="G785" s="22"/>
      <c r="H785" s="23">
        <v>13305.5</v>
      </c>
      <c r="I785" s="23">
        <v>445</v>
      </c>
      <c r="J785" s="24">
        <v>13305.5</v>
      </c>
      <c r="K785" s="21">
        <v>0</v>
      </c>
      <c r="L785" s="21">
        <v>0</v>
      </c>
      <c r="M785" s="21">
        <f>COUNTIF($A$2:$A$5481,A785)</f>
        <v>2</v>
      </c>
      <c r="N785" s="24">
        <f t="shared" si="12"/>
        <v>13305.5000785</v>
      </c>
    </row>
    <row r="786" spans="1:14">
      <c r="A786" s="21" t="s">
        <v>836</v>
      </c>
      <c r="B786" s="21" t="s">
        <v>26</v>
      </c>
      <c r="C786" s="21" t="s">
        <v>390</v>
      </c>
      <c r="D786" s="21" t="s">
        <v>921</v>
      </c>
      <c r="E786" s="21">
        <v>0</v>
      </c>
      <c r="F786" s="22">
        <v>46208.5868055556</v>
      </c>
      <c r="G786" s="22">
        <v>46266.5021064815</v>
      </c>
      <c r="H786" s="23">
        <v>5106</v>
      </c>
      <c r="I786" s="23">
        <v>444</v>
      </c>
      <c r="J786" s="24">
        <v>0</v>
      </c>
      <c r="K786" s="21">
        <v>0</v>
      </c>
      <c r="L786" s="21">
        <v>0</v>
      </c>
      <c r="M786" s="21">
        <f>COUNTIF($A$2:$A$5481,A786)</f>
        <v>2</v>
      </c>
      <c r="N786" s="24">
        <f t="shared" si="12"/>
        <v>7.86e-5</v>
      </c>
    </row>
    <row r="787" spans="1:14">
      <c r="A787" s="21" t="s">
        <v>1521</v>
      </c>
      <c r="B787" s="21" t="s">
        <v>26</v>
      </c>
      <c r="C787" s="21" t="s">
        <v>26</v>
      </c>
      <c r="D787" s="21" t="s">
        <v>921</v>
      </c>
      <c r="E787" s="21">
        <v>4</v>
      </c>
      <c r="F787" s="22">
        <v>46056.8165740741</v>
      </c>
      <c r="G787" s="22">
        <v>45846.4312962963</v>
      </c>
      <c r="H787" s="23">
        <v>96.56</v>
      </c>
      <c r="I787" s="23">
        <v>96.56</v>
      </c>
      <c r="J787" s="24">
        <v>386.24</v>
      </c>
      <c r="K787" s="21">
        <v>0</v>
      </c>
      <c r="L787" s="21">
        <v>0</v>
      </c>
      <c r="M787" s="21">
        <f>COUNTIF($A$2:$A$5481,A787)</f>
        <v>1</v>
      </c>
      <c r="N787" s="24">
        <f t="shared" si="12"/>
        <v>386.2400787</v>
      </c>
    </row>
    <row r="788" spans="1:14">
      <c r="A788" s="21" t="s">
        <v>1522</v>
      </c>
      <c r="B788" s="21" t="s">
        <v>26</v>
      </c>
      <c r="C788" s="21" t="s">
        <v>26</v>
      </c>
      <c r="D788" s="21" t="s">
        <v>921</v>
      </c>
      <c r="E788" s="21">
        <v>2</v>
      </c>
      <c r="F788" s="22">
        <v>46099.5226388889</v>
      </c>
      <c r="G788" s="22"/>
      <c r="H788" s="23">
        <v>96.56</v>
      </c>
      <c r="I788" s="23">
        <v>96.56</v>
      </c>
      <c r="J788" s="24">
        <v>193.12</v>
      </c>
      <c r="K788" s="21">
        <v>0</v>
      </c>
      <c r="L788" s="21">
        <v>0</v>
      </c>
      <c r="M788" s="21">
        <f>COUNTIF($A$2:$A$5481,A788)</f>
        <v>1</v>
      </c>
      <c r="N788" s="24">
        <f t="shared" si="12"/>
        <v>193.1200788</v>
      </c>
    </row>
    <row r="789" spans="1:14">
      <c r="A789" s="21" t="s">
        <v>1523</v>
      </c>
      <c r="B789" s="21" t="s">
        <v>26</v>
      </c>
      <c r="C789" s="21" t="s">
        <v>182</v>
      </c>
      <c r="D789" s="21" t="s">
        <v>921</v>
      </c>
      <c r="E789" s="21">
        <v>1</v>
      </c>
      <c r="F789" s="22">
        <v>45317.803599537</v>
      </c>
      <c r="G789" s="22"/>
      <c r="H789" s="23">
        <v>131.7</v>
      </c>
      <c r="I789" s="23">
        <v>131.7</v>
      </c>
      <c r="J789" s="24">
        <v>131.7</v>
      </c>
      <c r="K789" s="21">
        <v>0</v>
      </c>
      <c r="L789" s="21">
        <v>0</v>
      </c>
      <c r="M789" s="21">
        <f>COUNTIF($A$2:$A$5481,A789)</f>
        <v>3</v>
      </c>
      <c r="N789" s="24">
        <f t="shared" si="12"/>
        <v>131.7000789</v>
      </c>
    </row>
    <row r="790" spans="1:14">
      <c r="A790" s="21" t="s">
        <v>1523</v>
      </c>
      <c r="B790" s="21" t="s">
        <v>26</v>
      </c>
      <c r="C790" s="21" t="s">
        <v>783</v>
      </c>
      <c r="D790" s="21" t="s">
        <v>921</v>
      </c>
      <c r="E790" s="21">
        <v>1</v>
      </c>
      <c r="F790" s="22">
        <v>45377.8486111111</v>
      </c>
      <c r="G790" s="22"/>
      <c r="H790" s="23">
        <v>91.46</v>
      </c>
      <c r="I790" s="23">
        <v>91.46</v>
      </c>
      <c r="J790" s="24">
        <v>91.46</v>
      </c>
      <c r="K790" s="21">
        <v>0</v>
      </c>
      <c r="L790" s="21">
        <v>0</v>
      </c>
      <c r="M790" s="21">
        <f>COUNTIF($A$2:$A$5481,A790)</f>
        <v>3</v>
      </c>
      <c r="N790" s="24">
        <f t="shared" si="12"/>
        <v>91.460079</v>
      </c>
    </row>
    <row r="791" spans="1:14">
      <c r="A791" s="21" t="s">
        <v>1523</v>
      </c>
      <c r="B791" s="21" t="s">
        <v>26</v>
      </c>
      <c r="C791" s="21" t="s">
        <v>26</v>
      </c>
      <c r="D791" s="21" t="s">
        <v>921</v>
      </c>
      <c r="E791" s="21">
        <v>1</v>
      </c>
      <c r="F791" s="22">
        <v>46105.6723263889</v>
      </c>
      <c r="G791" s="22"/>
      <c r="H791" s="23">
        <v>96.56</v>
      </c>
      <c r="I791" s="23">
        <v>96.56</v>
      </c>
      <c r="J791" s="24">
        <v>96.56</v>
      </c>
      <c r="K791" s="21">
        <v>0</v>
      </c>
      <c r="L791" s="21">
        <v>0</v>
      </c>
      <c r="M791" s="21">
        <f>COUNTIF($A$2:$A$5481,A791)</f>
        <v>3</v>
      </c>
      <c r="N791" s="24">
        <f t="shared" si="12"/>
        <v>96.5600791</v>
      </c>
    </row>
    <row r="792" spans="1:14">
      <c r="A792" s="21" t="s">
        <v>1524</v>
      </c>
      <c r="B792" s="21" t="s">
        <v>26</v>
      </c>
      <c r="C792" s="21" t="s">
        <v>547</v>
      </c>
      <c r="D792" s="21" t="s">
        <v>921</v>
      </c>
      <c r="E792" s="21">
        <v>1</v>
      </c>
      <c r="F792" s="22">
        <v>45274.4453125</v>
      </c>
      <c r="G792" s="22"/>
      <c r="H792" s="23">
        <v>131.7</v>
      </c>
      <c r="I792" s="23">
        <v>131.7</v>
      </c>
      <c r="J792" s="24">
        <v>131.7</v>
      </c>
      <c r="K792" s="21">
        <v>0</v>
      </c>
      <c r="L792" s="21">
        <v>0</v>
      </c>
      <c r="M792" s="21">
        <f>COUNTIF($A$2:$A$5481,A792)</f>
        <v>2</v>
      </c>
      <c r="N792" s="24">
        <f t="shared" si="12"/>
        <v>131.7000792</v>
      </c>
    </row>
    <row r="793" spans="1:14">
      <c r="A793" s="21" t="s">
        <v>1524</v>
      </c>
      <c r="B793" s="21" t="s">
        <v>26</v>
      </c>
      <c r="C793" s="21" t="s">
        <v>26</v>
      </c>
      <c r="D793" s="21" t="s">
        <v>921</v>
      </c>
      <c r="E793" s="21">
        <v>5</v>
      </c>
      <c r="F793" s="22">
        <v>45901.7628009259</v>
      </c>
      <c r="G793" s="22"/>
      <c r="H793" s="23">
        <v>193.12</v>
      </c>
      <c r="I793" s="23">
        <v>97.708</v>
      </c>
      <c r="J793" s="24">
        <v>488.55</v>
      </c>
      <c r="K793" s="21">
        <v>0</v>
      </c>
      <c r="L793" s="21">
        <v>0</v>
      </c>
      <c r="M793" s="21">
        <f>COUNTIF($A$2:$A$5481,A793)</f>
        <v>2</v>
      </c>
      <c r="N793" s="24">
        <f t="shared" si="12"/>
        <v>488.5500793</v>
      </c>
    </row>
    <row r="794" spans="1:14">
      <c r="A794" s="21" t="s">
        <v>1525</v>
      </c>
      <c r="B794" s="21" t="s">
        <v>26</v>
      </c>
      <c r="C794" s="21" t="s">
        <v>26</v>
      </c>
      <c r="D794" s="21" t="s">
        <v>921</v>
      </c>
      <c r="E794" s="21">
        <v>1</v>
      </c>
      <c r="F794" s="22">
        <v>46175.8038078704</v>
      </c>
      <c r="G794" s="22"/>
      <c r="H794" s="23">
        <v>96.56</v>
      </c>
      <c r="I794" s="23">
        <v>96.56</v>
      </c>
      <c r="J794" s="24">
        <v>96.56</v>
      </c>
      <c r="K794" s="21">
        <v>0</v>
      </c>
      <c r="L794" s="21">
        <v>0</v>
      </c>
      <c r="M794" s="21">
        <f>COUNTIF($A$2:$A$5481,A794)</f>
        <v>1</v>
      </c>
      <c r="N794" s="24">
        <f t="shared" si="12"/>
        <v>96.5600794</v>
      </c>
    </row>
    <row r="795" spans="1:14">
      <c r="A795" s="21" t="s">
        <v>1526</v>
      </c>
      <c r="B795" s="21" t="s">
        <v>920</v>
      </c>
      <c r="C795" s="21" t="s">
        <v>26</v>
      </c>
      <c r="D795" s="21" t="s">
        <v>921</v>
      </c>
      <c r="E795" s="21">
        <v>8</v>
      </c>
      <c r="F795" s="22">
        <v>45799.4346990741</v>
      </c>
      <c r="G795" s="22"/>
      <c r="H795" s="23">
        <v>13.12</v>
      </c>
      <c r="I795" s="23">
        <v>1.64</v>
      </c>
      <c r="J795" s="24">
        <v>13.12</v>
      </c>
      <c r="K795" s="21">
        <v>0</v>
      </c>
      <c r="L795" s="21">
        <v>0</v>
      </c>
      <c r="M795" s="21">
        <f>COUNTIF($A$2:$A$5481,A795)</f>
        <v>1</v>
      </c>
      <c r="N795" s="24">
        <f t="shared" si="12"/>
        <v>13.1200795</v>
      </c>
    </row>
    <row r="796" spans="1:14">
      <c r="A796" s="21" t="s">
        <v>1527</v>
      </c>
      <c r="B796" s="21" t="s">
        <v>920</v>
      </c>
      <c r="C796" s="21" t="s">
        <v>26</v>
      </c>
      <c r="D796" s="21" t="s">
        <v>921</v>
      </c>
      <c r="E796" s="21">
        <v>1</v>
      </c>
      <c r="F796" s="22">
        <v>45589.6162268519</v>
      </c>
      <c r="G796" s="22">
        <v>45595.491875</v>
      </c>
      <c r="H796" s="23">
        <v>120</v>
      </c>
      <c r="I796" s="23">
        <v>120</v>
      </c>
      <c r="J796" s="24">
        <v>120</v>
      </c>
      <c r="K796" s="21">
        <v>0</v>
      </c>
      <c r="L796" s="21">
        <v>0</v>
      </c>
      <c r="M796" s="21">
        <f>COUNTIF($A$2:$A$5481,A796)</f>
        <v>1</v>
      </c>
      <c r="N796" s="24">
        <f t="shared" si="12"/>
        <v>120.0000796</v>
      </c>
    </row>
    <row r="797" spans="1:14">
      <c r="A797" s="21" t="s">
        <v>1528</v>
      </c>
      <c r="B797" s="21" t="s">
        <v>1175</v>
      </c>
      <c r="C797" s="21" t="s">
        <v>26</v>
      </c>
      <c r="D797" s="21" t="s">
        <v>921</v>
      </c>
      <c r="E797" s="21">
        <v>1</v>
      </c>
      <c r="F797" s="22">
        <v>45873.4243402778</v>
      </c>
      <c r="G797" s="22"/>
      <c r="H797" s="23">
        <v>2499.84</v>
      </c>
      <c r="I797" s="23">
        <v>2499.84</v>
      </c>
      <c r="J797" s="24">
        <v>2499.84</v>
      </c>
      <c r="K797" s="21">
        <v>0</v>
      </c>
      <c r="L797" s="21">
        <v>0</v>
      </c>
      <c r="M797" s="21">
        <f>COUNTIF($A$2:$A$5481,A797)</f>
        <v>1</v>
      </c>
      <c r="N797" s="24">
        <f t="shared" si="12"/>
        <v>2499.8400797</v>
      </c>
    </row>
    <row r="798" spans="1:14">
      <c r="A798" s="21" t="s">
        <v>1529</v>
      </c>
      <c r="B798" s="21" t="s">
        <v>1175</v>
      </c>
      <c r="C798" s="21" t="s">
        <v>26</v>
      </c>
      <c r="D798" s="21" t="s">
        <v>921</v>
      </c>
      <c r="E798" s="21">
        <v>3</v>
      </c>
      <c r="F798" s="22">
        <v>46234.5451388889</v>
      </c>
      <c r="G798" s="22"/>
      <c r="H798" s="23">
        <v>3219</v>
      </c>
      <c r="I798" s="23">
        <v>1552.3333333333</v>
      </c>
      <c r="J798" s="24">
        <v>4656.99</v>
      </c>
      <c r="K798" s="21">
        <v>0</v>
      </c>
      <c r="L798" s="21">
        <v>0</v>
      </c>
      <c r="M798" s="21">
        <f>COUNTIF($A$2:$A$5481,A798)</f>
        <v>1</v>
      </c>
      <c r="N798" s="24">
        <f t="shared" si="12"/>
        <v>4656.9900798</v>
      </c>
    </row>
    <row r="799" spans="1:14">
      <c r="A799" s="21" t="s">
        <v>1530</v>
      </c>
      <c r="B799" s="21" t="s">
        <v>920</v>
      </c>
      <c r="C799" s="21" t="s">
        <v>26</v>
      </c>
      <c r="D799" s="21" t="s">
        <v>921</v>
      </c>
      <c r="E799" s="21">
        <v>1</v>
      </c>
      <c r="F799" s="22">
        <v>46039.5647337963</v>
      </c>
      <c r="G799" s="22"/>
      <c r="H799" s="23">
        <v>52.25</v>
      </c>
      <c r="I799" s="23">
        <v>52.25</v>
      </c>
      <c r="J799" s="24">
        <v>52.25</v>
      </c>
      <c r="K799" s="21">
        <v>0</v>
      </c>
      <c r="L799" s="21">
        <v>0</v>
      </c>
      <c r="M799" s="21">
        <f>COUNTIF($A$2:$A$5481,A799)</f>
        <v>1</v>
      </c>
      <c r="N799" s="24">
        <f t="shared" si="12"/>
        <v>52.2500799</v>
      </c>
    </row>
    <row r="800" spans="1:14">
      <c r="A800" s="21" t="s">
        <v>1531</v>
      </c>
      <c r="B800" s="21" t="s">
        <v>920</v>
      </c>
      <c r="C800" s="21" t="s">
        <v>26</v>
      </c>
      <c r="D800" s="21" t="s">
        <v>921</v>
      </c>
      <c r="E800" s="21">
        <v>4</v>
      </c>
      <c r="F800" s="22">
        <v>45428.8201388889</v>
      </c>
      <c r="G800" s="22"/>
      <c r="H800" s="23">
        <v>47.8</v>
      </c>
      <c r="I800" s="23">
        <v>11.95</v>
      </c>
      <c r="J800" s="24">
        <v>47.8</v>
      </c>
      <c r="K800" s="21">
        <v>0</v>
      </c>
      <c r="L800" s="21">
        <v>0</v>
      </c>
      <c r="M800" s="21">
        <f>COUNTIF($A$2:$A$5481,A800)</f>
        <v>1</v>
      </c>
      <c r="N800" s="24">
        <f t="shared" si="12"/>
        <v>47.80008</v>
      </c>
    </row>
    <row r="801" spans="1:14">
      <c r="A801" s="21" t="s">
        <v>1532</v>
      </c>
      <c r="B801" s="21" t="s">
        <v>920</v>
      </c>
      <c r="C801" s="21" t="s">
        <v>26</v>
      </c>
      <c r="D801" s="21" t="s">
        <v>921</v>
      </c>
      <c r="E801" s="21">
        <v>4</v>
      </c>
      <c r="F801" s="22">
        <v>45428.8201388889</v>
      </c>
      <c r="G801" s="22"/>
      <c r="H801" s="23">
        <v>40.4</v>
      </c>
      <c r="I801" s="23">
        <v>10.1</v>
      </c>
      <c r="J801" s="24">
        <v>40.4</v>
      </c>
      <c r="K801" s="21">
        <v>0</v>
      </c>
      <c r="L801" s="21">
        <v>0</v>
      </c>
      <c r="M801" s="21">
        <f>COUNTIF($A$2:$A$5481,A801)</f>
        <v>1</v>
      </c>
      <c r="N801" s="24">
        <f t="shared" si="12"/>
        <v>40.4000801</v>
      </c>
    </row>
    <row r="802" spans="1:14">
      <c r="A802" s="21" t="s">
        <v>1533</v>
      </c>
      <c r="B802" s="21" t="s">
        <v>920</v>
      </c>
      <c r="C802" s="21" t="s">
        <v>26</v>
      </c>
      <c r="D802" s="21" t="s">
        <v>921</v>
      </c>
      <c r="E802" s="21">
        <v>4</v>
      </c>
      <c r="F802" s="22">
        <v>45428.8201388889</v>
      </c>
      <c r="G802" s="22"/>
      <c r="H802" s="23">
        <v>35.8</v>
      </c>
      <c r="I802" s="23">
        <v>8.95</v>
      </c>
      <c r="J802" s="24">
        <v>35.8</v>
      </c>
      <c r="K802" s="21">
        <v>0</v>
      </c>
      <c r="L802" s="21">
        <v>0</v>
      </c>
      <c r="M802" s="21">
        <f>COUNTIF($A$2:$A$5481,A802)</f>
        <v>1</v>
      </c>
      <c r="N802" s="24">
        <f t="shared" si="12"/>
        <v>35.8000802</v>
      </c>
    </row>
    <row r="803" spans="1:14">
      <c r="A803" s="21" t="s">
        <v>1534</v>
      </c>
      <c r="B803" s="21" t="s">
        <v>920</v>
      </c>
      <c r="C803" s="21" t="s">
        <v>26</v>
      </c>
      <c r="D803" s="21" t="s">
        <v>921</v>
      </c>
      <c r="E803" s="21">
        <v>4</v>
      </c>
      <c r="F803" s="22">
        <v>45428.8201388889</v>
      </c>
      <c r="G803" s="22"/>
      <c r="H803" s="23">
        <v>31</v>
      </c>
      <c r="I803" s="23">
        <v>7.75</v>
      </c>
      <c r="J803" s="24">
        <v>31</v>
      </c>
      <c r="K803" s="21">
        <v>0</v>
      </c>
      <c r="L803" s="21">
        <v>0</v>
      </c>
      <c r="M803" s="21">
        <f>COUNTIF($A$2:$A$5481,A803)</f>
        <v>1</v>
      </c>
      <c r="N803" s="24">
        <f t="shared" si="12"/>
        <v>31.0000803</v>
      </c>
    </row>
    <row r="804" spans="1:14">
      <c r="A804" s="21" t="s">
        <v>1535</v>
      </c>
      <c r="B804" s="21" t="s">
        <v>949</v>
      </c>
      <c r="C804" s="21" t="s">
        <v>182</v>
      </c>
      <c r="D804" s="21" t="s">
        <v>921</v>
      </c>
      <c r="E804" s="21">
        <v>5</v>
      </c>
      <c r="F804" s="22">
        <v>45323.3763888889</v>
      </c>
      <c r="G804" s="22">
        <v>45316.4556944444</v>
      </c>
      <c r="H804" s="23">
        <v>10.95</v>
      </c>
      <c r="I804" s="23">
        <v>2.19</v>
      </c>
      <c r="J804" s="24">
        <v>10.95</v>
      </c>
      <c r="K804" s="21">
        <v>0</v>
      </c>
      <c r="L804" s="21">
        <v>0</v>
      </c>
      <c r="M804" s="21">
        <f>COUNTIF($A$2:$A$5481,A804)</f>
        <v>2</v>
      </c>
      <c r="N804" s="24">
        <f t="shared" si="12"/>
        <v>10.9500804</v>
      </c>
    </row>
    <row r="805" spans="1:14">
      <c r="A805" s="21" t="s">
        <v>1535</v>
      </c>
      <c r="B805" s="21" t="s">
        <v>949</v>
      </c>
      <c r="C805" s="21" t="s">
        <v>26</v>
      </c>
      <c r="D805" s="21" t="s">
        <v>921</v>
      </c>
      <c r="E805" s="21">
        <v>0</v>
      </c>
      <c r="F805" s="22">
        <v>45329.6798611111</v>
      </c>
      <c r="G805" s="22">
        <v>45331.4110648148</v>
      </c>
      <c r="H805" s="23">
        <v>9.9</v>
      </c>
      <c r="I805" s="23">
        <v>4.95</v>
      </c>
      <c r="J805" s="24">
        <v>0</v>
      </c>
      <c r="K805" s="21">
        <v>0</v>
      </c>
      <c r="L805" s="21">
        <v>0</v>
      </c>
      <c r="M805" s="21">
        <f>COUNTIF($A$2:$A$5481,A805)</f>
        <v>2</v>
      </c>
      <c r="N805" s="24">
        <f t="shared" si="12"/>
        <v>8.05e-5</v>
      </c>
    </row>
    <row r="806" spans="1:14">
      <c r="A806" s="21" t="s">
        <v>1536</v>
      </c>
      <c r="B806" s="21" t="s">
        <v>26</v>
      </c>
      <c r="C806" s="21" t="s">
        <v>26</v>
      </c>
      <c r="D806" s="21" t="s">
        <v>921</v>
      </c>
      <c r="E806" s="21">
        <v>1</v>
      </c>
      <c r="F806" s="22">
        <v>45743.8465972222</v>
      </c>
      <c r="G806" s="22"/>
      <c r="H806" s="23">
        <v>15.99</v>
      </c>
      <c r="I806" s="23">
        <v>15.99</v>
      </c>
      <c r="J806" s="24">
        <v>15.99</v>
      </c>
      <c r="K806" s="21">
        <v>0</v>
      </c>
      <c r="L806" s="21">
        <v>0</v>
      </c>
      <c r="M806" s="21">
        <f>COUNTIF($A$2:$A$5481,A806)</f>
        <v>1</v>
      </c>
      <c r="N806" s="24">
        <f t="shared" si="12"/>
        <v>15.9900806</v>
      </c>
    </row>
    <row r="807" spans="1:14">
      <c r="A807" s="21" t="s">
        <v>1537</v>
      </c>
      <c r="B807" s="21" t="s">
        <v>920</v>
      </c>
      <c r="C807" s="21" t="s">
        <v>26</v>
      </c>
      <c r="D807" s="21" t="s">
        <v>931</v>
      </c>
      <c r="E807" s="21">
        <v>2</v>
      </c>
      <c r="F807" s="22">
        <v>45854.6910532407</v>
      </c>
      <c r="G807" s="22"/>
      <c r="H807" s="23">
        <v>9.8</v>
      </c>
      <c r="I807" s="23">
        <v>4.9</v>
      </c>
      <c r="J807" s="24">
        <v>9.8</v>
      </c>
      <c r="K807" s="21">
        <v>0</v>
      </c>
      <c r="L807" s="21">
        <v>0</v>
      </c>
      <c r="M807" s="21">
        <f>COUNTIF($A$2:$A$5481,A807)</f>
        <v>1</v>
      </c>
      <c r="N807" s="24">
        <f t="shared" si="12"/>
        <v>9.8000807</v>
      </c>
    </row>
    <row r="808" spans="1:14">
      <c r="A808" s="21" t="s">
        <v>533</v>
      </c>
      <c r="B808" s="21" t="s">
        <v>26</v>
      </c>
      <c r="C808" s="21" t="s">
        <v>26</v>
      </c>
      <c r="D808" s="21" t="s">
        <v>921</v>
      </c>
      <c r="E808" s="21">
        <v>3</v>
      </c>
      <c r="F808" s="22">
        <v>45680.3859375</v>
      </c>
      <c r="G808" s="22">
        <v>45918.4210185185</v>
      </c>
      <c r="H808" s="23">
        <v>1740</v>
      </c>
      <c r="I808" s="23">
        <v>58</v>
      </c>
      <c r="J808" s="24">
        <v>174</v>
      </c>
      <c r="K808" s="21">
        <v>0</v>
      </c>
      <c r="L808" s="21">
        <v>0</v>
      </c>
      <c r="M808" s="21">
        <f>COUNTIF($A$2:$A$5481,A808)</f>
        <v>5</v>
      </c>
      <c r="N808" s="24">
        <f t="shared" si="12"/>
        <v>174.0000808</v>
      </c>
    </row>
    <row r="809" spans="1:14">
      <c r="A809" s="21" t="s">
        <v>533</v>
      </c>
      <c r="B809" s="21" t="s">
        <v>26</v>
      </c>
      <c r="C809" s="21" t="s">
        <v>51</v>
      </c>
      <c r="D809" s="21" t="s">
        <v>921</v>
      </c>
      <c r="E809" s="21">
        <v>27</v>
      </c>
      <c r="F809" s="22">
        <v>45771.3615162037</v>
      </c>
      <c r="G809" s="22">
        <v>45965.5996875</v>
      </c>
      <c r="H809" s="23">
        <v>1683.6</v>
      </c>
      <c r="I809" s="23">
        <v>57.04869</v>
      </c>
      <c r="J809" s="24">
        <v>1540.35</v>
      </c>
      <c r="K809" s="21">
        <v>0</v>
      </c>
      <c r="L809" s="21">
        <v>0</v>
      </c>
      <c r="M809" s="21">
        <f>COUNTIF($A$2:$A$5481,A809)</f>
        <v>5</v>
      </c>
      <c r="N809" s="24">
        <f t="shared" si="12"/>
        <v>1540.3500809</v>
      </c>
    </row>
    <row r="810" spans="1:14">
      <c r="A810" s="21" t="s">
        <v>533</v>
      </c>
      <c r="B810" s="21" t="s">
        <v>26</v>
      </c>
      <c r="C810" s="21" t="s">
        <v>35</v>
      </c>
      <c r="D810" s="21" t="s">
        <v>921</v>
      </c>
      <c r="E810" s="21">
        <v>30</v>
      </c>
      <c r="F810" s="22">
        <v>46051.3683101852</v>
      </c>
      <c r="G810" s="22"/>
      <c r="H810" s="23">
        <v>1653</v>
      </c>
      <c r="I810" s="23">
        <v>55.1</v>
      </c>
      <c r="J810" s="24">
        <v>1653</v>
      </c>
      <c r="K810" s="21">
        <v>0</v>
      </c>
      <c r="L810" s="21">
        <v>0</v>
      </c>
      <c r="M810" s="21">
        <f>COUNTIF($A$2:$A$5481,A810)</f>
        <v>5</v>
      </c>
      <c r="N810" s="24">
        <f t="shared" si="12"/>
        <v>1653.000081</v>
      </c>
    </row>
    <row r="811" spans="1:14">
      <c r="A811" s="21" t="s">
        <v>533</v>
      </c>
      <c r="B811" s="21" t="s">
        <v>26</v>
      </c>
      <c r="C811" s="21" t="s">
        <v>182</v>
      </c>
      <c r="D811" s="21" t="s">
        <v>921</v>
      </c>
      <c r="E811" s="21">
        <v>177</v>
      </c>
      <c r="F811" s="22">
        <v>46164.5800231482</v>
      </c>
      <c r="G811" s="22">
        <v>46247.4434375</v>
      </c>
      <c r="H811" s="23">
        <v>1198</v>
      </c>
      <c r="I811" s="23">
        <v>60.7714029067</v>
      </c>
      <c r="J811" s="24">
        <v>10756.29</v>
      </c>
      <c r="K811" s="21">
        <v>0</v>
      </c>
      <c r="L811" s="21">
        <v>0</v>
      </c>
      <c r="M811" s="21">
        <f>COUNTIF($A$2:$A$5481,A811)</f>
        <v>5</v>
      </c>
      <c r="N811" s="24">
        <f t="shared" si="12"/>
        <v>10756.2900811</v>
      </c>
    </row>
    <row r="812" spans="1:14">
      <c r="A812" s="21" t="s">
        <v>533</v>
      </c>
      <c r="B812" s="21" t="s">
        <v>26</v>
      </c>
      <c r="C812" s="21" t="s">
        <v>38</v>
      </c>
      <c r="D812" s="21" t="s">
        <v>921</v>
      </c>
      <c r="E812" s="21">
        <v>80</v>
      </c>
      <c r="F812" s="22">
        <v>46233.5472222222</v>
      </c>
      <c r="G812" s="22">
        <v>45890.4084027778</v>
      </c>
      <c r="H812" s="23">
        <v>1180</v>
      </c>
      <c r="I812" s="23">
        <v>56.650602375</v>
      </c>
      <c r="J812" s="24">
        <v>4532</v>
      </c>
      <c r="K812" s="21">
        <v>0</v>
      </c>
      <c r="L812" s="21">
        <v>0</v>
      </c>
      <c r="M812" s="21">
        <f>COUNTIF($A$2:$A$5481,A812)</f>
        <v>5</v>
      </c>
      <c r="N812" s="24">
        <f t="shared" si="12"/>
        <v>4532.0000812</v>
      </c>
    </row>
    <row r="813" spans="1:14">
      <c r="A813" s="21" t="s">
        <v>1538</v>
      </c>
      <c r="B813" s="21" t="s">
        <v>26</v>
      </c>
      <c r="C813" s="21" t="s">
        <v>26</v>
      </c>
      <c r="D813" s="21" t="s">
        <v>1539</v>
      </c>
      <c r="E813" s="21">
        <v>3.07</v>
      </c>
      <c r="F813" s="22">
        <v>45366.4548611111</v>
      </c>
      <c r="G813" s="22"/>
      <c r="H813" s="23">
        <v>39.603</v>
      </c>
      <c r="I813" s="23">
        <v>12.9</v>
      </c>
      <c r="J813" s="24">
        <v>39.603</v>
      </c>
      <c r="K813" s="21">
        <v>0</v>
      </c>
      <c r="L813" s="21">
        <v>0</v>
      </c>
      <c r="M813" s="21">
        <f>COUNTIF($A$2:$A$5481,A813)</f>
        <v>1</v>
      </c>
      <c r="N813" s="24">
        <f t="shared" si="12"/>
        <v>39.6030813</v>
      </c>
    </row>
    <row r="814" spans="1:14">
      <c r="A814" s="21" t="s">
        <v>502</v>
      </c>
      <c r="B814" s="21" t="s">
        <v>26</v>
      </c>
      <c r="C814" s="21" t="s">
        <v>38</v>
      </c>
      <c r="D814" s="21" t="s">
        <v>921</v>
      </c>
      <c r="E814" s="21">
        <v>0</v>
      </c>
      <c r="F814" s="22">
        <v>46198.5548611111</v>
      </c>
      <c r="G814" s="22">
        <v>46244.6769560185</v>
      </c>
      <c r="H814" s="23">
        <v>589</v>
      </c>
      <c r="I814" s="23">
        <v>58.9</v>
      </c>
      <c r="J814" s="24">
        <v>0</v>
      </c>
      <c r="K814" s="21">
        <v>0</v>
      </c>
      <c r="L814" s="21">
        <v>0</v>
      </c>
      <c r="M814" s="21">
        <f>COUNTIF($A$2:$A$5481,A814)</f>
        <v>2</v>
      </c>
      <c r="N814" s="24">
        <f t="shared" si="12"/>
        <v>8.14e-5</v>
      </c>
    </row>
    <row r="815" spans="1:14">
      <c r="A815" s="21" t="s">
        <v>502</v>
      </c>
      <c r="B815" s="21" t="s">
        <v>26</v>
      </c>
      <c r="C815" s="21" t="s">
        <v>51</v>
      </c>
      <c r="D815" s="21" t="s">
        <v>921</v>
      </c>
      <c r="E815" s="21">
        <v>33</v>
      </c>
      <c r="F815" s="22">
        <v>46247.4</v>
      </c>
      <c r="G815" s="22">
        <v>46279.6571759259</v>
      </c>
      <c r="H815" s="23">
        <v>2432</v>
      </c>
      <c r="I815" s="23">
        <v>60.8</v>
      </c>
      <c r="J815" s="24">
        <v>2006.4</v>
      </c>
      <c r="K815" s="21">
        <v>0</v>
      </c>
      <c r="L815" s="21">
        <v>0</v>
      </c>
      <c r="M815" s="21">
        <f>COUNTIF($A$2:$A$5481,A815)</f>
        <v>2</v>
      </c>
      <c r="N815" s="24">
        <f t="shared" si="12"/>
        <v>2006.4000815</v>
      </c>
    </row>
    <row r="816" spans="1:14">
      <c r="A816" s="21" t="s">
        <v>1540</v>
      </c>
      <c r="B816" s="21" t="s">
        <v>26</v>
      </c>
      <c r="C816" s="21" t="s">
        <v>38</v>
      </c>
      <c r="D816" s="21" t="s">
        <v>921</v>
      </c>
      <c r="E816" s="21">
        <v>10</v>
      </c>
      <c r="F816" s="22">
        <v>46198.5548611111</v>
      </c>
      <c r="G816" s="22"/>
      <c r="H816" s="23">
        <v>589</v>
      </c>
      <c r="I816" s="23">
        <v>58.9</v>
      </c>
      <c r="J816" s="24">
        <v>589</v>
      </c>
      <c r="K816" s="21">
        <v>0</v>
      </c>
      <c r="L816" s="21">
        <v>0</v>
      </c>
      <c r="M816" s="21">
        <f>COUNTIF($A$2:$A$5481,A816)</f>
        <v>1</v>
      </c>
      <c r="N816" s="24">
        <f t="shared" si="12"/>
        <v>589.0000816</v>
      </c>
    </row>
    <row r="817" spans="1:14">
      <c r="A817" s="21" t="s">
        <v>1541</v>
      </c>
      <c r="B817" s="21" t="s">
        <v>949</v>
      </c>
      <c r="C817" s="21" t="s">
        <v>26</v>
      </c>
      <c r="D817" s="21" t="s">
        <v>921</v>
      </c>
      <c r="E817" s="21">
        <v>2</v>
      </c>
      <c r="F817" s="22">
        <v>45460.7194907407</v>
      </c>
      <c r="G817" s="22"/>
      <c r="H817" s="23">
        <v>7</v>
      </c>
      <c r="I817" s="23">
        <v>3.5</v>
      </c>
      <c r="J817" s="24">
        <v>7</v>
      </c>
      <c r="K817" s="21">
        <v>0</v>
      </c>
      <c r="L817" s="21">
        <v>0</v>
      </c>
      <c r="M817" s="21">
        <f>COUNTIF($A$2:$A$5481,A817)</f>
        <v>1</v>
      </c>
      <c r="N817" s="24">
        <f t="shared" si="12"/>
        <v>7.0000817</v>
      </c>
    </row>
    <row r="818" spans="1:14">
      <c r="A818" s="21" t="s">
        <v>1542</v>
      </c>
      <c r="B818" s="21" t="s">
        <v>26</v>
      </c>
      <c r="C818" s="21" t="s">
        <v>182</v>
      </c>
      <c r="D818" s="21" t="s">
        <v>921</v>
      </c>
      <c r="E818" s="21">
        <v>0</v>
      </c>
      <c r="F818" s="22">
        <v>45355.8752314815</v>
      </c>
      <c r="G818" s="22">
        <v>45358.4860185185</v>
      </c>
      <c r="H818" s="23">
        <v>6250</v>
      </c>
      <c r="I818" s="23">
        <v>12.5</v>
      </c>
      <c r="J818" s="24">
        <v>0</v>
      </c>
      <c r="K818" s="21">
        <v>0</v>
      </c>
      <c r="L818" s="21">
        <v>0</v>
      </c>
      <c r="M818" s="21">
        <f>COUNTIF($A$2:$A$5481,A818)</f>
        <v>1</v>
      </c>
      <c r="N818" s="24">
        <f t="shared" si="12"/>
        <v>8.18e-5</v>
      </c>
    </row>
    <row r="819" spans="1:14">
      <c r="A819" s="21" t="s">
        <v>806</v>
      </c>
      <c r="B819" s="21" t="s">
        <v>1115</v>
      </c>
      <c r="C819" s="21" t="s">
        <v>51</v>
      </c>
      <c r="D819" s="21" t="s">
        <v>921</v>
      </c>
      <c r="E819" s="21">
        <v>59</v>
      </c>
      <c r="F819" s="22">
        <v>45799.4442939815</v>
      </c>
      <c r="G819" s="22">
        <v>46266.3533217593</v>
      </c>
      <c r="H819" s="23">
        <v>874</v>
      </c>
      <c r="I819" s="23">
        <v>30.18498</v>
      </c>
      <c r="J819" s="24">
        <v>1780.62</v>
      </c>
      <c r="K819" s="21">
        <v>0</v>
      </c>
      <c r="L819" s="21">
        <v>0</v>
      </c>
      <c r="M819" s="21">
        <f>COUNTIF($A$2:$A$5481,A819)</f>
        <v>3</v>
      </c>
      <c r="N819" s="24">
        <f t="shared" si="12"/>
        <v>1780.6200819</v>
      </c>
    </row>
    <row r="820" spans="1:14">
      <c r="A820" s="21" t="s">
        <v>806</v>
      </c>
      <c r="B820" s="21" t="s">
        <v>1115</v>
      </c>
      <c r="C820" s="21" t="s">
        <v>390</v>
      </c>
      <c r="D820" s="21" t="s">
        <v>921</v>
      </c>
      <c r="E820" s="21">
        <v>46</v>
      </c>
      <c r="F820" s="22">
        <v>46065.5785763889</v>
      </c>
      <c r="G820" s="22">
        <v>45527.4114814815</v>
      </c>
      <c r="H820" s="23">
        <v>644</v>
      </c>
      <c r="I820" s="23">
        <v>22.1782608696</v>
      </c>
      <c r="J820" s="24">
        <v>1020.28</v>
      </c>
      <c r="K820" s="21">
        <v>0</v>
      </c>
      <c r="L820" s="21">
        <v>0</v>
      </c>
      <c r="M820" s="21">
        <f>COUNTIF($A$2:$A$5481,A820)</f>
        <v>3</v>
      </c>
      <c r="N820" s="24">
        <f t="shared" si="12"/>
        <v>1020.280082</v>
      </c>
    </row>
    <row r="821" spans="1:14">
      <c r="A821" s="21" t="s">
        <v>806</v>
      </c>
      <c r="B821" s="21" t="s">
        <v>1115</v>
      </c>
      <c r="C821" s="21" t="s">
        <v>38</v>
      </c>
      <c r="D821" s="21" t="s">
        <v>921</v>
      </c>
      <c r="E821" s="21">
        <v>17</v>
      </c>
      <c r="F821" s="22">
        <v>46233.5472222222</v>
      </c>
      <c r="G821" s="22">
        <v>46258.6222453704</v>
      </c>
      <c r="H821" s="23">
        <v>620</v>
      </c>
      <c r="I821" s="23">
        <v>31</v>
      </c>
      <c r="J821" s="24">
        <v>527</v>
      </c>
      <c r="K821" s="21">
        <v>0</v>
      </c>
      <c r="L821" s="21">
        <v>0</v>
      </c>
      <c r="M821" s="21">
        <f>COUNTIF($A$2:$A$5481,A821)</f>
        <v>3</v>
      </c>
      <c r="N821" s="24">
        <f t="shared" si="12"/>
        <v>527.0000821</v>
      </c>
    </row>
    <row r="822" spans="1:14">
      <c r="A822" s="21" t="s">
        <v>1543</v>
      </c>
      <c r="B822" s="21" t="s">
        <v>1115</v>
      </c>
      <c r="C822" s="21" t="s">
        <v>51</v>
      </c>
      <c r="D822" s="21" t="s">
        <v>921</v>
      </c>
      <c r="E822" s="21">
        <v>85</v>
      </c>
      <c r="F822" s="22">
        <v>45980.3647569444</v>
      </c>
      <c r="G822" s="22">
        <v>45588.4134953704</v>
      </c>
      <c r="H822" s="23">
        <v>1248</v>
      </c>
      <c r="I822" s="23">
        <v>21.1529411765</v>
      </c>
      <c r="J822" s="24">
        <v>1797.75</v>
      </c>
      <c r="K822" s="21">
        <v>0</v>
      </c>
      <c r="L822" s="21">
        <v>0</v>
      </c>
      <c r="M822" s="21">
        <f>COUNTIF($A$2:$A$5481,A822)</f>
        <v>1</v>
      </c>
      <c r="N822" s="24">
        <f t="shared" si="12"/>
        <v>1797.7500822</v>
      </c>
    </row>
    <row r="823" spans="1:14">
      <c r="A823" s="21" t="s">
        <v>1544</v>
      </c>
      <c r="B823" s="21" t="s">
        <v>1115</v>
      </c>
      <c r="C823" s="21" t="s">
        <v>51</v>
      </c>
      <c r="D823" s="21" t="s">
        <v>921</v>
      </c>
      <c r="E823" s="21">
        <v>88</v>
      </c>
      <c r="F823" s="22">
        <v>45980.3647569444</v>
      </c>
      <c r="G823" s="22">
        <v>45918.4128240741</v>
      </c>
      <c r="H823" s="23">
        <v>852.8</v>
      </c>
      <c r="I823" s="23">
        <v>21.3804461364</v>
      </c>
      <c r="J823" s="24">
        <v>1881.44</v>
      </c>
      <c r="K823" s="21">
        <v>0</v>
      </c>
      <c r="L823" s="21">
        <v>0</v>
      </c>
      <c r="M823" s="21">
        <f>COUNTIF($A$2:$A$5481,A823)</f>
        <v>1</v>
      </c>
      <c r="N823" s="24">
        <f t="shared" si="12"/>
        <v>1881.4400823</v>
      </c>
    </row>
    <row r="824" spans="1:14">
      <c r="A824" s="21" t="s">
        <v>449</v>
      </c>
      <c r="B824" s="21" t="s">
        <v>926</v>
      </c>
      <c r="C824" s="21" t="s">
        <v>26</v>
      </c>
      <c r="D824" s="21" t="s">
        <v>921</v>
      </c>
      <c r="E824" s="21">
        <v>0</v>
      </c>
      <c r="F824" s="22">
        <v>45440.8583333333</v>
      </c>
      <c r="G824" s="22">
        <v>46206.7895833333</v>
      </c>
      <c r="H824" s="23">
        <v>139.6</v>
      </c>
      <c r="I824" s="23">
        <v>69.8</v>
      </c>
      <c r="J824" s="24">
        <v>0</v>
      </c>
      <c r="K824" s="21">
        <v>0</v>
      </c>
      <c r="L824" s="21">
        <v>0</v>
      </c>
      <c r="M824" s="21">
        <f>COUNTIF($A$2:$A$5481,A824)</f>
        <v>1</v>
      </c>
      <c r="N824" s="24">
        <f t="shared" si="12"/>
        <v>8.24e-5</v>
      </c>
    </row>
    <row r="825" spans="1:14">
      <c r="A825" s="21" t="s">
        <v>256</v>
      </c>
      <c r="B825" s="21" t="s">
        <v>26</v>
      </c>
      <c r="C825" s="21" t="s">
        <v>51</v>
      </c>
      <c r="D825" s="21" t="s">
        <v>921</v>
      </c>
      <c r="E825" s="21">
        <v>300</v>
      </c>
      <c r="F825" s="22">
        <v>45980.3647569444</v>
      </c>
      <c r="G825" s="22">
        <v>46072.4207523148</v>
      </c>
      <c r="H825" s="23">
        <v>1248</v>
      </c>
      <c r="I825" s="23">
        <v>20.3807239429</v>
      </c>
      <c r="J825" s="24">
        <v>6114</v>
      </c>
      <c r="K825" s="21">
        <v>0</v>
      </c>
      <c r="L825" s="21">
        <v>0</v>
      </c>
      <c r="M825" s="21">
        <f>COUNTIF($A$2:$A$5481,A825)</f>
        <v>2</v>
      </c>
      <c r="N825" s="24">
        <f t="shared" si="12"/>
        <v>6114.0000825</v>
      </c>
    </row>
    <row r="826" spans="1:14">
      <c r="A826" s="21" t="s">
        <v>256</v>
      </c>
      <c r="B826" s="21" t="s">
        <v>26</v>
      </c>
      <c r="C826" s="21" t="s">
        <v>390</v>
      </c>
      <c r="D826" s="21" t="s">
        <v>921</v>
      </c>
      <c r="E826" s="21">
        <v>112</v>
      </c>
      <c r="F826" s="22">
        <v>46065.5785763889</v>
      </c>
      <c r="G826" s="22">
        <v>46210.3774189815</v>
      </c>
      <c r="H826" s="23">
        <v>920</v>
      </c>
      <c r="I826" s="23">
        <v>21.6956521739</v>
      </c>
      <c r="J826" s="24">
        <v>2430.4</v>
      </c>
      <c r="K826" s="21">
        <v>0</v>
      </c>
      <c r="L826" s="21">
        <v>0</v>
      </c>
      <c r="M826" s="21">
        <f>COUNTIF($A$2:$A$5481,A826)</f>
        <v>2</v>
      </c>
      <c r="N826" s="24">
        <f t="shared" si="12"/>
        <v>2430.4000826</v>
      </c>
    </row>
    <row r="827" spans="1:14">
      <c r="A827" s="21" t="s">
        <v>540</v>
      </c>
      <c r="B827" s="21" t="s">
        <v>1115</v>
      </c>
      <c r="C827" s="21" t="s">
        <v>182</v>
      </c>
      <c r="D827" s="21" t="s">
        <v>1217</v>
      </c>
      <c r="E827" s="21">
        <v>29</v>
      </c>
      <c r="F827" s="22">
        <v>45807.3865046296</v>
      </c>
      <c r="G827" s="22">
        <v>45867.4966782407</v>
      </c>
      <c r="H827" s="23">
        <v>7775</v>
      </c>
      <c r="I827" s="23">
        <v>311</v>
      </c>
      <c r="J827" s="24">
        <v>9019</v>
      </c>
      <c r="K827" s="21">
        <v>0</v>
      </c>
      <c r="L827" s="21">
        <v>0</v>
      </c>
      <c r="M827" s="21">
        <f>COUNTIF($A$2:$A$5481,A827)</f>
        <v>2</v>
      </c>
      <c r="N827" s="24">
        <f t="shared" si="12"/>
        <v>9019.0000827</v>
      </c>
    </row>
    <row r="828" spans="1:14">
      <c r="A828" s="21" t="s">
        <v>540</v>
      </c>
      <c r="B828" s="21" t="s">
        <v>1115</v>
      </c>
      <c r="C828" s="21" t="s">
        <v>390</v>
      </c>
      <c r="D828" s="21" t="s">
        <v>1217</v>
      </c>
      <c r="E828" s="21">
        <v>0</v>
      </c>
      <c r="F828" s="22">
        <v>46238.3881944444</v>
      </c>
      <c r="G828" s="22">
        <v>46248.3922569445</v>
      </c>
      <c r="H828" s="23">
        <v>1615</v>
      </c>
      <c r="I828" s="23">
        <v>311.7407407407</v>
      </c>
      <c r="J828" s="24">
        <v>0</v>
      </c>
      <c r="K828" s="21">
        <v>0</v>
      </c>
      <c r="L828" s="21">
        <v>0</v>
      </c>
      <c r="M828" s="21">
        <f>COUNTIF($A$2:$A$5481,A828)</f>
        <v>2</v>
      </c>
      <c r="N828" s="24">
        <f t="shared" si="12"/>
        <v>8.28e-5</v>
      </c>
    </row>
    <row r="829" spans="1:14">
      <c r="A829" s="21" t="s">
        <v>1545</v>
      </c>
      <c r="B829" s="21" t="s">
        <v>948</v>
      </c>
      <c r="C829" s="21" t="s">
        <v>26</v>
      </c>
      <c r="D829" s="21" t="s">
        <v>921</v>
      </c>
      <c r="E829" s="21">
        <v>16</v>
      </c>
      <c r="F829" s="22">
        <v>46204.7057060185</v>
      </c>
      <c r="G829" s="22"/>
      <c r="H829" s="23">
        <v>36</v>
      </c>
      <c r="I829" s="23">
        <v>12.375</v>
      </c>
      <c r="J829" s="24">
        <v>198.08</v>
      </c>
      <c r="K829" s="21">
        <v>0</v>
      </c>
      <c r="L829" s="21">
        <v>0</v>
      </c>
      <c r="M829" s="21">
        <f>COUNTIF($A$2:$A$5481,A829)</f>
        <v>1</v>
      </c>
      <c r="N829" s="24">
        <f t="shared" si="12"/>
        <v>198.0800829</v>
      </c>
    </row>
    <row r="830" spans="1:14">
      <c r="A830" s="21" t="s">
        <v>458</v>
      </c>
      <c r="B830" s="21" t="s">
        <v>26</v>
      </c>
      <c r="C830" s="21" t="s">
        <v>182</v>
      </c>
      <c r="D830" s="21" t="s">
        <v>921</v>
      </c>
      <c r="E830" s="21">
        <v>2</v>
      </c>
      <c r="F830" s="22">
        <v>45694.3556944444</v>
      </c>
      <c r="G830" s="22">
        <v>45812.4522106482</v>
      </c>
      <c r="H830" s="23">
        <v>159.2</v>
      </c>
      <c r="I830" s="23">
        <v>19.9</v>
      </c>
      <c r="J830" s="24">
        <v>39.8</v>
      </c>
      <c r="K830" s="21">
        <v>0</v>
      </c>
      <c r="L830" s="21">
        <v>0</v>
      </c>
      <c r="M830" s="21">
        <f>COUNTIF($A$2:$A$5481,A830)</f>
        <v>2</v>
      </c>
      <c r="N830" s="24">
        <f t="shared" si="12"/>
        <v>39.800083</v>
      </c>
    </row>
    <row r="831" spans="1:14">
      <c r="A831" s="21" t="s">
        <v>458</v>
      </c>
      <c r="B831" s="21" t="s">
        <v>26</v>
      </c>
      <c r="C831" s="21" t="s">
        <v>38</v>
      </c>
      <c r="D831" s="21" t="s">
        <v>921</v>
      </c>
      <c r="E831" s="21">
        <v>55</v>
      </c>
      <c r="F831" s="22">
        <v>46198.5548611111</v>
      </c>
      <c r="G831" s="22">
        <v>46276.6708449074</v>
      </c>
      <c r="H831" s="23">
        <v>159.2</v>
      </c>
      <c r="I831" s="23">
        <v>19.7421124781</v>
      </c>
      <c r="J831" s="24">
        <v>1085.7</v>
      </c>
      <c r="K831" s="21">
        <v>0</v>
      </c>
      <c r="L831" s="21">
        <v>0</v>
      </c>
      <c r="M831" s="21">
        <f>COUNTIF($A$2:$A$5481,A831)</f>
        <v>2</v>
      </c>
      <c r="N831" s="24">
        <f t="shared" si="12"/>
        <v>1085.7000831</v>
      </c>
    </row>
    <row r="832" spans="1:14">
      <c r="A832" s="21" t="s">
        <v>1546</v>
      </c>
      <c r="B832" s="21" t="s">
        <v>26</v>
      </c>
      <c r="C832" s="21" t="s">
        <v>38</v>
      </c>
      <c r="D832" s="21" t="s">
        <v>1217</v>
      </c>
      <c r="E832" s="21">
        <v>10</v>
      </c>
      <c r="F832" s="22">
        <v>45903.4110416667</v>
      </c>
      <c r="G832" s="22"/>
      <c r="H832" s="23">
        <v>712</v>
      </c>
      <c r="I832" s="23">
        <v>71.2</v>
      </c>
      <c r="J832" s="24">
        <v>712</v>
      </c>
      <c r="K832" s="21">
        <v>0</v>
      </c>
      <c r="L832" s="21">
        <v>0</v>
      </c>
      <c r="M832" s="21">
        <f>COUNTIF($A$2:$A$5481,A832)</f>
        <v>1</v>
      </c>
      <c r="N832" s="24">
        <f t="shared" si="12"/>
        <v>712.0000832</v>
      </c>
    </row>
    <row r="833" spans="1:14">
      <c r="A833" s="21" t="s">
        <v>1547</v>
      </c>
      <c r="B833" s="21" t="s">
        <v>926</v>
      </c>
      <c r="C833" s="21" t="s">
        <v>38</v>
      </c>
      <c r="D833" s="21" t="s">
        <v>921</v>
      </c>
      <c r="E833" s="21">
        <v>2</v>
      </c>
      <c r="F833" s="22">
        <v>45764.4272106482</v>
      </c>
      <c r="G833" s="22">
        <v>45807.3821875</v>
      </c>
      <c r="H833" s="23">
        <v>349.5</v>
      </c>
      <c r="I833" s="23">
        <v>69.4</v>
      </c>
      <c r="J833" s="24">
        <v>138.8</v>
      </c>
      <c r="K833" s="21">
        <v>0</v>
      </c>
      <c r="L833" s="21">
        <v>0</v>
      </c>
      <c r="M833" s="21">
        <f>COUNTIF($A$2:$A$5481,A833)</f>
        <v>2</v>
      </c>
      <c r="N833" s="24">
        <f t="shared" si="12"/>
        <v>138.8000833</v>
      </c>
    </row>
    <row r="834" spans="1:14">
      <c r="A834" s="21" t="s">
        <v>1547</v>
      </c>
      <c r="B834" s="21" t="s">
        <v>926</v>
      </c>
      <c r="C834" s="21" t="s">
        <v>26</v>
      </c>
      <c r="D834" s="21" t="s">
        <v>921</v>
      </c>
      <c r="E834" s="21">
        <v>5</v>
      </c>
      <c r="F834" s="22">
        <v>45819.8368981482</v>
      </c>
      <c r="G834" s="22">
        <v>45799.4479050926</v>
      </c>
      <c r="H834" s="23">
        <v>379.5</v>
      </c>
      <c r="I834" s="23">
        <v>75.9</v>
      </c>
      <c r="J834" s="24">
        <v>379.5</v>
      </c>
      <c r="K834" s="21">
        <v>0</v>
      </c>
      <c r="L834" s="21">
        <v>0</v>
      </c>
      <c r="M834" s="21">
        <f>COUNTIF($A$2:$A$5481,A834)</f>
        <v>2</v>
      </c>
      <c r="N834" s="24">
        <f t="shared" ref="N834:N897" si="13">J834+ROW()/10000000</f>
        <v>379.5000834</v>
      </c>
    </row>
    <row r="835" spans="1:14">
      <c r="A835" s="21" t="s">
        <v>450</v>
      </c>
      <c r="B835" s="21" t="s">
        <v>926</v>
      </c>
      <c r="C835" s="21" t="s">
        <v>182</v>
      </c>
      <c r="D835" s="21" t="s">
        <v>921</v>
      </c>
      <c r="E835" s="21">
        <v>6</v>
      </c>
      <c r="F835" s="22">
        <v>45414.6923263889</v>
      </c>
      <c r="G835" s="22"/>
      <c r="H835" s="23">
        <v>395.4</v>
      </c>
      <c r="I835" s="23">
        <v>65.9</v>
      </c>
      <c r="J835" s="24">
        <v>395.4</v>
      </c>
      <c r="K835" s="21">
        <v>0</v>
      </c>
      <c r="L835" s="21">
        <v>0</v>
      </c>
      <c r="M835" s="21">
        <f>COUNTIF($A$2:$A$5481,A835)</f>
        <v>2</v>
      </c>
      <c r="N835" s="24">
        <f t="shared" si="13"/>
        <v>395.4000835</v>
      </c>
    </row>
    <row r="836" spans="1:14">
      <c r="A836" s="21" t="s">
        <v>450</v>
      </c>
      <c r="B836" s="21" t="s">
        <v>926</v>
      </c>
      <c r="C836" s="21" t="s">
        <v>38</v>
      </c>
      <c r="D836" s="21" t="s">
        <v>921</v>
      </c>
      <c r="E836" s="21">
        <v>70</v>
      </c>
      <c r="F836" s="22">
        <v>46198.5548611111</v>
      </c>
      <c r="G836" s="22">
        <v>46267.3977893519</v>
      </c>
      <c r="H836" s="23">
        <v>688</v>
      </c>
      <c r="I836" s="23">
        <v>79.8144640244</v>
      </c>
      <c r="J836" s="24">
        <v>5586.7</v>
      </c>
      <c r="K836" s="21">
        <v>0</v>
      </c>
      <c r="L836" s="21">
        <v>0</v>
      </c>
      <c r="M836" s="21">
        <f>COUNTIF($A$2:$A$5481,A836)</f>
        <v>2</v>
      </c>
      <c r="N836" s="24">
        <f t="shared" si="13"/>
        <v>5586.7000836</v>
      </c>
    </row>
    <row r="837" spans="1:14">
      <c r="A837" s="21" t="s">
        <v>441</v>
      </c>
      <c r="B837" s="21" t="s">
        <v>926</v>
      </c>
      <c r="C837" s="21" t="s">
        <v>182</v>
      </c>
      <c r="D837" s="21" t="s">
        <v>921</v>
      </c>
      <c r="E837" s="21">
        <v>0</v>
      </c>
      <c r="F837" s="22">
        <v>45694.3556944444</v>
      </c>
      <c r="G837" s="22">
        <v>45799.4479166667</v>
      </c>
      <c r="H837" s="23">
        <v>440</v>
      </c>
      <c r="I837" s="23">
        <v>58.24545</v>
      </c>
      <c r="J837" s="24">
        <v>0</v>
      </c>
      <c r="K837" s="21">
        <v>0</v>
      </c>
      <c r="L837" s="21">
        <v>0</v>
      </c>
      <c r="M837" s="21">
        <f>COUNTIF($A$2:$A$5481,A837)</f>
        <v>2</v>
      </c>
      <c r="N837" s="24">
        <f t="shared" si="13"/>
        <v>8.37e-5</v>
      </c>
    </row>
    <row r="838" spans="1:14">
      <c r="A838" s="21" t="s">
        <v>441</v>
      </c>
      <c r="B838" s="21" t="s">
        <v>926</v>
      </c>
      <c r="C838" s="21" t="s">
        <v>38</v>
      </c>
      <c r="D838" s="21" t="s">
        <v>921</v>
      </c>
      <c r="E838" s="21">
        <v>21</v>
      </c>
      <c r="F838" s="22">
        <v>46198.5548611111</v>
      </c>
      <c r="G838" s="22">
        <v>46267.3978009259</v>
      </c>
      <c r="H838" s="23">
        <v>440</v>
      </c>
      <c r="I838" s="23">
        <v>53.1222223651</v>
      </c>
      <c r="J838" s="24">
        <v>1115.52</v>
      </c>
      <c r="K838" s="21">
        <v>0</v>
      </c>
      <c r="L838" s="21">
        <v>0</v>
      </c>
      <c r="M838" s="21">
        <f>COUNTIF($A$2:$A$5481,A838)</f>
        <v>2</v>
      </c>
      <c r="N838" s="24">
        <f t="shared" si="13"/>
        <v>1115.5200838</v>
      </c>
    </row>
    <row r="839" spans="1:14">
      <c r="A839" s="21" t="s">
        <v>1548</v>
      </c>
      <c r="B839" s="21" t="s">
        <v>948</v>
      </c>
      <c r="C839" s="21" t="s">
        <v>26</v>
      </c>
      <c r="D839" s="21" t="s">
        <v>921</v>
      </c>
      <c r="E839" s="21">
        <v>1</v>
      </c>
      <c r="F839" s="22">
        <v>46175.5672106482</v>
      </c>
      <c r="G839" s="22"/>
      <c r="H839" s="23">
        <v>55</v>
      </c>
      <c r="I839" s="23">
        <v>55</v>
      </c>
      <c r="J839" s="24">
        <v>55</v>
      </c>
      <c r="K839" s="21">
        <v>0</v>
      </c>
      <c r="L839" s="21">
        <v>0</v>
      </c>
      <c r="M839" s="21">
        <f>COUNTIF($A$2:$A$5481,A839)</f>
        <v>1</v>
      </c>
      <c r="N839" s="24">
        <f t="shared" si="13"/>
        <v>55.0000839</v>
      </c>
    </row>
    <row r="840" spans="1:14">
      <c r="A840" s="21" t="s">
        <v>1549</v>
      </c>
      <c r="B840" s="21" t="s">
        <v>948</v>
      </c>
      <c r="C840" s="21" t="s">
        <v>26</v>
      </c>
      <c r="D840" s="21" t="s">
        <v>921</v>
      </c>
      <c r="E840" s="21">
        <v>1</v>
      </c>
      <c r="F840" s="22">
        <v>46175.5672106482</v>
      </c>
      <c r="G840" s="22"/>
      <c r="H840" s="23">
        <v>49</v>
      </c>
      <c r="I840" s="23">
        <v>49</v>
      </c>
      <c r="J840" s="24">
        <v>49</v>
      </c>
      <c r="K840" s="21">
        <v>0</v>
      </c>
      <c r="L840" s="21">
        <v>0</v>
      </c>
      <c r="M840" s="21">
        <f>COUNTIF($A$2:$A$5481,A840)</f>
        <v>1</v>
      </c>
      <c r="N840" s="24">
        <f t="shared" si="13"/>
        <v>49.000084</v>
      </c>
    </row>
    <row r="841" spans="1:14">
      <c r="A841" s="21" t="s">
        <v>1550</v>
      </c>
      <c r="B841" s="21" t="s">
        <v>949</v>
      </c>
      <c r="C841" s="21" t="s">
        <v>26</v>
      </c>
      <c r="D841" s="21" t="s">
        <v>921</v>
      </c>
      <c r="E841" s="21">
        <v>1</v>
      </c>
      <c r="F841" s="22">
        <v>45369.4451388889</v>
      </c>
      <c r="G841" s="22"/>
      <c r="H841" s="23">
        <v>27.95</v>
      </c>
      <c r="I841" s="23">
        <v>27.95</v>
      </c>
      <c r="J841" s="24">
        <v>27.95</v>
      </c>
      <c r="K841" s="21">
        <v>0</v>
      </c>
      <c r="L841" s="21">
        <v>0</v>
      </c>
      <c r="M841" s="21">
        <f>COUNTIF($A$2:$A$5481,A841)</f>
        <v>1</v>
      </c>
      <c r="N841" s="24">
        <f t="shared" si="13"/>
        <v>27.9500841</v>
      </c>
    </row>
    <row r="842" spans="1:14">
      <c r="A842" s="21" t="s">
        <v>1551</v>
      </c>
      <c r="B842" s="21" t="s">
        <v>26</v>
      </c>
      <c r="C842" s="21" t="s">
        <v>26</v>
      </c>
      <c r="D842" s="21" t="s">
        <v>921</v>
      </c>
      <c r="E842" s="21">
        <v>1</v>
      </c>
      <c r="F842" s="22">
        <v>45546.8363310185</v>
      </c>
      <c r="G842" s="22"/>
      <c r="H842" s="23">
        <v>29.81</v>
      </c>
      <c r="I842" s="23">
        <v>29.81</v>
      </c>
      <c r="J842" s="24">
        <v>29.81</v>
      </c>
      <c r="K842" s="21">
        <v>0</v>
      </c>
      <c r="L842" s="21">
        <v>0</v>
      </c>
      <c r="M842" s="21">
        <f>COUNTIF($A$2:$A$5481,A842)</f>
        <v>1</v>
      </c>
      <c r="N842" s="24">
        <f t="shared" si="13"/>
        <v>29.8100842</v>
      </c>
    </row>
    <row r="843" spans="1:14">
      <c r="A843" s="21" t="s">
        <v>1552</v>
      </c>
      <c r="B843" s="21" t="s">
        <v>926</v>
      </c>
      <c r="C843" s="21" t="s">
        <v>38</v>
      </c>
      <c r="D843" s="21" t="s">
        <v>921</v>
      </c>
      <c r="E843" s="21">
        <v>7</v>
      </c>
      <c r="F843" s="22">
        <v>45903.5616087963</v>
      </c>
      <c r="G843" s="22">
        <v>45924.5668055556</v>
      </c>
      <c r="H843" s="23">
        <v>490.56</v>
      </c>
      <c r="I843" s="23">
        <v>61.32</v>
      </c>
      <c r="J843" s="24">
        <v>429.24</v>
      </c>
      <c r="K843" s="21">
        <v>0</v>
      </c>
      <c r="L843" s="21">
        <v>0</v>
      </c>
      <c r="M843" s="21">
        <f>COUNTIF($A$2:$A$5481,A843)</f>
        <v>1</v>
      </c>
      <c r="N843" s="24">
        <f t="shared" si="13"/>
        <v>429.2400843</v>
      </c>
    </row>
    <row r="844" spans="1:14">
      <c r="A844" s="21" t="s">
        <v>829</v>
      </c>
      <c r="B844" s="21" t="s">
        <v>926</v>
      </c>
      <c r="C844" s="21" t="s">
        <v>26</v>
      </c>
      <c r="D844" s="21" t="s">
        <v>921</v>
      </c>
      <c r="E844" s="21">
        <v>41</v>
      </c>
      <c r="F844" s="22">
        <v>46282.5833333333</v>
      </c>
      <c r="G844" s="22">
        <v>46265.6097222222</v>
      </c>
      <c r="H844" s="23">
        <v>73.44</v>
      </c>
      <c r="I844" s="23">
        <v>11.6924390244</v>
      </c>
      <c r="J844" s="24">
        <v>479.29</v>
      </c>
      <c r="K844" s="21">
        <v>0</v>
      </c>
      <c r="L844" s="21">
        <v>0</v>
      </c>
      <c r="M844" s="21">
        <f>COUNTIF($A$2:$A$5481,A844)</f>
        <v>1</v>
      </c>
      <c r="N844" s="24">
        <f t="shared" si="13"/>
        <v>479.2900844</v>
      </c>
    </row>
    <row r="845" spans="1:14">
      <c r="A845" s="21" t="s">
        <v>873</v>
      </c>
      <c r="B845" s="21" t="s">
        <v>926</v>
      </c>
      <c r="C845" s="21" t="s">
        <v>38</v>
      </c>
      <c r="D845" s="21" t="s">
        <v>921</v>
      </c>
      <c r="E845" s="21">
        <v>18</v>
      </c>
      <c r="F845" s="22">
        <v>46064.5834143519</v>
      </c>
      <c r="G845" s="22">
        <v>46269.6259722222</v>
      </c>
      <c r="H845" s="23">
        <v>875.16</v>
      </c>
      <c r="I845" s="23">
        <v>72.2631578947</v>
      </c>
      <c r="J845" s="24">
        <v>1300.68</v>
      </c>
      <c r="K845" s="21">
        <v>0</v>
      </c>
      <c r="L845" s="21">
        <v>0</v>
      </c>
      <c r="M845" s="21">
        <f>COUNTIF($A$2:$A$5481,A845)</f>
        <v>1</v>
      </c>
      <c r="N845" s="24">
        <f t="shared" si="13"/>
        <v>1300.6800845</v>
      </c>
    </row>
    <row r="846" spans="1:14">
      <c r="A846" s="21" t="s">
        <v>486</v>
      </c>
      <c r="B846" s="21" t="s">
        <v>926</v>
      </c>
      <c r="C846" s="21" t="s">
        <v>26</v>
      </c>
      <c r="D846" s="21" t="s">
        <v>921</v>
      </c>
      <c r="E846" s="21">
        <v>3</v>
      </c>
      <c r="F846" s="22">
        <v>46129.3618055556</v>
      </c>
      <c r="G846" s="22">
        <v>46223.8763541667</v>
      </c>
      <c r="H846" s="23">
        <v>159.96</v>
      </c>
      <c r="I846" s="23">
        <v>39.99</v>
      </c>
      <c r="J846" s="24">
        <v>119.97</v>
      </c>
      <c r="K846" s="21">
        <v>0</v>
      </c>
      <c r="L846" s="21">
        <v>0</v>
      </c>
      <c r="M846" s="21">
        <f>COUNTIF($A$2:$A$5481,A846)</f>
        <v>1</v>
      </c>
      <c r="N846" s="24">
        <f t="shared" si="13"/>
        <v>119.9700846</v>
      </c>
    </row>
    <row r="847" spans="1:14">
      <c r="A847" s="21" t="s">
        <v>1553</v>
      </c>
      <c r="B847" s="21" t="s">
        <v>1346</v>
      </c>
      <c r="C847" s="21" t="s">
        <v>390</v>
      </c>
      <c r="D847" s="21" t="s">
        <v>921</v>
      </c>
      <c r="E847" s="21">
        <v>8000</v>
      </c>
      <c r="F847" s="22">
        <v>45467.3666666667</v>
      </c>
      <c r="G847" s="22"/>
      <c r="H847" s="23">
        <v>860</v>
      </c>
      <c r="I847" s="23">
        <v>0.43</v>
      </c>
      <c r="J847" s="24">
        <v>3440</v>
      </c>
      <c r="K847" s="21">
        <v>0</v>
      </c>
      <c r="L847" s="21">
        <v>0</v>
      </c>
      <c r="M847" s="21">
        <f>COUNTIF($A$2:$A$5481,A847)</f>
        <v>1</v>
      </c>
      <c r="N847" s="24">
        <f t="shared" si="13"/>
        <v>3440.0000847</v>
      </c>
    </row>
    <row r="848" spans="1:14">
      <c r="A848" s="21" t="s">
        <v>1554</v>
      </c>
      <c r="B848" s="21" t="s">
        <v>1346</v>
      </c>
      <c r="C848" s="21" t="s">
        <v>390</v>
      </c>
      <c r="D848" s="21" t="s">
        <v>921</v>
      </c>
      <c r="E848" s="21">
        <v>4000</v>
      </c>
      <c r="F848" s="22">
        <v>45467.3666666667</v>
      </c>
      <c r="G848" s="22"/>
      <c r="H848" s="23">
        <v>860</v>
      </c>
      <c r="I848" s="23">
        <v>0.43</v>
      </c>
      <c r="J848" s="24">
        <v>1720</v>
      </c>
      <c r="K848" s="21">
        <v>0</v>
      </c>
      <c r="L848" s="21">
        <v>0</v>
      </c>
      <c r="M848" s="21">
        <f>COUNTIF($A$2:$A$5481,A848)</f>
        <v>1</v>
      </c>
      <c r="N848" s="24">
        <f t="shared" si="13"/>
        <v>1720.0000848</v>
      </c>
    </row>
    <row r="849" spans="1:14">
      <c r="A849" s="21" t="s">
        <v>1555</v>
      </c>
      <c r="B849" s="21" t="s">
        <v>1346</v>
      </c>
      <c r="C849" s="21" t="s">
        <v>390</v>
      </c>
      <c r="D849" s="21" t="s">
        <v>921</v>
      </c>
      <c r="E849" s="21">
        <v>6000</v>
      </c>
      <c r="F849" s="22">
        <v>45310.6069907407</v>
      </c>
      <c r="G849" s="22"/>
      <c r="H849" s="23">
        <v>2580</v>
      </c>
      <c r="I849" s="23">
        <v>0.43</v>
      </c>
      <c r="J849" s="24">
        <v>2580</v>
      </c>
      <c r="K849" s="21">
        <v>0</v>
      </c>
      <c r="L849" s="21">
        <v>0</v>
      </c>
      <c r="M849" s="21">
        <f>COUNTIF($A$2:$A$5481,A849)</f>
        <v>1</v>
      </c>
      <c r="N849" s="24">
        <f t="shared" si="13"/>
        <v>2580.0000849</v>
      </c>
    </row>
    <row r="850" spans="1:14">
      <c r="A850" s="21" t="s">
        <v>1556</v>
      </c>
      <c r="B850" s="21" t="s">
        <v>1346</v>
      </c>
      <c r="C850" s="21" t="s">
        <v>390</v>
      </c>
      <c r="D850" s="21" t="s">
        <v>921</v>
      </c>
      <c r="E850" s="21">
        <v>6000</v>
      </c>
      <c r="F850" s="22">
        <v>45344.5055555556</v>
      </c>
      <c r="G850" s="22"/>
      <c r="H850" s="23">
        <v>2580</v>
      </c>
      <c r="I850" s="23">
        <v>0.43</v>
      </c>
      <c r="J850" s="24">
        <v>2580</v>
      </c>
      <c r="K850" s="21">
        <v>0</v>
      </c>
      <c r="L850" s="21">
        <v>0</v>
      </c>
      <c r="M850" s="21">
        <f>COUNTIF($A$2:$A$5481,A850)</f>
        <v>1</v>
      </c>
      <c r="N850" s="24">
        <f t="shared" si="13"/>
        <v>2580.000085</v>
      </c>
    </row>
    <row r="851" spans="1:14">
      <c r="A851" s="21" t="s">
        <v>1557</v>
      </c>
      <c r="B851" s="21" t="s">
        <v>1510</v>
      </c>
      <c r="C851" s="21" t="s">
        <v>390</v>
      </c>
      <c r="D851" s="21" t="s">
        <v>921</v>
      </c>
      <c r="E851" s="21">
        <v>3000</v>
      </c>
      <c r="F851" s="22">
        <v>45580.3707060185</v>
      </c>
      <c r="G851" s="22"/>
      <c r="H851" s="23">
        <v>1290</v>
      </c>
      <c r="I851" s="23">
        <v>0.43</v>
      </c>
      <c r="J851" s="24">
        <v>1290</v>
      </c>
      <c r="K851" s="21">
        <v>0</v>
      </c>
      <c r="L851" s="21">
        <v>0</v>
      </c>
      <c r="M851" s="21">
        <f>COUNTIF($A$2:$A$5481,A851)</f>
        <v>1</v>
      </c>
      <c r="N851" s="24">
        <f t="shared" si="13"/>
        <v>1290.0000851</v>
      </c>
    </row>
    <row r="852" spans="1:14">
      <c r="A852" s="21" t="s">
        <v>1558</v>
      </c>
      <c r="B852" s="21" t="s">
        <v>1346</v>
      </c>
      <c r="C852" s="21" t="s">
        <v>390</v>
      </c>
      <c r="D852" s="21" t="s">
        <v>921</v>
      </c>
      <c r="E852" s="21">
        <v>19000</v>
      </c>
      <c r="F852" s="22">
        <v>45670.7125</v>
      </c>
      <c r="G852" s="22"/>
      <c r="H852" s="23">
        <v>1720</v>
      </c>
      <c r="I852" s="23">
        <v>0.43</v>
      </c>
      <c r="J852" s="24">
        <v>8170</v>
      </c>
      <c r="K852" s="21">
        <v>0</v>
      </c>
      <c r="L852" s="21">
        <v>0</v>
      </c>
      <c r="M852" s="21">
        <f>COUNTIF($A$2:$A$5481,A852)</f>
        <v>1</v>
      </c>
      <c r="N852" s="24">
        <f t="shared" si="13"/>
        <v>8170.0000852</v>
      </c>
    </row>
    <row r="853" spans="1:14">
      <c r="A853" s="21" t="s">
        <v>1559</v>
      </c>
      <c r="B853" s="21" t="s">
        <v>1346</v>
      </c>
      <c r="C853" s="21" t="s">
        <v>390</v>
      </c>
      <c r="D853" s="21" t="s">
        <v>921</v>
      </c>
      <c r="E853" s="21">
        <v>4000</v>
      </c>
      <c r="F853" s="22">
        <v>45467.3666666667</v>
      </c>
      <c r="G853" s="22"/>
      <c r="H853" s="23">
        <v>1720</v>
      </c>
      <c r="I853" s="23">
        <v>0.43</v>
      </c>
      <c r="J853" s="24">
        <v>1720</v>
      </c>
      <c r="K853" s="21">
        <v>0</v>
      </c>
      <c r="L853" s="21">
        <v>0</v>
      </c>
      <c r="M853" s="21">
        <f>COUNTIF($A$2:$A$5481,A853)</f>
        <v>1</v>
      </c>
      <c r="N853" s="24">
        <f t="shared" si="13"/>
        <v>1720.0000853</v>
      </c>
    </row>
    <row r="854" spans="1:14">
      <c r="A854" s="21" t="s">
        <v>1560</v>
      </c>
      <c r="B854" s="21" t="s">
        <v>1346</v>
      </c>
      <c r="C854" s="21" t="s">
        <v>390</v>
      </c>
      <c r="D854" s="21" t="s">
        <v>921</v>
      </c>
      <c r="E854" s="21">
        <v>6000</v>
      </c>
      <c r="F854" s="22">
        <v>45310.6032986111</v>
      </c>
      <c r="G854" s="22"/>
      <c r="H854" s="23">
        <v>2580</v>
      </c>
      <c r="I854" s="23">
        <v>0.43</v>
      </c>
      <c r="J854" s="24">
        <v>2580</v>
      </c>
      <c r="K854" s="21">
        <v>0</v>
      </c>
      <c r="L854" s="21">
        <v>0</v>
      </c>
      <c r="M854" s="21">
        <f>COUNTIF($A$2:$A$5481,A854)</f>
        <v>1</v>
      </c>
      <c r="N854" s="24">
        <f t="shared" si="13"/>
        <v>2580.0000854</v>
      </c>
    </row>
    <row r="855" spans="1:14">
      <c r="A855" s="21" t="s">
        <v>1561</v>
      </c>
      <c r="B855" s="21" t="s">
        <v>1346</v>
      </c>
      <c r="C855" s="21" t="s">
        <v>390</v>
      </c>
      <c r="D855" s="21" t="s">
        <v>921</v>
      </c>
      <c r="E855" s="21">
        <v>11000</v>
      </c>
      <c r="F855" s="22">
        <v>45467.3666666667</v>
      </c>
      <c r="G855" s="22"/>
      <c r="H855" s="23">
        <v>1290</v>
      </c>
      <c r="I855" s="23">
        <v>0.43</v>
      </c>
      <c r="J855" s="24">
        <v>4730</v>
      </c>
      <c r="K855" s="21">
        <v>0</v>
      </c>
      <c r="L855" s="21">
        <v>0</v>
      </c>
      <c r="M855" s="21">
        <f>COUNTIF($A$2:$A$5481,A855)</f>
        <v>1</v>
      </c>
      <c r="N855" s="24">
        <f t="shared" si="13"/>
        <v>4730.0000855</v>
      </c>
    </row>
    <row r="856" spans="1:14">
      <c r="A856" s="21" t="s">
        <v>1562</v>
      </c>
      <c r="B856" s="21" t="s">
        <v>1346</v>
      </c>
      <c r="C856" s="21" t="s">
        <v>390</v>
      </c>
      <c r="D856" s="21" t="s">
        <v>921</v>
      </c>
      <c r="E856" s="21">
        <v>6000</v>
      </c>
      <c r="F856" s="22">
        <v>45467.3666666667</v>
      </c>
      <c r="G856" s="22"/>
      <c r="H856" s="23">
        <v>1290</v>
      </c>
      <c r="I856" s="23">
        <v>0.43</v>
      </c>
      <c r="J856" s="24">
        <v>2580</v>
      </c>
      <c r="K856" s="21">
        <v>0</v>
      </c>
      <c r="L856" s="21">
        <v>0</v>
      </c>
      <c r="M856" s="21">
        <f>COUNTIF($A$2:$A$5481,A856)</f>
        <v>1</v>
      </c>
      <c r="N856" s="24">
        <f t="shared" si="13"/>
        <v>2580.0000856</v>
      </c>
    </row>
    <row r="857" spans="1:14">
      <c r="A857" s="21" t="s">
        <v>1563</v>
      </c>
      <c r="B857" s="21" t="s">
        <v>1346</v>
      </c>
      <c r="C857" s="21" t="s">
        <v>390</v>
      </c>
      <c r="D857" s="21" t="s">
        <v>921</v>
      </c>
      <c r="E857" s="21">
        <v>8000</v>
      </c>
      <c r="F857" s="22">
        <v>45344.5055555556</v>
      </c>
      <c r="G857" s="22"/>
      <c r="H857" s="23">
        <v>3440</v>
      </c>
      <c r="I857" s="23">
        <v>0.43</v>
      </c>
      <c r="J857" s="24">
        <v>3440</v>
      </c>
      <c r="K857" s="21">
        <v>0</v>
      </c>
      <c r="L857" s="21">
        <v>0</v>
      </c>
      <c r="M857" s="21">
        <f>COUNTIF($A$2:$A$5481,A857)</f>
        <v>1</v>
      </c>
      <c r="N857" s="24">
        <f t="shared" si="13"/>
        <v>3440.0000857</v>
      </c>
    </row>
    <row r="858" spans="1:14">
      <c r="A858" s="21" t="s">
        <v>1564</v>
      </c>
      <c r="B858" s="21" t="s">
        <v>1346</v>
      </c>
      <c r="C858" s="21" t="s">
        <v>390</v>
      </c>
      <c r="D858" s="21" t="s">
        <v>921</v>
      </c>
      <c r="E858" s="21">
        <v>3000</v>
      </c>
      <c r="F858" s="22">
        <v>45344.5055555556</v>
      </c>
      <c r="G858" s="22"/>
      <c r="H858" s="23">
        <v>1290</v>
      </c>
      <c r="I858" s="23">
        <v>0.43</v>
      </c>
      <c r="J858" s="24">
        <v>1290</v>
      </c>
      <c r="K858" s="21">
        <v>0</v>
      </c>
      <c r="L858" s="21">
        <v>0</v>
      </c>
      <c r="M858" s="21">
        <f>COUNTIF($A$2:$A$5481,A858)</f>
        <v>1</v>
      </c>
      <c r="N858" s="24">
        <f t="shared" si="13"/>
        <v>1290.0000858</v>
      </c>
    </row>
    <row r="859" spans="1:14">
      <c r="A859" s="21" t="s">
        <v>1565</v>
      </c>
      <c r="B859" s="21" t="s">
        <v>1346</v>
      </c>
      <c r="C859" s="21" t="s">
        <v>390</v>
      </c>
      <c r="D859" s="21" t="s">
        <v>921</v>
      </c>
      <c r="E859" s="21">
        <v>10000</v>
      </c>
      <c r="F859" s="22">
        <v>45467.3666666667</v>
      </c>
      <c r="G859" s="22"/>
      <c r="H859" s="23">
        <v>1720</v>
      </c>
      <c r="I859" s="23">
        <v>0.43</v>
      </c>
      <c r="J859" s="24">
        <v>4300</v>
      </c>
      <c r="K859" s="21">
        <v>0</v>
      </c>
      <c r="L859" s="21">
        <v>0</v>
      </c>
      <c r="M859" s="21">
        <f>COUNTIF($A$2:$A$5481,A859)</f>
        <v>1</v>
      </c>
      <c r="N859" s="24">
        <f t="shared" si="13"/>
        <v>4300.0000859</v>
      </c>
    </row>
    <row r="860" spans="1:14">
      <c r="A860" s="21" t="s">
        <v>1566</v>
      </c>
      <c r="B860" s="21" t="s">
        <v>1346</v>
      </c>
      <c r="C860" s="21" t="s">
        <v>390</v>
      </c>
      <c r="D860" s="21" t="s">
        <v>921</v>
      </c>
      <c r="E860" s="21">
        <v>10000</v>
      </c>
      <c r="F860" s="22">
        <v>45467.3666666667</v>
      </c>
      <c r="G860" s="22"/>
      <c r="H860" s="23">
        <v>1720</v>
      </c>
      <c r="I860" s="23">
        <v>0.43</v>
      </c>
      <c r="J860" s="24">
        <v>4300</v>
      </c>
      <c r="K860" s="21">
        <v>0</v>
      </c>
      <c r="L860" s="21">
        <v>0</v>
      </c>
      <c r="M860" s="21">
        <f>COUNTIF($A$2:$A$5481,A860)</f>
        <v>1</v>
      </c>
      <c r="N860" s="24">
        <f t="shared" si="13"/>
        <v>4300.000086</v>
      </c>
    </row>
    <row r="861" spans="1:14">
      <c r="A861" s="21" t="s">
        <v>1567</v>
      </c>
      <c r="B861" s="21" t="s">
        <v>1346</v>
      </c>
      <c r="C861" s="21" t="s">
        <v>51</v>
      </c>
      <c r="D861" s="21" t="s">
        <v>921</v>
      </c>
      <c r="E861" s="21">
        <v>6000</v>
      </c>
      <c r="F861" s="22">
        <v>45281.6226041667</v>
      </c>
      <c r="G861" s="22"/>
      <c r="H861" s="23">
        <v>2580</v>
      </c>
      <c r="I861" s="23">
        <v>0.43</v>
      </c>
      <c r="J861" s="24">
        <v>2580</v>
      </c>
      <c r="K861" s="21">
        <v>0</v>
      </c>
      <c r="L861" s="21">
        <v>0</v>
      </c>
      <c r="M861" s="21">
        <f>COUNTIF($A$2:$A$5481,A861)</f>
        <v>2</v>
      </c>
      <c r="N861" s="24">
        <f t="shared" si="13"/>
        <v>2580.0000861</v>
      </c>
    </row>
    <row r="862" spans="1:14">
      <c r="A862" s="21" t="s">
        <v>1567</v>
      </c>
      <c r="B862" s="21" t="s">
        <v>1346</v>
      </c>
      <c r="C862" s="21" t="s">
        <v>390</v>
      </c>
      <c r="D862" s="21" t="s">
        <v>921</v>
      </c>
      <c r="E862" s="21">
        <v>3000</v>
      </c>
      <c r="F862" s="22">
        <v>45527.5597222222</v>
      </c>
      <c r="G862" s="22"/>
      <c r="H862" s="23">
        <v>1290</v>
      </c>
      <c r="I862" s="23">
        <v>0.43</v>
      </c>
      <c r="J862" s="24">
        <v>1290</v>
      </c>
      <c r="K862" s="21">
        <v>0</v>
      </c>
      <c r="L862" s="21">
        <v>0</v>
      </c>
      <c r="M862" s="21">
        <f>COUNTIF($A$2:$A$5481,A862)</f>
        <v>2</v>
      </c>
      <c r="N862" s="24">
        <f t="shared" si="13"/>
        <v>1290.0000862</v>
      </c>
    </row>
    <row r="863" spans="1:14">
      <c r="A863" s="21" t="s">
        <v>1568</v>
      </c>
      <c r="B863" s="21" t="s">
        <v>1346</v>
      </c>
      <c r="C863" s="21" t="s">
        <v>390</v>
      </c>
      <c r="D863" s="21" t="s">
        <v>921</v>
      </c>
      <c r="E863" s="21">
        <v>1000</v>
      </c>
      <c r="F863" s="22">
        <v>45344.5055555556</v>
      </c>
      <c r="G863" s="22"/>
      <c r="H863" s="23">
        <v>430</v>
      </c>
      <c r="I863" s="23">
        <v>0.43</v>
      </c>
      <c r="J863" s="24">
        <v>430</v>
      </c>
      <c r="K863" s="21">
        <v>0</v>
      </c>
      <c r="L863" s="21">
        <v>0</v>
      </c>
      <c r="M863" s="21">
        <f>COUNTIF($A$2:$A$5481,A863)</f>
        <v>1</v>
      </c>
      <c r="N863" s="24">
        <f t="shared" si="13"/>
        <v>430.0000863</v>
      </c>
    </row>
    <row r="864" spans="1:14">
      <c r="A864" s="21" t="s">
        <v>1569</v>
      </c>
      <c r="B864" s="21" t="s">
        <v>1346</v>
      </c>
      <c r="C864" s="21" t="s">
        <v>390</v>
      </c>
      <c r="D864" s="21" t="s">
        <v>921</v>
      </c>
      <c r="E864" s="21">
        <v>2000</v>
      </c>
      <c r="F864" s="22">
        <v>45344.5055555556</v>
      </c>
      <c r="G864" s="22"/>
      <c r="H864" s="23">
        <v>860</v>
      </c>
      <c r="I864" s="23">
        <v>0.43</v>
      </c>
      <c r="J864" s="24">
        <v>860</v>
      </c>
      <c r="K864" s="21">
        <v>0</v>
      </c>
      <c r="L864" s="21">
        <v>0</v>
      </c>
      <c r="M864" s="21">
        <f>COUNTIF($A$2:$A$5481,A864)</f>
        <v>1</v>
      </c>
      <c r="N864" s="24">
        <f t="shared" si="13"/>
        <v>860.0000864</v>
      </c>
    </row>
    <row r="865" spans="1:14">
      <c r="A865" s="21" t="s">
        <v>1570</v>
      </c>
      <c r="B865" s="21" t="s">
        <v>1115</v>
      </c>
      <c r="C865" s="21" t="s">
        <v>51</v>
      </c>
      <c r="D865" s="21" t="s">
        <v>921</v>
      </c>
      <c r="E865" s="21">
        <v>3000</v>
      </c>
      <c r="F865" s="22">
        <v>45281.6226041667</v>
      </c>
      <c r="G865" s="22"/>
      <c r="H865" s="23">
        <v>1290</v>
      </c>
      <c r="I865" s="23">
        <v>0.43</v>
      </c>
      <c r="J865" s="24">
        <v>1290</v>
      </c>
      <c r="K865" s="21">
        <v>0</v>
      </c>
      <c r="L865" s="21">
        <v>0</v>
      </c>
      <c r="M865" s="21">
        <f>COUNTIF($A$2:$A$5481,A865)</f>
        <v>2</v>
      </c>
      <c r="N865" s="24">
        <f t="shared" si="13"/>
        <v>1290.0000865</v>
      </c>
    </row>
    <row r="866" spans="1:14">
      <c r="A866" s="21" t="s">
        <v>1570</v>
      </c>
      <c r="B866" s="21" t="s">
        <v>1115</v>
      </c>
      <c r="C866" s="21" t="s">
        <v>390</v>
      </c>
      <c r="D866" s="21" t="s">
        <v>921</v>
      </c>
      <c r="E866" s="21">
        <v>6000</v>
      </c>
      <c r="F866" s="22">
        <v>45580.3707060185</v>
      </c>
      <c r="G866" s="22"/>
      <c r="H866" s="23">
        <v>1290</v>
      </c>
      <c r="I866" s="23">
        <v>0.43</v>
      </c>
      <c r="J866" s="24">
        <v>2580</v>
      </c>
      <c r="K866" s="21">
        <v>0</v>
      </c>
      <c r="L866" s="21">
        <v>0</v>
      </c>
      <c r="M866" s="21">
        <f>COUNTIF($A$2:$A$5481,A866)</f>
        <v>2</v>
      </c>
      <c r="N866" s="24">
        <f t="shared" si="13"/>
        <v>2580.0000866</v>
      </c>
    </row>
    <row r="867" spans="1:14">
      <c r="A867" s="21" t="s">
        <v>1571</v>
      </c>
      <c r="B867" s="21" t="s">
        <v>1346</v>
      </c>
      <c r="C867" s="21" t="s">
        <v>390</v>
      </c>
      <c r="D867" s="21" t="s">
        <v>921</v>
      </c>
      <c r="E867" s="21">
        <v>17000</v>
      </c>
      <c r="F867" s="22">
        <v>45670.7125</v>
      </c>
      <c r="G867" s="22"/>
      <c r="H867" s="23">
        <v>3440</v>
      </c>
      <c r="I867" s="23">
        <v>0.43</v>
      </c>
      <c r="J867" s="24">
        <v>7310</v>
      </c>
      <c r="K867" s="21">
        <v>0</v>
      </c>
      <c r="L867" s="21">
        <v>0</v>
      </c>
      <c r="M867" s="21">
        <f>COUNTIF($A$2:$A$5481,A867)</f>
        <v>1</v>
      </c>
      <c r="N867" s="24">
        <f t="shared" si="13"/>
        <v>7310.0000867</v>
      </c>
    </row>
    <row r="868" spans="1:14">
      <c r="A868" s="21" t="s">
        <v>1572</v>
      </c>
      <c r="B868" s="21" t="s">
        <v>1346</v>
      </c>
      <c r="C868" s="21" t="s">
        <v>390</v>
      </c>
      <c r="D868" s="21" t="s">
        <v>921</v>
      </c>
      <c r="E868" s="21">
        <v>4000</v>
      </c>
      <c r="F868" s="22">
        <v>45467.3666666667</v>
      </c>
      <c r="G868" s="22"/>
      <c r="H868" s="23">
        <v>1720</v>
      </c>
      <c r="I868" s="23">
        <v>0.43</v>
      </c>
      <c r="J868" s="24">
        <v>1720</v>
      </c>
      <c r="K868" s="21">
        <v>0</v>
      </c>
      <c r="L868" s="21">
        <v>0</v>
      </c>
      <c r="M868" s="21">
        <f>COUNTIF($A$2:$A$5481,A868)</f>
        <v>1</v>
      </c>
      <c r="N868" s="24">
        <f t="shared" si="13"/>
        <v>1720.0000868</v>
      </c>
    </row>
    <row r="869" spans="1:14">
      <c r="A869" s="21" t="s">
        <v>1573</v>
      </c>
      <c r="B869" s="21" t="s">
        <v>1346</v>
      </c>
      <c r="C869" s="21" t="s">
        <v>390</v>
      </c>
      <c r="D869" s="21" t="s">
        <v>921</v>
      </c>
      <c r="E869" s="21">
        <v>3000</v>
      </c>
      <c r="F869" s="22">
        <v>45310.6045717593</v>
      </c>
      <c r="G869" s="22"/>
      <c r="H869" s="23">
        <v>1290</v>
      </c>
      <c r="I869" s="23">
        <v>0.43</v>
      </c>
      <c r="J869" s="24">
        <v>1290</v>
      </c>
      <c r="K869" s="21">
        <v>0</v>
      </c>
      <c r="L869" s="21">
        <v>0</v>
      </c>
      <c r="M869" s="21">
        <f>COUNTIF($A$2:$A$5481,A869)</f>
        <v>1</v>
      </c>
      <c r="N869" s="24">
        <f t="shared" si="13"/>
        <v>1290.0000869</v>
      </c>
    </row>
    <row r="870" spans="1:14">
      <c r="A870" s="21" t="s">
        <v>1574</v>
      </c>
      <c r="B870" s="21" t="s">
        <v>1346</v>
      </c>
      <c r="C870" s="21" t="s">
        <v>390</v>
      </c>
      <c r="D870" s="21" t="s">
        <v>921</v>
      </c>
      <c r="E870" s="21">
        <v>3000</v>
      </c>
      <c r="F870" s="22">
        <v>45467.3666666667</v>
      </c>
      <c r="G870" s="22"/>
      <c r="H870" s="23">
        <v>1290</v>
      </c>
      <c r="I870" s="23">
        <v>0.43</v>
      </c>
      <c r="J870" s="24">
        <v>1290</v>
      </c>
      <c r="K870" s="21">
        <v>0</v>
      </c>
      <c r="L870" s="21">
        <v>0</v>
      </c>
      <c r="M870" s="21">
        <f>COUNTIF($A$2:$A$5481,A870)</f>
        <v>1</v>
      </c>
      <c r="N870" s="24">
        <f t="shared" si="13"/>
        <v>1290.000087</v>
      </c>
    </row>
    <row r="871" spans="1:14">
      <c r="A871" s="21" t="s">
        <v>1575</v>
      </c>
      <c r="B871" s="21" t="s">
        <v>1510</v>
      </c>
      <c r="C871" s="21" t="s">
        <v>390</v>
      </c>
      <c r="D871" s="21" t="s">
        <v>921</v>
      </c>
      <c r="E871" s="21">
        <v>3000</v>
      </c>
      <c r="F871" s="22">
        <v>45580.3707060185</v>
      </c>
      <c r="G871" s="22"/>
      <c r="H871" s="23">
        <v>1290</v>
      </c>
      <c r="I871" s="23">
        <v>0.43</v>
      </c>
      <c r="J871" s="24">
        <v>1290</v>
      </c>
      <c r="K871" s="21">
        <v>0</v>
      </c>
      <c r="L871" s="21">
        <v>0</v>
      </c>
      <c r="M871" s="21">
        <f>COUNTIF($A$2:$A$5481,A871)</f>
        <v>1</v>
      </c>
      <c r="N871" s="24">
        <f t="shared" si="13"/>
        <v>1290.0000871</v>
      </c>
    </row>
    <row r="872" spans="1:14">
      <c r="A872" s="21" t="s">
        <v>1576</v>
      </c>
      <c r="B872" s="21" t="s">
        <v>1346</v>
      </c>
      <c r="C872" s="21" t="s">
        <v>390</v>
      </c>
      <c r="D872" s="21" t="s">
        <v>921</v>
      </c>
      <c r="E872" s="21">
        <v>2000</v>
      </c>
      <c r="F872" s="22">
        <v>45467.3666666667</v>
      </c>
      <c r="G872" s="22"/>
      <c r="H872" s="23">
        <v>860</v>
      </c>
      <c r="I872" s="23">
        <v>0.43</v>
      </c>
      <c r="J872" s="24">
        <v>860</v>
      </c>
      <c r="K872" s="21">
        <v>0</v>
      </c>
      <c r="L872" s="21">
        <v>0</v>
      </c>
      <c r="M872" s="21">
        <f>COUNTIF($A$2:$A$5481,A872)</f>
        <v>1</v>
      </c>
      <c r="N872" s="24">
        <f t="shared" si="13"/>
        <v>860.0000872</v>
      </c>
    </row>
    <row r="873" spans="1:14">
      <c r="A873" s="21" t="s">
        <v>1577</v>
      </c>
      <c r="B873" s="21" t="s">
        <v>949</v>
      </c>
      <c r="C873" s="21" t="s">
        <v>182</v>
      </c>
      <c r="D873" s="21" t="s">
        <v>921</v>
      </c>
      <c r="E873" s="21">
        <v>0</v>
      </c>
      <c r="F873" s="22">
        <v>45307.3745601852</v>
      </c>
      <c r="G873" s="22">
        <v>45310.4239351852</v>
      </c>
      <c r="H873" s="23">
        <v>37.35</v>
      </c>
      <c r="I873" s="23">
        <v>2.49</v>
      </c>
      <c r="J873" s="24">
        <v>0</v>
      </c>
      <c r="K873" s="21">
        <v>0</v>
      </c>
      <c r="L873" s="21">
        <v>0</v>
      </c>
      <c r="M873" s="21">
        <f>COUNTIF($A$2:$A$5481,A873)</f>
        <v>2</v>
      </c>
      <c r="N873" s="24">
        <f t="shared" si="13"/>
        <v>8.73e-5</v>
      </c>
    </row>
    <row r="874" spans="1:14">
      <c r="A874" s="21" t="s">
        <v>1577</v>
      </c>
      <c r="B874" s="21" t="s">
        <v>949</v>
      </c>
      <c r="C874" s="21" t="s">
        <v>26</v>
      </c>
      <c r="D874" s="21" t="s">
        <v>921</v>
      </c>
      <c r="E874" s="21">
        <v>15</v>
      </c>
      <c r="F874" s="22">
        <v>45491.4498611111</v>
      </c>
      <c r="G874" s="22">
        <v>45324.4903703704</v>
      </c>
      <c r="H874" s="23">
        <v>21</v>
      </c>
      <c r="I874" s="23">
        <v>2.894</v>
      </c>
      <c r="J874" s="24">
        <v>43.35</v>
      </c>
      <c r="K874" s="21">
        <v>0</v>
      </c>
      <c r="L874" s="21">
        <v>0</v>
      </c>
      <c r="M874" s="21">
        <f>COUNTIF($A$2:$A$5481,A874)</f>
        <v>2</v>
      </c>
      <c r="N874" s="24">
        <f t="shared" si="13"/>
        <v>43.3500874</v>
      </c>
    </row>
    <row r="875" spans="1:14">
      <c r="A875" s="21" t="s">
        <v>1578</v>
      </c>
      <c r="B875" s="21" t="s">
        <v>920</v>
      </c>
      <c r="C875" s="21" t="s">
        <v>26</v>
      </c>
      <c r="D875" s="21" t="s">
        <v>921</v>
      </c>
      <c r="E875" s="21">
        <v>5</v>
      </c>
      <c r="F875" s="22">
        <v>45460.4116550926</v>
      </c>
      <c r="G875" s="22"/>
      <c r="H875" s="23">
        <v>877.38</v>
      </c>
      <c r="I875" s="23">
        <v>210.608</v>
      </c>
      <c r="J875" s="24">
        <v>1053.05</v>
      </c>
      <c r="K875" s="21">
        <v>0</v>
      </c>
      <c r="L875" s="21">
        <v>0</v>
      </c>
      <c r="M875" s="21">
        <f>COUNTIF($A$2:$A$5481,A875)</f>
        <v>1</v>
      </c>
      <c r="N875" s="24">
        <f t="shared" si="13"/>
        <v>1053.0500875</v>
      </c>
    </row>
    <row r="876" spans="1:14">
      <c r="A876" s="21" t="s">
        <v>1579</v>
      </c>
      <c r="B876" s="21" t="s">
        <v>948</v>
      </c>
      <c r="C876" s="21" t="s">
        <v>641</v>
      </c>
      <c r="D876" s="21" t="s">
        <v>921</v>
      </c>
      <c r="E876" s="21">
        <v>1</v>
      </c>
      <c r="F876" s="22">
        <v>45412.312349537</v>
      </c>
      <c r="G876" s="22"/>
      <c r="H876" s="23">
        <v>571.29</v>
      </c>
      <c r="I876" s="23">
        <v>571.29</v>
      </c>
      <c r="J876" s="24">
        <v>571.29</v>
      </c>
      <c r="K876" s="21">
        <v>0</v>
      </c>
      <c r="L876" s="21">
        <v>0</v>
      </c>
      <c r="M876" s="21">
        <f>COUNTIF($A$2:$A$5481,A876)</f>
        <v>1</v>
      </c>
      <c r="N876" s="24">
        <f t="shared" si="13"/>
        <v>571.2900876</v>
      </c>
    </row>
    <row r="877" spans="1:14">
      <c r="A877" s="21" t="s">
        <v>1580</v>
      </c>
      <c r="B877" s="21" t="s">
        <v>1510</v>
      </c>
      <c r="C877" s="21" t="s">
        <v>390</v>
      </c>
      <c r="D877" s="21" t="s">
        <v>921</v>
      </c>
      <c r="E877" s="21">
        <v>3000</v>
      </c>
      <c r="F877" s="22">
        <v>45538.8416666667</v>
      </c>
      <c r="G877" s="22"/>
      <c r="H877" s="23">
        <v>1290</v>
      </c>
      <c r="I877" s="23">
        <v>0.43</v>
      </c>
      <c r="J877" s="24">
        <v>1290</v>
      </c>
      <c r="K877" s="21">
        <v>0</v>
      </c>
      <c r="L877" s="21">
        <v>0</v>
      </c>
      <c r="M877" s="21">
        <f>COUNTIF($A$2:$A$5481,A877)</f>
        <v>1</v>
      </c>
      <c r="N877" s="24">
        <f t="shared" si="13"/>
        <v>1290.0000877</v>
      </c>
    </row>
    <row r="878" spans="1:14">
      <c r="A878" s="21" t="s">
        <v>1581</v>
      </c>
      <c r="B878" s="21" t="s">
        <v>1346</v>
      </c>
      <c r="C878" s="21" t="s">
        <v>390</v>
      </c>
      <c r="D878" s="21" t="s">
        <v>921</v>
      </c>
      <c r="E878" s="21">
        <v>20500</v>
      </c>
      <c r="F878" s="22">
        <v>46153.3902777778</v>
      </c>
      <c r="G878" s="22"/>
      <c r="H878" s="23">
        <v>2700</v>
      </c>
      <c r="I878" s="23">
        <v>0.5041463415</v>
      </c>
      <c r="J878" s="24">
        <v>10250</v>
      </c>
      <c r="K878" s="21">
        <v>0</v>
      </c>
      <c r="L878" s="21">
        <v>0</v>
      </c>
      <c r="M878" s="21">
        <f>COUNTIF($A$2:$A$5481,A878)</f>
        <v>1</v>
      </c>
      <c r="N878" s="24">
        <f t="shared" si="13"/>
        <v>10250.0000878</v>
      </c>
    </row>
    <row r="879" spans="1:14">
      <c r="A879" s="21" t="s">
        <v>1582</v>
      </c>
      <c r="B879" s="21" t="s">
        <v>1346</v>
      </c>
      <c r="C879" s="21" t="s">
        <v>390</v>
      </c>
      <c r="D879" s="21" t="s">
        <v>921</v>
      </c>
      <c r="E879" s="21">
        <v>3000</v>
      </c>
      <c r="F879" s="22">
        <v>45527.5597222222</v>
      </c>
      <c r="G879" s="22"/>
      <c r="H879" s="23">
        <v>1290</v>
      </c>
      <c r="I879" s="23">
        <v>0.43</v>
      </c>
      <c r="J879" s="24">
        <v>1290</v>
      </c>
      <c r="K879" s="21">
        <v>0</v>
      </c>
      <c r="L879" s="21">
        <v>0</v>
      </c>
      <c r="M879" s="21">
        <f>COUNTIF($A$2:$A$5481,A879)</f>
        <v>1</v>
      </c>
      <c r="N879" s="24">
        <f t="shared" si="13"/>
        <v>1290.0000879</v>
      </c>
    </row>
    <row r="880" spans="1:14">
      <c r="A880" s="21" t="s">
        <v>1583</v>
      </c>
      <c r="B880" s="21" t="s">
        <v>1346</v>
      </c>
      <c r="C880" s="21" t="s">
        <v>390</v>
      </c>
      <c r="D880" s="21" t="s">
        <v>1584</v>
      </c>
      <c r="E880" s="21">
        <v>3000</v>
      </c>
      <c r="F880" s="22">
        <v>45443.3509027778</v>
      </c>
      <c r="G880" s="22"/>
      <c r="H880" s="23">
        <v>1290</v>
      </c>
      <c r="I880" s="23">
        <v>0.43</v>
      </c>
      <c r="J880" s="24">
        <v>1290</v>
      </c>
      <c r="K880" s="21">
        <v>0</v>
      </c>
      <c r="L880" s="21">
        <v>0</v>
      </c>
      <c r="M880" s="21">
        <f>COUNTIF($A$2:$A$5481,A880)</f>
        <v>1</v>
      </c>
      <c r="N880" s="24">
        <f t="shared" si="13"/>
        <v>1290.000088</v>
      </c>
    </row>
    <row r="881" spans="1:14">
      <c r="A881" s="21" t="s">
        <v>1585</v>
      </c>
      <c r="B881" s="21" t="s">
        <v>1346</v>
      </c>
      <c r="C881" s="21" t="s">
        <v>390</v>
      </c>
      <c r="D881" s="21" t="s">
        <v>1584</v>
      </c>
      <c r="E881" s="21">
        <v>3000</v>
      </c>
      <c r="F881" s="22">
        <v>45443.3509027778</v>
      </c>
      <c r="G881" s="22"/>
      <c r="H881" s="23">
        <v>1290</v>
      </c>
      <c r="I881" s="23">
        <v>0.43</v>
      </c>
      <c r="J881" s="24">
        <v>1290</v>
      </c>
      <c r="K881" s="21">
        <v>0</v>
      </c>
      <c r="L881" s="21">
        <v>0</v>
      </c>
      <c r="M881" s="21">
        <f>COUNTIF($A$2:$A$5481,A881)</f>
        <v>1</v>
      </c>
      <c r="N881" s="24">
        <f t="shared" si="13"/>
        <v>1290.0000881</v>
      </c>
    </row>
    <row r="882" spans="1:14">
      <c r="A882" s="21" t="s">
        <v>1586</v>
      </c>
      <c r="B882" s="21" t="s">
        <v>1346</v>
      </c>
      <c r="C882" s="21" t="s">
        <v>390</v>
      </c>
      <c r="D882" s="21" t="s">
        <v>1584</v>
      </c>
      <c r="E882" s="21">
        <v>3000</v>
      </c>
      <c r="F882" s="22">
        <v>45443.3509027778</v>
      </c>
      <c r="G882" s="22"/>
      <c r="H882" s="23">
        <v>1290</v>
      </c>
      <c r="I882" s="23">
        <v>0.43</v>
      </c>
      <c r="J882" s="24">
        <v>1290</v>
      </c>
      <c r="K882" s="21">
        <v>0</v>
      </c>
      <c r="L882" s="21">
        <v>0</v>
      </c>
      <c r="M882" s="21">
        <f>COUNTIF($A$2:$A$5481,A882)</f>
        <v>1</v>
      </c>
      <c r="N882" s="24">
        <f t="shared" si="13"/>
        <v>1290.0000882</v>
      </c>
    </row>
    <row r="883" spans="1:14">
      <c r="A883" s="21" t="s">
        <v>1587</v>
      </c>
      <c r="B883" s="21" t="s">
        <v>1346</v>
      </c>
      <c r="C883" s="21" t="s">
        <v>390</v>
      </c>
      <c r="D883" s="21" t="s">
        <v>1584</v>
      </c>
      <c r="E883" s="21">
        <v>3000</v>
      </c>
      <c r="F883" s="22">
        <v>45443.3509027778</v>
      </c>
      <c r="G883" s="22"/>
      <c r="H883" s="23">
        <v>1290</v>
      </c>
      <c r="I883" s="23">
        <v>0.43</v>
      </c>
      <c r="J883" s="24">
        <v>1290</v>
      </c>
      <c r="K883" s="21">
        <v>0</v>
      </c>
      <c r="L883" s="21">
        <v>0</v>
      </c>
      <c r="M883" s="21">
        <f>COUNTIF($A$2:$A$5481,A883)</f>
        <v>1</v>
      </c>
      <c r="N883" s="24">
        <f t="shared" si="13"/>
        <v>1290.0000883</v>
      </c>
    </row>
    <row r="884" spans="1:14">
      <c r="A884" s="21" t="s">
        <v>1588</v>
      </c>
      <c r="B884" s="21" t="s">
        <v>1346</v>
      </c>
      <c r="C884" s="21" t="s">
        <v>390</v>
      </c>
      <c r="D884" s="21" t="s">
        <v>921</v>
      </c>
      <c r="E884" s="21">
        <v>3000</v>
      </c>
      <c r="F884" s="22">
        <v>45467.3666666667</v>
      </c>
      <c r="G884" s="22"/>
      <c r="H884" s="23">
        <v>1290</v>
      </c>
      <c r="I884" s="23">
        <v>0.43</v>
      </c>
      <c r="J884" s="24">
        <v>1290</v>
      </c>
      <c r="K884" s="21">
        <v>0</v>
      </c>
      <c r="L884" s="21">
        <v>0</v>
      </c>
      <c r="M884" s="21">
        <f>COUNTIF($A$2:$A$5481,A884)</f>
        <v>1</v>
      </c>
      <c r="N884" s="24">
        <f t="shared" si="13"/>
        <v>1290.0000884</v>
      </c>
    </row>
    <row r="885" spans="1:14">
      <c r="A885" s="21" t="s">
        <v>1589</v>
      </c>
      <c r="B885" s="21" t="s">
        <v>1346</v>
      </c>
      <c r="C885" s="21" t="s">
        <v>390</v>
      </c>
      <c r="D885" s="21" t="s">
        <v>1584</v>
      </c>
      <c r="E885" s="21">
        <v>3000</v>
      </c>
      <c r="F885" s="22">
        <v>45443.3509027778</v>
      </c>
      <c r="G885" s="22"/>
      <c r="H885" s="23">
        <v>1290</v>
      </c>
      <c r="I885" s="23">
        <v>0.43</v>
      </c>
      <c r="J885" s="24">
        <v>1290</v>
      </c>
      <c r="K885" s="21">
        <v>0</v>
      </c>
      <c r="L885" s="21">
        <v>0</v>
      </c>
      <c r="M885" s="21">
        <f>COUNTIF($A$2:$A$5481,A885)</f>
        <v>1</v>
      </c>
      <c r="N885" s="24">
        <f t="shared" si="13"/>
        <v>1290.0000885</v>
      </c>
    </row>
    <row r="886" spans="1:14">
      <c r="A886" s="21" t="s">
        <v>1590</v>
      </c>
      <c r="B886" s="21" t="s">
        <v>1346</v>
      </c>
      <c r="C886" s="21" t="s">
        <v>390</v>
      </c>
      <c r="D886" s="21" t="s">
        <v>921</v>
      </c>
      <c r="E886" s="21">
        <v>2000</v>
      </c>
      <c r="F886" s="22">
        <v>45467.3666666667</v>
      </c>
      <c r="G886" s="22"/>
      <c r="H886" s="23">
        <v>860</v>
      </c>
      <c r="I886" s="23">
        <v>0.43</v>
      </c>
      <c r="J886" s="24">
        <v>860</v>
      </c>
      <c r="K886" s="21">
        <v>0</v>
      </c>
      <c r="L886" s="21">
        <v>0</v>
      </c>
      <c r="M886" s="21">
        <f>COUNTIF($A$2:$A$5481,A886)</f>
        <v>1</v>
      </c>
      <c r="N886" s="24">
        <f t="shared" si="13"/>
        <v>860.0000886</v>
      </c>
    </row>
    <row r="887" spans="1:14">
      <c r="A887" s="21" t="s">
        <v>1591</v>
      </c>
      <c r="B887" s="21" t="s">
        <v>920</v>
      </c>
      <c r="C887" s="21" t="s">
        <v>35</v>
      </c>
      <c r="D887" s="21" t="s">
        <v>921</v>
      </c>
      <c r="E887" s="21">
        <v>12</v>
      </c>
      <c r="F887" s="22">
        <v>45313.7501157407</v>
      </c>
      <c r="G887" s="22"/>
      <c r="H887" s="23">
        <v>250.8</v>
      </c>
      <c r="I887" s="23">
        <v>20.9</v>
      </c>
      <c r="J887" s="24">
        <v>250.8</v>
      </c>
      <c r="K887" s="21">
        <v>0</v>
      </c>
      <c r="L887" s="21">
        <v>0</v>
      </c>
      <c r="M887" s="21">
        <f>COUNTIF($A$2:$A$5481,A887)</f>
        <v>2</v>
      </c>
      <c r="N887" s="24">
        <f t="shared" si="13"/>
        <v>250.8000887</v>
      </c>
    </row>
    <row r="888" spans="1:14">
      <c r="A888" s="21" t="s">
        <v>1591</v>
      </c>
      <c r="B888" s="21" t="s">
        <v>920</v>
      </c>
      <c r="C888" s="21" t="s">
        <v>26</v>
      </c>
      <c r="D888" s="21" t="s">
        <v>921</v>
      </c>
      <c r="E888" s="21">
        <v>2</v>
      </c>
      <c r="F888" s="22">
        <v>45391.3097453704</v>
      </c>
      <c r="G888" s="22"/>
      <c r="H888" s="23">
        <v>159.98</v>
      </c>
      <c r="I888" s="23">
        <v>79.99</v>
      </c>
      <c r="J888" s="24">
        <v>159.98</v>
      </c>
      <c r="K888" s="21">
        <v>0</v>
      </c>
      <c r="L888" s="21">
        <v>0</v>
      </c>
      <c r="M888" s="21">
        <f>COUNTIF($A$2:$A$5481,A888)</f>
        <v>2</v>
      </c>
      <c r="N888" s="24">
        <f t="shared" si="13"/>
        <v>159.9800888</v>
      </c>
    </row>
    <row r="889" spans="1:14">
      <c r="A889" s="21" t="s">
        <v>1592</v>
      </c>
      <c r="B889" s="21" t="s">
        <v>920</v>
      </c>
      <c r="C889" s="21" t="s">
        <v>26</v>
      </c>
      <c r="D889" s="21" t="s">
        <v>921</v>
      </c>
      <c r="E889" s="21">
        <v>68</v>
      </c>
      <c r="F889" s="22">
        <v>46178.7129513889</v>
      </c>
      <c r="G889" s="22"/>
      <c r="H889" s="23">
        <v>149.9</v>
      </c>
      <c r="I889" s="23">
        <v>12.2770588235</v>
      </c>
      <c r="J889" s="24">
        <v>835.04</v>
      </c>
      <c r="K889" s="21">
        <v>0</v>
      </c>
      <c r="L889" s="21">
        <v>0</v>
      </c>
      <c r="M889" s="21">
        <f>COUNTIF($A$2:$A$5481,A889)</f>
        <v>1</v>
      </c>
      <c r="N889" s="24">
        <f t="shared" si="13"/>
        <v>835.0400889</v>
      </c>
    </row>
    <row r="890" spans="1:14">
      <c r="A890" s="21" t="s">
        <v>1593</v>
      </c>
      <c r="B890" s="21" t="s">
        <v>929</v>
      </c>
      <c r="C890" s="21" t="s">
        <v>26</v>
      </c>
      <c r="D890" s="21" t="s">
        <v>921</v>
      </c>
      <c r="E890" s="21">
        <v>4</v>
      </c>
      <c r="F890" s="22">
        <v>46238.7116087963</v>
      </c>
      <c r="G890" s="22"/>
      <c r="H890" s="23">
        <v>63.3</v>
      </c>
      <c r="I890" s="23">
        <v>22.99</v>
      </c>
      <c r="J890" s="24">
        <v>91.96</v>
      </c>
      <c r="K890" s="21">
        <v>0</v>
      </c>
      <c r="L890" s="21">
        <v>0</v>
      </c>
      <c r="M890" s="21">
        <f>COUNTIF($A$2:$A$5481,A890)</f>
        <v>1</v>
      </c>
      <c r="N890" s="24">
        <f t="shared" si="13"/>
        <v>91.960089</v>
      </c>
    </row>
    <row r="891" spans="1:14">
      <c r="A891" s="21" t="s">
        <v>1594</v>
      </c>
      <c r="B891" s="21" t="s">
        <v>929</v>
      </c>
      <c r="C891" s="21" t="s">
        <v>26</v>
      </c>
      <c r="D891" s="21" t="s">
        <v>921</v>
      </c>
      <c r="E891" s="21">
        <v>1</v>
      </c>
      <c r="F891" s="22">
        <v>46147.3625</v>
      </c>
      <c r="G891" s="22"/>
      <c r="H891" s="23">
        <v>2.6</v>
      </c>
      <c r="I891" s="23">
        <v>2.6</v>
      </c>
      <c r="J891" s="24">
        <v>2.6</v>
      </c>
      <c r="K891" s="21">
        <v>0</v>
      </c>
      <c r="L891" s="21">
        <v>0</v>
      </c>
      <c r="M891" s="21">
        <f>COUNTIF($A$2:$A$5481,A891)</f>
        <v>1</v>
      </c>
      <c r="N891" s="24">
        <f t="shared" si="13"/>
        <v>2.6000891</v>
      </c>
    </row>
    <row r="892" spans="1:14">
      <c r="A892" s="21" t="s">
        <v>1595</v>
      </c>
      <c r="B892" s="21" t="s">
        <v>929</v>
      </c>
      <c r="C892" s="21" t="s">
        <v>26</v>
      </c>
      <c r="D892" s="21" t="s">
        <v>921</v>
      </c>
      <c r="E892" s="21">
        <v>6</v>
      </c>
      <c r="F892" s="22">
        <v>46239.5992013889</v>
      </c>
      <c r="G892" s="22"/>
      <c r="H892" s="23">
        <v>4.59</v>
      </c>
      <c r="I892" s="23">
        <v>4.1783333333</v>
      </c>
      <c r="J892" s="24">
        <v>25.08</v>
      </c>
      <c r="K892" s="21">
        <v>0</v>
      </c>
      <c r="L892" s="21">
        <v>0</v>
      </c>
      <c r="M892" s="21">
        <f>COUNTIF($A$2:$A$5481,A892)</f>
        <v>1</v>
      </c>
      <c r="N892" s="24">
        <f t="shared" si="13"/>
        <v>25.0800892</v>
      </c>
    </row>
    <row r="893" spans="1:14">
      <c r="A893" s="21" t="s">
        <v>1596</v>
      </c>
      <c r="B893" s="21" t="s">
        <v>929</v>
      </c>
      <c r="C893" s="21" t="s">
        <v>26</v>
      </c>
      <c r="D893" s="21" t="s">
        <v>921</v>
      </c>
      <c r="E893" s="21">
        <v>1</v>
      </c>
      <c r="F893" s="22">
        <v>46147.3625</v>
      </c>
      <c r="G893" s="22"/>
      <c r="H893" s="23">
        <v>3.37</v>
      </c>
      <c r="I893" s="23">
        <v>3.37</v>
      </c>
      <c r="J893" s="24">
        <v>3.37</v>
      </c>
      <c r="K893" s="21">
        <v>0</v>
      </c>
      <c r="L893" s="21">
        <v>0</v>
      </c>
      <c r="M893" s="21">
        <f>COUNTIF($A$2:$A$5481,A893)</f>
        <v>1</v>
      </c>
      <c r="N893" s="24">
        <f t="shared" si="13"/>
        <v>3.3700893</v>
      </c>
    </row>
    <row r="894" spans="1:14">
      <c r="A894" s="21" t="s">
        <v>1597</v>
      </c>
      <c r="B894" s="21" t="s">
        <v>929</v>
      </c>
      <c r="C894" s="21" t="s">
        <v>26</v>
      </c>
      <c r="D894" s="21" t="s">
        <v>921</v>
      </c>
      <c r="E894" s="21">
        <v>2</v>
      </c>
      <c r="F894" s="22">
        <v>45338.3909722222</v>
      </c>
      <c r="G894" s="22"/>
      <c r="H894" s="23">
        <v>65.52</v>
      </c>
      <c r="I894" s="23">
        <v>32.76</v>
      </c>
      <c r="J894" s="24">
        <v>65.52</v>
      </c>
      <c r="K894" s="21">
        <v>0</v>
      </c>
      <c r="L894" s="21">
        <v>0</v>
      </c>
      <c r="M894" s="21">
        <f>COUNTIF($A$2:$A$5481,A894)</f>
        <v>1</v>
      </c>
      <c r="N894" s="24">
        <f t="shared" si="13"/>
        <v>65.5200894</v>
      </c>
    </row>
    <row r="895" spans="1:14">
      <c r="A895" s="21" t="s">
        <v>1598</v>
      </c>
      <c r="B895" s="21" t="s">
        <v>26</v>
      </c>
      <c r="C895" s="21" t="s">
        <v>26</v>
      </c>
      <c r="D895" s="21" t="s">
        <v>921</v>
      </c>
      <c r="E895" s="21">
        <v>1</v>
      </c>
      <c r="F895" s="22">
        <v>45491.3676157407</v>
      </c>
      <c r="G895" s="22"/>
      <c r="H895" s="23">
        <v>30.58</v>
      </c>
      <c r="I895" s="23">
        <v>30.58</v>
      </c>
      <c r="J895" s="24">
        <v>30.58</v>
      </c>
      <c r="K895" s="21">
        <v>0</v>
      </c>
      <c r="L895" s="21">
        <v>0</v>
      </c>
      <c r="M895" s="21">
        <f>COUNTIF($A$2:$A$5481,A895)</f>
        <v>1</v>
      </c>
      <c r="N895" s="24">
        <f t="shared" si="13"/>
        <v>30.5800895</v>
      </c>
    </row>
    <row r="896" spans="1:14">
      <c r="A896" s="21" t="s">
        <v>1599</v>
      </c>
      <c r="B896" s="21" t="s">
        <v>26</v>
      </c>
      <c r="C896" s="21" t="s">
        <v>26</v>
      </c>
      <c r="D896" s="21" t="s">
        <v>921</v>
      </c>
      <c r="E896" s="21">
        <v>1</v>
      </c>
      <c r="F896" s="22">
        <v>45643.4016087963</v>
      </c>
      <c r="G896" s="22"/>
      <c r="H896" s="23">
        <v>85</v>
      </c>
      <c r="I896" s="23">
        <v>85</v>
      </c>
      <c r="J896" s="24">
        <v>85</v>
      </c>
      <c r="K896" s="21">
        <v>0</v>
      </c>
      <c r="L896" s="21">
        <v>0</v>
      </c>
      <c r="M896" s="21">
        <f>COUNTIF($A$2:$A$5481,A896)</f>
        <v>1</v>
      </c>
      <c r="N896" s="24">
        <f t="shared" si="13"/>
        <v>85.0000896</v>
      </c>
    </row>
    <row r="897" spans="1:14">
      <c r="A897" s="21" t="s">
        <v>438</v>
      </c>
      <c r="B897" s="21" t="s">
        <v>929</v>
      </c>
      <c r="C897" s="21" t="s">
        <v>26</v>
      </c>
      <c r="D897" s="21" t="s">
        <v>921</v>
      </c>
      <c r="E897" s="21">
        <v>19</v>
      </c>
      <c r="F897" s="22">
        <v>45986.6980208333</v>
      </c>
      <c r="G897" s="22">
        <v>46203.6551157407</v>
      </c>
      <c r="H897" s="23">
        <v>72.9</v>
      </c>
      <c r="I897" s="23">
        <v>7.2383325</v>
      </c>
      <c r="J897" s="24">
        <v>137.56</v>
      </c>
      <c r="K897" s="21">
        <v>0</v>
      </c>
      <c r="L897" s="21">
        <v>0</v>
      </c>
      <c r="M897" s="21">
        <f>COUNTIF($A$2:$A$5481,A897)</f>
        <v>1</v>
      </c>
      <c r="N897" s="24">
        <f t="shared" si="13"/>
        <v>137.5600897</v>
      </c>
    </row>
    <row r="898" spans="1:14">
      <c r="A898" s="21" t="s">
        <v>455</v>
      </c>
      <c r="B898" s="21" t="s">
        <v>929</v>
      </c>
      <c r="C898" s="21" t="s">
        <v>26</v>
      </c>
      <c r="D898" s="21" t="s">
        <v>921</v>
      </c>
      <c r="E898" s="21">
        <v>13</v>
      </c>
      <c r="F898" s="22">
        <v>45744.551400463</v>
      </c>
      <c r="G898" s="22">
        <v>46209.7833333333</v>
      </c>
      <c r="H898" s="23">
        <v>129</v>
      </c>
      <c r="I898" s="23">
        <v>11.6966666667</v>
      </c>
      <c r="J898" s="24">
        <v>152.1</v>
      </c>
      <c r="K898" s="21">
        <v>0</v>
      </c>
      <c r="L898" s="21">
        <v>0</v>
      </c>
      <c r="M898" s="21">
        <f>COUNTIF($A$2:$A$5481,A898)</f>
        <v>1</v>
      </c>
      <c r="N898" s="24">
        <f t="shared" ref="N898:N961" si="14">J898+ROW()/10000000</f>
        <v>152.1000898</v>
      </c>
    </row>
    <row r="899" spans="1:14">
      <c r="A899" s="21" t="s">
        <v>1600</v>
      </c>
      <c r="B899" s="21" t="s">
        <v>920</v>
      </c>
      <c r="C899" s="21" t="s">
        <v>35</v>
      </c>
      <c r="D899" s="21" t="s">
        <v>921</v>
      </c>
      <c r="E899" s="21">
        <v>1</v>
      </c>
      <c r="F899" s="22">
        <v>46149.6138888889</v>
      </c>
      <c r="G899" s="22"/>
      <c r="H899" s="23">
        <v>1581</v>
      </c>
      <c r="I899" s="23">
        <v>1581</v>
      </c>
      <c r="J899" s="24">
        <v>1581</v>
      </c>
      <c r="K899" s="21">
        <v>0</v>
      </c>
      <c r="L899" s="21">
        <v>0</v>
      </c>
      <c r="M899" s="21">
        <f>COUNTIF($A$2:$A$5481,A899)</f>
        <v>1</v>
      </c>
      <c r="N899" s="24">
        <f t="shared" si="14"/>
        <v>1581.0000899</v>
      </c>
    </row>
    <row r="900" spans="1:14">
      <c r="A900" s="21" t="s">
        <v>1601</v>
      </c>
      <c r="B900" s="21" t="s">
        <v>26</v>
      </c>
      <c r="C900" s="21" t="s">
        <v>26</v>
      </c>
      <c r="D900" s="21" t="s">
        <v>921</v>
      </c>
      <c r="E900" s="21">
        <v>2</v>
      </c>
      <c r="F900" s="22">
        <v>45988.5833680556</v>
      </c>
      <c r="G900" s="22"/>
      <c r="H900" s="23">
        <v>335</v>
      </c>
      <c r="I900" s="23">
        <v>322.5</v>
      </c>
      <c r="J900" s="24">
        <v>645</v>
      </c>
      <c r="K900" s="21">
        <v>0</v>
      </c>
      <c r="L900" s="21">
        <v>0</v>
      </c>
      <c r="M900" s="21">
        <f>COUNTIF($A$2:$A$5481,A900)</f>
        <v>1</v>
      </c>
      <c r="N900" s="24">
        <f t="shared" si="14"/>
        <v>645.00009</v>
      </c>
    </row>
    <row r="901" spans="1:14">
      <c r="A901" s="21" t="s">
        <v>500</v>
      </c>
      <c r="B901" s="21" t="s">
        <v>1115</v>
      </c>
      <c r="C901" s="21" t="s">
        <v>51</v>
      </c>
      <c r="D901" s="21" t="s">
        <v>921</v>
      </c>
      <c r="E901" s="21">
        <v>43</v>
      </c>
      <c r="F901" s="22">
        <v>46155.5880092593</v>
      </c>
      <c r="G901" s="22">
        <v>46258.6222685185</v>
      </c>
      <c r="H901" s="23">
        <v>480</v>
      </c>
      <c r="I901" s="23">
        <v>11.8846153846</v>
      </c>
      <c r="J901" s="24">
        <v>510.84</v>
      </c>
      <c r="K901" s="21">
        <v>0</v>
      </c>
      <c r="L901" s="21">
        <v>0</v>
      </c>
      <c r="M901" s="21">
        <f>COUNTIF($A$2:$A$5481,A901)</f>
        <v>1</v>
      </c>
      <c r="N901" s="24">
        <f t="shared" si="14"/>
        <v>510.8400901</v>
      </c>
    </row>
    <row r="902" spans="1:14">
      <c r="A902" s="21" t="s">
        <v>1602</v>
      </c>
      <c r="B902" s="21" t="s">
        <v>26</v>
      </c>
      <c r="C902" s="21" t="s">
        <v>26</v>
      </c>
      <c r="D902" s="21" t="s">
        <v>921</v>
      </c>
      <c r="E902" s="21">
        <v>2</v>
      </c>
      <c r="F902" s="22">
        <v>45401.8027546296</v>
      </c>
      <c r="G902" s="22"/>
      <c r="H902" s="23">
        <v>242</v>
      </c>
      <c r="I902" s="23">
        <v>121</v>
      </c>
      <c r="J902" s="24">
        <v>242</v>
      </c>
      <c r="K902" s="21">
        <v>0</v>
      </c>
      <c r="L902" s="21">
        <v>0</v>
      </c>
      <c r="M902" s="21">
        <f>COUNTIF($A$2:$A$5481,A902)</f>
        <v>1</v>
      </c>
      <c r="N902" s="24">
        <f t="shared" si="14"/>
        <v>242.0000902</v>
      </c>
    </row>
    <row r="903" spans="1:14">
      <c r="A903" s="21" t="s">
        <v>1603</v>
      </c>
      <c r="B903" s="21" t="s">
        <v>929</v>
      </c>
      <c r="C903" s="21" t="s">
        <v>414</v>
      </c>
      <c r="D903" s="21" t="s">
        <v>921</v>
      </c>
      <c r="E903" s="21">
        <v>2</v>
      </c>
      <c r="F903" s="22">
        <v>45301.8005092593</v>
      </c>
      <c r="G903" s="22"/>
      <c r="H903" s="23">
        <v>79.8</v>
      </c>
      <c r="I903" s="23">
        <v>39.9</v>
      </c>
      <c r="J903" s="24">
        <v>79.8</v>
      </c>
      <c r="K903" s="21">
        <v>0</v>
      </c>
      <c r="L903" s="21">
        <v>10</v>
      </c>
      <c r="M903" s="21">
        <f>COUNTIF($A$2:$A$5481,A903)</f>
        <v>1</v>
      </c>
      <c r="N903" s="24">
        <f t="shared" si="14"/>
        <v>79.8000903</v>
      </c>
    </row>
    <row r="904" spans="1:14">
      <c r="A904" s="21" t="s">
        <v>1604</v>
      </c>
      <c r="B904" s="21" t="s">
        <v>929</v>
      </c>
      <c r="C904" s="21" t="s">
        <v>414</v>
      </c>
      <c r="D904" s="21" t="s">
        <v>921</v>
      </c>
      <c r="E904" s="21">
        <v>11</v>
      </c>
      <c r="F904" s="22">
        <v>45355.5565393519</v>
      </c>
      <c r="G904" s="22">
        <v>45440.3635185185</v>
      </c>
      <c r="H904" s="23">
        <v>252.72</v>
      </c>
      <c r="I904" s="23">
        <v>21.06</v>
      </c>
      <c r="J904" s="24">
        <v>231.66</v>
      </c>
      <c r="K904" s="21">
        <v>1</v>
      </c>
      <c r="L904" s="21">
        <v>50</v>
      </c>
      <c r="M904" s="21">
        <f>COUNTIF($A$2:$A$5481,A904)</f>
        <v>2</v>
      </c>
      <c r="N904" s="24">
        <f t="shared" si="14"/>
        <v>231.6600904</v>
      </c>
    </row>
    <row r="905" spans="1:14">
      <c r="A905" s="21" t="s">
        <v>1604</v>
      </c>
      <c r="B905" s="21" t="s">
        <v>929</v>
      </c>
      <c r="C905" s="21" t="s">
        <v>26</v>
      </c>
      <c r="D905" s="21" t="s">
        <v>921</v>
      </c>
      <c r="E905" s="21">
        <v>15</v>
      </c>
      <c r="F905" s="22">
        <v>45986.6980208333</v>
      </c>
      <c r="G905" s="22"/>
      <c r="H905" s="23">
        <v>53</v>
      </c>
      <c r="I905" s="23">
        <v>20.2866666667</v>
      </c>
      <c r="J905" s="24">
        <v>304.35</v>
      </c>
      <c r="K905" s="21">
        <v>1</v>
      </c>
      <c r="L905" s="21">
        <v>50</v>
      </c>
      <c r="M905" s="21">
        <f>COUNTIF($A$2:$A$5481,A905)</f>
        <v>2</v>
      </c>
      <c r="N905" s="24">
        <f t="shared" si="14"/>
        <v>304.3500905</v>
      </c>
    </row>
    <row r="906" spans="1:14">
      <c r="A906" s="21" t="s">
        <v>1605</v>
      </c>
      <c r="B906" s="21" t="s">
        <v>948</v>
      </c>
      <c r="C906" s="21" t="s">
        <v>641</v>
      </c>
      <c r="D906" s="21" t="s">
        <v>921</v>
      </c>
      <c r="E906" s="21">
        <v>0</v>
      </c>
      <c r="F906" s="22">
        <v>45274.4062152778</v>
      </c>
      <c r="G906" s="22">
        <v>45274.4430092593</v>
      </c>
      <c r="H906" s="23">
        <v>299</v>
      </c>
      <c r="I906" s="23">
        <v>299</v>
      </c>
      <c r="J906" s="24">
        <v>0</v>
      </c>
      <c r="K906" s="21">
        <v>0</v>
      </c>
      <c r="L906" s="21">
        <v>0</v>
      </c>
      <c r="M906" s="21">
        <f>COUNTIF($A$2:$A$5481,A906)</f>
        <v>2</v>
      </c>
      <c r="N906" s="24">
        <f t="shared" si="14"/>
        <v>9.06e-5</v>
      </c>
    </row>
    <row r="907" spans="1:14">
      <c r="A907" s="21" t="s">
        <v>1605</v>
      </c>
      <c r="B907" s="21" t="s">
        <v>948</v>
      </c>
      <c r="C907" s="21" t="s">
        <v>26</v>
      </c>
      <c r="D907" s="21" t="s">
        <v>921</v>
      </c>
      <c r="E907" s="21">
        <v>1</v>
      </c>
      <c r="F907" s="22">
        <v>45818.3865162037</v>
      </c>
      <c r="G907" s="22"/>
      <c r="H907" s="23">
        <v>335</v>
      </c>
      <c r="I907" s="23">
        <v>335</v>
      </c>
      <c r="J907" s="24">
        <v>335</v>
      </c>
      <c r="K907" s="21">
        <v>0</v>
      </c>
      <c r="L907" s="21">
        <v>0</v>
      </c>
      <c r="M907" s="21">
        <f>COUNTIF($A$2:$A$5481,A907)</f>
        <v>2</v>
      </c>
      <c r="N907" s="24">
        <f t="shared" si="14"/>
        <v>335.0000907</v>
      </c>
    </row>
    <row r="908" spans="1:14">
      <c r="A908" s="21" t="s">
        <v>1606</v>
      </c>
      <c r="B908" s="21" t="s">
        <v>948</v>
      </c>
      <c r="C908" s="21" t="s">
        <v>26</v>
      </c>
      <c r="D908" s="21" t="s">
        <v>921</v>
      </c>
      <c r="E908" s="21">
        <v>3</v>
      </c>
      <c r="F908" s="22">
        <v>46237.5550694445</v>
      </c>
      <c r="G908" s="22">
        <v>45863.414537037</v>
      </c>
      <c r="H908" s="23">
        <v>318</v>
      </c>
      <c r="I908" s="23">
        <v>318</v>
      </c>
      <c r="J908" s="24">
        <v>954</v>
      </c>
      <c r="K908" s="21">
        <v>0</v>
      </c>
      <c r="L908" s="21">
        <v>0</v>
      </c>
      <c r="M908" s="21">
        <f>COUNTIF($A$2:$A$5481,A908)</f>
        <v>1</v>
      </c>
      <c r="N908" s="24">
        <f t="shared" si="14"/>
        <v>954.0000908</v>
      </c>
    </row>
    <row r="909" spans="1:14">
      <c r="A909" s="21" t="s">
        <v>437</v>
      </c>
      <c r="B909" s="21" t="s">
        <v>929</v>
      </c>
      <c r="C909" s="21" t="s">
        <v>414</v>
      </c>
      <c r="D909" s="21" t="s">
        <v>921</v>
      </c>
      <c r="E909" s="21">
        <v>12</v>
      </c>
      <c r="F909" s="22">
        <v>45355.5782060185</v>
      </c>
      <c r="G909" s="22">
        <v>45377.7229166667</v>
      </c>
      <c r="H909" s="23">
        <v>192.3</v>
      </c>
      <c r="I909" s="23">
        <v>12.82</v>
      </c>
      <c r="J909" s="24">
        <v>153.84</v>
      </c>
      <c r="K909" s="21">
        <v>0</v>
      </c>
      <c r="L909" s="21">
        <v>0</v>
      </c>
      <c r="M909" s="21">
        <f>COUNTIF($A$2:$A$5481,A909)</f>
        <v>2</v>
      </c>
      <c r="N909" s="24">
        <f t="shared" si="14"/>
        <v>153.8400909</v>
      </c>
    </row>
    <row r="910" spans="1:14">
      <c r="A910" s="21" t="s">
        <v>437</v>
      </c>
      <c r="B910" s="21" t="s">
        <v>929</v>
      </c>
      <c r="C910" s="21" t="s">
        <v>26</v>
      </c>
      <c r="D910" s="21" t="s">
        <v>921</v>
      </c>
      <c r="E910" s="21">
        <v>19</v>
      </c>
      <c r="F910" s="22">
        <v>45986.6980208333</v>
      </c>
      <c r="G910" s="22">
        <v>46203.6551041667</v>
      </c>
      <c r="H910" s="23">
        <v>172.1</v>
      </c>
      <c r="I910" s="23">
        <v>17.21</v>
      </c>
      <c r="J910" s="24">
        <v>326.99</v>
      </c>
      <c r="K910" s="21">
        <v>0</v>
      </c>
      <c r="L910" s="21">
        <v>0</v>
      </c>
      <c r="M910" s="21">
        <f>COUNTIF($A$2:$A$5481,A910)</f>
        <v>2</v>
      </c>
      <c r="N910" s="24">
        <f t="shared" si="14"/>
        <v>326.990091</v>
      </c>
    </row>
    <row r="911" spans="1:14">
      <c r="A911" s="21" t="s">
        <v>1607</v>
      </c>
      <c r="B911" s="21" t="s">
        <v>929</v>
      </c>
      <c r="C911" s="21" t="s">
        <v>26</v>
      </c>
      <c r="D911" s="21" t="s">
        <v>921</v>
      </c>
      <c r="E911" s="21">
        <v>1</v>
      </c>
      <c r="F911" s="22">
        <v>45512.8391319444</v>
      </c>
      <c r="G911" s="22"/>
      <c r="H911" s="23">
        <v>71.91</v>
      </c>
      <c r="I911" s="23">
        <v>71.91</v>
      </c>
      <c r="J911" s="24">
        <v>71.91</v>
      </c>
      <c r="K911" s="21">
        <v>0</v>
      </c>
      <c r="L911" s="21">
        <v>0</v>
      </c>
      <c r="M911" s="21">
        <f>COUNTIF($A$2:$A$5481,A911)</f>
        <v>1</v>
      </c>
      <c r="N911" s="24">
        <f t="shared" si="14"/>
        <v>71.9100911</v>
      </c>
    </row>
    <row r="912" spans="1:14">
      <c r="A912" s="21" t="s">
        <v>1608</v>
      </c>
      <c r="B912" s="21" t="s">
        <v>929</v>
      </c>
      <c r="C912" s="21" t="s">
        <v>26</v>
      </c>
      <c r="D912" s="21" t="s">
        <v>921</v>
      </c>
      <c r="E912" s="21">
        <v>2</v>
      </c>
      <c r="F912" s="22">
        <v>46009.3468518519</v>
      </c>
      <c r="G912" s="22"/>
      <c r="H912" s="23">
        <v>155.8</v>
      </c>
      <c r="I912" s="23">
        <v>77.9</v>
      </c>
      <c r="J912" s="24">
        <v>155.8</v>
      </c>
      <c r="K912" s="21">
        <v>0</v>
      </c>
      <c r="L912" s="21">
        <v>0</v>
      </c>
      <c r="M912" s="21">
        <f>COUNTIF($A$2:$A$5481,A912)</f>
        <v>1</v>
      </c>
      <c r="N912" s="24">
        <f t="shared" si="14"/>
        <v>155.8000912</v>
      </c>
    </row>
    <row r="913" spans="1:14">
      <c r="A913" s="21" t="s">
        <v>1609</v>
      </c>
      <c r="B913" s="21" t="s">
        <v>1346</v>
      </c>
      <c r="C913" s="21" t="s">
        <v>390</v>
      </c>
      <c r="D913" s="21" t="s">
        <v>921</v>
      </c>
      <c r="E913" s="21">
        <v>35</v>
      </c>
      <c r="F913" s="22">
        <v>45293.6839467593</v>
      </c>
      <c r="G913" s="22">
        <v>45484.7919212963</v>
      </c>
      <c r="H913" s="23">
        <v>460</v>
      </c>
      <c r="I913" s="23">
        <v>11.5</v>
      </c>
      <c r="J913" s="24">
        <v>402.5</v>
      </c>
      <c r="K913" s="21">
        <v>0</v>
      </c>
      <c r="L913" s="21">
        <v>1000</v>
      </c>
      <c r="M913" s="21">
        <f>COUNTIF($A$2:$A$5481,A913)</f>
        <v>3</v>
      </c>
      <c r="N913" s="24">
        <f t="shared" si="14"/>
        <v>402.5000913</v>
      </c>
    </row>
    <row r="914" spans="1:14">
      <c r="A914" s="21" t="s">
        <v>1609</v>
      </c>
      <c r="B914" s="21" t="s">
        <v>1346</v>
      </c>
      <c r="C914" s="21" t="s">
        <v>182</v>
      </c>
      <c r="D914" s="21" t="s">
        <v>921</v>
      </c>
      <c r="E914" s="21">
        <v>40</v>
      </c>
      <c r="F914" s="22">
        <v>45463.3402777778</v>
      </c>
      <c r="G914" s="22"/>
      <c r="H914" s="23">
        <v>460</v>
      </c>
      <c r="I914" s="23">
        <v>11.5</v>
      </c>
      <c r="J914" s="24">
        <v>460</v>
      </c>
      <c r="K914" s="21">
        <v>0</v>
      </c>
      <c r="L914" s="21">
        <v>1000</v>
      </c>
      <c r="M914" s="21">
        <f>COUNTIF($A$2:$A$5481,A914)</f>
        <v>3</v>
      </c>
      <c r="N914" s="24">
        <f t="shared" si="14"/>
        <v>460.0000914</v>
      </c>
    </row>
    <row r="915" spans="1:14">
      <c r="A915" s="21" t="s">
        <v>1609</v>
      </c>
      <c r="B915" s="21" t="s">
        <v>1346</v>
      </c>
      <c r="C915" s="21" t="s">
        <v>51</v>
      </c>
      <c r="D915" s="21" t="s">
        <v>921</v>
      </c>
      <c r="E915" s="21">
        <v>110</v>
      </c>
      <c r="F915" s="22">
        <v>45870.560162037</v>
      </c>
      <c r="G915" s="22">
        <v>45904.5910416667</v>
      </c>
      <c r="H915" s="23">
        <v>720</v>
      </c>
      <c r="I915" s="23">
        <v>12</v>
      </c>
      <c r="J915" s="24">
        <v>1320</v>
      </c>
      <c r="K915" s="21">
        <v>0</v>
      </c>
      <c r="L915" s="21">
        <v>1000</v>
      </c>
      <c r="M915" s="21">
        <f>COUNTIF($A$2:$A$5481,A915)</f>
        <v>3</v>
      </c>
      <c r="N915" s="24">
        <f t="shared" si="14"/>
        <v>1320.0000915</v>
      </c>
    </row>
    <row r="916" spans="1:14">
      <c r="A916" s="21" t="s">
        <v>1610</v>
      </c>
      <c r="B916" s="21" t="s">
        <v>920</v>
      </c>
      <c r="C916" s="21" t="s">
        <v>26</v>
      </c>
      <c r="D916" s="21" t="s">
        <v>921</v>
      </c>
      <c r="E916" s="21">
        <v>4</v>
      </c>
      <c r="F916" s="22">
        <v>46254.7157060185</v>
      </c>
      <c r="G916" s="22"/>
      <c r="H916" s="23">
        <v>86.4</v>
      </c>
      <c r="I916" s="23">
        <v>21.6</v>
      </c>
      <c r="J916" s="24">
        <v>86.4</v>
      </c>
      <c r="K916" s="21">
        <v>0</v>
      </c>
      <c r="L916" s="21">
        <v>0</v>
      </c>
      <c r="M916" s="21">
        <f>COUNTIF($A$2:$A$5481,A916)</f>
        <v>1</v>
      </c>
      <c r="N916" s="24">
        <f t="shared" si="14"/>
        <v>86.4000916</v>
      </c>
    </row>
    <row r="917" spans="1:14">
      <c r="A917" s="21" t="s">
        <v>860</v>
      </c>
      <c r="B917" s="21" t="s">
        <v>26</v>
      </c>
      <c r="C917" s="21" t="s">
        <v>26</v>
      </c>
      <c r="D917" s="21" t="s">
        <v>931</v>
      </c>
      <c r="E917" s="21">
        <v>5</v>
      </c>
      <c r="F917" s="22">
        <v>46254.7157060185</v>
      </c>
      <c r="G917" s="22">
        <v>46268.4369444445</v>
      </c>
      <c r="H917" s="23">
        <v>76</v>
      </c>
      <c r="I917" s="23">
        <v>20</v>
      </c>
      <c r="J917" s="24">
        <v>100</v>
      </c>
      <c r="K917" s="21">
        <v>0</v>
      </c>
      <c r="L917" s="21">
        <v>0</v>
      </c>
      <c r="M917" s="21">
        <f>COUNTIF($A$2:$A$5481,A917)</f>
        <v>1</v>
      </c>
      <c r="N917" s="24">
        <f t="shared" si="14"/>
        <v>100.0000917</v>
      </c>
    </row>
    <row r="918" spans="1:14">
      <c r="A918" s="21" t="s">
        <v>735</v>
      </c>
      <c r="B918" s="21" t="s">
        <v>26</v>
      </c>
      <c r="C918" s="21" t="s">
        <v>414</v>
      </c>
      <c r="D918" s="21" t="s">
        <v>921</v>
      </c>
      <c r="E918" s="21">
        <v>5</v>
      </c>
      <c r="F918" s="22">
        <v>45420.3555555556</v>
      </c>
      <c r="G918" s="22"/>
      <c r="H918" s="23">
        <v>50</v>
      </c>
      <c r="I918" s="23">
        <v>10</v>
      </c>
      <c r="J918" s="24">
        <v>50</v>
      </c>
      <c r="K918" s="21">
        <v>0</v>
      </c>
      <c r="L918" s="21">
        <v>0</v>
      </c>
      <c r="M918" s="21">
        <f>COUNTIF($A$2:$A$5481,A918)</f>
        <v>2</v>
      </c>
      <c r="N918" s="24">
        <f t="shared" si="14"/>
        <v>50.0000918</v>
      </c>
    </row>
    <row r="919" spans="1:14">
      <c r="A919" s="21" t="s">
        <v>735</v>
      </c>
      <c r="B919" s="21" t="s">
        <v>26</v>
      </c>
      <c r="C919" s="21" t="s">
        <v>26</v>
      </c>
      <c r="D919" s="21" t="s">
        <v>921</v>
      </c>
      <c r="E919" s="21">
        <v>2</v>
      </c>
      <c r="F919" s="22">
        <v>46238.5687268519</v>
      </c>
      <c r="G919" s="22">
        <v>46252.5693634259</v>
      </c>
      <c r="H919" s="23">
        <v>40</v>
      </c>
      <c r="I919" s="23">
        <v>10</v>
      </c>
      <c r="J919" s="24">
        <v>20</v>
      </c>
      <c r="K919" s="21">
        <v>0</v>
      </c>
      <c r="L919" s="21">
        <v>0</v>
      </c>
      <c r="M919" s="21">
        <f>COUNTIF($A$2:$A$5481,A919)</f>
        <v>2</v>
      </c>
      <c r="N919" s="24">
        <f t="shared" si="14"/>
        <v>20.0000919</v>
      </c>
    </row>
    <row r="920" spans="1:14">
      <c r="A920" s="21" t="s">
        <v>731</v>
      </c>
      <c r="B920" s="21" t="s">
        <v>1175</v>
      </c>
      <c r="C920" s="21" t="s">
        <v>26</v>
      </c>
      <c r="D920" s="21" t="s">
        <v>921</v>
      </c>
      <c r="E920" s="21">
        <v>0</v>
      </c>
      <c r="F920" s="22">
        <v>45800.3477662037</v>
      </c>
      <c r="G920" s="22">
        <v>46252.5693171296</v>
      </c>
      <c r="H920" s="23">
        <v>320</v>
      </c>
      <c r="I920" s="23">
        <v>320</v>
      </c>
      <c r="J920" s="24">
        <v>0</v>
      </c>
      <c r="K920" s="21">
        <v>0</v>
      </c>
      <c r="L920" s="21">
        <v>0</v>
      </c>
      <c r="M920" s="21">
        <f>COUNTIF($A$2:$A$5481,A920)</f>
        <v>1</v>
      </c>
      <c r="N920" s="24">
        <f t="shared" si="14"/>
        <v>9.2e-5</v>
      </c>
    </row>
    <row r="921" spans="1:14">
      <c r="A921" s="21" t="s">
        <v>1611</v>
      </c>
      <c r="B921" s="21" t="s">
        <v>26</v>
      </c>
      <c r="C921" s="21" t="s">
        <v>182</v>
      </c>
      <c r="D921" s="21" t="s">
        <v>921</v>
      </c>
      <c r="E921" s="21">
        <v>1</v>
      </c>
      <c r="F921" s="22">
        <v>45419.8303472222</v>
      </c>
      <c r="G921" s="22"/>
      <c r="H921" s="23">
        <v>15</v>
      </c>
      <c r="I921" s="23">
        <v>15</v>
      </c>
      <c r="J921" s="24">
        <v>15</v>
      </c>
      <c r="K921" s="21">
        <v>0</v>
      </c>
      <c r="L921" s="21">
        <v>0</v>
      </c>
      <c r="M921" s="21">
        <f>COUNTIF($A$2:$A$5481,A921)</f>
        <v>1</v>
      </c>
      <c r="N921" s="24">
        <f t="shared" si="14"/>
        <v>15.0000921</v>
      </c>
    </row>
    <row r="922" spans="1:14">
      <c r="A922" s="21" t="s">
        <v>1612</v>
      </c>
      <c r="B922" s="21" t="s">
        <v>929</v>
      </c>
      <c r="C922" s="21" t="s">
        <v>414</v>
      </c>
      <c r="D922" s="21" t="s">
        <v>921</v>
      </c>
      <c r="E922" s="21">
        <v>0</v>
      </c>
      <c r="F922" s="22">
        <v>45288.8178587963</v>
      </c>
      <c r="G922" s="22">
        <v>45296.588900463</v>
      </c>
      <c r="H922" s="23">
        <v>25.1</v>
      </c>
      <c r="I922" s="23">
        <v>12.55</v>
      </c>
      <c r="J922" s="24">
        <v>0</v>
      </c>
      <c r="K922" s="21">
        <v>1</v>
      </c>
      <c r="L922" s="21">
        <v>5</v>
      </c>
      <c r="M922" s="21">
        <f>COUNTIF($A$2:$A$5481,A922)</f>
        <v>1</v>
      </c>
      <c r="N922" s="24">
        <f t="shared" si="14"/>
        <v>9.22e-5</v>
      </c>
    </row>
    <row r="923" spans="1:14">
      <c r="A923" s="21" t="s">
        <v>1613</v>
      </c>
      <c r="B923" s="21" t="s">
        <v>929</v>
      </c>
      <c r="C923" s="21" t="s">
        <v>26</v>
      </c>
      <c r="D923" s="21" t="s">
        <v>921</v>
      </c>
      <c r="E923" s="21">
        <v>0</v>
      </c>
      <c r="F923" s="22">
        <v>45344.6354166667</v>
      </c>
      <c r="G923" s="22">
        <v>45345.3990972222</v>
      </c>
      <c r="H923" s="23">
        <v>4.94</v>
      </c>
      <c r="I923" s="23">
        <v>2.47</v>
      </c>
      <c r="J923" s="24">
        <v>0</v>
      </c>
      <c r="K923" s="21">
        <v>0</v>
      </c>
      <c r="L923" s="21">
        <v>0</v>
      </c>
      <c r="M923" s="21">
        <f>COUNTIF($A$2:$A$5481,A923)</f>
        <v>1</v>
      </c>
      <c r="N923" s="24">
        <f t="shared" si="14"/>
        <v>9.23e-5</v>
      </c>
    </row>
    <row r="924" spans="1:14">
      <c r="A924" s="21" t="s">
        <v>1614</v>
      </c>
      <c r="B924" s="21" t="s">
        <v>920</v>
      </c>
      <c r="C924" s="21" t="s">
        <v>26</v>
      </c>
      <c r="D924" s="21" t="s">
        <v>921</v>
      </c>
      <c r="E924" s="21">
        <v>2</v>
      </c>
      <c r="F924" s="22">
        <v>46176.7348611111</v>
      </c>
      <c r="G924" s="22"/>
      <c r="H924" s="23">
        <v>36.18</v>
      </c>
      <c r="I924" s="23">
        <v>18.09</v>
      </c>
      <c r="J924" s="24">
        <v>36.18</v>
      </c>
      <c r="K924" s="21">
        <v>0</v>
      </c>
      <c r="L924" s="21">
        <v>0</v>
      </c>
      <c r="M924" s="21">
        <f>COUNTIF($A$2:$A$5481,A924)</f>
        <v>1</v>
      </c>
      <c r="N924" s="24">
        <f t="shared" si="14"/>
        <v>36.1800924</v>
      </c>
    </row>
    <row r="925" spans="1:14">
      <c r="A925" s="21" t="s">
        <v>1615</v>
      </c>
      <c r="B925" s="21" t="s">
        <v>26</v>
      </c>
      <c r="C925" s="21" t="s">
        <v>26</v>
      </c>
      <c r="D925" s="21" t="s">
        <v>921</v>
      </c>
      <c r="E925" s="21">
        <v>1</v>
      </c>
      <c r="F925" s="22">
        <v>45567.4838888889</v>
      </c>
      <c r="G925" s="22"/>
      <c r="H925" s="23">
        <v>5</v>
      </c>
      <c r="I925" s="23">
        <v>5</v>
      </c>
      <c r="J925" s="24">
        <v>5</v>
      </c>
      <c r="K925" s="21">
        <v>0</v>
      </c>
      <c r="L925" s="21">
        <v>0</v>
      </c>
      <c r="M925" s="21">
        <f>COUNTIF($A$2:$A$5481,A925)</f>
        <v>1</v>
      </c>
      <c r="N925" s="24">
        <f t="shared" si="14"/>
        <v>5.0000925</v>
      </c>
    </row>
    <row r="926" spans="1:14">
      <c r="A926" s="21" t="s">
        <v>1616</v>
      </c>
      <c r="B926" s="21" t="s">
        <v>26</v>
      </c>
      <c r="C926" s="21" t="s">
        <v>26</v>
      </c>
      <c r="D926" s="21" t="s">
        <v>921</v>
      </c>
      <c r="E926" s="21">
        <v>2</v>
      </c>
      <c r="F926" s="22">
        <v>45645.3929398148</v>
      </c>
      <c r="G926" s="22"/>
      <c r="H926" s="23">
        <v>63.38</v>
      </c>
      <c r="I926" s="23">
        <v>31.69</v>
      </c>
      <c r="J926" s="24">
        <v>63.38</v>
      </c>
      <c r="K926" s="21">
        <v>0</v>
      </c>
      <c r="L926" s="21">
        <v>0</v>
      </c>
      <c r="M926" s="21">
        <f>COUNTIF($A$2:$A$5481,A926)</f>
        <v>1</v>
      </c>
      <c r="N926" s="24">
        <f t="shared" si="14"/>
        <v>63.3800926</v>
      </c>
    </row>
    <row r="927" spans="1:14">
      <c r="A927" s="21" t="s">
        <v>1617</v>
      </c>
      <c r="B927" s="21" t="s">
        <v>920</v>
      </c>
      <c r="C927" s="21" t="s">
        <v>26</v>
      </c>
      <c r="D927" s="21" t="s">
        <v>921</v>
      </c>
      <c r="E927" s="21">
        <v>0</v>
      </c>
      <c r="F927" s="22">
        <v>45715.8104166667</v>
      </c>
      <c r="G927" s="22">
        <v>45733.3651041667</v>
      </c>
      <c r="H927" s="23">
        <v>17.33</v>
      </c>
      <c r="I927" s="23">
        <v>17.33</v>
      </c>
      <c r="J927" s="24">
        <v>0</v>
      </c>
      <c r="K927" s="21">
        <v>0</v>
      </c>
      <c r="L927" s="21">
        <v>0</v>
      </c>
      <c r="M927" s="21">
        <f>COUNTIF($A$2:$A$5481,A927)</f>
        <v>1</v>
      </c>
      <c r="N927" s="24">
        <f t="shared" si="14"/>
        <v>9.27e-5</v>
      </c>
    </row>
    <row r="928" spans="1:14">
      <c r="A928" s="21" t="s">
        <v>1618</v>
      </c>
      <c r="B928" s="21" t="s">
        <v>920</v>
      </c>
      <c r="C928" s="21" t="s">
        <v>26</v>
      </c>
      <c r="D928" s="21" t="s">
        <v>931</v>
      </c>
      <c r="E928" s="21">
        <v>1</v>
      </c>
      <c r="F928" s="22">
        <v>45867.4388888889</v>
      </c>
      <c r="G928" s="22"/>
      <c r="H928" s="23">
        <v>41</v>
      </c>
      <c r="I928" s="23">
        <v>41</v>
      </c>
      <c r="J928" s="24">
        <v>41</v>
      </c>
      <c r="K928" s="21">
        <v>0</v>
      </c>
      <c r="L928" s="21">
        <v>0</v>
      </c>
      <c r="M928" s="21">
        <f>COUNTIF($A$2:$A$5481,A928)</f>
        <v>1</v>
      </c>
      <c r="N928" s="24">
        <f t="shared" si="14"/>
        <v>41.0000928</v>
      </c>
    </row>
    <row r="929" spans="1:14">
      <c r="A929" s="21" t="s">
        <v>1619</v>
      </c>
      <c r="B929" s="21" t="s">
        <v>920</v>
      </c>
      <c r="C929" s="21" t="s">
        <v>26</v>
      </c>
      <c r="D929" s="21" t="s">
        <v>921</v>
      </c>
      <c r="E929" s="21">
        <v>3</v>
      </c>
      <c r="F929" s="22">
        <v>45540.7941319444</v>
      </c>
      <c r="G929" s="22">
        <v>45540.8080324074</v>
      </c>
      <c r="H929" s="23">
        <v>128</v>
      </c>
      <c r="I929" s="23">
        <v>32</v>
      </c>
      <c r="J929" s="24">
        <v>96</v>
      </c>
      <c r="K929" s="21">
        <v>0</v>
      </c>
      <c r="L929" s="21">
        <v>0</v>
      </c>
      <c r="M929" s="21">
        <f>COUNTIF($A$2:$A$5481,A929)</f>
        <v>1</v>
      </c>
      <c r="N929" s="24">
        <f t="shared" si="14"/>
        <v>96.0000929</v>
      </c>
    </row>
    <row r="930" spans="1:14">
      <c r="A930" s="21" t="s">
        <v>1620</v>
      </c>
      <c r="B930" s="21" t="s">
        <v>1352</v>
      </c>
      <c r="C930" s="21" t="s">
        <v>414</v>
      </c>
      <c r="D930" s="21" t="s">
        <v>931</v>
      </c>
      <c r="E930" s="21">
        <v>2</v>
      </c>
      <c r="F930" s="22">
        <v>45541.5988194444</v>
      </c>
      <c r="G930" s="22"/>
      <c r="H930" s="23">
        <v>754</v>
      </c>
      <c r="I930" s="23">
        <v>377</v>
      </c>
      <c r="J930" s="24">
        <v>754</v>
      </c>
      <c r="K930" s="21">
        <v>0</v>
      </c>
      <c r="L930" s="21">
        <v>0</v>
      </c>
      <c r="M930" s="21">
        <f>COUNTIF($A$2:$A$5481,A930)</f>
        <v>1</v>
      </c>
      <c r="N930" s="24">
        <f t="shared" si="14"/>
        <v>754.000093</v>
      </c>
    </row>
    <row r="931" spans="1:14">
      <c r="A931" s="21" t="s">
        <v>1621</v>
      </c>
      <c r="B931" s="21" t="s">
        <v>920</v>
      </c>
      <c r="C931" s="21" t="s">
        <v>26</v>
      </c>
      <c r="D931" s="21" t="s">
        <v>921</v>
      </c>
      <c r="E931" s="21">
        <v>1</v>
      </c>
      <c r="F931" s="22">
        <v>46139.5548611111</v>
      </c>
      <c r="G931" s="22"/>
      <c r="H931" s="23">
        <v>1313</v>
      </c>
      <c r="I931" s="23">
        <v>1313</v>
      </c>
      <c r="J931" s="24">
        <v>1313</v>
      </c>
      <c r="K931" s="21">
        <v>0</v>
      </c>
      <c r="L931" s="21">
        <v>0</v>
      </c>
      <c r="M931" s="21">
        <f>COUNTIF($A$2:$A$5481,A931)</f>
        <v>1</v>
      </c>
      <c r="N931" s="24">
        <f t="shared" si="14"/>
        <v>1313.0000931</v>
      </c>
    </row>
    <row r="932" spans="1:14">
      <c r="A932" s="21" t="s">
        <v>1622</v>
      </c>
      <c r="B932" s="21" t="s">
        <v>920</v>
      </c>
      <c r="C932" s="21" t="s">
        <v>35</v>
      </c>
      <c r="D932" s="21" t="s">
        <v>921</v>
      </c>
      <c r="E932" s="21">
        <v>1</v>
      </c>
      <c r="F932" s="22">
        <v>45355.5722685185</v>
      </c>
      <c r="G932" s="22"/>
      <c r="H932" s="23">
        <v>580</v>
      </c>
      <c r="I932" s="23">
        <v>580</v>
      </c>
      <c r="J932" s="24">
        <v>580</v>
      </c>
      <c r="K932" s="21">
        <v>0</v>
      </c>
      <c r="L932" s="21">
        <v>0</v>
      </c>
      <c r="M932" s="21">
        <f>COUNTIF($A$2:$A$5481,A932)</f>
        <v>1</v>
      </c>
      <c r="N932" s="24">
        <f t="shared" si="14"/>
        <v>580.0000932</v>
      </c>
    </row>
    <row r="933" spans="1:14">
      <c r="A933" s="21" t="s">
        <v>1623</v>
      </c>
      <c r="B933" s="21" t="s">
        <v>920</v>
      </c>
      <c r="C933" s="21" t="s">
        <v>26</v>
      </c>
      <c r="D933" s="21" t="s">
        <v>921</v>
      </c>
      <c r="E933" s="21">
        <v>1</v>
      </c>
      <c r="F933" s="22">
        <v>46197.7139699074</v>
      </c>
      <c r="G933" s="22">
        <v>45449.8188194444</v>
      </c>
      <c r="H933" s="23">
        <v>445</v>
      </c>
      <c r="I933" s="23">
        <v>445</v>
      </c>
      <c r="J933" s="24">
        <v>445</v>
      </c>
      <c r="K933" s="21">
        <v>0</v>
      </c>
      <c r="L933" s="21">
        <v>0</v>
      </c>
      <c r="M933" s="21">
        <f>COUNTIF($A$2:$A$5481,A933)</f>
        <v>1</v>
      </c>
      <c r="N933" s="24">
        <f t="shared" si="14"/>
        <v>445.0000933</v>
      </c>
    </row>
    <row r="934" spans="1:14">
      <c r="A934" s="21" t="s">
        <v>1624</v>
      </c>
      <c r="B934" s="21" t="s">
        <v>920</v>
      </c>
      <c r="C934" s="21" t="s">
        <v>26</v>
      </c>
      <c r="D934" s="21" t="s">
        <v>921</v>
      </c>
      <c r="E934" s="21">
        <v>2</v>
      </c>
      <c r="F934" s="22">
        <v>45993.5306712963</v>
      </c>
      <c r="G934" s="22"/>
      <c r="H934" s="23">
        <v>178</v>
      </c>
      <c r="I934" s="23">
        <v>89</v>
      </c>
      <c r="J934" s="24">
        <v>178</v>
      </c>
      <c r="K934" s="21">
        <v>0</v>
      </c>
      <c r="L934" s="21">
        <v>0</v>
      </c>
      <c r="M934" s="21">
        <f>COUNTIF($A$2:$A$5481,A934)</f>
        <v>1</v>
      </c>
      <c r="N934" s="24">
        <f t="shared" si="14"/>
        <v>178.0000934</v>
      </c>
    </row>
    <row r="935" spans="1:14">
      <c r="A935" s="21" t="s">
        <v>1625</v>
      </c>
      <c r="B935" s="21" t="s">
        <v>920</v>
      </c>
      <c r="C935" s="21" t="s">
        <v>26</v>
      </c>
      <c r="D935" s="21" t="s">
        <v>931</v>
      </c>
      <c r="E935" s="21">
        <v>1</v>
      </c>
      <c r="F935" s="22">
        <v>45945.7190393519</v>
      </c>
      <c r="G935" s="22">
        <v>45951.4328819444</v>
      </c>
      <c r="H935" s="23">
        <v>510</v>
      </c>
      <c r="I935" s="23">
        <v>255</v>
      </c>
      <c r="J935" s="24">
        <v>255</v>
      </c>
      <c r="K935" s="21">
        <v>0</v>
      </c>
      <c r="L935" s="21">
        <v>0</v>
      </c>
      <c r="M935" s="21">
        <f>COUNTIF($A$2:$A$5481,A935)</f>
        <v>1</v>
      </c>
      <c r="N935" s="24">
        <f t="shared" si="14"/>
        <v>255.0000935</v>
      </c>
    </row>
    <row r="936" spans="1:14">
      <c r="A936" s="21" t="s">
        <v>1626</v>
      </c>
      <c r="B936" s="21" t="s">
        <v>920</v>
      </c>
      <c r="C936" s="21" t="s">
        <v>26</v>
      </c>
      <c r="D936" s="21" t="s">
        <v>921</v>
      </c>
      <c r="E936" s="21">
        <v>1</v>
      </c>
      <c r="F936" s="22">
        <v>45758.4590046296</v>
      </c>
      <c r="G936" s="22">
        <v>45945.4338425926</v>
      </c>
      <c r="H936" s="23">
        <v>558</v>
      </c>
      <c r="I936" s="23">
        <v>279</v>
      </c>
      <c r="J936" s="24">
        <v>279</v>
      </c>
      <c r="K936" s="21">
        <v>0</v>
      </c>
      <c r="L936" s="21">
        <v>0</v>
      </c>
      <c r="M936" s="21">
        <f>COUNTIF($A$2:$A$5481,A936)</f>
        <v>1</v>
      </c>
      <c r="N936" s="24">
        <f t="shared" si="14"/>
        <v>279.0000936</v>
      </c>
    </row>
    <row r="937" spans="1:14">
      <c r="A937" s="21" t="s">
        <v>1627</v>
      </c>
      <c r="B937" s="21" t="s">
        <v>1352</v>
      </c>
      <c r="C937" s="21" t="s">
        <v>26</v>
      </c>
      <c r="D937" s="21" t="s">
        <v>921</v>
      </c>
      <c r="E937" s="21">
        <v>2</v>
      </c>
      <c r="F937" s="22">
        <v>46107.3416666667</v>
      </c>
      <c r="G937" s="22"/>
      <c r="H937" s="23">
        <v>80</v>
      </c>
      <c r="I937" s="23">
        <v>40</v>
      </c>
      <c r="J937" s="24">
        <v>80</v>
      </c>
      <c r="K937" s="21">
        <v>0</v>
      </c>
      <c r="L937" s="21">
        <v>0</v>
      </c>
      <c r="M937" s="21">
        <f>COUNTIF($A$2:$A$5481,A937)</f>
        <v>1</v>
      </c>
      <c r="N937" s="24">
        <f t="shared" si="14"/>
        <v>80.0000937</v>
      </c>
    </row>
    <row r="938" spans="1:14">
      <c r="A938" s="21" t="s">
        <v>1628</v>
      </c>
      <c r="B938" s="21" t="s">
        <v>920</v>
      </c>
      <c r="C938" s="21" t="s">
        <v>26</v>
      </c>
      <c r="D938" s="21" t="s">
        <v>931</v>
      </c>
      <c r="E938" s="21">
        <v>0</v>
      </c>
      <c r="F938" s="22">
        <v>45736.4490046296</v>
      </c>
      <c r="G938" s="22">
        <v>45747.4620717593</v>
      </c>
      <c r="H938" s="23">
        <v>162.82</v>
      </c>
      <c r="I938" s="23">
        <v>81.41</v>
      </c>
      <c r="J938" s="24">
        <v>0</v>
      </c>
      <c r="K938" s="21">
        <v>0</v>
      </c>
      <c r="L938" s="21">
        <v>0</v>
      </c>
      <c r="M938" s="21">
        <f>COUNTIF($A$2:$A$5481,A938)</f>
        <v>1</v>
      </c>
      <c r="N938" s="24">
        <f t="shared" si="14"/>
        <v>9.38e-5</v>
      </c>
    </row>
    <row r="939" spans="1:14">
      <c r="A939" s="21" t="s">
        <v>1629</v>
      </c>
      <c r="B939" s="21" t="s">
        <v>920</v>
      </c>
      <c r="C939" s="21" t="s">
        <v>26</v>
      </c>
      <c r="D939" s="21" t="s">
        <v>931</v>
      </c>
      <c r="E939" s="21">
        <v>0</v>
      </c>
      <c r="F939" s="22">
        <v>45736.4490046296</v>
      </c>
      <c r="G939" s="22">
        <v>45747.4620601852</v>
      </c>
      <c r="H939" s="23">
        <v>168.6</v>
      </c>
      <c r="I939" s="23">
        <v>84.3</v>
      </c>
      <c r="J939" s="24">
        <v>0</v>
      </c>
      <c r="K939" s="21">
        <v>0</v>
      </c>
      <c r="L939" s="21">
        <v>0</v>
      </c>
      <c r="M939" s="21">
        <f>COUNTIF($A$2:$A$5481,A939)</f>
        <v>1</v>
      </c>
      <c r="N939" s="24">
        <f t="shared" si="14"/>
        <v>9.39e-5</v>
      </c>
    </row>
    <row r="940" spans="1:14">
      <c r="A940" s="21" t="s">
        <v>1630</v>
      </c>
      <c r="B940" s="21" t="s">
        <v>920</v>
      </c>
      <c r="C940" s="21" t="s">
        <v>26</v>
      </c>
      <c r="D940" s="21" t="s">
        <v>921</v>
      </c>
      <c r="E940" s="21">
        <v>2</v>
      </c>
      <c r="F940" s="22">
        <v>45758.4590046296</v>
      </c>
      <c r="G940" s="22"/>
      <c r="H940" s="23">
        <v>532</v>
      </c>
      <c r="I940" s="23">
        <v>266</v>
      </c>
      <c r="J940" s="24">
        <v>532</v>
      </c>
      <c r="K940" s="21">
        <v>0</v>
      </c>
      <c r="L940" s="21">
        <v>0</v>
      </c>
      <c r="M940" s="21">
        <f>COUNTIF($A$2:$A$5481,A940)</f>
        <v>1</v>
      </c>
      <c r="N940" s="24">
        <f t="shared" si="14"/>
        <v>532.000094</v>
      </c>
    </row>
    <row r="941" spans="1:14">
      <c r="A941" s="21" t="s">
        <v>1631</v>
      </c>
      <c r="B941" s="21" t="s">
        <v>920</v>
      </c>
      <c r="C941" s="21" t="s">
        <v>26</v>
      </c>
      <c r="D941" s="21" t="s">
        <v>921</v>
      </c>
      <c r="E941" s="21">
        <v>2</v>
      </c>
      <c r="F941" s="22">
        <v>45939.4747222222</v>
      </c>
      <c r="G941" s="22">
        <v>45939.4752199074</v>
      </c>
      <c r="H941" s="23">
        <v>129</v>
      </c>
      <c r="I941" s="23">
        <v>129</v>
      </c>
      <c r="J941" s="24">
        <v>258</v>
      </c>
      <c r="K941" s="21">
        <v>0</v>
      </c>
      <c r="L941" s="21">
        <v>0</v>
      </c>
      <c r="M941" s="21">
        <f>COUNTIF($A$2:$A$5481,A941)</f>
        <v>1</v>
      </c>
      <c r="N941" s="24">
        <f t="shared" si="14"/>
        <v>258.0000941</v>
      </c>
    </row>
    <row r="942" spans="1:14">
      <c r="A942" s="21" t="s">
        <v>1632</v>
      </c>
      <c r="B942" s="21" t="s">
        <v>920</v>
      </c>
      <c r="C942" s="21" t="s">
        <v>26</v>
      </c>
      <c r="D942" s="21" t="s">
        <v>921</v>
      </c>
      <c r="E942" s="21">
        <v>1</v>
      </c>
      <c r="F942" s="22">
        <v>45715.8104166667</v>
      </c>
      <c r="G942" s="22"/>
      <c r="H942" s="23">
        <v>150.01</v>
      </c>
      <c r="I942" s="23">
        <v>150.01</v>
      </c>
      <c r="J942" s="24">
        <v>150.01</v>
      </c>
      <c r="K942" s="21">
        <v>0</v>
      </c>
      <c r="L942" s="21">
        <v>0</v>
      </c>
      <c r="M942" s="21">
        <f>COUNTIF($A$2:$A$5481,A942)</f>
        <v>1</v>
      </c>
      <c r="N942" s="24">
        <f t="shared" si="14"/>
        <v>150.0100942</v>
      </c>
    </row>
    <row r="943" spans="1:14">
      <c r="A943" s="21" t="s">
        <v>879</v>
      </c>
      <c r="B943" s="21" t="s">
        <v>920</v>
      </c>
      <c r="C943" s="21" t="s">
        <v>35</v>
      </c>
      <c r="D943" s="21" t="s">
        <v>921</v>
      </c>
      <c r="E943" s="21">
        <v>0</v>
      </c>
      <c r="F943" s="22">
        <v>46252.4993055556</v>
      </c>
      <c r="G943" s="22">
        <v>46269.6974305556</v>
      </c>
      <c r="H943" s="23">
        <v>1260</v>
      </c>
      <c r="I943" s="23">
        <v>630</v>
      </c>
      <c r="J943" s="24">
        <v>0</v>
      </c>
      <c r="K943" s="21">
        <v>0</v>
      </c>
      <c r="L943" s="21">
        <v>0</v>
      </c>
      <c r="M943" s="21">
        <f>COUNTIF($A$2:$A$5481,A943)</f>
        <v>1</v>
      </c>
      <c r="N943" s="24">
        <f t="shared" si="14"/>
        <v>9.43e-5</v>
      </c>
    </row>
    <row r="944" spans="1:14">
      <c r="A944" s="21" t="s">
        <v>1633</v>
      </c>
      <c r="B944" s="21" t="s">
        <v>26</v>
      </c>
      <c r="C944" s="21" t="s">
        <v>51</v>
      </c>
      <c r="D944" s="21" t="s">
        <v>921</v>
      </c>
      <c r="E944" s="21">
        <v>1</v>
      </c>
      <c r="F944" s="22">
        <v>45575.8241319444</v>
      </c>
      <c r="G944" s="22"/>
      <c r="H944" s="23">
        <v>1450</v>
      </c>
      <c r="I944" s="23">
        <v>1450</v>
      </c>
      <c r="J944" s="24">
        <v>1450</v>
      </c>
      <c r="K944" s="21">
        <v>0</v>
      </c>
      <c r="L944" s="21">
        <v>0</v>
      </c>
      <c r="M944" s="21">
        <f>COUNTIF($A$2:$A$5481,A944)</f>
        <v>1</v>
      </c>
      <c r="N944" s="24">
        <f t="shared" si="14"/>
        <v>1450.0000944</v>
      </c>
    </row>
    <row r="945" spans="1:14">
      <c r="A945" s="21" t="s">
        <v>1634</v>
      </c>
      <c r="B945" s="21" t="s">
        <v>26</v>
      </c>
      <c r="C945" s="21" t="s">
        <v>35</v>
      </c>
      <c r="D945" s="21" t="s">
        <v>921</v>
      </c>
      <c r="E945" s="21">
        <v>0</v>
      </c>
      <c r="F945" s="22">
        <v>45649.4567592593</v>
      </c>
      <c r="G945" s="22">
        <v>45649.4638657407</v>
      </c>
      <c r="H945" s="23">
        <v>2400</v>
      </c>
      <c r="I945" s="23">
        <v>0</v>
      </c>
      <c r="J945" s="24">
        <v>0</v>
      </c>
      <c r="K945" s="21">
        <v>0</v>
      </c>
      <c r="L945" s="21">
        <v>0</v>
      </c>
      <c r="M945" s="21">
        <f>COUNTIF($A$2:$A$5481,A945)</f>
        <v>1</v>
      </c>
      <c r="N945" s="24">
        <f t="shared" si="14"/>
        <v>9.45e-5</v>
      </c>
    </row>
    <row r="946" spans="1:14">
      <c r="A946" s="21" t="s">
        <v>1635</v>
      </c>
      <c r="B946" s="21" t="s">
        <v>920</v>
      </c>
      <c r="C946" s="21" t="s">
        <v>35</v>
      </c>
      <c r="D946" s="21" t="s">
        <v>921</v>
      </c>
      <c r="E946" s="21">
        <v>1</v>
      </c>
      <c r="F946" s="22">
        <v>45390.6048611111</v>
      </c>
      <c r="G946" s="22"/>
      <c r="H946" s="23">
        <v>11.39</v>
      </c>
      <c r="I946" s="23">
        <v>11.39</v>
      </c>
      <c r="J946" s="24">
        <v>11.39</v>
      </c>
      <c r="K946" s="21">
        <v>0</v>
      </c>
      <c r="L946" s="21">
        <v>0</v>
      </c>
      <c r="M946" s="21">
        <f>COUNTIF($A$2:$A$5481,A946)</f>
        <v>1</v>
      </c>
      <c r="N946" s="24">
        <f t="shared" si="14"/>
        <v>11.3900946</v>
      </c>
    </row>
    <row r="947" spans="1:14">
      <c r="A947" s="21" t="s">
        <v>30</v>
      </c>
      <c r="B947" s="21" t="s">
        <v>920</v>
      </c>
      <c r="C947" s="21" t="s">
        <v>26</v>
      </c>
      <c r="D947" s="21" t="s">
        <v>921</v>
      </c>
      <c r="E947" s="21">
        <v>0</v>
      </c>
      <c r="F947" s="22">
        <v>46205.7207986111</v>
      </c>
      <c r="G947" s="22">
        <v>46265.5731828704</v>
      </c>
      <c r="H947" s="23">
        <v>447</v>
      </c>
      <c r="I947" s="23">
        <v>149</v>
      </c>
      <c r="J947" s="24">
        <v>0</v>
      </c>
      <c r="K947" s="21">
        <v>0</v>
      </c>
      <c r="L947" s="21">
        <v>0</v>
      </c>
      <c r="M947" s="21">
        <f>COUNTIF($A$2:$A$5481,A947)</f>
        <v>1</v>
      </c>
      <c r="N947" s="24">
        <f t="shared" si="14"/>
        <v>9.47e-5</v>
      </c>
    </row>
    <row r="948" spans="1:14">
      <c r="A948" s="21" t="s">
        <v>273</v>
      </c>
      <c r="B948" s="21" t="s">
        <v>920</v>
      </c>
      <c r="C948" s="21" t="s">
        <v>35</v>
      </c>
      <c r="D948" s="21" t="s">
        <v>921</v>
      </c>
      <c r="E948" s="21">
        <v>0</v>
      </c>
      <c r="F948" s="22">
        <v>46050.6261689815</v>
      </c>
      <c r="G948" s="22">
        <v>46073.4342013889</v>
      </c>
      <c r="H948" s="23">
        <v>47.83</v>
      </c>
      <c r="I948" s="23">
        <v>44.91</v>
      </c>
      <c r="J948" s="24">
        <v>0</v>
      </c>
      <c r="K948" s="21">
        <v>0</v>
      </c>
      <c r="L948" s="21">
        <v>0</v>
      </c>
      <c r="M948" s="21">
        <f>COUNTIF($A$2:$A$5481,A948)</f>
        <v>1</v>
      </c>
      <c r="N948" s="24">
        <f t="shared" si="14"/>
        <v>9.48e-5</v>
      </c>
    </row>
    <row r="949" spans="1:14">
      <c r="A949" s="21" t="s">
        <v>1636</v>
      </c>
      <c r="B949" s="21" t="s">
        <v>920</v>
      </c>
      <c r="C949" s="21" t="s">
        <v>26</v>
      </c>
      <c r="D949" s="21" t="s">
        <v>921</v>
      </c>
      <c r="E949" s="21">
        <v>0</v>
      </c>
      <c r="F949" s="22">
        <v>45845.7714930556</v>
      </c>
      <c r="G949" s="22">
        <v>45846.3748726852</v>
      </c>
      <c r="H949" s="23">
        <v>88</v>
      </c>
      <c r="I949" s="23">
        <v>88</v>
      </c>
      <c r="J949" s="24">
        <v>0</v>
      </c>
      <c r="K949" s="21">
        <v>0</v>
      </c>
      <c r="L949" s="21">
        <v>0</v>
      </c>
      <c r="M949" s="21">
        <f>COUNTIF($A$2:$A$5481,A949)</f>
        <v>1</v>
      </c>
      <c r="N949" s="24">
        <f t="shared" si="14"/>
        <v>9.49e-5</v>
      </c>
    </row>
    <row r="950" spans="1:14">
      <c r="A950" s="21" t="s">
        <v>1637</v>
      </c>
      <c r="B950" s="21" t="s">
        <v>26</v>
      </c>
      <c r="C950" s="21" t="s">
        <v>26</v>
      </c>
      <c r="D950" s="21" t="s">
        <v>921</v>
      </c>
      <c r="E950" s="21">
        <v>1</v>
      </c>
      <c r="F950" s="22">
        <v>46006.3674537037</v>
      </c>
      <c r="G950" s="22"/>
      <c r="H950" s="23">
        <v>1100</v>
      </c>
      <c r="I950" s="23">
        <v>1100</v>
      </c>
      <c r="J950" s="24">
        <v>1100</v>
      </c>
      <c r="K950" s="21">
        <v>0</v>
      </c>
      <c r="L950" s="21">
        <v>0</v>
      </c>
      <c r="M950" s="21">
        <f>COUNTIF($A$2:$A$5481,A950)</f>
        <v>1</v>
      </c>
      <c r="N950" s="24">
        <f t="shared" si="14"/>
        <v>1100.000095</v>
      </c>
    </row>
    <row r="951" spans="1:14">
      <c r="A951" s="21" t="s">
        <v>1638</v>
      </c>
      <c r="B951" s="21" t="s">
        <v>948</v>
      </c>
      <c r="C951" s="21" t="s">
        <v>26</v>
      </c>
      <c r="D951" s="21" t="s">
        <v>921</v>
      </c>
      <c r="E951" s="21">
        <v>2</v>
      </c>
      <c r="F951" s="22">
        <v>46003.5861342593</v>
      </c>
      <c r="G951" s="22"/>
      <c r="H951" s="23">
        <v>538.38</v>
      </c>
      <c r="I951" s="23">
        <v>269.19</v>
      </c>
      <c r="J951" s="24">
        <v>538.38</v>
      </c>
      <c r="K951" s="21">
        <v>0</v>
      </c>
      <c r="L951" s="21">
        <v>0</v>
      </c>
      <c r="M951" s="21">
        <f>COUNTIF($A$2:$A$5481,A951)</f>
        <v>1</v>
      </c>
      <c r="N951" s="24">
        <f t="shared" si="14"/>
        <v>538.3800951</v>
      </c>
    </row>
    <row r="952" spans="1:14">
      <c r="A952" s="21" t="s">
        <v>1639</v>
      </c>
      <c r="B952" s="21" t="s">
        <v>26</v>
      </c>
      <c r="C952" s="21" t="s">
        <v>26</v>
      </c>
      <c r="D952" s="21" t="s">
        <v>921</v>
      </c>
      <c r="E952" s="21">
        <v>6</v>
      </c>
      <c r="F952" s="22">
        <v>46171.5915277778</v>
      </c>
      <c r="G952" s="22"/>
      <c r="H952" s="23">
        <v>116</v>
      </c>
      <c r="I952" s="23">
        <v>23.6333333333</v>
      </c>
      <c r="J952" s="24">
        <v>141.78</v>
      </c>
      <c r="K952" s="21">
        <v>0</v>
      </c>
      <c r="L952" s="21">
        <v>0</v>
      </c>
      <c r="M952" s="21">
        <f>COUNTIF($A$2:$A$5481,A952)</f>
        <v>1</v>
      </c>
      <c r="N952" s="24">
        <f t="shared" si="14"/>
        <v>141.7800952</v>
      </c>
    </row>
    <row r="953" spans="1:14">
      <c r="A953" s="21" t="s">
        <v>1640</v>
      </c>
      <c r="B953" s="21" t="s">
        <v>26</v>
      </c>
      <c r="C953" s="21" t="s">
        <v>26</v>
      </c>
      <c r="D953" s="21" t="s">
        <v>921</v>
      </c>
      <c r="E953" s="21">
        <v>4</v>
      </c>
      <c r="F953" s="22">
        <v>46099.5586458333</v>
      </c>
      <c r="G953" s="22"/>
      <c r="H953" s="23">
        <v>44</v>
      </c>
      <c r="I953" s="23">
        <v>16.25</v>
      </c>
      <c r="J953" s="24">
        <v>65</v>
      </c>
      <c r="K953" s="21">
        <v>0</v>
      </c>
      <c r="L953" s="21">
        <v>0</v>
      </c>
      <c r="M953" s="21">
        <f>COUNTIF($A$2:$A$5481,A953)</f>
        <v>1</v>
      </c>
      <c r="N953" s="24">
        <f t="shared" si="14"/>
        <v>65.0000953</v>
      </c>
    </row>
    <row r="954" spans="1:14">
      <c r="A954" s="21" t="s">
        <v>1641</v>
      </c>
      <c r="B954" s="21" t="s">
        <v>929</v>
      </c>
      <c r="C954" s="21" t="s">
        <v>414</v>
      </c>
      <c r="D954" s="21" t="s">
        <v>921</v>
      </c>
      <c r="E954" s="21">
        <v>1</v>
      </c>
      <c r="F954" s="22">
        <v>45308.8116898148</v>
      </c>
      <c r="G954" s="22"/>
      <c r="H954" s="23">
        <v>25</v>
      </c>
      <c r="I954" s="23">
        <v>25</v>
      </c>
      <c r="J954" s="24">
        <v>25</v>
      </c>
      <c r="K954" s="21">
        <v>0</v>
      </c>
      <c r="L954" s="21">
        <v>20</v>
      </c>
      <c r="M954" s="21">
        <f>COUNTIF($A$2:$A$5481,A954)</f>
        <v>2</v>
      </c>
      <c r="N954" s="24">
        <f t="shared" si="14"/>
        <v>25.0000954</v>
      </c>
    </row>
    <row r="955" spans="1:14">
      <c r="A955" s="21" t="s">
        <v>1641</v>
      </c>
      <c r="B955" s="21" t="s">
        <v>929</v>
      </c>
      <c r="C955" s="21" t="s">
        <v>26</v>
      </c>
      <c r="D955" s="21" t="s">
        <v>921</v>
      </c>
      <c r="E955" s="21">
        <v>1</v>
      </c>
      <c r="F955" s="22">
        <v>45852.592349537</v>
      </c>
      <c r="G955" s="22"/>
      <c r="H955" s="23">
        <v>30</v>
      </c>
      <c r="I955" s="23">
        <v>30</v>
      </c>
      <c r="J955" s="24">
        <v>30</v>
      </c>
      <c r="K955" s="21">
        <v>0</v>
      </c>
      <c r="L955" s="21">
        <v>20</v>
      </c>
      <c r="M955" s="21">
        <f>COUNTIF($A$2:$A$5481,A955)</f>
        <v>2</v>
      </c>
      <c r="N955" s="24">
        <f t="shared" si="14"/>
        <v>30.0000955</v>
      </c>
    </row>
    <row r="956" spans="1:14">
      <c r="A956" s="21" t="s">
        <v>1642</v>
      </c>
      <c r="B956" s="21" t="s">
        <v>920</v>
      </c>
      <c r="C956" s="21" t="s">
        <v>26</v>
      </c>
      <c r="D956" s="21" t="s">
        <v>921</v>
      </c>
      <c r="E956" s="21">
        <v>20</v>
      </c>
      <c r="F956" s="22">
        <v>45527.662037037</v>
      </c>
      <c r="G956" s="22"/>
      <c r="H956" s="23">
        <v>230</v>
      </c>
      <c r="I956" s="23">
        <v>34</v>
      </c>
      <c r="J956" s="24">
        <v>680</v>
      </c>
      <c r="K956" s="21">
        <v>0</v>
      </c>
      <c r="L956" s="21">
        <v>0</v>
      </c>
      <c r="M956" s="21">
        <f>COUNTIF($A$2:$A$5481,A956)</f>
        <v>1</v>
      </c>
      <c r="N956" s="24">
        <f t="shared" si="14"/>
        <v>680.0000956</v>
      </c>
    </row>
    <row r="957" spans="1:14">
      <c r="A957" s="21" t="s">
        <v>1643</v>
      </c>
      <c r="B957" s="21" t="s">
        <v>26</v>
      </c>
      <c r="C957" s="21" t="s">
        <v>26</v>
      </c>
      <c r="D957" s="21" t="s">
        <v>921</v>
      </c>
      <c r="E957" s="21">
        <v>12</v>
      </c>
      <c r="F957" s="22">
        <v>45924.6482986111</v>
      </c>
      <c r="G957" s="22"/>
      <c r="H957" s="23">
        <v>166.8</v>
      </c>
      <c r="I957" s="23">
        <v>26.9</v>
      </c>
      <c r="J957" s="24">
        <v>322.8</v>
      </c>
      <c r="K957" s="21">
        <v>0</v>
      </c>
      <c r="L957" s="21">
        <v>0</v>
      </c>
      <c r="M957" s="21">
        <f>COUNTIF($A$2:$A$5481,A957)</f>
        <v>1</v>
      </c>
      <c r="N957" s="24">
        <f t="shared" si="14"/>
        <v>322.8000957</v>
      </c>
    </row>
    <row r="958" spans="1:14">
      <c r="A958" s="21" t="s">
        <v>1644</v>
      </c>
      <c r="B958" s="21" t="s">
        <v>1352</v>
      </c>
      <c r="C958" s="21" t="s">
        <v>35</v>
      </c>
      <c r="D958" s="21" t="s">
        <v>921</v>
      </c>
      <c r="E958" s="21">
        <v>1</v>
      </c>
      <c r="F958" s="22">
        <v>45607.3550462963</v>
      </c>
      <c r="G958" s="22"/>
      <c r="H958" s="23">
        <v>65</v>
      </c>
      <c r="I958" s="23">
        <v>65</v>
      </c>
      <c r="J958" s="24">
        <v>65</v>
      </c>
      <c r="K958" s="21">
        <v>0</v>
      </c>
      <c r="L958" s="21">
        <v>0</v>
      </c>
      <c r="M958" s="21">
        <f>COUNTIF($A$2:$A$5481,A958)</f>
        <v>2</v>
      </c>
      <c r="N958" s="24">
        <f t="shared" si="14"/>
        <v>65.0000958</v>
      </c>
    </row>
    <row r="959" spans="1:14">
      <c r="A959" s="21" t="s">
        <v>1644</v>
      </c>
      <c r="B959" s="21" t="s">
        <v>1352</v>
      </c>
      <c r="C959" s="21" t="s">
        <v>26</v>
      </c>
      <c r="D959" s="21" t="s">
        <v>921</v>
      </c>
      <c r="E959" s="21">
        <v>2</v>
      </c>
      <c r="F959" s="22">
        <v>45698.8294560185</v>
      </c>
      <c r="G959" s="22">
        <v>45447.8389930556</v>
      </c>
      <c r="H959" s="23">
        <v>43.6</v>
      </c>
      <c r="I959" s="23">
        <v>21.8</v>
      </c>
      <c r="J959" s="24">
        <v>43.6</v>
      </c>
      <c r="K959" s="21">
        <v>0</v>
      </c>
      <c r="L959" s="21">
        <v>0</v>
      </c>
      <c r="M959" s="21">
        <f>COUNTIF($A$2:$A$5481,A959)</f>
        <v>2</v>
      </c>
      <c r="N959" s="24">
        <f t="shared" si="14"/>
        <v>43.6000959</v>
      </c>
    </row>
    <row r="960" spans="1:14">
      <c r="A960" s="21" t="s">
        <v>1645</v>
      </c>
      <c r="B960" s="21" t="s">
        <v>26</v>
      </c>
      <c r="C960" s="21" t="s">
        <v>26</v>
      </c>
      <c r="D960" s="21" t="s">
        <v>921</v>
      </c>
      <c r="E960" s="21">
        <v>2</v>
      </c>
      <c r="F960" s="22">
        <v>45573.3513888889</v>
      </c>
      <c r="G960" s="22"/>
      <c r="H960" s="23">
        <v>19.8</v>
      </c>
      <c r="I960" s="23">
        <v>9.9</v>
      </c>
      <c r="J960" s="24">
        <v>19.8</v>
      </c>
      <c r="K960" s="21">
        <v>0</v>
      </c>
      <c r="L960" s="21">
        <v>0</v>
      </c>
      <c r="M960" s="21">
        <f>COUNTIF($A$2:$A$5481,A960)</f>
        <v>1</v>
      </c>
      <c r="N960" s="24">
        <f t="shared" si="14"/>
        <v>19.800096</v>
      </c>
    </row>
    <row r="961" spans="1:14">
      <c r="A961" s="21" t="s">
        <v>1646</v>
      </c>
      <c r="B961" s="21" t="s">
        <v>1352</v>
      </c>
      <c r="C961" s="21" t="s">
        <v>51</v>
      </c>
      <c r="D961" s="21" t="s">
        <v>921</v>
      </c>
      <c r="E961" s="21">
        <v>1</v>
      </c>
      <c r="F961" s="22">
        <v>46026.3652777778</v>
      </c>
      <c r="G961" s="22"/>
      <c r="H961" s="23">
        <v>191.16</v>
      </c>
      <c r="I961" s="23">
        <v>191.16</v>
      </c>
      <c r="J961" s="24">
        <v>191.16</v>
      </c>
      <c r="K961" s="21">
        <v>0</v>
      </c>
      <c r="L961" s="21">
        <v>0</v>
      </c>
      <c r="M961" s="21">
        <f>COUNTIF($A$2:$A$5481,A961)</f>
        <v>1</v>
      </c>
      <c r="N961" s="24">
        <f t="shared" si="14"/>
        <v>191.1600961</v>
      </c>
    </row>
    <row r="962" spans="1:14">
      <c r="A962" s="21" t="s">
        <v>1647</v>
      </c>
      <c r="B962" s="21" t="s">
        <v>920</v>
      </c>
      <c r="C962" s="21" t="s">
        <v>35</v>
      </c>
      <c r="D962" s="21" t="s">
        <v>921</v>
      </c>
      <c r="E962" s="21">
        <v>0</v>
      </c>
      <c r="F962" s="22">
        <v>45302.819537037</v>
      </c>
      <c r="G962" s="22">
        <v>45306.3826157407</v>
      </c>
      <c r="H962" s="23">
        <v>18.82</v>
      </c>
      <c r="I962" s="23">
        <v>9.41</v>
      </c>
      <c r="J962" s="24">
        <v>0</v>
      </c>
      <c r="K962" s="21">
        <v>0</v>
      </c>
      <c r="L962" s="21">
        <v>10</v>
      </c>
      <c r="M962" s="21">
        <f>COUNTIF($A$2:$A$5481,A962)</f>
        <v>2</v>
      </c>
      <c r="N962" s="24">
        <f t="shared" ref="N962:N1025" si="15">J962+ROW()/10000000</f>
        <v>9.62e-5</v>
      </c>
    </row>
    <row r="963" spans="1:14">
      <c r="A963" s="21" t="s">
        <v>1647</v>
      </c>
      <c r="B963" s="21" t="s">
        <v>920</v>
      </c>
      <c r="C963" s="21" t="s">
        <v>26</v>
      </c>
      <c r="D963" s="21" t="s">
        <v>921</v>
      </c>
      <c r="E963" s="21">
        <v>3</v>
      </c>
      <c r="F963" s="22">
        <v>45392.3283217593</v>
      </c>
      <c r="G963" s="22"/>
      <c r="H963" s="23">
        <v>42</v>
      </c>
      <c r="I963" s="23">
        <v>14</v>
      </c>
      <c r="J963" s="24">
        <v>42</v>
      </c>
      <c r="K963" s="21">
        <v>0</v>
      </c>
      <c r="L963" s="21">
        <v>10</v>
      </c>
      <c r="M963" s="21">
        <f>COUNTIF($A$2:$A$5481,A963)</f>
        <v>2</v>
      </c>
      <c r="N963" s="24">
        <f t="shared" si="15"/>
        <v>42.0000963</v>
      </c>
    </row>
    <row r="964" spans="1:14">
      <c r="A964" s="21" t="s">
        <v>1648</v>
      </c>
      <c r="B964" s="21" t="s">
        <v>26</v>
      </c>
      <c r="C964" s="21" t="s">
        <v>26</v>
      </c>
      <c r="D964" s="21" t="s">
        <v>921</v>
      </c>
      <c r="E964" s="21">
        <v>5</v>
      </c>
      <c r="F964" s="22">
        <v>45580.8214814815</v>
      </c>
      <c r="G964" s="22"/>
      <c r="H964" s="23">
        <v>265</v>
      </c>
      <c r="I964" s="23">
        <v>53</v>
      </c>
      <c r="J964" s="24">
        <v>265</v>
      </c>
      <c r="K964" s="21">
        <v>0</v>
      </c>
      <c r="L964" s="21">
        <v>0</v>
      </c>
      <c r="M964" s="21">
        <f>COUNTIF($A$2:$A$5481,A964)</f>
        <v>1</v>
      </c>
      <c r="N964" s="24">
        <f t="shared" si="15"/>
        <v>265.0000964</v>
      </c>
    </row>
    <row r="965" spans="1:14">
      <c r="A965" s="21" t="s">
        <v>1649</v>
      </c>
      <c r="B965" s="21" t="s">
        <v>920</v>
      </c>
      <c r="C965" s="21" t="s">
        <v>26</v>
      </c>
      <c r="D965" s="21" t="s">
        <v>921</v>
      </c>
      <c r="E965" s="21">
        <v>3000</v>
      </c>
      <c r="F965" s="22">
        <v>45393.5049884259</v>
      </c>
      <c r="G965" s="22"/>
      <c r="H965" s="23">
        <v>135000</v>
      </c>
      <c r="I965" s="23">
        <v>45</v>
      </c>
      <c r="J965" s="24">
        <v>135000</v>
      </c>
      <c r="K965" s="21">
        <v>0</v>
      </c>
      <c r="L965" s="21">
        <v>0</v>
      </c>
      <c r="M965" s="21">
        <f>COUNTIF($A$2:$A$5481,A965)</f>
        <v>1</v>
      </c>
      <c r="N965" s="24">
        <f t="shared" si="15"/>
        <v>135000.0000965</v>
      </c>
    </row>
    <row r="966" spans="1:14">
      <c r="A966" s="21" t="s">
        <v>1650</v>
      </c>
      <c r="B966" s="21" t="s">
        <v>929</v>
      </c>
      <c r="C966" s="21" t="s">
        <v>414</v>
      </c>
      <c r="D966" s="21" t="s">
        <v>921</v>
      </c>
      <c r="E966" s="21">
        <v>6</v>
      </c>
      <c r="F966" s="22">
        <v>45294.8169560185</v>
      </c>
      <c r="G966" s="22"/>
      <c r="H966" s="23">
        <v>180</v>
      </c>
      <c r="I966" s="23">
        <v>30</v>
      </c>
      <c r="J966" s="24">
        <v>180</v>
      </c>
      <c r="K966" s="21">
        <v>1</v>
      </c>
      <c r="L966" s="21">
        <v>20</v>
      </c>
      <c r="M966" s="21">
        <f>COUNTIF($A$2:$A$5481,A966)</f>
        <v>1</v>
      </c>
      <c r="N966" s="24">
        <f t="shared" si="15"/>
        <v>180.0000966</v>
      </c>
    </row>
    <row r="967" spans="1:14">
      <c r="A967" s="21" t="s">
        <v>1651</v>
      </c>
      <c r="B967" s="21" t="s">
        <v>920</v>
      </c>
      <c r="C967" s="21" t="s">
        <v>26</v>
      </c>
      <c r="D967" s="21" t="s">
        <v>921</v>
      </c>
      <c r="E967" s="21">
        <v>2</v>
      </c>
      <c r="F967" s="22">
        <v>46188.6695949074</v>
      </c>
      <c r="G967" s="22"/>
      <c r="H967" s="23">
        <v>79.4</v>
      </c>
      <c r="I967" s="23">
        <v>39.7</v>
      </c>
      <c r="J967" s="24">
        <v>79.4</v>
      </c>
      <c r="K967" s="21">
        <v>0</v>
      </c>
      <c r="L967" s="21">
        <v>0</v>
      </c>
      <c r="M967" s="21">
        <f>COUNTIF($A$2:$A$5481,A967)</f>
        <v>1</v>
      </c>
      <c r="N967" s="24">
        <f t="shared" si="15"/>
        <v>79.4000967</v>
      </c>
    </row>
    <row r="968" spans="1:14">
      <c r="A968" s="21" t="s">
        <v>1652</v>
      </c>
      <c r="B968" s="21" t="s">
        <v>26</v>
      </c>
      <c r="C968" s="21" t="s">
        <v>26</v>
      </c>
      <c r="D968" s="21" t="s">
        <v>921</v>
      </c>
      <c r="E968" s="21">
        <v>12</v>
      </c>
      <c r="F968" s="22">
        <v>45664.3726851852</v>
      </c>
      <c r="G968" s="22"/>
      <c r="H968" s="23">
        <v>261.6</v>
      </c>
      <c r="I968" s="23">
        <v>21.8</v>
      </c>
      <c r="J968" s="24">
        <v>261.6</v>
      </c>
      <c r="K968" s="21">
        <v>0</v>
      </c>
      <c r="L968" s="21">
        <v>0</v>
      </c>
      <c r="M968" s="21">
        <f>COUNTIF($A$2:$A$5481,A968)</f>
        <v>1</v>
      </c>
      <c r="N968" s="24">
        <f t="shared" si="15"/>
        <v>261.6000968</v>
      </c>
    </row>
    <row r="969" spans="1:14">
      <c r="A969" s="21" t="s">
        <v>1653</v>
      </c>
      <c r="B969" s="21" t="s">
        <v>26</v>
      </c>
      <c r="C969" s="21" t="s">
        <v>26</v>
      </c>
      <c r="D969" s="21" t="s">
        <v>921</v>
      </c>
      <c r="E969" s="21">
        <v>8</v>
      </c>
      <c r="F969" s="22">
        <v>45664.3726851852</v>
      </c>
      <c r="G969" s="22"/>
      <c r="H969" s="23">
        <v>198.4</v>
      </c>
      <c r="I969" s="23">
        <v>24.8</v>
      </c>
      <c r="J969" s="24">
        <v>198.4</v>
      </c>
      <c r="K969" s="21">
        <v>0</v>
      </c>
      <c r="L969" s="21">
        <v>0</v>
      </c>
      <c r="M969" s="21">
        <f>COUNTIF($A$2:$A$5481,A969)</f>
        <v>1</v>
      </c>
      <c r="N969" s="24">
        <f t="shared" si="15"/>
        <v>198.4000969</v>
      </c>
    </row>
    <row r="970" spans="1:14">
      <c r="A970" s="21" t="s">
        <v>1654</v>
      </c>
      <c r="B970" s="21" t="s">
        <v>1352</v>
      </c>
      <c r="C970" s="21" t="s">
        <v>414</v>
      </c>
      <c r="D970" s="21" t="s">
        <v>931</v>
      </c>
      <c r="E970" s="21">
        <v>2</v>
      </c>
      <c r="F970" s="22">
        <v>45541.5988194444</v>
      </c>
      <c r="G970" s="22"/>
      <c r="H970" s="23">
        <v>596</v>
      </c>
      <c r="I970" s="23">
        <v>298</v>
      </c>
      <c r="J970" s="24">
        <v>596</v>
      </c>
      <c r="K970" s="21">
        <v>0</v>
      </c>
      <c r="L970" s="21">
        <v>0</v>
      </c>
      <c r="M970" s="21">
        <f>COUNTIF($A$2:$A$5481,A970)</f>
        <v>2</v>
      </c>
      <c r="N970" s="24">
        <f t="shared" si="15"/>
        <v>596.000097</v>
      </c>
    </row>
    <row r="971" spans="1:14">
      <c r="A971" s="21" t="s">
        <v>1654</v>
      </c>
      <c r="B971" s="21" t="s">
        <v>1352</v>
      </c>
      <c r="C971" s="21" t="s">
        <v>26</v>
      </c>
      <c r="D971" s="21" t="s">
        <v>931</v>
      </c>
      <c r="E971" s="21">
        <v>1</v>
      </c>
      <c r="F971" s="22">
        <v>45852.592349537</v>
      </c>
      <c r="G971" s="22"/>
      <c r="H971" s="23">
        <v>25</v>
      </c>
      <c r="I971" s="23">
        <v>25</v>
      </c>
      <c r="J971" s="24">
        <v>25</v>
      </c>
      <c r="K971" s="21">
        <v>0</v>
      </c>
      <c r="L971" s="21">
        <v>0</v>
      </c>
      <c r="M971" s="21">
        <f>COUNTIF($A$2:$A$5481,A971)</f>
        <v>2</v>
      </c>
      <c r="N971" s="24">
        <f t="shared" si="15"/>
        <v>25.0000971</v>
      </c>
    </row>
    <row r="972" spans="1:14">
      <c r="A972" s="21" t="s">
        <v>374</v>
      </c>
      <c r="B972" s="21" t="s">
        <v>26</v>
      </c>
      <c r="C972" s="21" t="s">
        <v>26</v>
      </c>
      <c r="D972" s="21" t="s">
        <v>921</v>
      </c>
      <c r="E972" s="21">
        <v>3</v>
      </c>
      <c r="F972" s="22">
        <v>45792.3624074074</v>
      </c>
      <c r="G972" s="22">
        <v>46139.375</v>
      </c>
      <c r="H972" s="23">
        <v>298</v>
      </c>
      <c r="I972" s="23">
        <v>152.5</v>
      </c>
      <c r="J972" s="24">
        <v>457.5</v>
      </c>
      <c r="K972" s="21">
        <v>0</v>
      </c>
      <c r="L972" s="21">
        <v>0</v>
      </c>
      <c r="M972" s="21">
        <f>COUNTIF($A$2:$A$5481,A972)</f>
        <v>1</v>
      </c>
      <c r="N972" s="24">
        <f t="shared" si="15"/>
        <v>457.5000972</v>
      </c>
    </row>
    <row r="973" spans="1:14">
      <c r="A973" s="21" t="s">
        <v>1655</v>
      </c>
      <c r="B973" s="21" t="s">
        <v>948</v>
      </c>
      <c r="C973" s="21" t="s">
        <v>26</v>
      </c>
      <c r="D973" s="21" t="s">
        <v>921</v>
      </c>
      <c r="E973" s="21">
        <v>2</v>
      </c>
      <c r="F973" s="22">
        <v>46003.5861342593</v>
      </c>
      <c r="G973" s="22"/>
      <c r="H973" s="23">
        <v>538.38</v>
      </c>
      <c r="I973" s="23">
        <v>269.19</v>
      </c>
      <c r="J973" s="24">
        <v>538.38</v>
      </c>
      <c r="K973" s="21">
        <v>0</v>
      </c>
      <c r="L973" s="21">
        <v>0</v>
      </c>
      <c r="M973" s="21">
        <f>COUNTIF($A$2:$A$5481,A973)</f>
        <v>1</v>
      </c>
      <c r="N973" s="24">
        <f t="shared" si="15"/>
        <v>538.3800973</v>
      </c>
    </row>
    <row r="974" spans="1:14">
      <c r="A974" s="21" t="s">
        <v>1656</v>
      </c>
      <c r="B974" s="21" t="s">
        <v>920</v>
      </c>
      <c r="C974" s="21" t="s">
        <v>26</v>
      </c>
      <c r="D974" s="21" t="s">
        <v>931</v>
      </c>
      <c r="E974" s="21">
        <v>0</v>
      </c>
      <c r="F974" s="22">
        <v>45775.4812615741</v>
      </c>
      <c r="G974" s="22">
        <v>45789.4357060185</v>
      </c>
      <c r="H974" s="23">
        <v>116.67</v>
      </c>
      <c r="I974" s="23">
        <v>116.67</v>
      </c>
      <c r="J974" s="24">
        <v>0</v>
      </c>
      <c r="K974" s="21">
        <v>0</v>
      </c>
      <c r="L974" s="21">
        <v>0</v>
      </c>
      <c r="M974" s="21">
        <f>COUNTIF($A$2:$A$5481,A974)</f>
        <v>1</v>
      </c>
      <c r="N974" s="24">
        <f t="shared" si="15"/>
        <v>9.74e-5</v>
      </c>
    </row>
    <row r="975" spans="1:14">
      <c r="A975" s="21" t="s">
        <v>1657</v>
      </c>
      <c r="B975" s="21" t="s">
        <v>920</v>
      </c>
      <c r="C975" s="21" t="s">
        <v>35</v>
      </c>
      <c r="D975" s="21" t="s">
        <v>921</v>
      </c>
      <c r="E975" s="21">
        <v>0</v>
      </c>
      <c r="F975" s="22">
        <v>45804.3716435185</v>
      </c>
      <c r="G975" s="22">
        <v>45814.4985185185</v>
      </c>
      <c r="H975" s="23">
        <v>60</v>
      </c>
      <c r="I975" s="23">
        <v>60</v>
      </c>
      <c r="J975" s="24">
        <v>0</v>
      </c>
      <c r="K975" s="21">
        <v>0</v>
      </c>
      <c r="L975" s="21">
        <v>0</v>
      </c>
      <c r="M975" s="21">
        <f>COUNTIF($A$2:$A$5481,A975)</f>
        <v>1</v>
      </c>
      <c r="N975" s="24">
        <f t="shared" si="15"/>
        <v>9.75e-5</v>
      </c>
    </row>
    <row r="976" spans="1:14">
      <c r="A976" s="21" t="s">
        <v>1658</v>
      </c>
      <c r="B976" s="21" t="s">
        <v>920</v>
      </c>
      <c r="C976" s="21" t="s">
        <v>26</v>
      </c>
      <c r="D976" s="21" t="s">
        <v>921</v>
      </c>
      <c r="E976" s="21">
        <v>2</v>
      </c>
      <c r="F976" s="22">
        <v>46190.7198032407</v>
      </c>
      <c r="G976" s="22"/>
      <c r="H976" s="23">
        <v>33.6</v>
      </c>
      <c r="I976" s="23">
        <v>16.8</v>
      </c>
      <c r="J976" s="24">
        <v>33.6</v>
      </c>
      <c r="K976" s="21">
        <v>0</v>
      </c>
      <c r="L976" s="21">
        <v>0</v>
      </c>
      <c r="M976" s="21">
        <f>COUNTIF($A$2:$A$5481,A976)</f>
        <v>1</v>
      </c>
      <c r="N976" s="24">
        <f t="shared" si="15"/>
        <v>33.6000976</v>
      </c>
    </row>
    <row r="977" spans="1:14">
      <c r="A977" s="21" t="s">
        <v>1659</v>
      </c>
      <c r="B977" s="21" t="s">
        <v>920</v>
      </c>
      <c r="C977" s="21" t="s">
        <v>26</v>
      </c>
      <c r="D977" s="21" t="s">
        <v>921</v>
      </c>
      <c r="E977" s="21">
        <v>1</v>
      </c>
      <c r="F977" s="22">
        <v>46003.4075115741</v>
      </c>
      <c r="G977" s="22"/>
      <c r="H977" s="23">
        <v>88</v>
      </c>
      <c r="I977" s="23">
        <v>88</v>
      </c>
      <c r="J977" s="24">
        <v>88</v>
      </c>
      <c r="K977" s="21">
        <v>0</v>
      </c>
      <c r="L977" s="21">
        <v>0</v>
      </c>
      <c r="M977" s="21">
        <f>COUNTIF($A$2:$A$5481,A977)</f>
        <v>1</v>
      </c>
      <c r="N977" s="24">
        <f t="shared" si="15"/>
        <v>88.0000977</v>
      </c>
    </row>
    <row r="978" spans="1:14">
      <c r="A978" s="21" t="s">
        <v>1660</v>
      </c>
      <c r="B978" s="21" t="s">
        <v>26</v>
      </c>
      <c r="C978" s="21" t="s">
        <v>26</v>
      </c>
      <c r="D978" s="21" t="s">
        <v>921</v>
      </c>
      <c r="E978" s="21">
        <v>1</v>
      </c>
      <c r="F978" s="22">
        <v>45491.354537037</v>
      </c>
      <c r="G978" s="22">
        <v>46020.5811689815</v>
      </c>
      <c r="H978" s="23">
        <v>498</v>
      </c>
      <c r="I978" s="23">
        <v>249</v>
      </c>
      <c r="J978" s="24">
        <v>249</v>
      </c>
      <c r="K978" s="21">
        <v>0</v>
      </c>
      <c r="L978" s="21">
        <v>0</v>
      </c>
      <c r="M978" s="21">
        <f>COUNTIF($A$2:$A$5481,A978)</f>
        <v>1</v>
      </c>
      <c r="N978" s="24">
        <f t="shared" si="15"/>
        <v>249.0000978</v>
      </c>
    </row>
    <row r="979" spans="1:14">
      <c r="A979" s="21" t="s">
        <v>191</v>
      </c>
      <c r="B979" s="21" t="s">
        <v>26</v>
      </c>
      <c r="C979" s="21" t="s">
        <v>26</v>
      </c>
      <c r="D979" s="21" t="s">
        <v>921</v>
      </c>
      <c r="E979" s="21">
        <v>1</v>
      </c>
      <c r="F979" s="22">
        <v>46164.5487037037</v>
      </c>
      <c r="G979" s="22">
        <v>46273.5569444444</v>
      </c>
      <c r="H979" s="23">
        <v>600</v>
      </c>
      <c r="I979" s="23">
        <v>200</v>
      </c>
      <c r="J979" s="24">
        <v>200</v>
      </c>
      <c r="K979" s="21">
        <v>0</v>
      </c>
      <c r="L979" s="21">
        <v>0</v>
      </c>
      <c r="M979" s="21">
        <f>COUNTIF($A$2:$A$5481,A979)</f>
        <v>1</v>
      </c>
      <c r="N979" s="24">
        <f t="shared" si="15"/>
        <v>200.0000979</v>
      </c>
    </row>
    <row r="980" spans="1:14">
      <c r="A980" s="21" t="s">
        <v>1661</v>
      </c>
      <c r="B980" s="21" t="s">
        <v>1352</v>
      </c>
      <c r="C980" s="21" t="s">
        <v>414</v>
      </c>
      <c r="D980" s="21" t="s">
        <v>921</v>
      </c>
      <c r="E980" s="21">
        <v>2</v>
      </c>
      <c r="F980" s="22">
        <v>45420.628275463</v>
      </c>
      <c r="G980" s="22"/>
      <c r="H980" s="23">
        <v>780</v>
      </c>
      <c r="I980" s="23">
        <v>390</v>
      </c>
      <c r="J980" s="24">
        <v>780</v>
      </c>
      <c r="K980" s="21">
        <v>0</v>
      </c>
      <c r="L980" s="21">
        <v>0</v>
      </c>
      <c r="M980" s="21">
        <f>COUNTIF($A$2:$A$5481,A980)</f>
        <v>1</v>
      </c>
      <c r="N980" s="24">
        <f t="shared" si="15"/>
        <v>780.000098</v>
      </c>
    </row>
    <row r="981" spans="1:14">
      <c r="A981" s="21" t="s">
        <v>1662</v>
      </c>
      <c r="B981" s="21" t="s">
        <v>926</v>
      </c>
      <c r="C981" s="21" t="s">
        <v>26</v>
      </c>
      <c r="D981" s="21" t="s">
        <v>931</v>
      </c>
      <c r="E981" s="21">
        <v>1</v>
      </c>
      <c r="F981" s="22">
        <v>45593.4046759259</v>
      </c>
      <c r="G981" s="22"/>
      <c r="H981" s="23">
        <v>8.95</v>
      </c>
      <c r="I981" s="23">
        <v>8.95</v>
      </c>
      <c r="J981" s="24">
        <v>8.95</v>
      </c>
      <c r="K981" s="21">
        <v>0</v>
      </c>
      <c r="L981" s="21">
        <v>0</v>
      </c>
      <c r="M981" s="21">
        <f>COUNTIF($A$2:$A$5481,A981)</f>
        <v>1</v>
      </c>
      <c r="N981" s="24">
        <f t="shared" si="15"/>
        <v>8.9500981</v>
      </c>
    </row>
    <row r="982" spans="1:14">
      <c r="A982" s="21" t="s">
        <v>1663</v>
      </c>
      <c r="B982" s="21" t="s">
        <v>926</v>
      </c>
      <c r="C982" s="21" t="s">
        <v>38</v>
      </c>
      <c r="D982" s="21" t="s">
        <v>921</v>
      </c>
      <c r="E982" s="21">
        <v>3</v>
      </c>
      <c r="F982" s="22">
        <v>45316.6684375</v>
      </c>
      <c r="G982" s="22"/>
      <c r="H982" s="23">
        <v>302.43</v>
      </c>
      <c r="I982" s="23">
        <v>100.81</v>
      </c>
      <c r="J982" s="24">
        <v>302.43</v>
      </c>
      <c r="K982" s="21">
        <v>0</v>
      </c>
      <c r="L982" s="21">
        <v>0</v>
      </c>
      <c r="M982" s="21">
        <f>COUNTIF($A$2:$A$5481,A982)</f>
        <v>1</v>
      </c>
      <c r="N982" s="24">
        <f t="shared" si="15"/>
        <v>302.4300982</v>
      </c>
    </row>
    <row r="983" spans="1:14">
      <c r="A983" s="21" t="s">
        <v>1664</v>
      </c>
      <c r="B983" s="21" t="s">
        <v>926</v>
      </c>
      <c r="C983" s="21" t="s">
        <v>38</v>
      </c>
      <c r="D983" s="21" t="s">
        <v>921</v>
      </c>
      <c r="E983" s="21">
        <v>2</v>
      </c>
      <c r="F983" s="22">
        <v>45314.4583333333</v>
      </c>
      <c r="G983" s="22"/>
      <c r="H983" s="23">
        <v>78.86</v>
      </c>
      <c r="I983" s="23">
        <v>39.43</v>
      </c>
      <c r="J983" s="24">
        <v>78.86</v>
      </c>
      <c r="K983" s="21">
        <v>0</v>
      </c>
      <c r="L983" s="21">
        <v>0</v>
      </c>
      <c r="M983" s="21">
        <f>COUNTIF($A$2:$A$5481,A983)</f>
        <v>2</v>
      </c>
      <c r="N983" s="24">
        <f t="shared" si="15"/>
        <v>78.8600983</v>
      </c>
    </row>
    <row r="984" spans="1:14">
      <c r="A984" s="21" t="s">
        <v>1664</v>
      </c>
      <c r="B984" s="21" t="s">
        <v>926</v>
      </c>
      <c r="C984" s="21" t="s">
        <v>26</v>
      </c>
      <c r="D984" s="21" t="s">
        <v>921</v>
      </c>
      <c r="E984" s="21">
        <v>1</v>
      </c>
      <c r="F984" s="22">
        <v>45672.3859027778</v>
      </c>
      <c r="G984" s="22"/>
      <c r="H984" s="23">
        <v>75</v>
      </c>
      <c r="I984" s="23">
        <v>75</v>
      </c>
      <c r="J984" s="24">
        <v>75</v>
      </c>
      <c r="K984" s="21">
        <v>0</v>
      </c>
      <c r="L984" s="21">
        <v>0</v>
      </c>
      <c r="M984" s="21">
        <f>COUNTIF($A$2:$A$5481,A984)</f>
        <v>2</v>
      </c>
      <c r="N984" s="24">
        <f t="shared" si="15"/>
        <v>75.0000984</v>
      </c>
    </row>
    <row r="985" spans="1:14">
      <c r="A985" s="21" t="s">
        <v>1665</v>
      </c>
      <c r="B985" s="21" t="s">
        <v>926</v>
      </c>
      <c r="C985" s="21" t="s">
        <v>38</v>
      </c>
      <c r="D985" s="21" t="s">
        <v>921</v>
      </c>
      <c r="E985" s="21">
        <v>0</v>
      </c>
      <c r="F985" s="22">
        <v>45316.6684375</v>
      </c>
      <c r="G985" s="22">
        <v>45404.862974537</v>
      </c>
      <c r="H985" s="23">
        <v>345.36</v>
      </c>
      <c r="I985" s="23">
        <v>86.34</v>
      </c>
      <c r="J985" s="24">
        <v>0</v>
      </c>
      <c r="K985" s="21">
        <v>0</v>
      </c>
      <c r="L985" s="21">
        <v>0</v>
      </c>
      <c r="M985" s="21">
        <f>COUNTIF($A$2:$A$5481,A985)</f>
        <v>1</v>
      </c>
      <c r="N985" s="24">
        <f t="shared" si="15"/>
        <v>9.85e-5</v>
      </c>
    </row>
    <row r="986" spans="1:14">
      <c r="A986" s="21" t="s">
        <v>1666</v>
      </c>
      <c r="B986" s="21" t="s">
        <v>926</v>
      </c>
      <c r="C986" s="21" t="s">
        <v>38</v>
      </c>
      <c r="D986" s="21" t="s">
        <v>921</v>
      </c>
      <c r="E986" s="21">
        <v>1</v>
      </c>
      <c r="F986" s="22">
        <v>45314.4583333333</v>
      </c>
      <c r="G986" s="22"/>
      <c r="H986" s="23">
        <v>30.72</v>
      </c>
      <c r="I986" s="23">
        <v>30.72</v>
      </c>
      <c r="J986" s="24">
        <v>30.72</v>
      </c>
      <c r="K986" s="21">
        <v>0</v>
      </c>
      <c r="L986" s="21">
        <v>0</v>
      </c>
      <c r="M986" s="21">
        <f>COUNTIF($A$2:$A$5481,A986)</f>
        <v>2</v>
      </c>
      <c r="N986" s="24">
        <f t="shared" si="15"/>
        <v>30.7200986</v>
      </c>
    </row>
    <row r="987" spans="1:14">
      <c r="A987" s="21" t="s">
        <v>1666</v>
      </c>
      <c r="B987" s="21" t="s">
        <v>926</v>
      </c>
      <c r="C987" s="21" t="s">
        <v>26</v>
      </c>
      <c r="D987" s="21" t="s">
        <v>921</v>
      </c>
      <c r="E987" s="21">
        <v>3</v>
      </c>
      <c r="F987" s="22">
        <v>46128.529525463</v>
      </c>
      <c r="G987" s="22"/>
      <c r="H987" s="23">
        <v>38.97</v>
      </c>
      <c r="I987" s="23">
        <v>12.99</v>
      </c>
      <c r="J987" s="24">
        <v>38.97</v>
      </c>
      <c r="K987" s="21">
        <v>0</v>
      </c>
      <c r="L987" s="21">
        <v>0</v>
      </c>
      <c r="M987" s="21">
        <f>COUNTIF($A$2:$A$5481,A987)</f>
        <v>2</v>
      </c>
      <c r="N987" s="24">
        <f t="shared" si="15"/>
        <v>38.9700987</v>
      </c>
    </row>
    <row r="988" spans="1:14">
      <c r="A988" s="21" t="s">
        <v>1667</v>
      </c>
      <c r="B988" s="21" t="s">
        <v>926</v>
      </c>
      <c r="C988" s="21" t="s">
        <v>38</v>
      </c>
      <c r="D988" s="21" t="s">
        <v>921</v>
      </c>
      <c r="E988" s="21">
        <v>1</v>
      </c>
      <c r="F988" s="22">
        <v>45316.6684375</v>
      </c>
      <c r="G988" s="22"/>
      <c r="H988" s="23">
        <v>78.12</v>
      </c>
      <c r="I988" s="23">
        <v>78.12</v>
      </c>
      <c r="J988" s="24">
        <v>78.12</v>
      </c>
      <c r="K988" s="21">
        <v>0</v>
      </c>
      <c r="L988" s="21">
        <v>0</v>
      </c>
      <c r="M988" s="21">
        <f>COUNTIF($A$2:$A$5481,A988)</f>
        <v>1</v>
      </c>
      <c r="N988" s="24">
        <f t="shared" si="15"/>
        <v>78.1200988</v>
      </c>
    </row>
    <row r="989" spans="1:14">
      <c r="A989" s="21" t="s">
        <v>1668</v>
      </c>
      <c r="B989" s="21" t="s">
        <v>26</v>
      </c>
      <c r="C989" s="21" t="s">
        <v>26</v>
      </c>
      <c r="D989" s="21" t="s">
        <v>921</v>
      </c>
      <c r="E989" s="21">
        <v>2</v>
      </c>
      <c r="F989" s="22">
        <v>45538.4737037037</v>
      </c>
      <c r="G989" s="22"/>
      <c r="H989" s="23">
        <v>40.5</v>
      </c>
      <c r="I989" s="23">
        <v>20.25</v>
      </c>
      <c r="J989" s="24">
        <v>40.5</v>
      </c>
      <c r="K989" s="21">
        <v>0</v>
      </c>
      <c r="L989" s="21">
        <v>0</v>
      </c>
      <c r="M989" s="21">
        <f>COUNTIF($A$2:$A$5481,A989)</f>
        <v>1</v>
      </c>
      <c r="N989" s="24">
        <f t="shared" si="15"/>
        <v>40.5000989</v>
      </c>
    </row>
    <row r="990" spans="1:14">
      <c r="A990" s="21" t="s">
        <v>1669</v>
      </c>
      <c r="B990" s="21" t="s">
        <v>926</v>
      </c>
      <c r="C990" s="21" t="s">
        <v>38</v>
      </c>
      <c r="D990" s="21" t="s">
        <v>921</v>
      </c>
      <c r="E990" s="21">
        <v>0</v>
      </c>
      <c r="F990" s="22">
        <v>45355.4944444444</v>
      </c>
      <c r="G990" s="22">
        <v>45357.4119560185</v>
      </c>
      <c r="H990" s="23">
        <v>62</v>
      </c>
      <c r="I990" s="23">
        <v>62</v>
      </c>
      <c r="J990" s="24">
        <v>0</v>
      </c>
      <c r="K990" s="21">
        <v>0</v>
      </c>
      <c r="L990" s="21">
        <v>0</v>
      </c>
      <c r="M990" s="21">
        <f>COUNTIF($A$2:$A$5481,A990)</f>
        <v>1</v>
      </c>
      <c r="N990" s="24">
        <f t="shared" si="15"/>
        <v>9.9e-5</v>
      </c>
    </row>
    <row r="991" spans="1:14">
      <c r="A991" s="21" t="s">
        <v>1670</v>
      </c>
      <c r="B991" s="21" t="s">
        <v>926</v>
      </c>
      <c r="C991" s="21" t="s">
        <v>38</v>
      </c>
      <c r="D991" s="21" t="s">
        <v>921</v>
      </c>
      <c r="E991" s="21">
        <v>0</v>
      </c>
      <c r="F991" s="22">
        <v>45355.4944444444</v>
      </c>
      <c r="G991" s="22">
        <v>45357.4119675926</v>
      </c>
      <c r="H991" s="23">
        <v>114</v>
      </c>
      <c r="I991" s="23">
        <v>57</v>
      </c>
      <c r="J991" s="24">
        <v>0</v>
      </c>
      <c r="K991" s="21">
        <v>0</v>
      </c>
      <c r="L991" s="21">
        <v>0</v>
      </c>
      <c r="M991" s="21">
        <f>COUNTIF($A$2:$A$5481,A991)</f>
        <v>2</v>
      </c>
      <c r="N991" s="24">
        <f t="shared" si="15"/>
        <v>9.91e-5</v>
      </c>
    </row>
    <row r="992" spans="1:14">
      <c r="A992" s="21" t="s">
        <v>1670</v>
      </c>
      <c r="B992" s="21" t="s">
        <v>926</v>
      </c>
      <c r="C992" s="21" t="s">
        <v>26</v>
      </c>
      <c r="D992" s="21" t="s">
        <v>921</v>
      </c>
      <c r="E992" s="21">
        <v>7</v>
      </c>
      <c r="F992" s="22">
        <v>46205.8231481482</v>
      </c>
      <c r="G992" s="22"/>
      <c r="H992" s="23">
        <v>32</v>
      </c>
      <c r="I992" s="23">
        <v>18.3414285714</v>
      </c>
      <c r="J992" s="24">
        <v>128.38</v>
      </c>
      <c r="K992" s="21">
        <v>0</v>
      </c>
      <c r="L992" s="21">
        <v>0</v>
      </c>
      <c r="M992" s="21">
        <f>COUNTIF($A$2:$A$5481,A992)</f>
        <v>2</v>
      </c>
      <c r="N992" s="24">
        <f t="shared" si="15"/>
        <v>128.3800992</v>
      </c>
    </row>
    <row r="993" spans="1:14">
      <c r="A993" s="21" t="s">
        <v>1671</v>
      </c>
      <c r="B993" s="21" t="s">
        <v>1115</v>
      </c>
      <c r="C993" s="21" t="s">
        <v>26</v>
      </c>
      <c r="D993" s="21" t="s">
        <v>921</v>
      </c>
      <c r="E993" s="21">
        <v>2</v>
      </c>
      <c r="F993" s="22">
        <v>45692.4477546296</v>
      </c>
      <c r="G993" s="22"/>
      <c r="H993" s="23">
        <v>139.16</v>
      </c>
      <c r="I993" s="23">
        <v>69.58</v>
      </c>
      <c r="J993" s="24">
        <v>139.16</v>
      </c>
      <c r="K993" s="21">
        <v>0</v>
      </c>
      <c r="L993" s="21">
        <v>0</v>
      </c>
      <c r="M993" s="21">
        <f>COUNTIF($A$2:$A$5481,A993)</f>
        <v>1</v>
      </c>
      <c r="N993" s="24">
        <f t="shared" si="15"/>
        <v>139.1600993</v>
      </c>
    </row>
    <row r="994" spans="1:14">
      <c r="A994" s="21" t="s">
        <v>1672</v>
      </c>
      <c r="B994" s="21" t="s">
        <v>26</v>
      </c>
      <c r="C994" s="21" t="s">
        <v>26</v>
      </c>
      <c r="D994" s="21" t="s">
        <v>921</v>
      </c>
      <c r="E994" s="21">
        <v>10</v>
      </c>
      <c r="F994" s="22">
        <v>45520.3909953704</v>
      </c>
      <c r="G994" s="22"/>
      <c r="H994" s="23">
        <v>93.3</v>
      </c>
      <c r="I994" s="23">
        <v>9.33</v>
      </c>
      <c r="J994" s="24">
        <v>93.3</v>
      </c>
      <c r="K994" s="21">
        <v>0</v>
      </c>
      <c r="L994" s="21">
        <v>0</v>
      </c>
      <c r="M994" s="21">
        <f>COUNTIF($A$2:$A$5481,A994)</f>
        <v>2</v>
      </c>
      <c r="N994" s="24">
        <f t="shared" si="15"/>
        <v>93.3000994</v>
      </c>
    </row>
    <row r="995" spans="1:14">
      <c r="A995" s="21" t="s">
        <v>1672</v>
      </c>
      <c r="B995" s="21" t="s">
        <v>26</v>
      </c>
      <c r="C995" s="21" t="s">
        <v>414</v>
      </c>
      <c r="D995" s="21" t="s">
        <v>921</v>
      </c>
      <c r="E995" s="21">
        <v>16</v>
      </c>
      <c r="F995" s="22">
        <v>46138.5798611111</v>
      </c>
      <c r="G995" s="22"/>
      <c r="H995" s="23">
        <v>162.56</v>
      </c>
      <c r="I995" s="23">
        <v>10.16</v>
      </c>
      <c r="J995" s="24">
        <v>162.56</v>
      </c>
      <c r="K995" s="21">
        <v>0</v>
      </c>
      <c r="L995" s="21">
        <v>0</v>
      </c>
      <c r="M995" s="21">
        <f>COUNTIF($A$2:$A$5481,A995)</f>
        <v>2</v>
      </c>
      <c r="N995" s="24">
        <f t="shared" si="15"/>
        <v>162.5600995</v>
      </c>
    </row>
    <row r="996" spans="1:14">
      <c r="A996" s="21" t="s">
        <v>1673</v>
      </c>
      <c r="B996" s="21" t="s">
        <v>26</v>
      </c>
      <c r="C996" s="21" t="s">
        <v>26</v>
      </c>
      <c r="D996" s="21" t="s">
        <v>921</v>
      </c>
      <c r="E996" s="21">
        <v>17</v>
      </c>
      <c r="F996" s="22">
        <v>45729.5635416667</v>
      </c>
      <c r="G996" s="22"/>
      <c r="H996" s="23">
        <v>192</v>
      </c>
      <c r="I996" s="23">
        <v>15.48235</v>
      </c>
      <c r="J996" s="24">
        <v>263.16</v>
      </c>
      <c r="K996" s="21">
        <v>0</v>
      </c>
      <c r="L996" s="21">
        <v>0</v>
      </c>
      <c r="M996" s="21">
        <f>COUNTIF($A$2:$A$5481,A996)</f>
        <v>1</v>
      </c>
      <c r="N996" s="24">
        <f t="shared" si="15"/>
        <v>263.1600996</v>
      </c>
    </row>
    <row r="997" spans="1:14">
      <c r="A997" s="21" t="s">
        <v>1674</v>
      </c>
      <c r="B997" s="21" t="s">
        <v>920</v>
      </c>
      <c r="C997" s="21" t="s">
        <v>26</v>
      </c>
      <c r="D997" s="21" t="s">
        <v>921</v>
      </c>
      <c r="E997" s="21">
        <v>25</v>
      </c>
      <c r="F997" s="22">
        <v>45856.4689236111</v>
      </c>
      <c r="G997" s="22">
        <v>45859.455162037</v>
      </c>
      <c r="H997" s="23">
        <v>400</v>
      </c>
      <c r="I997" s="23">
        <v>18.41067</v>
      </c>
      <c r="J997" s="24">
        <v>460.25</v>
      </c>
      <c r="K997" s="21">
        <v>0</v>
      </c>
      <c r="L997" s="21">
        <v>0</v>
      </c>
      <c r="M997" s="21">
        <f>COUNTIF($A$2:$A$5481,A997)</f>
        <v>1</v>
      </c>
      <c r="N997" s="24">
        <f t="shared" si="15"/>
        <v>460.2500997</v>
      </c>
    </row>
    <row r="998" spans="1:14">
      <c r="A998" s="21" t="s">
        <v>877</v>
      </c>
      <c r="B998" s="21" t="s">
        <v>920</v>
      </c>
      <c r="C998" s="21" t="s">
        <v>35</v>
      </c>
      <c r="D998" s="21" t="s">
        <v>921</v>
      </c>
      <c r="E998" s="21">
        <v>0</v>
      </c>
      <c r="F998" s="22">
        <v>46261.3534722222</v>
      </c>
      <c r="G998" s="22">
        <v>46269.7013425926</v>
      </c>
      <c r="H998" s="23">
        <v>260</v>
      </c>
      <c r="I998" s="23">
        <v>130</v>
      </c>
      <c r="J998" s="24">
        <v>0</v>
      </c>
      <c r="K998" s="21">
        <v>0</v>
      </c>
      <c r="L998" s="21">
        <v>0</v>
      </c>
      <c r="M998" s="21">
        <f>COUNTIF($A$2:$A$5481,A998)</f>
        <v>1</v>
      </c>
      <c r="N998" s="24">
        <f t="shared" si="15"/>
        <v>9.98e-5</v>
      </c>
    </row>
    <row r="999" spans="1:14">
      <c r="A999" s="21" t="s">
        <v>1675</v>
      </c>
      <c r="B999" s="21" t="s">
        <v>920</v>
      </c>
      <c r="C999" s="21" t="s">
        <v>35</v>
      </c>
      <c r="D999" s="21" t="s">
        <v>921</v>
      </c>
      <c r="E999" s="21">
        <v>0</v>
      </c>
      <c r="F999" s="22">
        <v>45366.8257407407</v>
      </c>
      <c r="G999" s="22">
        <v>45372.4414930556</v>
      </c>
      <c r="H999" s="23">
        <v>1200</v>
      </c>
      <c r="I999" s="23">
        <v>1200</v>
      </c>
      <c r="J999" s="24">
        <v>0</v>
      </c>
      <c r="K999" s="21">
        <v>0</v>
      </c>
      <c r="L999" s="21">
        <v>0</v>
      </c>
      <c r="M999" s="21">
        <f>COUNTIF($A$2:$A$5481,A999)</f>
        <v>1</v>
      </c>
      <c r="N999" s="24">
        <f t="shared" si="15"/>
        <v>9.99e-5</v>
      </c>
    </row>
    <row r="1000" spans="1:14">
      <c r="A1000" s="21" t="s">
        <v>1676</v>
      </c>
      <c r="B1000" s="21" t="s">
        <v>26</v>
      </c>
      <c r="C1000" s="21" t="s">
        <v>26</v>
      </c>
      <c r="D1000" s="21" t="s">
        <v>921</v>
      </c>
      <c r="E1000" s="21">
        <v>0</v>
      </c>
      <c r="F1000" s="22">
        <v>45583.3505555556</v>
      </c>
      <c r="G1000" s="22">
        <v>45583.4706018519</v>
      </c>
      <c r="H1000" s="23">
        <v>513.32</v>
      </c>
      <c r="I1000" s="23">
        <v>513.32</v>
      </c>
      <c r="J1000" s="24">
        <v>0</v>
      </c>
      <c r="K1000" s="21">
        <v>0</v>
      </c>
      <c r="L1000" s="21">
        <v>0</v>
      </c>
      <c r="M1000" s="21">
        <f>COUNTIF($A$2:$A$5481,A1000)</f>
        <v>1</v>
      </c>
      <c r="N1000" s="24">
        <f t="shared" si="15"/>
        <v>0.0001</v>
      </c>
    </row>
    <row r="1001" spans="1:14">
      <c r="A1001" s="21" t="s">
        <v>1677</v>
      </c>
      <c r="B1001" s="21" t="s">
        <v>920</v>
      </c>
      <c r="C1001" s="21" t="s">
        <v>26</v>
      </c>
      <c r="D1001" s="21" t="s">
        <v>931</v>
      </c>
      <c r="E1001" s="21">
        <v>1</v>
      </c>
      <c r="F1001" s="22">
        <v>45708.3803472222</v>
      </c>
      <c r="G1001" s="22"/>
      <c r="H1001" s="23">
        <v>290.17</v>
      </c>
      <c r="I1001" s="23">
        <v>290.17</v>
      </c>
      <c r="J1001" s="24">
        <v>290.17</v>
      </c>
      <c r="K1001" s="21">
        <v>0</v>
      </c>
      <c r="L1001" s="21">
        <v>0</v>
      </c>
      <c r="M1001" s="21">
        <f>COUNTIF($A$2:$A$5481,A1001)</f>
        <v>1</v>
      </c>
      <c r="N1001" s="24">
        <f t="shared" si="15"/>
        <v>290.1701001</v>
      </c>
    </row>
    <row r="1002" spans="1:14">
      <c r="A1002" s="21" t="s">
        <v>1678</v>
      </c>
      <c r="B1002" s="21" t="s">
        <v>920</v>
      </c>
      <c r="C1002" s="21" t="s">
        <v>35</v>
      </c>
      <c r="D1002" s="21" t="s">
        <v>921</v>
      </c>
      <c r="E1002" s="21">
        <v>0</v>
      </c>
      <c r="F1002" s="22">
        <v>45303.6984722222</v>
      </c>
      <c r="G1002" s="22">
        <v>45306.7009143519</v>
      </c>
      <c r="H1002" s="23">
        <v>1375</v>
      </c>
      <c r="I1002" s="23">
        <v>1375</v>
      </c>
      <c r="J1002" s="24">
        <v>0</v>
      </c>
      <c r="K1002" s="21">
        <v>0</v>
      </c>
      <c r="L1002" s="21">
        <v>0</v>
      </c>
      <c r="M1002" s="21">
        <f>COUNTIF($A$2:$A$5481,A1002)</f>
        <v>1</v>
      </c>
      <c r="N1002" s="24">
        <f t="shared" si="15"/>
        <v>0.0001002</v>
      </c>
    </row>
    <row r="1003" spans="1:14">
      <c r="A1003" s="21" t="s">
        <v>1679</v>
      </c>
      <c r="B1003" s="21" t="s">
        <v>1352</v>
      </c>
      <c r="C1003" s="21" t="s">
        <v>51</v>
      </c>
      <c r="D1003" s="21" t="s">
        <v>921</v>
      </c>
      <c r="E1003" s="21">
        <v>1</v>
      </c>
      <c r="F1003" s="22">
        <v>45385.8222222222</v>
      </c>
      <c r="G1003" s="22"/>
      <c r="H1003" s="23">
        <v>760</v>
      </c>
      <c r="I1003" s="23">
        <v>760</v>
      </c>
      <c r="J1003" s="24">
        <v>760</v>
      </c>
      <c r="K1003" s="21">
        <v>0</v>
      </c>
      <c r="L1003" s="21">
        <v>0</v>
      </c>
      <c r="M1003" s="21">
        <f>COUNTIF($A$2:$A$5481,A1003)</f>
        <v>1</v>
      </c>
      <c r="N1003" s="24">
        <f t="shared" si="15"/>
        <v>760.0001003</v>
      </c>
    </row>
    <row r="1004" spans="1:14">
      <c r="A1004" s="21" t="s">
        <v>1680</v>
      </c>
      <c r="B1004" s="21" t="s">
        <v>920</v>
      </c>
      <c r="C1004" s="21" t="s">
        <v>26</v>
      </c>
      <c r="D1004" s="21" t="s">
        <v>921</v>
      </c>
      <c r="E1004" s="21">
        <v>2</v>
      </c>
      <c r="F1004" s="22">
        <v>46134.4458333333</v>
      </c>
      <c r="G1004" s="22"/>
      <c r="H1004" s="23">
        <v>1541.49</v>
      </c>
      <c r="I1004" s="23">
        <v>1541.49</v>
      </c>
      <c r="J1004" s="24">
        <v>3082.98</v>
      </c>
      <c r="K1004" s="21">
        <v>0</v>
      </c>
      <c r="L1004" s="21">
        <v>0</v>
      </c>
      <c r="M1004" s="21">
        <f>COUNTIF($A$2:$A$5481,A1004)</f>
        <v>1</v>
      </c>
      <c r="N1004" s="24">
        <f t="shared" si="15"/>
        <v>3082.9801004</v>
      </c>
    </row>
    <row r="1005" spans="1:14">
      <c r="A1005" s="21" t="s">
        <v>40</v>
      </c>
      <c r="B1005" s="21" t="s">
        <v>920</v>
      </c>
      <c r="C1005" s="21" t="s">
        <v>26</v>
      </c>
      <c r="D1005" s="21" t="s">
        <v>931</v>
      </c>
      <c r="E1005" s="21">
        <v>6</v>
      </c>
      <c r="F1005" s="22">
        <v>46231.6867824074</v>
      </c>
      <c r="G1005" s="22">
        <v>46251.7494675926</v>
      </c>
      <c r="H1005" s="23">
        <v>1338.2</v>
      </c>
      <c r="I1005" s="23">
        <v>151.939057732</v>
      </c>
      <c r="J1005" s="24">
        <v>911.64</v>
      </c>
      <c r="K1005" s="21">
        <v>0</v>
      </c>
      <c r="L1005" s="21">
        <v>0</v>
      </c>
      <c r="M1005" s="21">
        <f>COUNTIF($A$2:$A$5481,A1005)</f>
        <v>1</v>
      </c>
      <c r="N1005" s="24">
        <f t="shared" si="15"/>
        <v>911.6401005</v>
      </c>
    </row>
    <row r="1006" spans="1:14">
      <c r="A1006" s="21" t="s">
        <v>1681</v>
      </c>
      <c r="B1006" s="21" t="s">
        <v>920</v>
      </c>
      <c r="C1006" s="21" t="s">
        <v>35</v>
      </c>
      <c r="D1006" s="21" t="s">
        <v>931</v>
      </c>
      <c r="E1006" s="21">
        <v>1</v>
      </c>
      <c r="F1006" s="22">
        <v>45637.3909606482</v>
      </c>
      <c r="G1006" s="22">
        <v>45805.4292361111</v>
      </c>
      <c r="H1006" s="23">
        <v>2680</v>
      </c>
      <c r="I1006" s="23">
        <v>1340</v>
      </c>
      <c r="J1006" s="24">
        <v>1340</v>
      </c>
      <c r="K1006" s="21">
        <v>0</v>
      </c>
      <c r="L1006" s="21">
        <v>0</v>
      </c>
      <c r="M1006" s="21">
        <f>COUNTIF($A$2:$A$5481,A1006)</f>
        <v>1</v>
      </c>
      <c r="N1006" s="24">
        <f t="shared" si="15"/>
        <v>1340.0001006</v>
      </c>
    </row>
    <row r="1007" spans="1:14">
      <c r="A1007" s="21" t="s">
        <v>1682</v>
      </c>
      <c r="B1007" s="21" t="s">
        <v>920</v>
      </c>
      <c r="C1007" s="21" t="s">
        <v>35</v>
      </c>
      <c r="D1007" s="21" t="s">
        <v>921</v>
      </c>
      <c r="E1007" s="21">
        <v>1</v>
      </c>
      <c r="F1007" s="22">
        <v>45358.5713657407</v>
      </c>
      <c r="G1007" s="22"/>
      <c r="H1007" s="23">
        <v>338.98</v>
      </c>
      <c r="I1007" s="23">
        <v>338.98</v>
      </c>
      <c r="J1007" s="24">
        <v>338.98</v>
      </c>
      <c r="K1007" s="21">
        <v>0</v>
      </c>
      <c r="L1007" s="21">
        <v>0</v>
      </c>
      <c r="M1007" s="21">
        <f>COUNTIF($A$2:$A$5481,A1007)</f>
        <v>1</v>
      </c>
      <c r="N1007" s="24">
        <f t="shared" si="15"/>
        <v>338.9801007</v>
      </c>
    </row>
    <row r="1008" spans="1:14">
      <c r="A1008" s="21" t="s">
        <v>1683</v>
      </c>
      <c r="B1008" s="21" t="s">
        <v>929</v>
      </c>
      <c r="C1008" s="21" t="s">
        <v>26</v>
      </c>
      <c r="D1008" s="21" t="s">
        <v>921</v>
      </c>
      <c r="E1008" s="21">
        <v>2</v>
      </c>
      <c r="F1008" s="22">
        <v>45398.8211111111</v>
      </c>
      <c r="G1008" s="22"/>
      <c r="H1008" s="23">
        <v>339</v>
      </c>
      <c r="I1008" s="23">
        <v>169.5</v>
      </c>
      <c r="J1008" s="24">
        <v>339</v>
      </c>
      <c r="K1008" s="21">
        <v>0</v>
      </c>
      <c r="L1008" s="21">
        <v>0</v>
      </c>
      <c r="M1008" s="21">
        <f>COUNTIF($A$2:$A$5481,A1008)</f>
        <v>1</v>
      </c>
      <c r="N1008" s="24">
        <f t="shared" si="15"/>
        <v>339.0001008</v>
      </c>
    </row>
    <row r="1009" spans="1:14">
      <c r="A1009" s="21" t="s">
        <v>1684</v>
      </c>
      <c r="B1009" s="21" t="s">
        <v>1115</v>
      </c>
      <c r="C1009" s="21" t="s">
        <v>26</v>
      </c>
      <c r="D1009" s="21" t="s">
        <v>921</v>
      </c>
      <c r="E1009" s="21">
        <v>3</v>
      </c>
      <c r="F1009" s="22">
        <v>46238.5636689815</v>
      </c>
      <c r="G1009" s="22"/>
      <c r="H1009" s="23">
        <v>10.5</v>
      </c>
      <c r="I1009" s="23">
        <v>10.48</v>
      </c>
      <c r="J1009" s="24">
        <v>31.44</v>
      </c>
      <c r="K1009" s="21">
        <v>0</v>
      </c>
      <c r="L1009" s="21">
        <v>0</v>
      </c>
      <c r="M1009" s="21">
        <f>COUNTIF($A$2:$A$5481,A1009)</f>
        <v>1</v>
      </c>
      <c r="N1009" s="24">
        <f t="shared" si="15"/>
        <v>31.4401009</v>
      </c>
    </row>
    <row r="1010" spans="1:14">
      <c r="A1010" s="21" t="s">
        <v>1685</v>
      </c>
      <c r="B1010" s="21" t="s">
        <v>920</v>
      </c>
      <c r="C1010" s="21" t="s">
        <v>26</v>
      </c>
      <c r="D1010" s="21" t="s">
        <v>931</v>
      </c>
      <c r="E1010" s="21">
        <v>0</v>
      </c>
      <c r="F1010" s="22">
        <v>45736.4490046296</v>
      </c>
      <c r="G1010" s="22">
        <v>45747.4620833333</v>
      </c>
      <c r="H1010" s="23">
        <v>98.55</v>
      </c>
      <c r="I1010" s="23">
        <v>98.55</v>
      </c>
      <c r="J1010" s="24">
        <v>0</v>
      </c>
      <c r="K1010" s="21">
        <v>0</v>
      </c>
      <c r="L1010" s="21">
        <v>0</v>
      </c>
      <c r="M1010" s="21">
        <f>COUNTIF($A$2:$A$5481,A1010)</f>
        <v>1</v>
      </c>
      <c r="N1010" s="24">
        <f t="shared" si="15"/>
        <v>0.000101</v>
      </c>
    </row>
    <row r="1011" spans="1:14">
      <c r="A1011" s="21" t="s">
        <v>614</v>
      </c>
      <c r="B1011" s="21" t="s">
        <v>1346</v>
      </c>
      <c r="C1011" s="21" t="s">
        <v>390</v>
      </c>
      <c r="D1011" s="21" t="s">
        <v>921</v>
      </c>
      <c r="E1011" s="21">
        <v>24</v>
      </c>
      <c r="F1011" s="22">
        <v>46248.6013888889</v>
      </c>
      <c r="G1011" s="22">
        <v>46252.447337963</v>
      </c>
      <c r="H1011" s="23">
        <v>1008</v>
      </c>
      <c r="I1011" s="23">
        <v>42</v>
      </c>
      <c r="J1011" s="24">
        <v>1008</v>
      </c>
      <c r="K1011" s="21">
        <v>0</v>
      </c>
      <c r="L1011" s="21">
        <v>0</v>
      </c>
      <c r="M1011" s="21">
        <f>COUNTIF($A$2:$A$5481,A1011)</f>
        <v>1</v>
      </c>
      <c r="N1011" s="24">
        <f t="shared" si="15"/>
        <v>1008.0001011</v>
      </c>
    </row>
    <row r="1012" spans="1:14">
      <c r="A1012" s="21" t="s">
        <v>613</v>
      </c>
      <c r="B1012" s="21" t="s">
        <v>1115</v>
      </c>
      <c r="C1012" s="21" t="s">
        <v>390</v>
      </c>
      <c r="D1012" s="21" t="s">
        <v>921</v>
      </c>
      <c r="E1012" s="21">
        <v>0</v>
      </c>
      <c r="F1012" s="22">
        <v>45287.7970717593</v>
      </c>
      <c r="G1012" s="22">
        <v>46252.4453356482</v>
      </c>
      <c r="H1012" s="23">
        <v>2760</v>
      </c>
      <c r="I1012" s="23">
        <v>69</v>
      </c>
      <c r="J1012" s="24">
        <v>0</v>
      </c>
      <c r="K1012" s="21">
        <v>10</v>
      </c>
      <c r="L1012" s="21">
        <v>100</v>
      </c>
      <c r="M1012" s="21">
        <f>COUNTIF($A$2:$A$5481,A1012)</f>
        <v>4</v>
      </c>
      <c r="N1012" s="24">
        <f t="shared" si="15"/>
        <v>0.0001012</v>
      </c>
    </row>
    <row r="1013" spans="1:14">
      <c r="A1013" s="21" t="s">
        <v>613</v>
      </c>
      <c r="B1013" s="21" t="s">
        <v>1115</v>
      </c>
      <c r="C1013" s="21" t="s">
        <v>414</v>
      </c>
      <c r="D1013" s="21" t="s">
        <v>921</v>
      </c>
      <c r="E1013" s="21">
        <v>14</v>
      </c>
      <c r="F1013" s="22">
        <v>45384.4573032407</v>
      </c>
      <c r="G1013" s="22">
        <v>45568.8396990741</v>
      </c>
      <c r="H1013" s="23">
        <v>1008</v>
      </c>
      <c r="I1013" s="23">
        <v>42</v>
      </c>
      <c r="J1013" s="24">
        <v>588</v>
      </c>
      <c r="K1013" s="21">
        <v>10</v>
      </c>
      <c r="L1013" s="21">
        <v>100</v>
      </c>
      <c r="M1013" s="21">
        <f>COUNTIF($A$2:$A$5481,A1013)</f>
        <v>4</v>
      </c>
      <c r="N1013" s="24">
        <f t="shared" si="15"/>
        <v>588.0001013</v>
      </c>
    </row>
    <row r="1014" spans="1:14">
      <c r="A1014" s="21" t="s">
        <v>613</v>
      </c>
      <c r="B1014" s="21" t="s">
        <v>1115</v>
      </c>
      <c r="C1014" s="21" t="s">
        <v>26</v>
      </c>
      <c r="D1014" s="21" t="s">
        <v>921</v>
      </c>
      <c r="E1014" s="21">
        <v>41</v>
      </c>
      <c r="F1014" s="22">
        <v>45680.4423611111</v>
      </c>
      <c r="G1014" s="22">
        <v>46258.6222800926</v>
      </c>
      <c r="H1014" s="23">
        <v>3312</v>
      </c>
      <c r="I1014" s="23">
        <v>69</v>
      </c>
      <c r="J1014" s="24">
        <v>2829</v>
      </c>
      <c r="K1014" s="21">
        <v>10</v>
      </c>
      <c r="L1014" s="21">
        <v>100</v>
      </c>
      <c r="M1014" s="21">
        <f>COUNTIF($A$2:$A$5481,A1014)</f>
        <v>4</v>
      </c>
      <c r="N1014" s="24">
        <f t="shared" si="15"/>
        <v>2829.0001014</v>
      </c>
    </row>
    <row r="1015" spans="1:14">
      <c r="A1015" s="21" t="s">
        <v>613</v>
      </c>
      <c r="B1015" s="21" t="s">
        <v>1115</v>
      </c>
      <c r="C1015" s="21" t="s">
        <v>51</v>
      </c>
      <c r="D1015" s="21" t="s">
        <v>921</v>
      </c>
      <c r="E1015" s="21">
        <v>48</v>
      </c>
      <c r="F1015" s="22">
        <v>46036.4626851852</v>
      </c>
      <c r="G1015" s="22"/>
      <c r="H1015" s="23">
        <v>3312</v>
      </c>
      <c r="I1015" s="23">
        <v>69</v>
      </c>
      <c r="J1015" s="24">
        <v>3312</v>
      </c>
      <c r="K1015" s="21">
        <v>10</v>
      </c>
      <c r="L1015" s="21">
        <v>100</v>
      </c>
      <c r="M1015" s="21">
        <f>COUNTIF($A$2:$A$5481,A1015)</f>
        <v>4</v>
      </c>
      <c r="N1015" s="24">
        <f t="shared" si="15"/>
        <v>3312.0001015</v>
      </c>
    </row>
    <row r="1016" spans="1:14">
      <c r="A1016" s="21" t="s">
        <v>475</v>
      </c>
      <c r="B1016" s="21" t="s">
        <v>26</v>
      </c>
      <c r="C1016" s="21" t="s">
        <v>390</v>
      </c>
      <c r="D1016" s="21" t="s">
        <v>921</v>
      </c>
      <c r="E1016" s="21">
        <v>0</v>
      </c>
      <c r="F1016" s="22">
        <v>45483.4778356482</v>
      </c>
      <c r="G1016" s="22">
        <v>46252.4453240741</v>
      </c>
      <c r="H1016" s="23">
        <v>3312</v>
      </c>
      <c r="I1016" s="23">
        <v>69</v>
      </c>
      <c r="J1016" s="24">
        <v>0</v>
      </c>
      <c r="K1016" s="21">
        <v>0</v>
      </c>
      <c r="L1016" s="21">
        <v>0</v>
      </c>
      <c r="M1016" s="21">
        <f>COUNTIF($A$2:$A$5481,A1016)</f>
        <v>2</v>
      </c>
      <c r="N1016" s="24">
        <f t="shared" si="15"/>
        <v>0.0001016</v>
      </c>
    </row>
    <row r="1017" spans="1:14">
      <c r="A1017" s="21" t="s">
        <v>475</v>
      </c>
      <c r="B1017" s="21" t="s">
        <v>26</v>
      </c>
      <c r="C1017" s="21" t="s">
        <v>26</v>
      </c>
      <c r="D1017" s="21" t="s">
        <v>921</v>
      </c>
      <c r="E1017" s="21">
        <v>0</v>
      </c>
      <c r="F1017" s="22">
        <v>45680.4423611111</v>
      </c>
      <c r="G1017" s="22">
        <v>46217.6090277778</v>
      </c>
      <c r="H1017" s="23">
        <v>1008</v>
      </c>
      <c r="I1017" s="23">
        <v>42</v>
      </c>
      <c r="J1017" s="24">
        <v>0</v>
      </c>
      <c r="K1017" s="21">
        <v>0</v>
      </c>
      <c r="L1017" s="21">
        <v>0</v>
      </c>
      <c r="M1017" s="21">
        <f>COUNTIF($A$2:$A$5481,A1017)</f>
        <v>2</v>
      </c>
      <c r="N1017" s="24">
        <f t="shared" si="15"/>
        <v>0.0001017</v>
      </c>
    </row>
    <row r="1018" spans="1:14">
      <c r="A1018" s="21" t="s">
        <v>1686</v>
      </c>
      <c r="B1018" s="21" t="s">
        <v>1352</v>
      </c>
      <c r="C1018" s="21" t="s">
        <v>51</v>
      </c>
      <c r="D1018" s="21" t="s">
        <v>921</v>
      </c>
      <c r="E1018" s="21">
        <v>3</v>
      </c>
      <c r="F1018" s="22">
        <v>45831.4779050926</v>
      </c>
      <c r="G1018" s="22"/>
      <c r="H1018" s="23">
        <v>600</v>
      </c>
      <c r="I1018" s="23">
        <v>200</v>
      </c>
      <c r="J1018" s="24">
        <v>600</v>
      </c>
      <c r="K1018" s="21">
        <v>0</v>
      </c>
      <c r="L1018" s="21">
        <v>0</v>
      </c>
      <c r="M1018" s="21">
        <f>COUNTIF($A$2:$A$5481,A1018)</f>
        <v>2</v>
      </c>
      <c r="N1018" s="24">
        <f t="shared" si="15"/>
        <v>600.0001018</v>
      </c>
    </row>
    <row r="1019" spans="1:14">
      <c r="A1019" s="21" t="s">
        <v>1686</v>
      </c>
      <c r="B1019" s="21" t="s">
        <v>1352</v>
      </c>
      <c r="C1019" s="21" t="s">
        <v>414</v>
      </c>
      <c r="D1019" s="21" t="s">
        <v>921</v>
      </c>
      <c r="E1019" s="21">
        <v>1</v>
      </c>
      <c r="F1019" s="22">
        <v>45848.6851041667</v>
      </c>
      <c r="G1019" s="22"/>
      <c r="H1019" s="23">
        <v>200</v>
      </c>
      <c r="I1019" s="23">
        <v>200</v>
      </c>
      <c r="J1019" s="24">
        <v>200</v>
      </c>
      <c r="K1019" s="21">
        <v>0</v>
      </c>
      <c r="L1019" s="21">
        <v>0</v>
      </c>
      <c r="M1019" s="21">
        <f>COUNTIF($A$2:$A$5481,A1019)</f>
        <v>2</v>
      </c>
      <c r="N1019" s="24">
        <f t="shared" si="15"/>
        <v>200.0001019</v>
      </c>
    </row>
    <row r="1020" spans="1:14">
      <c r="A1020" s="21" t="s">
        <v>1687</v>
      </c>
      <c r="B1020" s="21" t="s">
        <v>1394</v>
      </c>
      <c r="C1020" s="21" t="s">
        <v>51</v>
      </c>
      <c r="D1020" s="21" t="s">
        <v>921</v>
      </c>
      <c r="E1020" s="21">
        <v>8</v>
      </c>
      <c r="F1020" s="22">
        <v>45286.8100925926</v>
      </c>
      <c r="G1020" s="22"/>
      <c r="H1020" s="23">
        <v>1520</v>
      </c>
      <c r="I1020" s="23">
        <v>190</v>
      </c>
      <c r="J1020" s="24">
        <v>1520</v>
      </c>
      <c r="K1020" s="21">
        <v>0</v>
      </c>
      <c r="L1020" s="21">
        <v>0</v>
      </c>
      <c r="M1020" s="21">
        <f>COUNTIF($A$2:$A$5481,A1020)</f>
        <v>1</v>
      </c>
      <c r="N1020" s="24">
        <f t="shared" si="15"/>
        <v>1520.000102</v>
      </c>
    </row>
    <row r="1021" spans="1:14">
      <c r="A1021" s="21" t="s">
        <v>1688</v>
      </c>
      <c r="B1021" s="21" t="s">
        <v>1394</v>
      </c>
      <c r="C1021" s="21" t="s">
        <v>51</v>
      </c>
      <c r="D1021" s="21" t="s">
        <v>921</v>
      </c>
      <c r="E1021" s="21">
        <v>4</v>
      </c>
      <c r="F1021" s="22">
        <v>45316.3740046296</v>
      </c>
      <c r="G1021" s="22"/>
      <c r="H1021" s="23">
        <v>720</v>
      </c>
      <c r="I1021" s="23">
        <v>180</v>
      </c>
      <c r="J1021" s="24">
        <v>720</v>
      </c>
      <c r="K1021" s="21">
        <v>0</v>
      </c>
      <c r="L1021" s="21">
        <v>0</v>
      </c>
      <c r="M1021" s="21">
        <f>COUNTIF($A$2:$A$5481,A1021)</f>
        <v>1</v>
      </c>
      <c r="N1021" s="24">
        <f t="shared" si="15"/>
        <v>720.0001021</v>
      </c>
    </row>
    <row r="1022" spans="1:14">
      <c r="A1022" s="21" t="s">
        <v>1689</v>
      </c>
      <c r="B1022" s="21" t="s">
        <v>1394</v>
      </c>
      <c r="C1022" s="21" t="s">
        <v>51</v>
      </c>
      <c r="D1022" s="21" t="s">
        <v>921</v>
      </c>
      <c r="E1022" s="21">
        <v>1</v>
      </c>
      <c r="F1022" s="22">
        <v>45831.4779050926</v>
      </c>
      <c r="G1022" s="22"/>
      <c r="H1022" s="23">
        <v>90</v>
      </c>
      <c r="I1022" s="23">
        <v>90</v>
      </c>
      <c r="J1022" s="24">
        <v>90</v>
      </c>
      <c r="K1022" s="21">
        <v>0</v>
      </c>
      <c r="L1022" s="21">
        <v>0</v>
      </c>
      <c r="M1022" s="21">
        <f>COUNTIF($A$2:$A$5481,A1022)</f>
        <v>1</v>
      </c>
      <c r="N1022" s="24">
        <f t="shared" si="15"/>
        <v>90.0001022</v>
      </c>
    </row>
    <row r="1023" spans="1:14">
      <c r="A1023" s="21" t="s">
        <v>1690</v>
      </c>
      <c r="B1023" s="21" t="s">
        <v>1352</v>
      </c>
      <c r="C1023" s="21" t="s">
        <v>51</v>
      </c>
      <c r="D1023" s="21" t="s">
        <v>921</v>
      </c>
      <c r="E1023" s="21">
        <v>2</v>
      </c>
      <c r="F1023" s="22">
        <v>45807.4692592593</v>
      </c>
      <c r="G1023" s="22"/>
      <c r="H1023" s="23">
        <v>170</v>
      </c>
      <c r="I1023" s="23">
        <v>85</v>
      </c>
      <c r="J1023" s="24">
        <v>170</v>
      </c>
      <c r="K1023" s="21">
        <v>0</v>
      </c>
      <c r="L1023" s="21">
        <v>0</v>
      </c>
      <c r="M1023" s="21">
        <f>COUNTIF($A$2:$A$5481,A1023)</f>
        <v>1</v>
      </c>
      <c r="N1023" s="24">
        <f t="shared" si="15"/>
        <v>170.0001023</v>
      </c>
    </row>
    <row r="1024" spans="1:14">
      <c r="A1024" s="21" t="s">
        <v>1691</v>
      </c>
      <c r="B1024" s="21" t="s">
        <v>920</v>
      </c>
      <c r="C1024" s="21" t="s">
        <v>35</v>
      </c>
      <c r="D1024" s="21" t="s">
        <v>921</v>
      </c>
      <c r="E1024" s="21">
        <v>1</v>
      </c>
      <c r="F1024" s="22">
        <v>46013.5532986111</v>
      </c>
      <c r="G1024" s="22"/>
      <c r="H1024" s="23">
        <v>4056</v>
      </c>
      <c r="I1024" s="23">
        <v>4056</v>
      </c>
      <c r="J1024" s="24">
        <v>4056</v>
      </c>
      <c r="K1024" s="21">
        <v>0</v>
      </c>
      <c r="L1024" s="21">
        <v>0</v>
      </c>
      <c r="M1024" s="21">
        <f>COUNTIF($A$2:$A$5481,A1024)</f>
        <v>1</v>
      </c>
      <c r="N1024" s="24">
        <f t="shared" si="15"/>
        <v>4056.0001024</v>
      </c>
    </row>
    <row r="1025" spans="1:14">
      <c r="A1025" s="21" t="s">
        <v>283</v>
      </c>
      <c r="B1025" s="21" t="s">
        <v>920</v>
      </c>
      <c r="C1025" s="21" t="s">
        <v>26</v>
      </c>
      <c r="D1025" s="21" t="s">
        <v>921</v>
      </c>
      <c r="E1025" s="21">
        <v>0</v>
      </c>
      <c r="F1025" s="22">
        <v>46066.5870949074</v>
      </c>
      <c r="G1025" s="22">
        <v>46077.649212963</v>
      </c>
      <c r="H1025" s="23">
        <v>479.97</v>
      </c>
      <c r="I1025" s="23">
        <v>479.97</v>
      </c>
      <c r="J1025" s="24">
        <v>0</v>
      </c>
      <c r="K1025" s="21">
        <v>0</v>
      </c>
      <c r="L1025" s="21">
        <v>0</v>
      </c>
      <c r="M1025" s="21">
        <f>COUNTIF($A$2:$A$5481,A1025)</f>
        <v>1</v>
      </c>
      <c r="N1025" s="24">
        <f t="shared" si="15"/>
        <v>0.0001025</v>
      </c>
    </row>
    <row r="1026" spans="1:14">
      <c r="A1026" s="21" t="s">
        <v>316</v>
      </c>
      <c r="B1026" s="21" t="s">
        <v>920</v>
      </c>
      <c r="C1026" s="21" t="s">
        <v>35</v>
      </c>
      <c r="D1026" s="21" t="s">
        <v>921</v>
      </c>
      <c r="E1026" s="21">
        <v>0</v>
      </c>
      <c r="F1026" s="22">
        <v>46013.5532986111</v>
      </c>
      <c r="G1026" s="22">
        <v>46098.5544328704</v>
      </c>
      <c r="H1026" s="23">
        <v>625</v>
      </c>
      <c r="I1026" s="23">
        <v>625</v>
      </c>
      <c r="J1026" s="24">
        <v>0</v>
      </c>
      <c r="K1026" s="21">
        <v>0</v>
      </c>
      <c r="L1026" s="21">
        <v>0</v>
      </c>
      <c r="M1026" s="21">
        <f>COUNTIF($A$2:$A$5481,A1026)</f>
        <v>1</v>
      </c>
      <c r="N1026" s="24">
        <f t="shared" ref="N1026:N1089" si="16">J1026+ROW()/10000000</f>
        <v>0.0001026</v>
      </c>
    </row>
    <row r="1027" spans="1:14">
      <c r="A1027" s="21" t="s">
        <v>1692</v>
      </c>
      <c r="B1027" s="21" t="s">
        <v>920</v>
      </c>
      <c r="C1027" s="21" t="s">
        <v>35</v>
      </c>
      <c r="D1027" s="21" t="s">
        <v>921</v>
      </c>
      <c r="E1027" s="21">
        <v>1</v>
      </c>
      <c r="F1027" s="22">
        <v>45609.4794097222</v>
      </c>
      <c r="G1027" s="22">
        <v>45862.3912731482</v>
      </c>
      <c r="H1027" s="23">
        <v>50</v>
      </c>
      <c r="I1027" s="23">
        <v>90</v>
      </c>
      <c r="J1027" s="24">
        <v>90</v>
      </c>
      <c r="K1027" s="21">
        <v>0</v>
      </c>
      <c r="L1027" s="21">
        <v>0</v>
      </c>
      <c r="M1027" s="21">
        <f>COUNTIF($A$2:$A$5481,A1027)</f>
        <v>1</v>
      </c>
      <c r="N1027" s="24">
        <f t="shared" si="16"/>
        <v>90.0001027</v>
      </c>
    </row>
    <row r="1028" spans="1:14">
      <c r="A1028" s="21" t="s">
        <v>1693</v>
      </c>
      <c r="B1028" s="21" t="s">
        <v>1352</v>
      </c>
      <c r="C1028" s="21" t="s">
        <v>414</v>
      </c>
      <c r="D1028" s="21" t="s">
        <v>931</v>
      </c>
      <c r="E1028" s="21">
        <v>1</v>
      </c>
      <c r="F1028" s="22">
        <v>45737.3559606482</v>
      </c>
      <c r="G1028" s="22"/>
      <c r="H1028" s="23">
        <v>1200</v>
      </c>
      <c r="I1028" s="23">
        <v>1200</v>
      </c>
      <c r="J1028" s="24">
        <v>1200</v>
      </c>
      <c r="K1028" s="21">
        <v>0</v>
      </c>
      <c r="L1028" s="21">
        <v>0</v>
      </c>
      <c r="M1028" s="21">
        <f>COUNTIF($A$2:$A$5481,A1028)</f>
        <v>2</v>
      </c>
      <c r="N1028" s="24">
        <f t="shared" si="16"/>
        <v>1200.0001028</v>
      </c>
    </row>
    <row r="1029" spans="1:14">
      <c r="A1029" s="21" t="s">
        <v>1693</v>
      </c>
      <c r="B1029" s="21" t="s">
        <v>1352</v>
      </c>
      <c r="C1029" s="21" t="s">
        <v>51</v>
      </c>
      <c r="D1029" s="21" t="s">
        <v>931</v>
      </c>
      <c r="E1029" s="21">
        <v>2</v>
      </c>
      <c r="F1029" s="22">
        <v>45831.4779050926</v>
      </c>
      <c r="G1029" s="22"/>
      <c r="H1029" s="23">
        <v>1180</v>
      </c>
      <c r="I1029" s="23">
        <v>1205</v>
      </c>
      <c r="J1029" s="24">
        <v>2410</v>
      </c>
      <c r="K1029" s="21">
        <v>0</v>
      </c>
      <c r="L1029" s="21">
        <v>0</v>
      </c>
      <c r="M1029" s="21">
        <f>COUNTIF($A$2:$A$5481,A1029)</f>
        <v>2</v>
      </c>
      <c r="N1029" s="24">
        <f t="shared" si="16"/>
        <v>2410.0001029</v>
      </c>
    </row>
    <row r="1030" spans="1:14">
      <c r="A1030" s="21" t="s">
        <v>1694</v>
      </c>
      <c r="B1030" s="21" t="s">
        <v>26</v>
      </c>
      <c r="C1030" s="21" t="s">
        <v>414</v>
      </c>
      <c r="D1030" s="21" t="s">
        <v>921</v>
      </c>
      <c r="E1030" s="21">
        <v>3</v>
      </c>
      <c r="F1030" s="22">
        <v>46279.3784722222</v>
      </c>
      <c r="G1030" s="22"/>
      <c r="H1030" s="23">
        <v>400</v>
      </c>
      <c r="I1030" s="23">
        <v>300</v>
      </c>
      <c r="J1030" s="24">
        <v>900</v>
      </c>
      <c r="K1030" s="21">
        <v>0</v>
      </c>
      <c r="L1030" s="21">
        <v>0</v>
      </c>
      <c r="M1030" s="21">
        <f>COUNTIF($A$2:$A$5481,A1030)</f>
        <v>1</v>
      </c>
      <c r="N1030" s="24">
        <f t="shared" si="16"/>
        <v>900.000103</v>
      </c>
    </row>
    <row r="1031" spans="1:14">
      <c r="A1031" s="21" t="s">
        <v>1695</v>
      </c>
      <c r="B1031" s="21" t="s">
        <v>1352</v>
      </c>
      <c r="C1031" s="21" t="s">
        <v>414</v>
      </c>
      <c r="D1031" s="21" t="s">
        <v>931</v>
      </c>
      <c r="E1031" s="21">
        <v>2</v>
      </c>
      <c r="F1031" s="22">
        <v>45694.3772337963</v>
      </c>
      <c r="G1031" s="22"/>
      <c r="H1031" s="23">
        <v>160</v>
      </c>
      <c r="I1031" s="23">
        <v>80</v>
      </c>
      <c r="J1031" s="24">
        <v>160</v>
      </c>
      <c r="K1031" s="21">
        <v>0</v>
      </c>
      <c r="L1031" s="21">
        <v>0</v>
      </c>
      <c r="M1031" s="21">
        <f>COUNTIF($A$2:$A$5481,A1031)</f>
        <v>1</v>
      </c>
      <c r="N1031" s="24">
        <f t="shared" si="16"/>
        <v>160.0001031</v>
      </c>
    </row>
    <row r="1032" spans="1:14">
      <c r="A1032" s="21" t="s">
        <v>1696</v>
      </c>
      <c r="B1032" s="21" t="s">
        <v>929</v>
      </c>
      <c r="C1032" s="21" t="s">
        <v>26</v>
      </c>
      <c r="D1032" s="21" t="s">
        <v>921</v>
      </c>
      <c r="E1032" s="21">
        <v>15.4</v>
      </c>
      <c r="F1032" s="22">
        <v>45964.558275463</v>
      </c>
      <c r="G1032" s="22"/>
      <c r="H1032" s="23">
        <v>904.134</v>
      </c>
      <c r="I1032" s="23">
        <v>58.71</v>
      </c>
      <c r="J1032" s="24">
        <v>904.134</v>
      </c>
      <c r="K1032" s="21">
        <v>0</v>
      </c>
      <c r="L1032" s="21">
        <v>0</v>
      </c>
      <c r="M1032" s="21">
        <f>COUNTIF($A$2:$A$5481,A1032)</f>
        <v>1</v>
      </c>
      <c r="N1032" s="24">
        <f t="shared" si="16"/>
        <v>904.1341032</v>
      </c>
    </row>
    <row r="1033" spans="1:14">
      <c r="A1033" s="21" t="s">
        <v>1697</v>
      </c>
      <c r="B1033" s="21" t="s">
        <v>920</v>
      </c>
      <c r="C1033" s="21" t="s">
        <v>35</v>
      </c>
      <c r="D1033" s="21" t="s">
        <v>921</v>
      </c>
      <c r="E1033" s="21">
        <v>1</v>
      </c>
      <c r="F1033" s="22">
        <v>45378.8448148148</v>
      </c>
      <c r="G1033" s="22"/>
      <c r="H1033" s="23">
        <v>6</v>
      </c>
      <c r="I1033" s="23">
        <v>6</v>
      </c>
      <c r="J1033" s="24">
        <v>6</v>
      </c>
      <c r="K1033" s="21">
        <v>0</v>
      </c>
      <c r="L1033" s="21">
        <v>0</v>
      </c>
      <c r="M1033" s="21">
        <f>COUNTIF($A$2:$A$5481,A1033)</f>
        <v>1</v>
      </c>
      <c r="N1033" s="24">
        <f t="shared" si="16"/>
        <v>6.0001033</v>
      </c>
    </row>
    <row r="1034" spans="1:14">
      <c r="A1034" s="21" t="s">
        <v>1698</v>
      </c>
      <c r="B1034" s="21" t="s">
        <v>920</v>
      </c>
      <c r="C1034" s="21" t="s">
        <v>26</v>
      </c>
      <c r="D1034" s="21" t="s">
        <v>931</v>
      </c>
      <c r="E1034" s="21">
        <v>1</v>
      </c>
      <c r="F1034" s="22">
        <v>45715.8104166667</v>
      </c>
      <c r="G1034" s="22">
        <v>45733.3651157407</v>
      </c>
      <c r="H1034" s="23">
        <v>182.08</v>
      </c>
      <c r="I1034" s="23">
        <v>190.04</v>
      </c>
      <c r="J1034" s="24">
        <v>190.04</v>
      </c>
      <c r="K1034" s="21">
        <v>0</v>
      </c>
      <c r="L1034" s="21">
        <v>0</v>
      </c>
      <c r="M1034" s="21">
        <f>COUNTIF($A$2:$A$5481,A1034)</f>
        <v>1</v>
      </c>
      <c r="N1034" s="24">
        <f t="shared" si="16"/>
        <v>190.0401034</v>
      </c>
    </row>
    <row r="1035" spans="1:14">
      <c r="A1035" s="21" t="s">
        <v>1699</v>
      </c>
      <c r="B1035" s="21" t="s">
        <v>920</v>
      </c>
      <c r="C1035" s="21" t="s">
        <v>26</v>
      </c>
      <c r="D1035" s="21" t="s">
        <v>931</v>
      </c>
      <c r="E1035" s="21">
        <v>0</v>
      </c>
      <c r="F1035" s="22">
        <v>45736.4490046296</v>
      </c>
      <c r="G1035" s="22">
        <v>45747.4620486111</v>
      </c>
      <c r="H1035" s="23">
        <v>200.45</v>
      </c>
      <c r="I1035" s="23">
        <v>200.45</v>
      </c>
      <c r="J1035" s="24">
        <v>0</v>
      </c>
      <c r="K1035" s="21">
        <v>0</v>
      </c>
      <c r="L1035" s="21">
        <v>0</v>
      </c>
      <c r="M1035" s="21">
        <f>COUNTIF($A$2:$A$5481,A1035)</f>
        <v>1</v>
      </c>
      <c r="N1035" s="24">
        <f t="shared" si="16"/>
        <v>0.0001035</v>
      </c>
    </row>
    <row r="1036" spans="1:14">
      <c r="A1036" s="21" t="s">
        <v>1700</v>
      </c>
      <c r="B1036" s="21" t="s">
        <v>920</v>
      </c>
      <c r="C1036" s="21" t="s">
        <v>35</v>
      </c>
      <c r="D1036" s="21" t="s">
        <v>921</v>
      </c>
      <c r="E1036" s="21">
        <v>0</v>
      </c>
      <c r="F1036" s="22">
        <v>45279.3987384259</v>
      </c>
      <c r="G1036" s="22">
        <v>45279.4947337963</v>
      </c>
      <c r="H1036" s="23">
        <v>198</v>
      </c>
      <c r="I1036" s="23">
        <v>198</v>
      </c>
      <c r="J1036" s="24">
        <v>0</v>
      </c>
      <c r="K1036" s="21">
        <v>0</v>
      </c>
      <c r="L1036" s="21">
        <v>0</v>
      </c>
      <c r="M1036" s="21">
        <f>COUNTIF($A$2:$A$5481,A1036)</f>
        <v>1</v>
      </c>
      <c r="N1036" s="24">
        <f t="shared" si="16"/>
        <v>0.0001036</v>
      </c>
    </row>
    <row r="1037" spans="1:14">
      <c r="A1037" s="21" t="s">
        <v>194</v>
      </c>
      <c r="B1037" s="21" t="s">
        <v>920</v>
      </c>
      <c r="C1037" s="21" t="s">
        <v>26</v>
      </c>
      <c r="D1037" s="21" t="s">
        <v>921</v>
      </c>
      <c r="E1037" s="21">
        <v>7</v>
      </c>
      <c r="F1037" s="22">
        <v>46042.5588425926</v>
      </c>
      <c r="G1037" s="22">
        <v>46146.6496643519</v>
      </c>
      <c r="H1037" s="23">
        <v>590</v>
      </c>
      <c r="I1037" s="23">
        <v>113.4745</v>
      </c>
      <c r="J1037" s="24">
        <v>794.29</v>
      </c>
      <c r="K1037" s="21">
        <v>0</v>
      </c>
      <c r="L1037" s="21">
        <v>0</v>
      </c>
      <c r="M1037" s="21">
        <f>COUNTIF($A$2:$A$5481,A1037)</f>
        <v>1</v>
      </c>
      <c r="N1037" s="24">
        <f t="shared" si="16"/>
        <v>794.2901037</v>
      </c>
    </row>
    <row r="1038" spans="1:14">
      <c r="A1038" s="21" t="s">
        <v>1701</v>
      </c>
      <c r="B1038" s="21" t="s">
        <v>920</v>
      </c>
      <c r="C1038" s="21" t="s">
        <v>26</v>
      </c>
      <c r="D1038" s="21" t="s">
        <v>921</v>
      </c>
      <c r="E1038" s="21">
        <v>3</v>
      </c>
      <c r="F1038" s="22">
        <v>45630.7091203704</v>
      </c>
      <c r="G1038" s="22"/>
      <c r="H1038" s="23">
        <v>238</v>
      </c>
      <c r="I1038" s="23">
        <v>242.66667</v>
      </c>
      <c r="J1038" s="24">
        <v>728.01</v>
      </c>
      <c r="K1038" s="21">
        <v>0</v>
      </c>
      <c r="L1038" s="21">
        <v>0</v>
      </c>
      <c r="M1038" s="21">
        <f>COUNTIF($A$2:$A$5481,A1038)</f>
        <v>1</v>
      </c>
      <c r="N1038" s="24">
        <f t="shared" si="16"/>
        <v>728.0101038</v>
      </c>
    </row>
    <row r="1039" spans="1:14">
      <c r="A1039" s="21" t="s">
        <v>1702</v>
      </c>
      <c r="B1039" s="21" t="s">
        <v>920</v>
      </c>
      <c r="C1039" s="21" t="s">
        <v>26</v>
      </c>
      <c r="D1039" s="21" t="s">
        <v>931</v>
      </c>
      <c r="E1039" s="21">
        <v>2</v>
      </c>
      <c r="F1039" s="22">
        <v>45561.7252777778</v>
      </c>
      <c r="G1039" s="22">
        <v>45989.4408217593</v>
      </c>
      <c r="H1039" s="23">
        <v>326.4</v>
      </c>
      <c r="I1039" s="23">
        <v>81.6</v>
      </c>
      <c r="J1039" s="24">
        <v>163.2</v>
      </c>
      <c r="K1039" s="21">
        <v>0</v>
      </c>
      <c r="L1039" s="21">
        <v>0</v>
      </c>
      <c r="M1039" s="21">
        <f>COUNTIF($A$2:$A$5481,A1039)</f>
        <v>1</v>
      </c>
      <c r="N1039" s="24">
        <f t="shared" si="16"/>
        <v>163.2001039</v>
      </c>
    </row>
    <row r="1040" spans="1:14">
      <c r="A1040" s="21" t="s">
        <v>1703</v>
      </c>
      <c r="B1040" s="21" t="s">
        <v>920</v>
      </c>
      <c r="C1040" s="21" t="s">
        <v>26</v>
      </c>
      <c r="D1040" s="21" t="s">
        <v>921</v>
      </c>
      <c r="E1040" s="21">
        <v>0</v>
      </c>
      <c r="F1040" s="22">
        <v>45449.8077199074</v>
      </c>
      <c r="G1040" s="22">
        <v>45449.8188310185</v>
      </c>
      <c r="H1040" s="23">
        <v>100</v>
      </c>
      <c r="I1040" s="23">
        <v>50</v>
      </c>
      <c r="J1040" s="24">
        <v>0</v>
      </c>
      <c r="K1040" s="21">
        <v>0</v>
      </c>
      <c r="L1040" s="21">
        <v>0</v>
      </c>
      <c r="M1040" s="21">
        <f>COUNTIF($A$2:$A$5481,A1040)</f>
        <v>1</v>
      </c>
      <c r="N1040" s="24">
        <f t="shared" si="16"/>
        <v>0.000104</v>
      </c>
    </row>
    <row r="1041" spans="1:14">
      <c r="A1041" s="21" t="s">
        <v>321</v>
      </c>
      <c r="B1041" s="21" t="s">
        <v>920</v>
      </c>
      <c r="C1041" s="21" t="s">
        <v>26</v>
      </c>
      <c r="D1041" s="21" t="s">
        <v>921</v>
      </c>
      <c r="E1041" s="21">
        <v>0</v>
      </c>
      <c r="F1041" s="22">
        <v>46099.5189236111</v>
      </c>
      <c r="G1041" s="22">
        <v>46099.6595138889</v>
      </c>
      <c r="H1041" s="23">
        <v>320</v>
      </c>
      <c r="I1041" s="23">
        <v>320</v>
      </c>
      <c r="J1041" s="24">
        <v>0</v>
      </c>
      <c r="K1041" s="21">
        <v>0</v>
      </c>
      <c r="L1041" s="21">
        <v>0</v>
      </c>
      <c r="M1041" s="21">
        <f>COUNTIF($A$2:$A$5481,A1041)</f>
        <v>1</v>
      </c>
      <c r="N1041" s="24">
        <f t="shared" si="16"/>
        <v>0.0001041</v>
      </c>
    </row>
    <row r="1042" spans="1:14">
      <c r="A1042" s="21" t="s">
        <v>1704</v>
      </c>
      <c r="B1042" s="21" t="s">
        <v>920</v>
      </c>
      <c r="C1042" s="21" t="s">
        <v>35</v>
      </c>
      <c r="D1042" s="21" t="s">
        <v>921</v>
      </c>
      <c r="E1042" s="21">
        <v>1</v>
      </c>
      <c r="F1042" s="22">
        <v>45306.8280902778</v>
      </c>
      <c r="G1042" s="22"/>
      <c r="H1042" s="23">
        <v>236</v>
      </c>
      <c r="I1042" s="23">
        <v>236</v>
      </c>
      <c r="J1042" s="24">
        <v>236</v>
      </c>
      <c r="K1042" s="21">
        <v>0</v>
      </c>
      <c r="L1042" s="21">
        <v>10</v>
      </c>
      <c r="M1042" s="21">
        <f>COUNTIF($A$2:$A$5481,A1042)</f>
        <v>1</v>
      </c>
      <c r="N1042" s="24">
        <f t="shared" si="16"/>
        <v>236.0001042</v>
      </c>
    </row>
    <row r="1043" spans="1:14">
      <c r="A1043" s="21" t="s">
        <v>1705</v>
      </c>
      <c r="B1043" s="21" t="s">
        <v>948</v>
      </c>
      <c r="C1043" s="21" t="s">
        <v>26</v>
      </c>
      <c r="D1043" s="21" t="s">
        <v>921</v>
      </c>
      <c r="E1043" s="21">
        <v>2</v>
      </c>
      <c r="F1043" s="22">
        <v>46003.5861342593</v>
      </c>
      <c r="G1043" s="22"/>
      <c r="H1043" s="23">
        <v>88.24</v>
      </c>
      <c r="I1043" s="23">
        <v>44.12</v>
      </c>
      <c r="J1043" s="24">
        <v>88.24</v>
      </c>
      <c r="K1043" s="21">
        <v>0</v>
      </c>
      <c r="L1043" s="21">
        <v>0</v>
      </c>
      <c r="M1043" s="21">
        <f>COUNTIF($A$2:$A$5481,A1043)</f>
        <v>1</v>
      </c>
      <c r="N1043" s="24">
        <f t="shared" si="16"/>
        <v>88.2401043</v>
      </c>
    </row>
    <row r="1044" spans="1:14">
      <c r="A1044" s="21" t="s">
        <v>1706</v>
      </c>
      <c r="B1044" s="21" t="s">
        <v>920</v>
      </c>
      <c r="C1044" s="21" t="s">
        <v>26</v>
      </c>
      <c r="D1044" s="21" t="s">
        <v>921</v>
      </c>
      <c r="E1044" s="21">
        <v>0</v>
      </c>
      <c r="F1044" s="22">
        <v>45540.4839814815</v>
      </c>
      <c r="G1044" s="22">
        <v>45758.4556944444</v>
      </c>
      <c r="H1044" s="23">
        <v>72</v>
      </c>
      <c r="I1044" s="23">
        <v>36</v>
      </c>
      <c r="J1044" s="24">
        <v>0</v>
      </c>
      <c r="K1044" s="21">
        <v>0</v>
      </c>
      <c r="L1044" s="21">
        <v>0</v>
      </c>
      <c r="M1044" s="21">
        <f>COUNTIF($A$2:$A$5481,A1044)</f>
        <v>1</v>
      </c>
      <c r="N1044" s="24">
        <f t="shared" si="16"/>
        <v>0.0001044</v>
      </c>
    </row>
    <row r="1045" spans="1:14">
      <c r="A1045" s="21" t="s">
        <v>1707</v>
      </c>
      <c r="B1045" s="21" t="s">
        <v>920</v>
      </c>
      <c r="C1045" s="21" t="s">
        <v>26</v>
      </c>
      <c r="D1045" s="21" t="s">
        <v>931</v>
      </c>
      <c r="E1045" s="21">
        <v>2</v>
      </c>
      <c r="F1045" s="22">
        <v>45406.8133101852</v>
      </c>
      <c r="G1045" s="22"/>
      <c r="H1045" s="23">
        <v>138</v>
      </c>
      <c r="I1045" s="23">
        <v>69</v>
      </c>
      <c r="J1045" s="24">
        <v>138</v>
      </c>
      <c r="K1045" s="21">
        <v>0</v>
      </c>
      <c r="L1045" s="21">
        <v>0</v>
      </c>
      <c r="M1045" s="21">
        <f>COUNTIF($A$2:$A$5481,A1045)</f>
        <v>1</v>
      </c>
      <c r="N1045" s="24">
        <f t="shared" si="16"/>
        <v>138.0001045</v>
      </c>
    </row>
    <row r="1046" spans="1:14">
      <c r="A1046" s="21" t="s">
        <v>1708</v>
      </c>
      <c r="B1046" s="21" t="s">
        <v>920</v>
      </c>
      <c r="C1046" s="21" t="s">
        <v>26</v>
      </c>
      <c r="D1046" s="21" t="s">
        <v>921</v>
      </c>
      <c r="E1046" s="21">
        <v>0</v>
      </c>
      <c r="F1046" s="22">
        <v>45698.8294560185</v>
      </c>
      <c r="G1046" s="22">
        <v>45698.8366782407</v>
      </c>
      <c r="H1046" s="23">
        <v>269</v>
      </c>
      <c r="I1046" s="23">
        <v>269</v>
      </c>
      <c r="J1046" s="24">
        <v>0</v>
      </c>
      <c r="K1046" s="21">
        <v>0</v>
      </c>
      <c r="L1046" s="21">
        <v>0</v>
      </c>
      <c r="M1046" s="21">
        <f>COUNTIF($A$2:$A$5481,A1046)</f>
        <v>1</v>
      </c>
      <c r="N1046" s="24">
        <f t="shared" si="16"/>
        <v>0.0001046</v>
      </c>
    </row>
    <row r="1047" spans="1:14">
      <c r="A1047" s="21" t="s">
        <v>1709</v>
      </c>
      <c r="B1047" s="21" t="s">
        <v>920</v>
      </c>
      <c r="C1047" s="21" t="s">
        <v>26</v>
      </c>
      <c r="D1047" s="21" t="s">
        <v>931</v>
      </c>
      <c r="E1047" s="21">
        <v>0</v>
      </c>
      <c r="F1047" s="22">
        <v>45715.8104166667</v>
      </c>
      <c r="G1047" s="22">
        <v>45733.3650810185</v>
      </c>
      <c r="H1047" s="23">
        <v>33.78</v>
      </c>
      <c r="I1047" s="23">
        <v>33.78</v>
      </c>
      <c r="J1047" s="24">
        <v>0</v>
      </c>
      <c r="K1047" s="21">
        <v>0</v>
      </c>
      <c r="L1047" s="21">
        <v>0</v>
      </c>
      <c r="M1047" s="21">
        <f>COUNTIF($A$2:$A$5481,A1047)</f>
        <v>1</v>
      </c>
      <c r="N1047" s="24">
        <f t="shared" si="16"/>
        <v>0.0001047</v>
      </c>
    </row>
    <row r="1048" spans="1:14">
      <c r="A1048" s="21" t="s">
        <v>1710</v>
      </c>
      <c r="B1048" s="21" t="s">
        <v>920</v>
      </c>
      <c r="C1048" s="21" t="s">
        <v>35</v>
      </c>
      <c r="D1048" s="21" t="s">
        <v>921</v>
      </c>
      <c r="E1048" s="21">
        <v>1</v>
      </c>
      <c r="F1048" s="22">
        <v>45581.5442824074</v>
      </c>
      <c r="G1048" s="22">
        <v>45586.8534259259</v>
      </c>
      <c r="H1048" s="23">
        <v>230</v>
      </c>
      <c r="I1048" s="23">
        <v>182.5</v>
      </c>
      <c r="J1048" s="24">
        <v>182.5</v>
      </c>
      <c r="K1048" s="21">
        <v>0</v>
      </c>
      <c r="L1048" s="21">
        <v>0</v>
      </c>
      <c r="M1048" s="21">
        <f>COUNTIF($A$2:$A$5481,A1048)</f>
        <v>1</v>
      </c>
      <c r="N1048" s="24">
        <f t="shared" si="16"/>
        <v>182.5001048</v>
      </c>
    </row>
    <row r="1049" spans="1:14">
      <c r="A1049" s="21" t="s">
        <v>1711</v>
      </c>
      <c r="B1049" s="21" t="s">
        <v>920</v>
      </c>
      <c r="C1049" s="21" t="s">
        <v>35</v>
      </c>
      <c r="D1049" s="21" t="s">
        <v>921</v>
      </c>
      <c r="E1049" s="21">
        <v>1</v>
      </c>
      <c r="F1049" s="22">
        <v>46232.6402777778</v>
      </c>
      <c r="G1049" s="22"/>
      <c r="H1049" s="23">
        <v>265</v>
      </c>
      <c r="I1049" s="23">
        <v>265</v>
      </c>
      <c r="J1049" s="24">
        <v>265</v>
      </c>
      <c r="K1049" s="21">
        <v>0</v>
      </c>
      <c r="L1049" s="21">
        <v>0</v>
      </c>
      <c r="M1049" s="21">
        <f>COUNTIF($A$2:$A$5481,A1049)</f>
        <v>1</v>
      </c>
      <c r="N1049" s="24">
        <f t="shared" si="16"/>
        <v>265.0001049</v>
      </c>
    </row>
    <row r="1050" spans="1:14">
      <c r="A1050" s="21" t="s">
        <v>1712</v>
      </c>
      <c r="B1050" s="21" t="s">
        <v>920</v>
      </c>
      <c r="C1050" s="21" t="s">
        <v>35</v>
      </c>
      <c r="D1050" s="21" t="s">
        <v>921</v>
      </c>
      <c r="E1050" s="21">
        <v>0</v>
      </c>
      <c r="F1050" s="22">
        <v>45390.6048611111</v>
      </c>
      <c r="G1050" s="22">
        <v>45392.6680555556</v>
      </c>
      <c r="H1050" s="23">
        <v>109.73</v>
      </c>
      <c r="I1050" s="23">
        <v>109.73</v>
      </c>
      <c r="J1050" s="24">
        <v>0</v>
      </c>
      <c r="K1050" s="21">
        <v>0</v>
      </c>
      <c r="L1050" s="21">
        <v>0</v>
      </c>
      <c r="M1050" s="21">
        <f>COUNTIF($A$2:$A$5481,A1050)</f>
        <v>1</v>
      </c>
      <c r="N1050" s="24">
        <f t="shared" si="16"/>
        <v>0.000105</v>
      </c>
    </row>
    <row r="1051" spans="1:14">
      <c r="A1051" s="21" t="s">
        <v>1713</v>
      </c>
      <c r="B1051" s="21" t="s">
        <v>26</v>
      </c>
      <c r="C1051" s="21" t="s">
        <v>26</v>
      </c>
      <c r="D1051" s="21" t="s">
        <v>921</v>
      </c>
      <c r="E1051" s="21">
        <v>1</v>
      </c>
      <c r="F1051" s="22">
        <v>45664.4642824074</v>
      </c>
      <c r="G1051" s="22">
        <v>45666.4853819445</v>
      </c>
      <c r="H1051" s="23">
        <v>158</v>
      </c>
      <c r="I1051" s="23">
        <v>0</v>
      </c>
      <c r="J1051" s="24">
        <v>0</v>
      </c>
      <c r="K1051" s="21">
        <v>0</v>
      </c>
      <c r="L1051" s="21">
        <v>0</v>
      </c>
      <c r="M1051" s="21">
        <f>COUNTIF($A$2:$A$5481,A1051)</f>
        <v>1</v>
      </c>
      <c r="N1051" s="24">
        <f t="shared" si="16"/>
        <v>0.0001051</v>
      </c>
    </row>
    <row r="1052" spans="1:14">
      <c r="A1052" s="21" t="s">
        <v>1714</v>
      </c>
      <c r="B1052" s="21" t="s">
        <v>920</v>
      </c>
      <c r="C1052" s="21" t="s">
        <v>26</v>
      </c>
      <c r="D1052" s="21" t="s">
        <v>921</v>
      </c>
      <c r="E1052" s="21">
        <v>0</v>
      </c>
      <c r="F1052" s="22">
        <v>45715.8104166667</v>
      </c>
      <c r="G1052" s="22">
        <v>45733.365150463</v>
      </c>
      <c r="H1052" s="23">
        <v>34.76</v>
      </c>
      <c r="I1052" s="23">
        <v>34.76</v>
      </c>
      <c r="J1052" s="24">
        <v>0</v>
      </c>
      <c r="K1052" s="21">
        <v>0</v>
      </c>
      <c r="L1052" s="21">
        <v>0</v>
      </c>
      <c r="M1052" s="21">
        <f>COUNTIF($A$2:$A$5481,A1052)</f>
        <v>1</v>
      </c>
      <c r="N1052" s="24">
        <f t="shared" si="16"/>
        <v>0.0001052</v>
      </c>
    </row>
    <row r="1053" spans="1:14">
      <c r="A1053" s="21" t="s">
        <v>1715</v>
      </c>
      <c r="B1053" s="21" t="s">
        <v>920</v>
      </c>
      <c r="C1053" s="21" t="s">
        <v>35</v>
      </c>
      <c r="D1053" s="21" t="s">
        <v>921</v>
      </c>
      <c r="E1053" s="21">
        <v>1</v>
      </c>
      <c r="F1053" s="22">
        <v>45796.3651388889</v>
      </c>
      <c r="G1053" s="22"/>
      <c r="H1053" s="23">
        <v>28.45</v>
      </c>
      <c r="I1053" s="23">
        <v>28.45</v>
      </c>
      <c r="J1053" s="24">
        <v>28.45</v>
      </c>
      <c r="K1053" s="21">
        <v>0</v>
      </c>
      <c r="L1053" s="21">
        <v>0</v>
      </c>
      <c r="M1053" s="21">
        <f>COUNTIF($A$2:$A$5481,A1053)</f>
        <v>1</v>
      </c>
      <c r="N1053" s="24">
        <f t="shared" si="16"/>
        <v>28.4501053</v>
      </c>
    </row>
    <row r="1054" spans="1:14">
      <c r="A1054" s="21" t="s">
        <v>1716</v>
      </c>
      <c r="B1054" s="21" t="s">
        <v>920</v>
      </c>
      <c r="C1054" s="21" t="s">
        <v>26</v>
      </c>
      <c r="D1054" s="21" t="s">
        <v>921</v>
      </c>
      <c r="E1054" s="21">
        <v>1</v>
      </c>
      <c r="F1054" s="22">
        <v>46013.6249884259</v>
      </c>
      <c r="G1054" s="22"/>
      <c r="H1054" s="23">
        <v>11</v>
      </c>
      <c r="I1054" s="23">
        <v>11</v>
      </c>
      <c r="J1054" s="24">
        <v>11</v>
      </c>
      <c r="K1054" s="21">
        <v>0</v>
      </c>
      <c r="L1054" s="21">
        <v>0</v>
      </c>
      <c r="M1054" s="21">
        <f>COUNTIF($A$2:$A$5481,A1054)</f>
        <v>1</v>
      </c>
      <c r="N1054" s="24">
        <f t="shared" si="16"/>
        <v>11.0001054</v>
      </c>
    </row>
    <row r="1055" spans="1:14">
      <c r="A1055" s="21" t="s">
        <v>1717</v>
      </c>
      <c r="B1055" s="21" t="s">
        <v>26</v>
      </c>
      <c r="C1055" s="21" t="s">
        <v>26</v>
      </c>
      <c r="D1055" s="21" t="s">
        <v>921</v>
      </c>
      <c r="E1055" s="21">
        <v>1</v>
      </c>
      <c r="F1055" s="22">
        <v>45629.452974537</v>
      </c>
      <c r="G1055" s="22"/>
      <c r="H1055" s="23">
        <v>45</v>
      </c>
      <c r="I1055" s="23">
        <v>45</v>
      </c>
      <c r="J1055" s="24">
        <v>45</v>
      </c>
      <c r="K1055" s="21">
        <v>0</v>
      </c>
      <c r="L1055" s="21">
        <v>0</v>
      </c>
      <c r="M1055" s="21">
        <f>COUNTIF($A$2:$A$5481,A1055)</f>
        <v>1</v>
      </c>
      <c r="N1055" s="24">
        <f t="shared" si="16"/>
        <v>45.0001055</v>
      </c>
    </row>
    <row r="1056" spans="1:14">
      <c r="A1056" s="21" t="s">
        <v>1718</v>
      </c>
      <c r="B1056" s="21" t="s">
        <v>920</v>
      </c>
      <c r="C1056" s="21" t="s">
        <v>35</v>
      </c>
      <c r="D1056" s="21" t="s">
        <v>921</v>
      </c>
      <c r="E1056" s="21">
        <v>1</v>
      </c>
      <c r="F1056" s="22">
        <v>45581.5442824074</v>
      </c>
      <c r="G1056" s="22">
        <v>45586.8534027778</v>
      </c>
      <c r="H1056" s="23">
        <v>350</v>
      </c>
      <c r="I1056" s="23">
        <v>435</v>
      </c>
      <c r="J1056" s="24">
        <v>435</v>
      </c>
      <c r="K1056" s="21">
        <v>0</v>
      </c>
      <c r="L1056" s="21">
        <v>0</v>
      </c>
      <c r="M1056" s="21">
        <f>COUNTIF($A$2:$A$5481,A1056)</f>
        <v>1</v>
      </c>
      <c r="N1056" s="24">
        <f t="shared" si="16"/>
        <v>435.0001056</v>
      </c>
    </row>
    <row r="1057" spans="1:14">
      <c r="A1057" s="21" t="s">
        <v>1719</v>
      </c>
      <c r="B1057" s="21" t="s">
        <v>920</v>
      </c>
      <c r="C1057" s="21" t="s">
        <v>35</v>
      </c>
      <c r="D1057" s="21" t="s">
        <v>921</v>
      </c>
      <c r="E1057" s="21">
        <v>2</v>
      </c>
      <c r="F1057" s="22">
        <v>45608.3634259259</v>
      </c>
      <c r="G1057" s="22"/>
      <c r="H1057" s="23">
        <v>30</v>
      </c>
      <c r="I1057" s="23">
        <v>32.5</v>
      </c>
      <c r="J1057" s="24">
        <v>65</v>
      </c>
      <c r="K1057" s="21">
        <v>0</v>
      </c>
      <c r="L1057" s="21">
        <v>0</v>
      </c>
      <c r="M1057" s="21">
        <f>COUNTIF($A$2:$A$5481,A1057)</f>
        <v>1</v>
      </c>
      <c r="N1057" s="24">
        <f t="shared" si="16"/>
        <v>65.0001057</v>
      </c>
    </row>
    <row r="1058" spans="1:14">
      <c r="A1058" s="21" t="s">
        <v>1720</v>
      </c>
      <c r="B1058" s="21" t="s">
        <v>929</v>
      </c>
      <c r="C1058" s="21" t="s">
        <v>35</v>
      </c>
      <c r="D1058" s="21" t="s">
        <v>921</v>
      </c>
      <c r="E1058" s="21">
        <v>2</v>
      </c>
      <c r="F1058" s="22">
        <v>45329.4507175926</v>
      </c>
      <c r="G1058" s="22">
        <v>45625.440462963</v>
      </c>
      <c r="H1058" s="23">
        <v>1148.7</v>
      </c>
      <c r="I1058" s="23">
        <v>382.9</v>
      </c>
      <c r="J1058" s="24">
        <v>765.8</v>
      </c>
      <c r="K1058" s="21">
        <v>0</v>
      </c>
      <c r="L1058" s="21">
        <v>0</v>
      </c>
      <c r="M1058" s="21">
        <f>COUNTIF($A$2:$A$5481,A1058)</f>
        <v>2</v>
      </c>
      <c r="N1058" s="24">
        <f t="shared" si="16"/>
        <v>765.8001058</v>
      </c>
    </row>
    <row r="1059" spans="1:14">
      <c r="A1059" s="21" t="s">
        <v>1720</v>
      </c>
      <c r="B1059" s="21" t="s">
        <v>929</v>
      </c>
      <c r="C1059" s="21" t="s">
        <v>414</v>
      </c>
      <c r="D1059" s="21" t="s">
        <v>921</v>
      </c>
      <c r="E1059" s="21">
        <v>3</v>
      </c>
      <c r="F1059" s="22">
        <v>45803.4424305556</v>
      </c>
      <c r="G1059" s="22">
        <v>45819.4616435185</v>
      </c>
      <c r="H1059" s="23">
        <v>1369.86</v>
      </c>
      <c r="I1059" s="23">
        <v>555.48857</v>
      </c>
      <c r="J1059" s="24">
        <v>1666.47</v>
      </c>
      <c r="K1059" s="21">
        <v>0</v>
      </c>
      <c r="L1059" s="21">
        <v>0</v>
      </c>
      <c r="M1059" s="21">
        <f>COUNTIF($A$2:$A$5481,A1059)</f>
        <v>2</v>
      </c>
      <c r="N1059" s="24">
        <f t="shared" si="16"/>
        <v>1666.4701059</v>
      </c>
    </row>
    <row r="1060" spans="1:14">
      <c r="A1060" s="21" t="s">
        <v>1721</v>
      </c>
      <c r="B1060" s="21" t="s">
        <v>920</v>
      </c>
      <c r="C1060" s="21" t="s">
        <v>26</v>
      </c>
      <c r="D1060" s="21" t="s">
        <v>921</v>
      </c>
      <c r="E1060" s="21">
        <v>0</v>
      </c>
      <c r="F1060" s="22">
        <v>45635.4311458333</v>
      </c>
      <c r="G1060" s="22">
        <v>45699.4367592593</v>
      </c>
      <c r="H1060" s="23">
        <v>394</v>
      </c>
      <c r="I1060" s="23">
        <v>197</v>
      </c>
      <c r="J1060" s="24">
        <v>0</v>
      </c>
      <c r="K1060" s="21">
        <v>0</v>
      </c>
      <c r="L1060" s="21">
        <v>0</v>
      </c>
      <c r="M1060" s="21">
        <f>COUNTIF($A$2:$A$5481,A1060)</f>
        <v>1</v>
      </c>
      <c r="N1060" s="24">
        <f t="shared" si="16"/>
        <v>0.000106</v>
      </c>
    </row>
    <row r="1061" spans="1:14">
      <c r="A1061" s="21" t="s">
        <v>1722</v>
      </c>
      <c r="B1061" s="21" t="s">
        <v>26</v>
      </c>
      <c r="C1061" s="21" t="s">
        <v>26</v>
      </c>
      <c r="D1061" s="21" t="s">
        <v>921</v>
      </c>
      <c r="E1061" s="21">
        <v>3</v>
      </c>
      <c r="F1061" s="22">
        <v>46006.6010300926</v>
      </c>
      <c r="G1061" s="22"/>
      <c r="H1061" s="23">
        <v>33.96</v>
      </c>
      <c r="I1061" s="23">
        <v>41.9366666667</v>
      </c>
      <c r="J1061" s="24">
        <v>125.82</v>
      </c>
      <c r="K1061" s="21">
        <v>0</v>
      </c>
      <c r="L1061" s="21">
        <v>0</v>
      </c>
      <c r="M1061" s="21">
        <f>COUNTIF($A$2:$A$5481,A1061)</f>
        <v>1</v>
      </c>
      <c r="N1061" s="24">
        <f t="shared" si="16"/>
        <v>125.8201061</v>
      </c>
    </row>
    <row r="1062" spans="1:14">
      <c r="A1062" s="21" t="s">
        <v>1723</v>
      </c>
      <c r="B1062" s="21" t="s">
        <v>1115</v>
      </c>
      <c r="C1062" s="21" t="s">
        <v>26</v>
      </c>
      <c r="D1062" s="21" t="s">
        <v>921</v>
      </c>
      <c r="E1062" s="21">
        <v>13</v>
      </c>
      <c r="F1062" s="22">
        <v>45385.58125</v>
      </c>
      <c r="G1062" s="22">
        <v>45842.4480555556</v>
      </c>
      <c r="H1062" s="23">
        <v>54.5</v>
      </c>
      <c r="I1062" s="23">
        <v>1.09</v>
      </c>
      <c r="J1062" s="24">
        <v>14.17</v>
      </c>
      <c r="K1062" s="21">
        <v>0</v>
      </c>
      <c r="L1062" s="21">
        <v>0</v>
      </c>
      <c r="M1062" s="21">
        <f>COUNTIF($A$2:$A$5481,A1062)</f>
        <v>1</v>
      </c>
      <c r="N1062" s="24">
        <f t="shared" si="16"/>
        <v>14.1701062</v>
      </c>
    </row>
    <row r="1063" spans="1:14">
      <c r="A1063" s="21" t="s">
        <v>459</v>
      </c>
      <c r="B1063" s="21" t="s">
        <v>929</v>
      </c>
      <c r="C1063" s="21" t="s">
        <v>414</v>
      </c>
      <c r="D1063" s="21" t="s">
        <v>921</v>
      </c>
      <c r="E1063" s="21">
        <v>1</v>
      </c>
      <c r="F1063" s="22">
        <v>45336.6534722222</v>
      </c>
      <c r="G1063" s="22"/>
      <c r="H1063" s="23">
        <v>280</v>
      </c>
      <c r="I1063" s="23">
        <v>280</v>
      </c>
      <c r="J1063" s="24">
        <v>280</v>
      </c>
      <c r="K1063" s="21">
        <v>0</v>
      </c>
      <c r="L1063" s="21">
        <v>0</v>
      </c>
      <c r="M1063" s="21">
        <f>COUNTIF($A$2:$A$5481,A1063)</f>
        <v>3</v>
      </c>
      <c r="N1063" s="24">
        <f t="shared" si="16"/>
        <v>280.0001063</v>
      </c>
    </row>
    <row r="1064" spans="1:14">
      <c r="A1064" s="21" t="s">
        <v>459</v>
      </c>
      <c r="B1064" s="21" t="s">
        <v>929</v>
      </c>
      <c r="C1064" s="21" t="s">
        <v>182</v>
      </c>
      <c r="D1064" s="21" t="s">
        <v>921</v>
      </c>
      <c r="E1064" s="21">
        <v>2</v>
      </c>
      <c r="F1064" s="22">
        <v>45422.3604166667</v>
      </c>
      <c r="G1064" s="22"/>
      <c r="H1064" s="23">
        <v>300</v>
      </c>
      <c r="I1064" s="23">
        <v>150</v>
      </c>
      <c r="J1064" s="24">
        <v>300</v>
      </c>
      <c r="K1064" s="21">
        <v>0</v>
      </c>
      <c r="L1064" s="21">
        <v>0</v>
      </c>
      <c r="M1064" s="21">
        <f>COUNTIF($A$2:$A$5481,A1064)</f>
        <v>3</v>
      </c>
      <c r="N1064" s="24">
        <f t="shared" si="16"/>
        <v>300.0001064</v>
      </c>
    </row>
    <row r="1065" spans="1:14">
      <c r="A1065" s="21" t="s">
        <v>459</v>
      </c>
      <c r="B1065" s="21" t="s">
        <v>929</v>
      </c>
      <c r="C1065" s="21" t="s">
        <v>26</v>
      </c>
      <c r="D1065" s="21" t="s">
        <v>921</v>
      </c>
      <c r="E1065" s="21">
        <v>2</v>
      </c>
      <c r="F1065" s="22">
        <v>45643.4111226852</v>
      </c>
      <c r="G1065" s="22">
        <v>46210.7805555556</v>
      </c>
      <c r="H1065" s="23">
        <v>300</v>
      </c>
      <c r="I1065" s="23">
        <v>150</v>
      </c>
      <c r="J1065" s="24">
        <v>300</v>
      </c>
      <c r="K1065" s="21">
        <v>0</v>
      </c>
      <c r="L1065" s="21">
        <v>0</v>
      </c>
      <c r="M1065" s="21">
        <f>COUNTIF($A$2:$A$5481,A1065)</f>
        <v>3</v>
      </c>
      <c r="N1065" s="24">
        <f t="shared" si="16"/>
        <v>300.0001065</v>
      </c>
    </row>
    <row r="1066" spans="1:14">
      <c r="A1066" s="21" t="s">
        <v>250</v>
      </c>
      <c r="B1066" s="21" t="s">
        <v>26</v>
      </c>
      <c r="C1066" s="21" t="s">
        <v>35</v>
      </c>
      <c r="D1066" s="21" t="s">
        <v>921</v>
      </c>
      <c r="E1066" s="21">
        <v>1</v>
      </c>
      <c r="F1066" s="22">
        <v>45974.7325462963</v>
      </c>
      <c r="G1066" s="22">
        <v>46065.4533217593</v>
      </c>
      <c r="H1066" s="23">
        <v>740</v>
      </c>
      <c r="I1066" s="23">
        <v>370</v>
      </c>
      <c r="J1066" s="24">
        <v>370</v>
      </c>
      <c r="K1066" s="21">
        <v>0</v>
      </c>
      <c r="L1066" s="21">
        <v>0</v>
      </c>
      <c r="M1066" s="21">
        <f>COUNTIF($A$2:$A$5481,A1066)</f>
        <v>1</v>
      </c>
      <c r="N1066" s="24">
        <f t="shared" si="16"/>
        <v>370.0001066</v>
      </c>
    </row>
    <row r="1067" spans="1:14">
      <c r="A1067" s="21" t="s">
        <v>1724</v>
      </c>
      <c r="B1067" s="21" t="s">
        <v>949</v>
      </c>
      <c r="C1067" s="21" t="s">
        <v>26</v>
      </c>
      <c r="D1067" s="21" t="s">
        <v>921</v>
      </c>
      <c r="E1067" s="21">
        <v>1</v>
      </c>
      <c r="F1067" s="22">
        <v>45684.8583333333</v>
      </c>
      <c r="G1067" s="22"/>
      <c r="H1067" s="23">
        <v>200</v>
      </c>
      <c r="I1067" s="23">
        <v>200</v>
      </c>
      <c r="J1067" s="24">
        <v>200</v>
      </c>
      <c r="K1067" s="21">
        <v>0</v>
      </c>
      <c r="L1067" s="21">
        <v>0</v>
      </c>
      <c r="M1067" s="21">
        <f>COUNTIF($A$2:$A$5481,A1067)</f>
        <v>1</v>
      </c>
      <c r="N1067" s="24">
        <f t="shared" si="16"/>
        <v>200.0001067</v>
      </c>
    </row>
    <row r="1068" spans="1:14">
      <c r="A1068" s="21" t="s">
        <v>1725</v>
      </c>
      <c r="B1068" s="21" t="s">
        <v>929</v>
      </c>
      <c r="C1068" s="21" t="s">
        <v>26</v>
      </c>
      <c r="D1068" s="21" t="s">
        <v>921</v>
      </c>
      <c r="E1068" s="21">
        <v>2</v>
      </c>
      <c r="F1068" s="22">
        <v>46163.6471875</v>
      </c>
      <c r="G1068" s="22"/>
      <c r="H1068" s="23">
        <v>105.64</v>
      </c>
      <c r="I1068" s="23">
        <v>52.82</v>
      </c>
      <c r="J1068" s="24">
        <v>105.64</v>
      </c>
      <c r="K1068" s="21">
        <v>0</v>
      </c>
      <c r="L1068" s="21">
        <v>0</v>
      </c>
      <c r="M1068" s="21">
        <f>COUNTIF($A$2:$A$5481,A1068)</f>
        <v>1</v>
      </c>
      <c r="N1068" s="24">
        <f t="shared" si="16"/>
        <v>105.6401068</v>
      </c>
    </row>
    <row r="1069" spans="1:14">
      <c r="A1069" s="21" t="s">
        <v>1726</v>
      </c>
      <c r="B1069" s="21" t="s">
        <v>929</v>
      </c>
      <c r="C1069" s="21" t="s">
        <v>26</v>
      </c>
      <c r="D1069" s="21" t="s">
        <v>921</v>
      </c>
      <c r="E1069" s="21">
        <v>13</v>
      </c>
      <c r="F1069" s="22">
        <v>46163.6471875</v>
      </c>
      <c r="G1069" s="22"/>
      <c r="H1069" s="23">
        <v>133.16</v>
      </c>
      <c r="I1069" s="23">
        <v>33.2907692308</v>
      </c>
      <c r="J1069" s="24">
        <v>432.77</v>
      </c>
      <c r="K1069" s="21">
        <v>0</v>
      </c>
      <c r="L1069" s="21">
        <v>0</v>
      </c>
      <c r="M1069" s="21">
        <f>COUNTIF($A$2:$A$5481,A1069)</f>
        <v>1</v>
      </c>
      <c r="N1069" s="24">
        <f t="shared" si="16"/>
        <v>432.7701069</v>
      </c>
    </row>
    <row r="1070" spans="1:14">
      <c r="A1070" s="21" t="s">
        <v>1727</v>
      </c>
      <c r="B1070" s="21" t="s">
        <v>1115</v>
      </c>
      <c r="C1070" s="21" t="s">
        <v>51</v>
      </c>
      <c r="D1070" s="21" t="s">
        <v>921</v>
      </c>
      <c r="E1070" s="21">
        <v>4</v>
      </c>
      <c r="F1070" s="22">
        <v>45474.5506944444</v>
      </c>
      <c r="G1070" s="22"/>
      <c r="H1070" s="23">
        <v>448</v>
      </c>
      <c r="I1070" s="23">
        <v>112</v>
      </c>
      <c r="J1070" s="24">
        <v>448</v>
      </c>
      <c r="K1070" s="21">
        <v>0</v>
      </c>
      <c r="L1070" s="21">
        <v>0</v>
      </c>
      <c r="M1070" s="21">
        <f>COUNTIF($A$2:$A$5481,A1070)</f>
        <v>3</v>
      </c>
      <c r="N1070" s="24">
        <f t="shared" si="16"/>
        <v>448.000107</v>
      </c>
    </row>
    <row r="1071" spans="1:14">
      <c r="A1071" s="21" t="s">
        <v>1727</v>
      </c>
      <c r="B1071" s="21" t="s">
        <v>1115</v>
      </c>
      <c r="C1071" s="21" t="s">
        <v>390</v>
      </c>
      <c r="D1071" s="21" t="s">
        <v>921</v>
      </c>
      <c r="E1071" s="21">
        <v>8</v>
      </c>
      <c r="F1071" s="22">
        <v>45726.4181018519</v>
      </c>
      <c r="G1071" s="22"/>
      <c r="H1071" s="23">
        <v>456</v>
      </c>
      <c r="I1071" s="23">
        <v>114</v>
      </c>
      <c r="J1071" s="24">
        <v>912</v>
      </c>
      <c r="K1071" s="21">
        <v>0</v>
      </c>
      <c r="L1071" s="21">
        <v>0</v>
      </c>
      <c r="M1071" s="21">
        <f>COUNTIF($A$2:$A$5481,A1071)</f>
        <v>3</v>
      </c>
      <c r="N1071" s="24">
        <f t="shared" si="16"/>
        <v>912.0001071</v>
      </c>
    </row>
    <row r="1072" spans="1:14">
      <c r="A1072" s="21" t="s">
        <v>1727</v>
      </c>
      <c r="B1072" s="21" t="s">
        <v>1115</v>
      </c>
      <c r="C1072" s="21" t="s">
        <v>414</v>
      </c>
      <c r="D1072" s="21" t="s">
        <v>921</v>
      </c>
      <c r="E1072" s="21">
        <v>2</v>
      </c>
      <c r="F1072" s="22">
        <v>46009.6783912037</v>
      </c>
      <c r="G1072" s="22"/>
      <c r="H1072" s="23">
        <v>238</v>
      </c>
      <c r="I1072" s="23">
        <v>119</v>
      </c>
      <c r="J1072" s="24">
        <v>238</v>
      </c>
      <c r="K1072" s="21">
        <v>0</v>
      </c>
      <c r="L1072" s="21">
        <v>0</v>
      </c>
      <c r="M1072" s="21">
        <f>COUNTIF($A$2:$A$5481,A1072)</f>
        <v>3</v>
      </c>
      <c r="N1072" s="24">
        <f t="shared" si="16"/>
        <v>238.0001072</v>
      </c>
    </row>
    <row r="1073" spans="1:14">
      <c r="A1073" s="21" t="s">
        <v>420</v>
      </c>
      <c r="B1073" s="21" t="s">
        <v>920</v>
      </c>
      <c r="C1073" s="21" t="s">
        <v>26</v>
      </c>
      <c r="D1073" s="21" t="s">
        <v>921</v>
      </c>
      <c r="E1073" s="21">
        <v>0</v>
      </c>
      <c r="F1073" s="22">
        <v>46195.761087963</v>
      </c>
      <c r="G1073" s="22">
        <v>46196.6847222222</v>
      </c>
      <c r="H1073" s="23">
        <v>150</v>
      </c>
      <c r="I1073" s="23">
        <v>150</v>
      </c>
      <c r="J1073" s="24">
        <v>0</v>
      </c>
      <c r="K1073" s="21">
        <v>0</v>
      </c>
      <c r="L1073" s="21">
        <v>0</v>
      </c>
      <c r="M1073" s="21">
        <f>COUNTIF($A$2:$A$5481,A1073)</f>
        <v>1</v>
      </c>
      <c r="N1073" s="24">
        <f t="shared" si="16"/>
        <v>0.0001073</v>
      </c>
    </row>
    <row r="1074" spans="1:14">
      <c r="A1074" s="21" t="s">
        <v>1728</v>
      </c>
      <c r="B1074" s="21" t="s">
        <v>920</v>
      </c>
      <c r="C1074" s="21" t="s">
        <v>26</v>
      </c>
      <c r="D1074" s="21" t="s">
        <v>921</v>
      </c>
      <c r="E1074" s="21">
        <v>0</v>
      </c>
      <c r="F1074" s="22">
        <v>45698.8316666667</v>
      </c>
      <c r="G1074" s="22">
        <v>45698.8385300926</v>
      </c>
      <c r="H1074" s="23">
        <v>188</v>
      </c>
      <c r="I1074" s="23">
        <v>188</v>
      </c>
      <c r="J1074" s="24">
        <v>0</v>
      </c>
      <c r="K1074" s="21">
        <v>0</v>
      </c>
      <c r="L1074" s="21">
        <v>0</v>
      </c>
      <c r="M1074" s="21">
        <f>COUNTIF($A$2:$A$5481,A1074)</f>
        <v>1</v>
      </c>
      <c r="N1074" s="24">
        <f t="shared" si="16"/>
        <v>0.0001074</v>
      </c>
    </row>
    <row r="1075" spans="1:14">
      <c r="A1075" s="21" t="s">
        <v>29</v>
      </c>
      <c r="B1075" s="21" t="s">
        <v>920</v>
      </c>
      <c r="C1075" s="21" t="s">
        <v>35</v>
      </c>
      <c r="D1075" s="21" t="s">
        <v>921</v>
      </c>
      <c r="E1075" s="21">
        <v>0</v>
      </c>
      <c r="F1075" s="22">
        <v>45278.8056365741</v>
      </c>
      <c r="G1075" s="22">
        <v>45350.4445717593</v>
      </c>
      <c r="H1075" s="23">
        <v>718</v>
      </c>
      <c r="I1075" s="23">
        <v>359</v>
      </c>
      <c r="J1075" s="24">
        <v>0</v>
      </c>
      <c r="K1075" s="21">
        <v>1</v>
      </c>
      <c r="L1075" s="21">
        <v>4</v>
      </c>
      <c r="M1075" s="21">
        <f>COUNTIF($A$2:$A$5481,A1075)</f>
        <v>2</v>
      </c>
      <c r="N1075" s="24">
        <f t="shared" si="16"/>
        <v>0.0001075</v>
      </c>
    </row>
    <row r="1076" spans="1:14">
      <c r="A1076" s="21" t="s">
        <v>29</v>
      </c>
      <c r="B1076" s="21" t="s">
        <v>920</v>
      </c>
      <c r="C1076" s="21" t="s">
        <v>26</v>
      </c>
      <c r="D1076" s="21" t="s">
        <v>921</v>
      </c>
      <c r="E1076" s="21">
        <v>4</v>
      </c>
      <c r="F1076" s="22">
        <v>46275.6107407407</v>
      </c>
      <c r="G1076" s="22">
        <v>46268.66875</v>
      </c>
      <c r="H1076" s="23">
        <v>330</v>
      </c>
      <c r="I1076" s="23">
        <v>340.2841428572</v>
      </c>
      <c r="J1076" s="24">
        <v>1361.12</v>
      </c>
      <c r="K1076" s="21">
        <v>1</v>
      </c>
      <c r="L1076" s="21">
        <v>4</v>
      </c>
      <c r="M1076" s="21">
        <f>COUNTIF($A$2:$A$5481,A1076)</f>
        <v>2</v>
      </c>
      <c r="N1076" s="24">
        <f t="shared" si="16"/>
        <v>1361.1201076</v>
      </c>
    </row>
    <row r="1077" spans="1:14">
      <c r="A1077" s="21" t="s">
        <v>901</v>
      </c>
      <c r="B1077" s="21" t="s">
        <v>920</v>
      </c>
      <c r="C1077" s="21" t="s">
        <v>26</v>
      </c>
      <c r="D1077" s="21" t="s">
        <v>931</v>
      </c>
      <c r="E1077" s="21">
        <v>1</v>
      </c>
      <c r="F1077" s="22">
        <v>45946.559537037</v>
      </c>
      <c r="G1077" s="22">
        <v>46282.5931712963</v>
      </c>
      <c r="H1077" s="23">
        <v>239</v>
      </c>
      <c r="I1077" s="23">
        <v>219.5</v>
      </c>
      <c r="J1077" s="24">
        <v>219.5</v>
      </c>
      <c r="K1077" s="21">
        <v>0</v>
      </c>
      <c r="L1077" s="21">
        <v>0</v>
      </c>
      <c r="M1077" s="21">
        <f>COUNTIF($A$2:$A$5481,A1077)</f>
        <v>1</v>
      </c>
      <c r="N1077" s="24">
        <f t="shared" si="16"/>
        <v>219.5001077</v>
      </c>
    </row>
    <row r="1078" spans="1:14">
      <c r="A1078" s="21" t="s">
        <v>1729</v>
      </c>
      <c r="B1078" s="21" t="s">
        <v>920</v>
      </c>
      <c r="C1078" s="21" t="s">
        <v>26</v>
      </c>
      <c r="D1078" s="21" t="s">
        <v>921</v>
      </c>
      <c r="E1078" s="21">
        <v>1</v>
      </c>
      <c r="F1078" s="22">
        <v>45394.7030671296</v>
      </c>
      <c r="G1078" s="22">
        <v>45404.8680671296</v>
      </c>
      <c r="H1078" s="23">
        <v>1196</v>
      </c>
      <c r="I1078" s="23">
        <v>598</v>
      </c>
      <c r="J1078" s="24">
        <v>598</v>
      </c>
      <c r="K1078" s="21">
        <v>0</v>
      </c>
      <c r="L1078" s="21">
        <v>0</v>
      </c>
      <c r="M1078" s="21">
        <f>COUNTIF($A$2:$A$5481,A1078)</f>
        <v>1</v>
      </c>
      <c r="N1078" s="24">
        <f t="shared" si="16"/>
        <v>598.0001078</v>
      </c>
    </row>
    <row r="1079" spans="1:14">
      <c r="A1079" s="21" t="s">
        <v>1730</v>
      </c>
      <c r="B1079" s="21" t="s">
        <v>920</v>
      </c>
      <c r="C1079" s="21" t="s">
        <v>35</v>
      </c>
      <c r="D1079" s="21" t="s">
        <v>921</v>
      </c>
      <c r="E1079" s="21">
        <v>0</v>
      </c>
      <c r="F1079" s="22">
        <v>45867.5460532407</v>
      </c>
      <c r="G1079" s="22">
        <v>45873.5928819445</v>
      </c>
      <c r="H1079" s="23">
        <v>2390</v>
      </c>
      <c r="I1079" s="23">
        <v>2390</v>
      </c>
      <c r="J1079" s="24">
        <v>0</v>
      </c>
      <c r="K1079" s="21">
        <v>0</v>
      </c>
      <c r="L1079" s="21">
        <v>0</v>
      </c>
      <c r="M1079" s="21">
        <f>COUNTIF($A$2:$A$5481,A1079)</f>
        <v>1</v>
      </c>
      <c r="N1079" s="24">
        <f t="shared" si="16"/>
        <v>0.0001079</v>
      </c>
    </row>
    <row r="1080" spans="1:14">
      <c r="A1080" s="21" t="s">
        <v>792</v>
      </c>
      <c r="B1080" s="21" t="s">
        <v>920</v>
      </c>
      <c r="C1080" s="21" t="s">
        <v>26</v>
      </c>
      <c r="D1080" s="21" t="s">
        <v>921</v>
      </c>
      <c r="E1080" s="21">
        <v>0</v>
      </c>
      <c r="F1080" s="22">
        <v>46251.7038078704</v>
      </c>
      <c r="G1080" s="22">
        <v>46254.5725462963</v>
      </c>
      <c r="H1080" s="23">
        <v>598</v>
      </c>
      <c r="I1080" s="23">
        <v>598</v>
      </c>
      <c r="J1080" s="24">
        <v>0</v>
      </c>
      <c r="K1080" s="21">
        <v>0</v>
      </c>
      <c r="L1080" s="21">
        <v>0</v>
      </c>
      <c r="M1080" s="21">
        <f>COUNTIF($A$2:$A$5481,A1080)</f>
        <v>2</v>
      </c>
      <c r="N1080" s="24">
        <f t="shared" si="16"/>
        <v>0.000108</v>
      </c>
    </row>
    <row r="1081" spans="1:14">
      <c r="A1081" s="21" t="s">
        <v>792</v>
      </c>
      <c r="B1081" s="21" t="s">
        <v>920</v>
      </c>
      <c r="C1081" s="21" t="s">
        <v>35</v>
      </c>
      <c r="D1081" s="21" t="s">
        <v>921</v>
      </c>
      <c r="E1081" s="21">
        <v>1</v>
      </c>
      <c r="F1081" s="22">
        <v>46253.3777777778</v>
      </c>
      <c r="G1081" s="22"/>
      <c r="H1081" s="23">
        <v>598</v>
      </c>
      <c r="I1081" s="23">
        <v>598</v>
      </c>
      <c r="J1081" s="24">
        <v>598</v>
      </c>
      <c r="K1081" s="21">
        <v>0</v>
      </c>
      <c r="L1081" s="21">
        <v>0</v>
      </c>
      <c r="M1081" s="21">
        <f>COUNTIF($A$2:$A$5481,A1081)</f>
        <v>2</v>
      </c>
      <c r="N1081" s="24">
        <f t="shared" si="16"/>
        <v>598.0001081</v>
      </c>
    </row>
    <row r="1082" spans="1:14">
      <c r="A1082" s="21" t="s">
        <v>1731</v>
      </c>
      <c r="B1082" s="21" t="s">
        <v>26</v>
      </c>
      <c r="C1082" s="21" t="s">
        <v>182</v>
      </c>
      <c r="D1082" s="21" t="s">
        <v>921</v>
      </c>
      <c r="E1082" s="21">
        <v>6</v>
      </c>
      <c r="F1082" s="22">
        <v>46105.6576388889</v>
      </c>
      <c r="G1082" s="22"/>
      <c r="H1082" s="23">
        <v>618</v>
      </c>
      <c r="I1082" s="23">
        <v>103</v>
      </c>
      <c r="J1082" s="24">
        <v>618</v>
      </c>
      <c r="K1082" s="21">
        <v>0</v>
      </c>
      <c r="L1082" s="21">
        <v>0</v>
      </c>
      <c r="M1082" s="21">
        <f>COUNTIF($A$2:$A$5481,A1082)</f>
        <v>1</v>
      </c>
      <c r="N1082" s="24">
        <f t="shared" si="16"/>
        <v>618.0001082</v>
      </c>
    </row>
    <row r="1083" spans="1:14">
      <c r="A1083" s="21" t="s">
        <v>1732</v>
      </c>
      <c r="B1083" s="21" t="s">
        <v>948</v>
      </c>
      <c r="C1083" s="21" t="s">
        <v>641</v>
      </c>
      <c r="D1083" s="21" t="s">
        <v>921</v>
      </c>
      <c r="E1083" s="21">
        <v>1</v>
      </c>
      <c r="F1083" s="22">
        <v>45373.8034722222</v>
      </c>
      <c r="G1083" s="22"/>
      <c r="H1083" s="23">
        <v>51.9</v>
      </c>
      <c r="I1083" s="23">
        <v>51.9</v>
      </c>
      <c r="J1083" s="24">
        <v>51.9</v>
      </c>
      <c r="K1083" s="21">
        <v>0</v>
      </c>
      <c r="L1083" s="21">
        <v>0</v>
      </c>
      <c r="M1083" s="21">
        <f>COUNTIF($A$2:$A$5481,A1083)</f>
        <v>1</v>
      </c>
      <c r="N1083" s="24">
        <f t="shared" si="16"/>
        <v>51.9001083</v>
      </c>
    </row>
    <row r="1084" spans="1:14">
      <c r="A1084" s="21" t="s">
        <v>1733</v>
      </c>
      <c r="B1084" s="21" t="s">
        <v>949</v>
      </c>
      <c r="C1084" s="21" t="s">
        <v>182</v>
      </c>
      <c r="D1084" s="21" t="s">
        <v>921</v>
      </c>
      <c r="E1084" s="21">
        <v>0.4</v>
      </c>
      <c r="F1084" s="22">
        <v>45307.3745601852</v>
      </c>
      <c r="G1084" s="22">
        <v>45310.4236458333</v>
      </c>
      <c r="H1084" s="23">
        <v>13.86</v>
      </c>
      <c r="I1084" s="23">
        <v>9.9</v>
      </c>
      <c r="J1084" s="24">
        <v>3.96</v>
      </c>
      <c r="K1084" s="21">
        <v>0</v>
      </c>
      <c r="L1084" s="21">
        <v>0</v>
      </c>
      <c r="M1084" s="21">
        <f>COUNTIF($A$2:$A$5481,A1084)</f>
        <v>2</v>
      </c>
      <c r="N1084" s="24">
        <f t="shared" si="16"/>
        <v>3.9601084</v>
      </c>
    </row>
    <row r="1085" spans="1:14">
      <c r="A1085" s="21" t="s">
        <v>1733</v>
      </c>
      <c r="B1085" s="21" t="s">
        <v>949</v>
      </c>
      <c r="C1085" s="21" t="s">
        <v>26</v>
      </c>
      <c r="D1085" s="21" t="s">
        <v>921</v>
      </c>
      <c r="E1085" s="21">
        <v>0</v>
      </c>
      <c r="F1085" s="22">
        <v>45323.3923611111</v>
      </c>
      <c r="G1085" s="22">
        <v>45327.3940046296</v>
      </c>
      <c r="H1085" s="23">
        <v>9.99</v>
      </c>
      <c r="I1085" s="23">
        <v>9.99</v>
      </c>
      <c r="J1085" s="24">
        <v>0</v>
      </c>
      <c r="K1085" s="21">
        <v>0</v>
      </c>
      <c r="L1085" s="21">
        <v>0</v>
      </c>
      <c r="M1085" s="21">
        <f>COUNTIF($A$2:$A$5481,A1085)</f>
        <v>2</v>
      </c>
      <c r="N1085" s="24">
        <f t="shared" si="16"/>
        <v>0.0001085</v>
      </c>
    </row>
    <row r="1086" spans="1:14">
      <c r="A1086" s="21" t="s">
        <v>1734</v>
      </c>
      <c r="B1086" s="21" t="s">
        <v>949</v>
      </c>
      <c r="C1086" s="21" t="s">
        <v>182</v>
      </c>
      <c r="D1086" s="21" t="s">
        <v>921</v>
      </c>
      <c r="E1086" s="21">
        <v>-1.3</v>
      </c>
      <c r="F1086" s="22">
        <v>45307.3745601852</v>
      </c>
      <c r="G1086" s="22">
        <v>45310.4239467593</v>
      </c>
      <c r="H1086" s="23">
        <v>20.223</v>
      </c>
      <c r="I1086" s="23">
        <v>7.49</v>
      </c>
      <c r="J1086" s="24">
        <v>-9.737</v>
      </c>
      <c r="K1086" s="21">
        <v>0</v>
      </c>
      <c r="L1086" s="21">
        <v>0</v>
      </c>
      <c r="M1086" s="21">
        <f>COUNTIF($A$2:$A$5481,A1086)</f>
        <v>2</v>
      </c>
      <c r="N1086" s="24">
        <f t="shared" si="16"/>
        <v>-9.7368914</v>
      </c>
    </row>
    <row r="1087" spans="1:14">
      <c r="A1087" s="21" t="s">
        <v>1734</v>
      </c>
      <c r="B1087" s="21" t="s">
        <v>949</v>
      </c>
      <c r="C1087" s="21" t="s">
        <v>26</v>
      </c>
      <c r="D1087" s="21" t="s">
        <v>921</v>
      </c>
      <c r="E1087" s="21">
        <v>0</v>
      </c>
      <c r="F1087" s="22">
        <v>45323.3923611111</v>
      </c>
      <c r="G1087" s="22">
        <v>45324.4906018519</v>
      </c>
      <c r="H1087" s="23">
        <v>43.442</v>
      </c>
      <c r="I1087" s="23">
        <v>7.49</v>
      </c>
      <c r="J1087" s="24">
        <v>0</v>
      </c>
      <c r="K1087" s="21">
        <v>0</v>
      </c>
      <c r="L1087" s="21">
        <v>0</v>
      </c>
      <c r="M1087" s="21">
        <f>COUNTIF($A$2:$A$5481,A1087)</f>
        <v>2</v>
      </c>
      <c r="N1087" s="24">
        <f t="shared" si="16"/>
        <v>0.0001087</v>
      </c>
    </row>
    <row r="1088" spans="1:14">
      <c r="A1088" s="21" t="s">
        <v>1735</v>
      </c>
      <c r="B1088" s="21" t="s">
        <v>26</v>
      </c>
      <c r="C1088" s="21" t="s">
        <v>26</v>
      </c>
      <c r="D1088" s="21" t="s">
        <v>921</v>
      </c>
      <c r="E1088" s="21">
        <v>11</v>
      </c>
      <c r="F1088" s="22">
        <v>45638.5766203704</v>
      </c>
      <c r="G1088" s="22"/>
      <c r="H1088" s="23">
        <v>208</v>
      </c>
      <c r="I1088" s="23">
        <v>26</v>
      </c>
      <c r="J1088" s="24">
        <v>286</v>
      </c>
      <c r="K1088" s="21">
        <v>0</v>
      </c>
      <c r="L1088" s="21">
        <v>0</v>
      </c>
      <c r="M1088" s="21">
        <f>COUNTIF($A$2:$A$5481,A1088)</f>
        <v>1</v>
      </c>
      <c r="N1088" s="24">
        <f t="shared" si="16"/>
        <v>286.0001088</v>
      </c>
    </row>
    <row r="1089" spans="1:14">
      <c r="A1089" s="21" t="s">
        <v>1736</v>
      </c>
      <c r="B1089" s="21" t="s">
        <v>920</v>
      </c>
      <c r="C1089" s="21" t="s">
        <v>35</v>
      </c>
      <c r="D1089" s="21" t="s">
        <v>921</v>
      </c>
      <c r="E1089" s="21">
        <v>2</v>
      </c>
      <c r="F1089" s="22">
        <v>45344.8449884259</v>
      </c>
      <c r="G1089" s="22">
        <v>45350.4447106482</v>
      </c>
      <c r="H1089" s="23">
        <v>64</v>
      </c>
      <c r="I1089" s="23">
        <v>16</v>
      </c>
      <c r="J1089" s="24">
        <v>32</v>
      </c>
      <c r="K1089" s="21">
        <v>0</v>
      </c>
      <c r="L1089" s="21">
        <v>0</v>
      </c>
      <c r="M1089" s="21">
        <f>COUNTIF($A$2:$A$5481,A1089)</f>
        <v>1</v>
      </c>
      <c r="N1089" s="24">
        <f t="shared" si="16"/>
        <v>32.0001089</v>
      </c>
    </row>
    <row r="1090" spans="1:14">
      <c r="A1090" s="21" t="s">
        <v>1737</v>
      </c>
      <c r="B1090" s="21" t="s">
        <v>920</v>
      </c>
      <c r="C1090" s="21" t="s">
        <v>35</v>
      </c>
      <c r="D1090" s="21" t="s">
        <v>921</v>
      </c>
      <c r="E1090" s="21">
        <v>0</v>
      </c>
      <c r="F1090" s="22">
        <v>45294.8382523148</v>
      </c>
      <c r="G1090" s="22">
        <v>45295.4770717593</v>
      </c>
      <c r="H1090" s="23">
        <v>270.08</v>
      </c>
      <c r="I1090" s="23">
        <v>135.04</v>
      </c>
      <c r="J1090" s="24">
        <v>0</v>
      </c>
      <c r="K1090" s="21">
        <v>0</v>
      </c>
      <c r="L1090" s="21">
        <v>0</v>
      </c>
      <c r="M1090" s="21">
        <f>COUNTIF($A$2:$A$5481,A1090)</f>
        <v>1</v>
      </c>
      <c r="N1090" s="24">
        <f t="shared" ref="N1090:N1153" si="17">J1090+ROW()/10000000</f>
        <v>0.000109</v>
      </c>
    </row>
    <row r="1091" spans="1:14">
      <c r="A1091" s="21" t="s">
        <v>1738</v>
      </c>
      <c r="B1091" s="21" t="s">
        <v>948</v>
      </c>
      <c r="C1091" s="21" t="s">
        <v>26</v>
      </c>
      <c r="D1091" s="21" t="s">
        <v>931</v>
      </c>
      <c r="E1091" s="21">
        <v>0</v>
      </c>
      <c r="F1091" s="22">
        <v>45475.4170717593</v>
      </c>
      <c r="G1091" s="22">
        <v>45476.4261226852</v>
      </c>
      <c r="H1091" s="23">
        <v>59.8</v>
      </c>
      <c r="I1091" s="23">
        <v>29.9</v>
      </c>
      <c r="J1091" s="24">
        <v>0</v>
      </c>
      <c r="K1091" s="21">
        <v>0</v>
      </c>
      <c r="L1091" s="21">
        <v>0</v>
      </c>
      <c r="M1091" s="21">
        <f>COUNTIF($A$2:$A$5481,A1091)</f>
        <v>1</v>
      </c>
      <c r="N1091" s="24">
        <f t="shared" si="17"/>
        <v>0.0001091</v>
      </c>
    </row>
    <row r="1092" spans="1:14">
      <c r="A1092" s="21" t="s">
        <v>539</v>
      </c>
      <c r="B1092" s="21" t="s">
        <v>26</v>
      </c>
      <c r="C1092" s="21" t="s">
        <v>26</v>
      </c>
      <c r="D1092" s="21" t="s">
        <v>921</v>
      </c>
      <c r="E1092" s="21">
        <v>18</v>
      </c>
      <c r="F1092" s="22">
        <v>46062.6943981482</v>
      </c>
      <c r="G1092" s="22">
        <v>46247.6135300926</v>
      </c>
      <c r="H1092" s="23">
        <v>400</v>
      </c>
      <c r="I1092" s="23">
        <v>29.5</v>
      </c>
      <c r="J1092" s="24">
        <v>531</v>
      </c>
      <c r="K1092" s="21">
        <v>0</v>
      </c>
      <c r="L1092" s="21">
        <v>0</v>
      </c>
      <c r="M1092" s="21">
        <f>COUNTIF($A$2:$A$5481,A1092)</f>
        <v>1</v>
      </c>
      <c r="N1092" s="24">
        <f t="shared" si="17"/>
        <v>531.0001092</v>
      </c>
    </row>
    <row r="1093" spans="1:14">
      <c r="A1093" s="21" t="s">
        <v>401</v>
      </c>
      <c r="B1093" s="21" t="s">
        <v>920</v>
      </c>
      <c r="C1093" s="21" t="s">
        <v>26</v>
      </c>
      <c r="D1093" s="21" t="s">
        <v>921</v>
      </c>
      <c r="E1093" s="21">
        <v>71</v>
      </c>
      <c r="F1093" s="22">
        <v>46164.5734606482</v>
      </c>
      <c r="G1093" s="22">
        <v>46181.8863888889</v>
      </c>
      <c r="H1093" s="23">
        <v>234</v>
      </c>
      <c r="I1093" s="23">
        <v>45.1111111111</v>
      </c>
      <c r="J1093" s="24">
        <v>3202.81</v>
      </c>
      <c r="K1093" s="21">
        <v>0</v>
      </c>
      <c r="L1093" s="21">
        <v>0</v>
      </c>
      <c r="M1093" s="21">
        <f>COUNTIF($A$2:$A$5481,A1093)</f>
        <v>1</v>
      </c>
      <c r="N1093" s="24">
        <f t="shared" si="17"/>
        <v>3202.8101093</v>
      </c>
    </row>
    <row r="1094" spans="1:14">
      <c r="A1094" s="21" t="s">
        <v>411</v>
      </c>
      <c r="B1094" s="21" t="s">
        <v>920</v>
      </c>
      <c r="C1094" s="21" t="s">
        <v>35</v>
      </c>
      <c r="D1094" s="21" t="s">
        <v>921</v>
      </c>
      <c r="E1094" s="21">
        <v>14</v>
      </c>
      <c r="F1094" s="22">
        <v>45300.3920138889</v>
      </c>
      <c r="G1094" s="22"/>
      <c r="H1094" s="23">
        <v>35.2</v>
      </c>
      <c r="I1094" s="23">
        <v>8.8</v>
      </c>
      <c r="J1094" s="24">
        <v>123.2</v>
      </c>
      <c r="K1094" s="21">
        <v>1</v>
      </c>
      <c r="L1094" s="21">
        <v>15</v>
      </c>
      <c r="M1094" s="21">
        <f>COUNTIF($A$2:$A$5481,A1094)</f>
        <v>2</v>
      </c>
      <c r="N1094" s="24">
        <f t="shared" si="17"/>
        <v>123.2001094</v>
      </c>
    </row>
    <row r="1095" spans="1:14">
      <c r="A1095" s="21" t="s">
        <v>411</v>
      </c>
      <c r="B1095" s="21" t="s">
        <v>920</v>
      </c>
      <c r="C1095" s="21" t="s">
        <v>26</v>
      </c>
      <c r="D1095" s="21" t="s">
        <v>921</v>
      </c>
      <c r="E1095" s="21">
        <v>17</v>
      </c>
      <c r="F1095" s="22">
        <v>46220.6344791667</v>
      </c>
      <c r="G1095" s="22">
        <v>46191.7180671296</v>
      </c>
      <c r="H1095" s="23">
        <v>98</v>
      </c>
      <c r="I1095" s="23">
        <v>24.2941176471</v>
      </c>
      <c r="J1095" s="24">
        <v>412.93</v>
      </c>
      <c r="K1095" s="21">
        <v>1</v>
      </c>
      <c r="L1095" s="21">
        <v>15</v>
      </c>
      <c r="M1095" s="21">
        <f>COUNTIF($A$2:$A$5481,A1095)</f>
        <v>2</v>
      </c>
      <c r="N1095" s="24">
        <f t="shared" si="17"/>
        <v>412.9301095</v>
      </c>
    </row>
    <row r="1096" spans="1:14">
      <c r="A1096" s="21" t="s">
        <v>1739</v>
      </c>
      <c r="B1096" s="21" t="s">
        <v>26</v>
      </c>
      <c r="C1096" s="21" t="s">
        <v>26</v>
      </c>
      <c r="D1096" s="21" t="s">
        <v>921</v>
      </c>
      <c r="E1096" s="21">
        <v>20</v>
      </c>
      <c r="F1096" s="22">
        <v>45603.4764583333</v>
      </c>
      <c r="G1096" s="22"/>
      <c r="H1096" s="23">
        <v>176</v>
      </c>
      <c r="I1096" s="23">
        <v>8.8</v>
      </c>
      <c r="J1096" s="24">
        <v>176</v>
      </c>
      <c r="K1096" s="21">
        <v>0</v>
      </c>
      <c r="L1096" s="21">
        <v>0</v>
      </c>
      <c r="M1096" s="21">
        <f>COUNTIF($A$2:$A$5481,A1096)</f>
        <v>1</v>
      </c>
      <c r="N1096" s="24">
        <f t="shared" si="17"/>
        <v>176.0001096</v>
      </c>
    </row>
    <row r="1097" spans="1:14">
      <c r="A1097" s="21" t="s">
        <v>1740</v>
      </c>
      <c r="B1097" s="21" t="s">
        <v>1352</v>
      </c>
      <c r="C1097" s="21" t="s">
        <v>35</v>
      </c>
      <c r="D1097" s="21" t="s">
        <v>921</v>
      </c>
      <c r="E1097" s="21">
        <v>0</v>
      </c>
      <c r="F1097" s="22">
        <v>45294.8403703704</v>
      </c>
      <c r="G1097" s="22">
        <v>45295.4770601852</v>
      </c>
      <c r="H1097" s="23">
        <v>145.92</v>
      </c>
      <c r="I1097" s="23">
        <v>145.92</v>
      </c>
      <c r="J1097" s="24">
        <v>0</v>
      </c>
      <c r="K1097" s="21">
        <v>0</v>
      </c>
      <c r="L1097" s="21">
        <v>10</v>
      </c>
      <c r="M1097" s="21">
        <f>COUNTIF($A$2:$A$5481,A1097)</f>
        <v>1</v>
      </c>
      <c r="N1097" s="24">
        <f t="shared" si="17"/>
        <v>0.0001097</v>
      </c>
    </row>
    <row r="1098" spans="1:14">
      <c r="A1098" s="21" t="s">
        <v>1741</v>
      </c>
      <c r="B1098" s="21" t="s">
        <v>920</v>
      </c>
      <c r="C1098" s="21" t="s">
        <v>26</v>
      </c>
      <c r="D1098" s="21" t="s">
        <v>921</v>
      </c>
      <c r="E1098" s="21">
        <v>4</v>
      </c>
      <c r="F1098" s="22">
        <v>46150.5444444444</v>
      </c>
      <c r="G1098" s="22"/>
      <c r="H1098" s="23">
        <v>1214</v>
      </c>
      <c r="I1098" s="23">
        <v>303.5</v>
      </c>
      <c r="J1098" s="24">
        <v>1214</v>
      </c>
      <c r="K1098" s="21">
        <v>0</v>
      </c>
      <c r="L1098" s="21">
        <v>0</v>
      </c>
      <c r="M1098" s="21">
        <f>COUNTIF($A$2:$A$5481,A1098)</f>
        <v>1</v>
      </c>
      <c r="N1098" s="24">
        <f t="shared" si="17"/>
        <v>1214.0001098</v>
      </c>
    </row>
    <row r="1099" spans="1:14">
      <c r="A1099" s="21" t="s">
        <v>1742</v>
      </c>
      <c r="B1099" s="21" t="s">
        <v>920</v>
      </c>
      <c r="C1099" s="21" t="s">
        <v>26</v>
      </c>
      <c r="D1099" s="21" t="s">
        <v>921</v>
      </c>
      <c r="E1099" s="21">
        <v>1</v>
      </c>
      <c r="F1099" s="22">
        <v>45727.7212615741</v>
      </c>
      <c r="G1099" s="22"/>
      <c r="H1099" s="23">
        <v>35.93</v>
      </c>
      <c r="I1099" s="23">
        <v>35.93</v>
      </c>
      <c r="J1099" s="24">
        <v>35.93</v>
      </c>
      <c r="K1099" s="21">
        <v>0</v>
      </c>
      <c r="L1099" s="21">
        <v>0</v>
      </c>
      <c r="M1099" s="21">
        <f>COUNTIF($A$2:$A$5481,A1099)</f>
        <v>1</v>
      </c>
      <c r="N1099" s="24">
        <f t="shared" si="17"/>
        <v>35.9301099</v>
      </c>
    </row>
    <row r="1100" spans="1:14">
      <c r="A1100" s="21" t="s">
        <v>1743</v>
      </c>
      <c r="B1100" s="21" t="s">
        <v>920</v>
      </c>
      <c r="C1100" s="21" t="s">
        <v>26</v>
      </c>
      <c r="D1100" s="21" t="s">
        <v>921</v>
      </c>
      <c r="E1100" s="21">
        <v>12</v>
      </c>
      <c r="F1100" s="22">
        <v>45916.709375</v>
      </c>
      <c r="G1100" s="22"/>
      <c r="H1100" s="23">
        <v>126.76</v>
      </c>
      <c r="I1100" s="23">
        <v>43.8133333333</v>
      </c>
      <c r="J1100" s="24">
        <v>525.72</v>
      </c>
      <c r="K1100" s="21">
        <v>0</v>
      </c>
      <c r="L1100" s="21">
        <v>0</v>
      </c>
      <c r="M1100" s="21">
        <f>COUNTIF($A$2:$A$5481,A1100)</f>
        <v>1</v>
      </c>
      <c r="N1100" s="24">
        <f t="shared" si="17"/>
        <v>525.72011</v>
      </c>
    </row>
    <row r="1101" spans="1:14">
      <c r="A1101" s="21" t="s">
        <v>876</v>
      </c>
      <c r="B1101" s="21" t="s">
        <v>26</v>
      </c>
      <c r="C1101" s="21" t="s">
        <v>26</v>
      </c>
      <c r="D1101" s="21" t="s">
        <v>921</v>
      </c>
      <c r="E1101" s="21">
        <v>1</v>
      </c>
      <c r="F1101" s="22">
        <v>45539.3522685185</v>
      </c>
      <c r="G1101" s="22">
        <v>46269.6424189815</v>
      </c>
      <c r="H1101" s="23">
        <v>72</v>
      </c>
      <c r="I1101" s="23">
        <v>36</v>
      </c>
      <c r="J1101" s="24">
        <v>36</v>
      </c>
      <c r="K1101" s="21">
        <v>0</v>
      </c>
      <c r="L1101" s="21">
        <v>0</v>
      </c>
      <c r="M1101" s="21">
        <f>COUNTIF($A$2:$A$5481,A1101)</f>
        <v>1</v>
      </c>
      <c r="N1101" s="24">
        <f t="shared" si="17"/>
        <v>36.0001101</v>
      </c>
    </row>
    <row r="1102" spans="1:14">
      <c r="A1102" s="21" t="s">
        <v>757</v>
      </c>
      <c r="B1102" s="21" t="s">
        <v>949</v>
      </c>
      <c r="C1102" s="21" t="s">
        <v>26</v>
      </c>
      <c r="D1102" s="21" t="s">
        <v>921</v>
      </c>
      <c r="E1102" s="21">
        <v>0</v>
      </c>
      <c r="F1102" s="22">
        <v>45797.8113310185</v>
      </c>
      <c r="G1102" s="22">
        <v>46252.6095601852</v>
      </c>
      <c r="H1102" s="23">
        <v>39.99</v>
      </c>
      <c r="I1102" s="23">
        <v>39.99</v>
      </c>
      <c r="J1102" s="24">
        <v>0</v>
      </c>
      <c r="K1102" s="21">
        <v>0</v>
      </c>
      <c r="L1102" s="21">
        <v>0</v>
      </c>
      <c r="M1102" s="21">
        <f>COUNTIF($A$2:$A$5481,A1102)</f>
        <v>1</v>
      </c>
      <c r="N1102" s="24">
        <f t="shared" si="17"/>
        <v>0.0001102</v>
      </c>
    </row>
    <row r="1103" spans="1:14">
      <c r="A1103" s="21" t="s">
        <v>1744</v>
      </c>
      <c r="B1103" s="21" t="s">
        <v>26</v>
      </c>
      <c r="C1103" s="21" t="s">
        <v>26</v>
      </c>
      <c r="D1103" s="21" t="s">
        <v>921</v>
      </c>
      <c r="E1103" s="21">
        <v>0</v>
      </c>
      <c r="F1103" s="22">
        <v>45517.5909722222</v>
      </c>
      <c r="G1103" s="22">
        <v>45520.5936805556</v>
      </c>
      <c r="H1103" s="23">
        <v>112</v>
      </c>
      <c r="I1103" s="23">
        <v>112</v>
      </c>
      <c r="J1103" s="24">
        <v>0</v>
      </c>
      <c r="K1103" s="21">
        <v>0</v>
      </c>
      <c r="L1103" s="21">
        <v>0</v>
      </c>
      <c r="M1103" s="21">
        <f>COUNTIF($A$2:$A$5481,A1103)</f>
        <v>1</v>
      </c>
      <c r="N1103" s="24">
        <f t="shared" si="17"/>
        <v>0.0001103</v>
      </c>
    </row>
    <row r="1104" spans="1:14">
      <c r="A1104" s="21" t="s">
        <v>1745</v>
      </c>
      <c r="B1104" s="21" t="s">
        <v>920</v>
      </c>
      <c r="C1104" s="21" t="s">
        <v>26</v>
      </c>
      <c r="D1104" s="21" t="s">
        <v>921</v>
      </c>
      <c r="E1104" s="21">
        <v>1</v>
      </c>
      <c r="F1104" s="22">
        <v>46245.6148958333</v>
      </c>
      <c r="G1104" s="22"/>
      <c r="H1104" s="23">
        <v>20</v>
      </c>
      <c r="I1104" s="23">
        <v>20</v>
      </c>
      <c r="J1104" s="24">
        <v>20</v>
      </c>
      <c r="K1104" s="21">
        <v>0</v>
      </c>
      <c r="L1104" s="21">
        <v>0</v>
      </c>
      <c r="M1104" s="21">
        <f>COUNTIF($A$2:$A$5481,A1104)</f>
        <v>1</v>
      </c>
      <c r="N1104" s="24">
        <f t="shared" si="17"/>
        <v>20.0001104</v>
      </c>
    </row>
    <row r="1105" spans="1:14">
      <c r="A1105" s="21" t="s">
        <v>1746</v>
      </c>
      <c r="B1105" s="21" t="s">
        <v>920</v>
      </c>
      <c r="C1105" s="21" t="s">
        <v>26</v>
      </c>
      <c r="D1105" s="21" t="s">
        <v>931</v>
      </c>
      <c r="E1105" s="21">
        <v>1</v>
      </c>
      <c r="F1105" s="22">
        <v>45855.3562847222</v>
      </c>
      <c r="G1105" s="22"/>
      <c r="H1105" s="23">
        <v>25.9</v>
      </c>
      <c r="I1105" s="23">
        <v>25.9</v>
      </c>
      <c r="J1105" s="24">
        <v>25.9</v>
      </c>
      <c r="K1105" s="21">
        <v>0</v>
      </c>
      <c r="L1105" s="21">
        <v>0</v>
      </c>
      <c r="M1105" s="21">
        <f>COUNTIF($A$2:$A$5481,A1105)</f>
        <v>1</v>
      </c>
      <c r="N1105" s="24">
        <f t="shared" si="17"/>
        <v>25.9001105</v>
      </c>
    </row>
    <row r="1106" spans="1:14">
      <c r="A1106" s="21" t="s">
        <v>170</v>
      </c>
      <c r="B1106" s="21" t="s">
        <v>920</v>
      </c>
      <c r="C1106" s="21" t="s">
        <v>26</v>
      </c>
      <c r="D1106" s="21" t="s">
        <v>931</v>
      </c>
      <c r="E1106" s="21">
        <v>13</v>
      </c>
      <c r="F1106" s="22">
        <v>46283.5719791667</v>
      </c>
      <c r="G1106" s="22">
        <v>46037.4141782407</v>
      </c>
      <c r="H1106" s="23">
        <v>87</v>
      </c>
      <c r="I1106" s="23">
        <v>29.6666661538</v>
      </c>
      <c r="J1106" s="24">
        <v>385.71</v>
      </c>
      <c r="K1106" s="21">
        <v>0</v>
      </c>
      <c r="L1106" s="21">
        <v>0</v>
      </c>
      <c r="M1106" s="21">
        <f>COUNTIF($A$2:$A$5481,A1106)</f>
        <v>1</v>
      </c>
      <c r="N1106" s="24">
        <f t="shared" si="17"/>
        <v>385.7101106</v>
      </c>
    </row>
    <row r="1107" spans="1:14">
      <c r="A1107" s="21" t="s">
        <v>290</v>
      </c>
      <c r="B1107" s="21" t="s">
        <v>920</v>
      </c>
      <c r="C1107" s="21" t="s">
        <v>26</v>
      </c>
      <c r="D1107" s="21" t="s">
        <v>921</v>
      </c>
      <c r="E1107" s="21">
        <v>5.99</v>
      </c>
      <c r="F1107" s="22">
        <v>45783.8055787037</v>
      </c>
      <c r="G1107" s="22">
        <v>46142.5653240741</v>
      </c>
      <c r="H1107" s="23">
        <v>316</v>
      </c>
      <c r="I1107" s="23">
        <v>31.00154</v>
      </c>
      <c r="J1107" s="24">
        <v>185.69</v>
      </c>
      <c r="K1107" s="21">
        <v>0</v>
      </c>
      <c r="L1107" s="21">
        <v>0</v>
      </c>
      <c r="M1107" s="21">
        <f>COUNTIF($A$2:$A$5481,A1107)</f>
        <v>1</v>
      </c>
      <c r="N1107" s="24">
        <f t="shared" si="17"/>
        <v>185.6901107</v>
      </c>
    </row>
    <row r="1108" spans="1:14">
      <c r="A1108" s="21" t="s">
        <v>1747</v>
      </c>
      <c r="B1108" s="21" t="s">
        <v>920</v>
      </c>
      <c r="C1108" s="21" t="s">
        <v>26</v>
      </c>
      <c r="D1108" s="21" t="s">
        <v>931</v>
      </c>
      <c r="E1108" s="21">
        <v>3</v>
      </c>
      <c r="F1108" s="22">
        <v>45691.5639930556</v>
      </c>
      <c r="G1108" s="22">
        <v>45691.5669675926</v>
      </c>
      <c r="H1108" s="23">
        <v>231</v>
      </c>
      <c r="I1108" s="23">
        <v>57.75</v>
      </c>
      <c r="J1108" s="24">
        <v>173.25</v>
      </c>
      <c r="K1108" s="21">
        <v>0</v>
      </c>
      <c r="L1108" s="21">
        <v>0</v>
      </c>
      <c r="M1108" s="21">
        <f>COUNTIF($A$2:$A$5481,A1108)</f>
        <v>1</v>
      </c>
      <c r="N1108" s="24">
        <f t="shared" si="17"/>
        <v>173.2501108</v>
      </c>
    </row>
    <row r="1109" spans="1:14">
      <c r="A1109" s="21" t="s">
        <v>1748</v>
      </c>
      <c r="B1109" s="21" t="s">
        <v>1394</v>
      </c>
      <c r="C1109" s="21" t="s">
        <v>26</v>
      </c>
      <c r="D1109" s="21" t="s">
        <v>921</v>
      </c>
      <c r="E1109" s="21">
        <v>8</v>
      </c>
      <c r="F1109" s="22">
        <v>45583.5789699074</v>
      </c>
      <c r="G1109" s="22"/>
      <c r="H1109" s="23">
        <v>117.16</v>
      </c>
      <c r="I1109" s="23">
        <v>28.595</v>
      </c>
      <c r="J1109" s="24">
        <v>228.8</v>
      </c>
      <c r="K1109" s="21">
        <v>0</v>
      </c>
      <c r="L1109" s="21">
        <v>0</v>
      </c>
      <c r="M1109" s="21">
        <f>COUNTIF($A$2:$A$5481,A1109)</f>
        <v>1</v>
      </c>
      <c r="N1109" s="24">
        <f t="shared" si="17"/>
        <v>228.8001109</v>
      </c>
    </row>
    <row r="1110" spans="1:14">
      <c r="A1110" s="21" t="s">
        <v>1749</v>
      </c>
      <c r="B1110" s="21" t="s">
        <v>929</v>
      </c>
      <c r="C1110" s="21" t="s">
        <v>26</v>
      </c>
      <c r="D1110" s="21" t="s">
        <v>921</v>
      </c>
      <c r="E1110" s="21">
        <v>3</v>
      </c>
      <c r="F1110" s="22">
        <v>46080.3966319444</v>
      </c>
      <c r="G1110" s="22"/>
      <c r="H1110" s="23">
        <v>238.1</v>
      </c>
      <c r="I1110" s="23">
        <v>279.3466666667</v>
      </c>
      <c r="J1110" s="24">
        <v>838.05</v>
      </c>
      <c r="K1110" s="21">
        <v>0</v>
      </c>
      <c r="L1110" s="21">
        <v>0</v>
      </c>
      <c r="M1110" s="21">
        <f>COUNTIF($A$2:$A$5481,A1110)</f>
        <v>1</v>
      </c>
      <c r="N1110" s="24">
        <f t="shared" si="17"/>
        <v>838.050111</v>
      </c>
    </row>
    <row r="1111" spans="1:14">
      <c r="A1111" s="21" t="s">
        <v>1750</v>
      </c>
      <c r="B1111" s="21" t="s">
        <v>929</v>
      </c>
      <c r="C1111" s="21" t="s">
        <v>414</v>
      </c>
      <c r="D1111" s="21" t="s">
        <v>921</v>
      </c>
      <c r="E1111" s="21">
        <v>2</v>
      </c>
      <c r="F1111" s="22">
        <v>45399.8458217593</v>
      </c>
      <c r="G1111" s="22"/>
      <c r="H1111" s="23">
        <v>263.5</v>
      </c>
      <c r="I1111" s="23">
        <v>131.75</v>
      </c>
      <c r="J1111" s="24">
        <v>263.5</v>
      </c>
      <c r="K1111" s="21">
        <v>0</v>
      </c>
      <c r="L1111" s="21">
        <v>0</v>
      </c>
      <c r="M1111" s="21">
        <f>COUNTIF($A$2:$A$5481,A1111)</f>
        <v>2</v>
      </c>
      <c r="N1111" s="24">
        <f t="shared" si="17"/>
        <v>263.5001111</v>
      </c>
    </row>
    <row r="1112" spans="1:14">
      <c r="A1112" s="21" t="s">
        <v>1750</v>
      </c>
      <c r="B1112" s="21" t="s">
        <v>929</v>
      </c>
      <c r="C1112" s="21" t="s">
        <v>26</v>
      </c>
      <c r="D1112" s="21" t="s">
        <v>921</v>
      </c>
      <c r="E1112" s="21">
        <v>3</v>
      </c>
      <c r="F1112" s="22">
        <v>46080.3966319444</v>
      </c>
      <c r="G1112" s="22"/>
      <c r="H1112" s="23">
        <v>477.45</v>
      </c>
      <c r="I1112" s="23">
        <v>159.15</v>
      </c>
      <c r="J1112" s="24">
        <v>477.45</v>
      </c>
      <c r="K1112" s="21">
        <v>0</v>
      </c>
      <c r="L1112" s="21">
        <v>0</v>
      </c>
      <c r="M1112" s="21">
        <f>COUNTIF($A$2:$A$5481,A1112)</f>
        <v>2</v>
      </c>
      <c r="N1112" s="24">
        <f t="shared" si="17"/>
        <v>477.4501112</v>
      </c>
    </row>
    <row r="1113" spans="1:14">
      <c r="A1113" s="21" t="s">
        <v>1751</v>
      </c>
      <c r="B1113" s="21" t="s">
        <v>920</v>
      </c>
      <c r="C1113" s="21" t="s">
        <v>26</v>
      </c>
      <c r="D1113" s="21" t="s">
        <v>921</v>
      </c>
      <c r="E1113" s="21">
        <v>3</v>
      </c>
      <c r="F1113" s="22">
        <v>45394.7012731481</v>
      </c>
      <c r="G1113" s="22">
        <v>45398.8675578704</v>
      </c>
      <c r="H1113" s="23">
        <v>236</v>
      </c>
      <c r="I1113" s="23">
        <v>59</v>
      </c>
      <c r="J1113" s="24">
        <v>177</v>
      </c>
      <c r="K1113" s="21">
        <v>0</v>
      </c>
      <c r="L1113" s="21">
        <v>0</v>
      </c>
      <c r="M1113" s="21">
        <f>COUNTIF($A$2:$A$5481,A1113)</f>
        <v>1</v>
      </c>
      <c r="N1113" s="24">
        <f t="shared" si="17"/>
        <v>177.0001113</v>
      </c>
    </row>
    <row r="1114" spans="1:14">
      <c r="A1114" s="21" t="s">
        <v>159</v>
      </c>
      <c r="B1114" s="21" t="s">
        <v>920</v>
      </c>
      <c r="C1114" s="21" t="s">
        <v>26</v>
      </c>
      <c r="D1114" s="21" t="s">
        <v>921</v>
      </c>
      <c r="E1114" s="21">
        <v>20</v>
      </c>
      <c r="F1114" s="22">
        <v>46118.6266087963</v>
      </c>
      <c r="G1114" s="22">
        <v>46225.3536458333</v>
      </c>
      <c r="H1114" s="23">
        <v>224</v>
      </c>
      <c r="I1114" s="23">
        <v>35.6236842105</v>
      </c>
      <c r="J1114" s="24">
        <v>712.4</v>
      </c>
      <c r="K1114" s="21">
        <v>0</v>
      </c>
      <c r="L1114" s="21">
        <v>0</v>
      </c>
      <c r="M1114" s="21">
        <f>COUNTIF($A$2:$A$5481,A1114)</f>
        <v>1</v>
      </c>
      <c r="N1114" s="24">
        <f t="shared" si="17"/>
        <v>712.4001114</v>
      </c>
    </row>
    <row r="1115" spans="1:14">
      <c r="A1115" s="21" t="s">
        <v>1752</v>
      </c>
      <c r="B1115" s="21" t="s">
        <v>920</v>
      </c>
      <c r="C1115" s="21" t="s">
        <v>26</v>
      </c>
      <c r="D1115" s="21" t="s">
        <v>921</v>
      </c>
      <c r="E1115" s="21">
        <v>3</v>
      </c>
      <c r="F1115" s="22">
        <v>45426.865462963</v>
      </c>
      <c r="G1115" s="22">
        <v>45684.8683217593</v>
      </c>
      <c r="H1115" s="23">
        <v>157</v>
      </c>
      <c r="I1115" s="23">
        <v>0</v>
      </c>
      <c r="J1115" s="24">
        <v>0</v>
      </c>
      <c r="K1115" s="21">
        <v>0</v>
      </c>
      <c r="L1115" s="21">
        <v>0</v>
      </c>
      <c r="M1115" s="21">
        <f>COUNTIF($A$2:$A$5481,A1115)</f>
        <v>1</v>
      </c>
      <c r="N1115" s="24">
        <f t="shared" si="17"/>
        <v>0.0001115</v>
      </c>
    </row>
    <row r="1116" spans="1:14">
      <c r="A1116" s="21" t="s">
        <v>1753</v>
      </c>
      <c r="B1116" s="21" t="s">
        <v>920</v>
      </c>
      <c r="C1116" s="21" t="s">
        <v>35</v>
      </c>
      <c r="D1116" s="21" t="s">
        <v>921</v>
      </c>
      <c r="E1116" s="21">
        <v>1</v>
      </c>
      <c r="F1116" s="22">
        <v>45370.8106018519</v>
      </c>
      <c r="G1116" s="22"/>
      <c r="H1116" s="23">
        <v>195</v>
      </c>
      <c r="I1116" s="23">
        <v>195</v>
      </c>
      <c r="J1116" s="24">
        <v>195</v>
      </c>
      <c r="K1116" s="21">
        <v>0</v>
      </c>
      <c r="L1116" s="21">
        <v>0</v>
      </c>
      <c r="M1116" s="21">
        <f>COUNTIF($A$2:$A$5481,A1116)</f>
        <v>2</v>
      </c>
      <c r="N1116" s="24">
        <f t="shared" si="17"/>
        <v>195.0001116</v>
      </c>
    </row>
    <row r="1117" spans="1:14">
      <c r="A1117" s="21" t="s">
        <v>1753</v>
      </c>
      <c r="B1117" s="21" t="s">
        <v>920</v>
      </c>
      <c r="C1117" s="21" t="s">
        <v>26</v>
      </c>
      <c r="D1117" s="21" t="s">
        <v>921</v>
      </c>
      <c r="E1117" s="21">
        <v>2</v>
      </c>
      <c r="F1117" s="22">
        <v>46125.5733796296</v>
      </c>
      <c r="G1117" s="22"/>
      <c r="H1117" s="23">
        <v>614</v>
      </c>
      <c r="I1117" s="23">
        <v>307</v>
      </c>
      <c r="J1117" s="24">
        <v>614</v>
      </c>
      <c r="K1117" s="21">
        <v>0</v>
      </c>
      <c r="L1117" s="21">
        <v>0</v>
      </c>
      <c r="M1117" s="21">
        <f>COUNTIF($A$2:$A$5481,A1117)</f>
        <v>2</v>
      </c>
      <c r="N1117" s="24">
        <f t="shared" si="17"/>
        <v>614.0001117</v>
      </c>
    </row>
    <row r="1118" spans="1:14">
      <c r="A1118" s="21" t="s">
        <v>1754</v>
      </c>
      <c r="B1118" s="21" t="s">
        <v>920</v>
      </c>
      <c r="C1118" s="21" t="s">
        <v>26</v>
      </c>
      <c r="D1118" s="21" t="s">
        <v>921</v>
      </c>
      <c r="E1118" s="21">
        <v>14</v>
      </c>
      <c r="F1118" s="22">
        <v>46079.5716087963</v>
      </c>
      <c r="G1118" s="22">
        <v>45561.7450810185</v>
      </c>
      <c r="H1118" s="23">
        <v>110</v>
      </c>
      <c r="I1118" s="23">
        <v>11.2285714286</v>
      </c>
      <c r="J1118" s="24">
        <v>157.22</v>
      </c>
      <c r="K1118" s="21">
        <v>0</v>
      </c>
      <c r="L1118" s="21">
        <v>0</v>
      </c>
      <c r="M1118" s="21">
        <f>COUNTIF($A$2:$A$5481,A1118)</f>
        <v>1</v>
      </c>
      <c r="N1118" s="24">
        <f t="shared" si="17"/>
        <v>157.2201118</v>
      </c>
    </row>
    <row r="1119" spans="1:14">
      <c r="A1119" s="21" t="s">
        <v>1755</v>
      </c>
      <c r="B1119" s="21" t="s">
        <v>920</v>
      </c>
      <c r="C1119" s="21" t="s">
        <v>26</v>
      </c>
      <c r="D1119" s="21" t="s">
        <v>921</v>
      </c>
      <c r="E1119" s="21">
        <v>2</v>
      </c>
      <c r="F1119" s="22">
        <v>45838.7136689815</v>
      </c>
      <c r="G1119" s="22"/>
      <c r="H1119" s="23">
        <v>197</v>
      </c>
      <c r="I1119" s="23">
        <v>98.5</v>
      </c>
      <c r="J1119" s="24">
        <v>197</v>
      </c>
      <c r="K1119" s="21">
        <v>0</v>
      </c>
      <c r="L1119" s="21">
        <v>0</v>
      </c>
      <c r="M1119" s="21">
        <f>COUNTIF($A$2:$A$5481,A1119)</f>
        <v>1</v>
      </c>
      <c r="N1119" s="24">
        <f t="shared" si="17"/>
        <v>197.0001119</v>
      </c>
    </row>
    <row r="1120" spans="1:14">
      <c r="A1120" s="21" t="s">
        <v>484</v>
      </c>
      <c r="B1120" s="21" t="s">
        <v>26</v>
      </c>
      <c r="C1120" s="21" t="s">
        <v>182</v>
      </c>
      <c r="D1120" s="21" t="s">
        <v>921</v>
      </c>
      <c r="E1120" s="21">
        <v>39</v>
      </c>
      <c r="F1120" s="22">
        <v>45344.3958333333</v>
      </c>
      <c r="G1120" s="22">
        <v>46259.5837152778</v>
      </c>
      <c r="H1120" s="23">
        <v>550</v>
      </c>
      <c r="I1120" s="23">
        <v>11</v>
      </c>
      <c r="J1120" s="24">
        <v>429</v>
      </c>
      <c r="K1120" s="21">
        <v>0</v>
      </c>
      <c r="L1120" s="21">
        <v>0</v>
      </c>
      <c r="M1120" s="21">
        <f>COUNTIF($A$2:$A$5481,A1120)</f>
        <v>4</v>
      </c>
      <c r="N1120" s="24">
        <f t="shared" si="17"/>
        <v>429.000112</v>
      </c>
    </row>
    <row r="1121" spans="1:14">
      <c r="A1121" s="21" t="s">
        <v>484</v>
      </c>
      <c r="B1121" s="21" t="s">
        <v>26</v>
      </c>
      <c r="C1121" s="21" t="s">
        <v>35</v>
      </c>
      <c r="D1121" s="21" t="s">
        <v>921</v>
      </c>
      <c r="E1121" s="21">
        <v>47</v>
      </c>
      <c r="F1121" s="22">
        <v>45803.3671990741</v>
      </c>
      <c r="G1121" s="22">
        <v>45861.3734837963</v>
      </c>
      <c r="H1121" s="23">
        <v>420</v>
      </c>
      <c r="I1121" s="23">
        <v>18.08333</v>
      </c>
      <c r="J1121" s="24">
        <v>849.76</v>
      </c>
      <c r="K1121" s="21">
        <v>0</v>
      </c>
      <c r="L1121" s="21">
        <v>0</v>
      </c>
      <c r="M1121" s="21">
        <f>COUNTIF($A$2:$A$5481,A1121)</f>
        <v>4</v>
      </c>
      <c r="N1121" s="24">
        <f t="shared" si="17"/>
        <v>849.7601121</v>
      </c>
    </row>
    <row r="1122" spans="1:14">
      <c r="A1122" s="21" t="s">
        <v>484</v>
      </c>
      <c r="B1122" s="21" t="s">
        <v>26</v>
      </c>
      <c r="C1122" s="21" t="s">
        <v>51</v>
      </c>
      <c r="D1122" s="21" t="s">
        <v>921</v>
      </c>
      <c r="E1122" s="21">
        <v>120</v>
      </c>
      <c r="F1122" s="22">
        <v>46031.5963657407</v>
      </c>
      <c r="G1122" s="22"/>
      <c r="H1122" s="23">
        <v>550</v>
      </c>
      <c r="I1122" s="23">
        <v>20.0708333333</v>
      </c>
      <c r="J1122" s="24">
        <v>2408.4</v>
      </c>
      <c r="K1122" s="21">
        <v>0</v>
      </c>
      <c r="L1122" s="21">
        <v>0</v>
      </c>
      <c r="M1122" s="21">
        <f>COUNTIF($A$2:$A$5481,A1122)</f>
        <v>4</v>
      </c>
      <c r="N1122" s="24">
        <f t="shared" si="17"/>
        <v>2408.4001122</v>
      </c>
    </row>
    <row r="1123" spans="1:14">
      <c r="A1123" s="21" t="s">
        <v>484</v>
      </c>
      <c r="B1123" s="21" t="s">
        <v>26</v>
      </c>
      <c r="C1123" s="21" t="s">
        <v>26</v>
      </c>
      <c r="D1123" s="21" t="s">
        <v>921</v>
      </c>
      <c r="E1123" s="21">
        <v>60</v>
      </c>
      <c r="F1123" s="22">
        <v>46198.6406481482</v>
      </c>
      <c r="G1123" s="22">
        <v>46273.7285416667</v>
      </c>
      <c r="H1123" s="23">
        <v>650</v>
      </c>
      <c r="I1123" s="23">
        <v>14.5151515152</v>
      </c>
      <c r="J1123" s="24">
        <v>871.2</v>
      </c>
      <c r="K1123" s="21">
        <v>0</v>
      </c>
      <c r="L1123" s="21">
        <v>0</v>
      </c>
      <c r="M1123" s="21">
        <f>COUNTIF($A$2:$A$5481,A1123)</f>
        <v>4</v>
      </c>
      <c r="N1123" s="24">
        <f t="shared" si="17"/>
        <v>871.2001123</v>
      </c>
    </row>
    <row r="1124" spans="1:14">
      <c r="A1124" s="21" t="s">
        <v>1756</v>
      </c>
      <c r="B1124" s="21" t="s">
        <v>929</v>
      </c>
      <c r="C1124" s="21" t="s">
        <v>26</v>
      </c>
      <c r="D1124" s="21" t="s">
        <v>921</v>
      </c>
      <c r="E1124" s="21">
        <v>25</v>
      </c>
      <c r="F1124" s="22">
        <v>46000.5399189815</v>
      </c>
      <c r="G1124" s="22"/>
      <c r="H1124" s="23">
        <v>82.24</v>
      </c>
      <c r="I1124" s="23">
        <v>59.2868</v>
      </c>
      <c r="J1124" s="24">
        <v>1482.25</v>
      </c>
      <c r="K1124" s="21">
        <v>0</v>
      </c>
      <c r="L1124" s="21">
        <v>0</v>
      </c>
      <c r="M1124" s="21">
        <f>COUNTIF($A$2:$A$5481,A1124)</f>
        <v>1</v>
      </c>
      <c r="N1124" s="24">
        <f t="shared" si="17"/>
        <v>1482.2501124</v>
      </c>
    </row>
    <row r="1125" spans="1:14">
      <c r="A1125" s="21" t="s">
        <v>1757</v>
      </c>
      <c r="B1125" s="21" t="s">
        <v>920</v>
      </c>
      <c r="C1125" s="21" t="s">
        <v>35</v>
      </c>
      <c r="D1125" s="21" t="s">
        <v>921</v>
      </c>
      <c r="E1125" s="21">
        <v>0</v>
      </c>
      <c r="F1125" s="22">
        <v>45323.6791666667</v>
      </c>
      <c r="G1125" s="22">
        <v>45922.4312384259</v>
      </c>
      <c r="H1125" s="23">
        <v>232.38</v>
      </c>
      <c r="I1125" s="23">
        <v>232.38</v>
      </c>
      <c r="J1125" s="24">
        <v>0</v>
      </c>
      <c r="K1125" s="21">
        <v>0</v>
      </c>
      <c r="L1125" s="21">
        <v>0</v>
      </c>
      <c r="M1125" s="21">
        <f>COUNTIF($A$2:$A$5481,A1125)</f>
        <v>1</v>
      </c>
      <c r="N1125" s="24">
        <f t="shared" si="17"/>
        <v>0.0001125</v>
      </c>
    </row>
    <row r="1126" spans="1:14">
      <c r="A1126" s="21" t="s">
        <v>1758</v>
      </c>
      <c r="B1126" s="21" t="s">
        <v>920</v>
      </c>
      <c r="C1126" s="21" t="s">
        <v>35</v>
      </c>
      <c r="D1126" s="21" t="s">
        <v>921</v>
      </c>
      <c r="E1126" s="21">
        <v>0</v>
      </c>
      <c r="F1126" s="22">
        <v>45433.5425347222</v>
      </c>
      <c r="G1126" s="22">
        <v>45433.5807060185</v>
      </c>
      <c r="H1126" s="23">
        <v>450</v>
      </c>
      <c r="I1126" s="23">
        <v>0</v>
      </c>
      <c r="J1126" s="24">
        <v>0</v>
      </c>
      <c r="K1126" s="21">
        <v>0</v>
      </c>
      <c r="L1126" s="21">
        <v>0</v>
      </c>
      <c r="M1126" s="21">
        <f>COUNTIF($A$2:$A$5481,A1126)</f>
        <v>1</v>
      </c>
      <c r="N1126" s="24">
        <f t="shared" si="17"/>
        <v>0.0001126</v>
      </c>
    </row>
    <row r="1127" spans="1:14">
      <c r="A1127" s="21" t="s">
        <v>649</v>
      </c>
      <c r="B1127" s="21" t="s">
        <v>929</v>
      </c>
      <c r="C1127" s="21" t="s">
        <v>26</v>
      </c>
      <c r="D1127" s="21" t="s">
        <v>921</v>
      </c>
      <c r="E1127" s="21">
        <v>0</v>
      </c>
      <c r="F1127" s="22">
        <v>45737.5681712963</v>
      </c>
      <c r="G1127" s="22">
        <v>46252.5049652778</v>
      </c>
      <c r="H1127" s="23">
        <v>137.55</v>
      </c>
      <c r="I1127" s="23">
        <v>137.55</v>
      </c>
      <c r="J1127" s="24">
        <v>0</v>
      </c>
      <c r="K1127" s="21">
        <v>0</v>
      </c>
      <c r="L1127" s="21">
        <v>0</v>
      </c>
      <c r="M1127" s="21">
        <f>COUNTIF($A$2:$A$5481,A1127)</f>
        <v>1</v>
      </c>
      <c r="N1127" s="24">
        <f t="shared" si="17"/>
        <v>0.0001127</v>
      </c>
    </row>
    <row r="1128" spans="1:14">
      <c r="A1128" s="21" t="s">
        <v>776</v>
      </c>
      <c r="B1128" s="21" t="s">
        <v>26</v>
      </c>
      <c r="C1128" s="21" t="s">
        <v>182</v>
      </c>
      <c r="D1128" s="21" t="s">
        <v>921</v>
      </c>
      <c r="E1128" s="21">
        <v>15</v>
      </c>
      <c r="F1128" s="22">
        <v>45357.9527777778</v>
      </c>
      <c r="G1128" s="22">
        <v>46266.3956018519</v>
      </c>
      <c r="H1128" s="23">
        <v>50</v>
      </c>
      <c r="I1128" s="23">
        <v>2.5</v>
      </c>
      <c r="J1128" s="24">
        <v>37.5</v>
      </c>
      <c r="K1128" s="21">
        <v>0</v>
      </c>
      <c r="L1128" s="21">
        <v>0</v>
      </c>
      <c r="M1128" s="21">
        <f>COUNTIF($A$2:$A$5481,A1128)</f>
        <v>2</v>
      </c>
      <c r="N1128" s="24">
        <f t="shared" si="17"/>
        <v>37.5001128</v>
      </c>
    </row>
    <row r="1129" spans="1:14">
      <c r="A1129" s="21" t="s">
        <v>776</v>
      </c>
      <c r="B1129" s="21" t="s">
        <v>26</v>
      </c>
      <c r="C1129" s="21" t="s">
        <v>26</v>
      </c>
      <c r="D1129" s="21" t="s">
        <v>921</v>
      </c>
      <c r="E1129" s="21">
        <v>9</v>
      </c>
      <c r="F1129" s="22">
        <v>45643.4413425926</v>
      </c>
      <c r="G1129" s="22">
        <v>45904.579837963</v>
      </c>
      <c r="H1129" s="23">
        <v>362.7</v>
      </c>
      <c r="I1129" s="23">
        <v>36.27</v>
      </c>
      <c r="J1129" s="24">
        <v>326.43</v>
      </c>
      <c r="K1129" s="21">
        <v>0</v>
      </c>
      <c r="L1129" s="21">
        <v>0</v>
      </c>
      <c r="M1129" s="21">
        <f>COUNTIF($A$2:$A$5481,A1129)</f>
        <v>2</v>
      </c>
      <c r="N1129" s="24">
        <f t="shared" si="17"/>
        <v>326.4301129</v>
      </c>
    </row>
    <row r="1130" spans="1:14">
      <c r="A1130" s="21" t="s">
        <v>1759</v>
      </c>
      <c r="B1130" s="21" t="s">
        <v>26</v>
      </c>
      <c r="C1130" s="21" t="s">
        <v>26</v>
      </c>
      <c r="D1130" s="21" t="s">
        <v>921</v>
      </c>
      <c r="E1130" s="21">
        <v>1</v>
      </c>
      <c r="F1130" s="22">
        <v>45554.3470486111</v>
      </c>
      <c r="G1130" s="22"/>
      <c r="H1130" s="23">
        <v>32.82</v>
      </c>
      <c r="I1130" s="23">
        <v>32.82</v>
      </c>
      <c r="J1130" s="24">
        <v>32.82</v>
      </c>
      <c r="K1130" s="21">
        <v>0</v>
      </c>
      <c r="L1130" s="21">
        <v>0</v>
      </c>
      <c r="M1130" s="21">
        <f>COUNTIF($A$2:$A$5481,A1130)</f>
        <v>1</v>
      </c>
      <c r="N1130" s="24">
        <f t="shared" si="17"/>
        <v>32.820113</v>
      </c>
    </row>
    <row r="1131" spans="1:14">
      <c r="A1131" s="21" t="s">
        <v>1760</v>
      </c>
      <c r="B1131" s="21" t="s">
        <v>929</v>
      </c>
      <c r="C1131" s="21" t="s">
        <v>26</v>
      </c>
      <c r="D1131" s="21" t="s">
        <v>921</v>
      </c>
      <c r="E1131" s="21">
        <v>1</v>
      </c>
      <c r="F1131" s="22">
        <v>45749.8311689815</v>
      </c>
      <c r="G1131" s="22"/>
      <c r="H1131" s="23">
        <v>71.45</v>
      </c>
      <c r="I1131" s="23">
        <v>71.45</v>
      </c>
      <c r="J1131" s="24">
        <v>71.45</v>
      </c>
      <c r="K1131" s="21">
        <v>0</v>
      </c>
      <c r="L1131" s="21">
        <v>0</v>
      </c>
      <c r="M1131" s="21">
        <f>COUNTIF($A$2:$A$5481,A1131)</f>
        <v>1</v>
      </c>
      <c r="N1131" s="24">
        <f t="shared" si="17"/>
        <v>71.4501131</v>
      </c>
    </row>
    <row r="1132" spans="1:14">
      <c r="A1132" s="21" t="s">
        <v>1761</v>
      </c>
      <c r="B1132" s="21" t="s">
        <v>929</v>
      </c>
      <c r="C1132" s="21" t="s">
        <v>26</v>
      </c>
      <c r="D1132" s="21" t="s">
        <v>931</v>
      </c>
      <c r="E1132" s="21">
        <v>1</v>
      </c>
      <c r="F1132" s="22">
        <v>45777.3692592593</v>
      </c>
      <c r="G1132" s="22"/>
      <c r="H1132" s="23">
        <v>32.82</v>
      </c>
      <c r="I1132" s="23">
        <v>32.82</v>
      </c>
      <c r="J1132" s="24">
        <v>32.82</v>
      </c>
      <c r="K1132" s="21">
        <v>0</v>
      </c>
      <c r="L1132" s="21">
        <v>0</v>
      </c>
      <c r="M1132" s="21">
        <f>COUNTIF($A$2:$A$5481,A1132)</f>
        <v>1</v>
      </c>
      <c r="N1132" s="24">
        <f t="shared" si="17"/>
        <v>32.8201132</v>
      </c>
    </row>
    <row r="1133" spans="1:14">
      <c r="A1133" s="21" t="s">
        <v>1762</v>
      </c>
      <c r="B1133" s="21" t="s">
        <v>929</v>
      </c>
      <c r="C1133" s="21" t="s">
        <v>414</v>
      </c>
      <c r="D1133" s="21" t="s">
        <v>921</v>
      </c>
      <c r="E1133" s="21">
        <v>0</v>
      </c>
      <c r="F1133" s="22">
        <v>45275.4531481482</v>
      </c>
      <c r="G1133" s="22">
        <v>45278.3941319444</v>
      </c>
      <c r="H1133" s="23">
        <v>25.76</v>
      </c>
      <c r="I1133" s="23">
        <v>25.76</v>
      </c>
      <c r="J1133" s="24">
        <v>0</v>
      </c>
      <c r="K1133" s="21">
        <v>0</v>
      </c>
      <c r="L1133" s="21">
        <v>0</v>
      </c>
      <c r="M1133" s="21">
        <f>COUNTIF($A$2:$A$5481,A1133)</f>
        <v>2</v>
      </c>
      <c r="N1133" s="24">
        <f t="shared" si="17"/>
        <v>0.0001133</v>
      </c>
    </row>
    <row r="1134" spans="1:14">
      <c r="A1134" s="21" t="s">
        <v>1762</v>
      </c>
      <c r="B1134" s="21" t="s">
        <v>929</v>
      </c>
      <c r="C1134" s="21" t="s">
        <v>26</v>
      </c>
      <c r="D1134" s="21" t="s">
        <v>921</v>
      </c>
      <c r="E1134" s="21">
        <v>6</v>
      </c>
      <c r="F1134" s="22">
        <v>45947.3663657407</v>
      </c>
      <c r="G1134" s="22"/>
      <c r="H1134" s="23">
        <v>25.64</v>
      </c>
      <c r="I1134" s="23">
        <v>17.1333333333</v>
      </c>
      <c r="J1134" s="24">
        <v>102.78</v>
      </c>
      <c r="K1134" s="21">
        <v>0</v>
      </c>
      <c r="L1134" s="21">
        <v>0</v>
      </c>
      <c r="M1134" s="21">
        <f>COUNTIF($A$2:$A$5481,A1134)</f>
        <v>2</v>
      </c>
      <c r="N1134" s="24">
        <f t="shared" si="17"/>
        <v>102.7801134</v>
      </c>
    </row>
    <row r="1135" spans="1:14">
      <c r="A1135" s="21" t="s">
        <v>1763</v>
      </c>
      <c r="B1135" s="21" t="s">
        <v>929</v>
      </c>
      <c r="C1135" s="21" t="s">
        <v>414</v>
      </c>
      <c r="D1135" s="21" t="s">
        <v>921</v>
      </c>
      <c r="E1135" s="21">
        <v>2</v>
      </c>
      <c r="F1135" s="22">
        <v>45327.5712962963</v>
      </c>
      <c r="G1135" s="22">
        <v>45310.4120138889</v>
      </c>
      <c r="H1135" s="23">
        <v>53.8</v>
      </c>
      <c r="I1135" s="23">
        <v>26.9</v>
      </c>
      <c r="J1135" s="24">
        <v>53.8</v>
      </c>
      <c r="K1135" s="21">
        <v>0</v>
      </c>
      <c r="L1135" s="21">
        <v>0</v>
      </c>
      <c r="M1135" s="21">
        <f>COUNTIF($A$2:$A$5481,A1135)</f>
        <v>2</v>
      </c>
      <c r="N1135" s="24">
        <f t="shared" si="17"/>
        <v>53.8001135</v>
      </c>
    </row>
    <row r="1136" spans="1:14">
      <c r="A1136" s="21" t="s">
        <v>1763</v>
      </c>
      <c r="B1136" s="21" t="s">
        <v>929</v>
      </c>
      <c r="C1136" s="21" t="s">
        <v>26</v>
      </c>
      <c r="D1136" s="21" t="s">
        <v>921</v>
      </c>
      <c r="E1136" s="21">
        <v>2</v>
      </c>
      <c r="F1136" s="22">
        <v>45362.4944444444</v>
      </c>
      <c r="G1136" s="22"/>
      <c r="H1136" s="23">
        <v>159.76</v>
      </c>
      <c r="I1136" s="23">
        <v>79.88</v>
      </c>
      <c r="J1136" s="24">
        <v>159.76</v>
      </c>
      <c r="K1136" s="21">
        <v>0</v>
      </c>
      <c r="L1136" s="21">
        <v>0</v>
      </c>
      <c r="M1136" s="21">
        <f>COUNTIF($A$2:$A$5481,A1136)</f>
        <v>2</v>
      </c>
      <c r="N1136" s="24">
        <f t="shared" si="17"/>
        <v>159.7601136</v>
      </c>
    </row>
    <row r="1137" spans="1:14">
      <c r="A1137" s="21" t="s">
        <v>1764</v>
      </c>
      <c r="B1137" s="21" t="s">
        <v>920</v>
      </c>
      <c r="C1137" s="21" t="s">
        <v>26</v>
      </c>
      <c r="D1137" s="21" t="s">
        <v>921</v>
      </c>
      <c r="E1137" s="21">
        <v>1</v>
      </c>
      <c r="F1137" s="22">
        <v>45449.8110185185</v>
      </c>
      <c r="G1137" s="22">
        <v>45440.8386458333</v>
      </c>
      <c r="H1137" s="23">
        <v>59</v>
      </c>
      <c r="I1137" s="23">
        <v>98.92</v>
      </c>
      <c r="J1137" s="24">
        <v>98.92</v>
      </c>
      <c r="K1137" s="21">
        <v>0</v>
      </c>
      <c r="L1137" s="21">
        <v>0</v>
      </c>
      <c r="M1137" s="21">
        <f>COUNTIF($A$2:$A$5481,A1137)</f>
        <v>1</v>
      </c>
      <c r="N1137" s="24">
        <f t="shared" si="17"/>
        <v>98.9201137</v>
      </c>
    </row>
    <row r="1138" spans="1:14">
      <c r="A1138" s="21" t="s">
        <v>1765</v>
      </c>
      <c r="B1138" s="21" t="s">
        <v>26</v>
      </c>
      <c r="C1138" s="21" t="s">
        <v>26</v>
      </c>
      <c r="D1138" s="21" t="s">
        <v>921</v>
      </c>
      <c r="E1138" s="21">
        <v>4</v>
      </c>
      <c r="F1138" s="22">
        <v>45898.590162037</v>
      </c>
      <c r="G1138" s="22"/>
      <c r="H1138" s="23">
        <v>43</v>
      </c>
      <c r="I1138" s="23">
        <v>34.7425</v>
      </c>
      <c r="J1138" s="24">
        <v>138.96</v>
      </c>
      <c r="K1138" s="21">
        <v>0</v>
      </c>
      <c r="L1138" s="21">
        <v>0</v>
      </c>
      <c r="M1138" s="21">
        <f>COUNTIF($A$2:$A$5481,A1138)</f>
        <v>1</v>
      </c>
      <c r="N1138" s="24">
        <f t="shared" si="17"/>
        <v>138.9601138</v>
      </c>
    </row>
    <row r="1139" spans="1:14">
      <c r="A1139" s="21" t="s">
        <v>1766</v>
      </c>
      <c r="B1139" s="21" t="s">
        <v>920</v>
      </c>
      <c r="C1139" s="21" t="s">
        <v>26</v>
      </c>
      <c r="D1139" s="21" t="s">
        <v>931</v>
      </c>
      <c r="E1139" s="21">
        <v>3</v>
      </c>
      <c r="F1139" s="22">
        <v>45775.4054398148</v>
      </c>
      <c r="G1139" s="22"/>
      <c r="H1139" s="23">
        <v>79.72</v>
      </c>
      <c r="I1139" s="23">
        <v>76.85333</v>
      </c>
      <c r="J1139" s="24">
        <v>230.55</v>
      </c>
      <c r="K1139" s="21">
        <v>0</v>
      </c>
      <c r="L1139" s="21">
        <v>0</v>
      </c>
      <c r="M1139" s="21">
        <f>COUNTIF($A$2:$A$5481,A1139)</f>
        <v>1</v>
      </c>
      <c r="N1139" s="24">
        <f t="shared" si="17"/>
        <v>230.5501139</v>
      </c>
    </row>
    <row r="1140" spans="1:14">
      <c r="A1140" s="21" t="s">
        <v>1767</v>
      </c>
      <c r="B1140" s="21" t="s">
        <v>929</v>
      </c>
      <c r="C1140" s="21" t="s">
        <v>26</v>
      </c>
      <c r="D1140" s="21" t="s">
        <v>931</v>
      </c>
      <c r="E1140" s="21">
        <v>1</v>
      </c>
      <c r="F1140" s="22">
        <v>45918.7077083333</v>
      </c>
      <c r="G1140" s="22"/>
      <c r="H1140" s="23">
        <v>487.34</v>
      </c>
      <c r="I1140" s="23">
        <v>487.34</v>
      </c>
      <c r="J1140" s="24">
        <v>487.34</v>
      </c>
      <c r="K1140" s="21">
        <v>0</v>
      </c>
      <c r="L1140" s="21">
        <v>0</v>
      </c>
      <c r="M1140" s="21">
        <f>COUNTIF($A$2:$A$5481,A1140)</f>
        <v>1</v>
      </c>
      <c r="N1140" s="24">
        <f t="shared" si="17"/>
        <v>487.340114</v>
      </c>
    </row>
    <row r="1141" spans="1:14">
      <c r="A1141" s="21" t="s">
        <v>1768</v>
      </c>
      <c r="B1141" s="21" t="s">
        <v>929</v>
      </c>
      <c r="C1141" s="21" t="s">
        <v>414</v>
      </c>
      <c r="D1141" s="21" t="s">
        <v>921</v>
      </c>
      <c r="E1141" s="21">
        <v>8</v>
      </c>
      <c r="F1141" s="22">
        <v>45352.5843402778</v>
      </c>
      <c r="G1141" s="22"/>
      <c r="H1141" s="23">
        <v>366.08</v>
      </c>
      <c r="I1141" s="23">
        <v>45.76</v>
      </c>
      <c r="J1141" s="24">
        <v>366.08</v>
      </c>
      <c r="K1141" s="21">
        <v>0</v>
      </c>
      <c r="L1141" s="21">
        <v>0</v>
      </c>
      <c r="M1141" s="21">
        <f>COUNTIF($A$2:$A$5481,A1141)</f>
        <v>1</v>
      </c>
      <c r="N1141" s="24">
        <f t="shared" si="17"/>
        <v>366.0801141</v>
      </c>
    </row>
    <row r="1142" spans="1:14">
      <c r="A1142" s="21" t="s">
        <v>849</v>
      </c>
      <c r="B1142" s="21" t="s">
        <v>929</v>
      </c>
      <c r="C1142" s="21" t="s">
        <v>26</v>
      </c>
      <c r="D1142" s="21" t="s">
        <v>921</v>
      </c>
      <c r="E1142" s="21">
        <v>88</v>
      </c>
      <c r="F1142" s="22">
        <v>46170.3930555556</v>
      </c>
      <c r="G1142" s="22">
        <v>46267.3889467593</v>
      </c>
      <c r="H1142" s="23">
        <v>302.82</v>
      </c>
      <c r="I1142" s="23">
        <v>46.39725</v>
      </c>
      <c r="J1142" s="24">
        <v>4083.2</v>
      </c>
      <c r="K1142" s="21">
        <v>0</v>
      </c>
      <c r="L1142" s="21">
        <v>0</v>
      </c>
      <c r="M1142" s="21">
        <f>COUNTIF($A$2:$A$5481,A1142)</f>
        <v>1</v>
      </c>
      <c r="N1142" s="24">
        <f t="shared" si="17"/>
        <v>4083.2001142</v>
      </c>
    </row>
    <row r="1143" spans="1:14">
      <c r="A1143" s="21" t="s">
        <v>1769</v>
      </c>
      <c r="B1143" s="21" t="s">
        <v>929</v>
      </c>
      <c r="C1143" s="21" t="s">
        <v>26</v>
      </c>
      <c r="D1143" s="21" t="s">
        <v>921</v>
      </c>
      <c r="E1143" s="21">
        <v>8</v>
      </c>
      <c r="F1143" s="22">
        <v>46127.45</v>
      </c>
      <c r="G1143" s="22"/>
      <c r="H1143" s="23">
        <v>199.8</v>
      </c>
      <c r="I1143" s="23">
        <v>87.6875</v>
      </c>
      <c r="J1143" s="24">
        <v>701.52</v>
      </c>
      <c r="K1143" s="21">
        <v>0</v>
      </c>
      <c r="L1143" s="21">
        <v>0</v>
      </c>
      <c r="M1143" s="21">
        <f>COUNTIF($A$2:$A$5481,A1143)</f>
        <v>1</v>
      </c>
      <c r="N1143" s="24">
        <f t="shared" si="17"/>
        <v>701.5201143</v>
      </c>
    </row>
    <row r="1144" spans="1:14">
      <c r="A1144" s="21" t="s">
        <v>850</v>
      </c>
      <c r="B1144" s="21" t="s">
        <v>929</v>
      </c>
      <c r="C1144" s="21" t="s">
        <v>26</v>
      </c>
      <c r="D1144" s="21" t="s">
        <v>921</v>
      </c>
      <c r="E1144" s="21">
        <v>52</v>
      </c>
      <c r="F1144" s="22">
        <v>46170.3951388889</v>
      </c>
      <c r="G1144" s="22">
        <v>46267.3889583333</v>
      </c>
      <c r="H1144" s="23">
        <v>1313.4</v>
      </c>
      <c r="I1144" s="23">
        <v>177.449865283</v>
      </c>
      <c r="J1144" s="24">
        <v>9227.4</v>
      </c>
      <c r="K1144" s="21">
        <v>0</v>
      </c>
      <c r="L1144" s="21">
        <v>0</v>
      </c>
      <c r="M1144" s="21">
        <f>COUNTIF($A$2:$A$5481,A1144)</f>
        <v>1</v>
      </c>
      <c r="N1144" s="24">
        <f t="shared" si="17"/>
        <v>9227.4001144</v>
      </c>
    </row>
    <row r="1145" spans="1:14">
      <c r="A1145" s="21" t="s">
        <v>466</v>
      </c>
      <c r="B1145" s="21" t="s">
        <v>929</v>
      </c>
      <c r="C1145" s="21" t="s">
        <v>26</v>
      </c>
      <c r="D1145" s="21" t="s">
        <v>921</v>
      </c>
      <c r="E1145" s="21">
        <v>8</v>
      </c>
      <c r="F1145" s="22">
        <v>46265.50625</v>
      </c>
      <c r="G1145" s="22">
        <v>46212.7092939815</v>
      </c>
      <c r="H1145" s="23">
        <v>104</v>
      </c>
      <c r="I1145" s="23">
        <v>42.25</v>
      </c>
      <c r="J1145" s="24">
        <v>338</v>
      </c>
      <c r="K1145" s="21">
        <v>0</v>
      </c>
      <c r="L1145" s="21">
        <v>0</v>
      </c>
      <c r="M1145" s="21">
        <f>COUNTIF($A$2:$A$5481,A1145)</f>
        <v>1</v>
      </c>
      <c r="N1145" s="24">
        <f t="shared" si="17"/>
        <v>338.0001145</v>
      </c>
    </row>
    <row r="1146" spans="1:14">
      <c r="A1146" s="21" t="s">
        <v>1770</v>
      </c>
      <c r="B1146" s="21" t="s">
        <v>929</v>
      </c>
      <c r="C1146" s="21" t="s">
        <v>26</v>
      </c>
      <c r="D1146" s="21" t="s">
        <v>921</v>
      </c>
      <c r="E1146" s="21">
        <v>4</v>
      </c>
      <c r="F1146" s="22">
        <v>45709.5770833333</v>
      </c>
      <c r="G1146" s="22"/>
      <c r="H1146" s="23">
        <v>1056</v>
      </c>
      <c r="I1146" s="23">
        <v>264</v>
      </c>
      <c r="J1146" s="24">
        <v>1056</v>
      </c>
      <c r="K1146" s="21">
        <v>0</v>
      </c>
      <c r="L1146" s="21">
        <v>0</v>
      </c>
      <c r="M1146" s="21">
        <f>COUNTIF($A$2:$A$5481,A1146)</f>
        <v>1</v>
      </c>
      <c r="N1146" s="24">
        <f t="shared" si="17"/>
        <v>1056.0001146</v>
      </c>
    </row>
    <row r="1147" spans="1:14">
      <c r="A1147" s="21" t="s">
        <v>1771</v>
      </c>
      <c r="B1147" s="21" t="s">
        <v>929</v>
      </c>
      <c r="C1147" s="21" t="s">
        <v>26</v>
      </c>
      <c r="D1147" s="21" t="s">
        <v>921</v>
      </c>
      <c r="E1147" s="21">
        <v>2</v>
      </c>
      <c r="F1147" s="22">
        <v>45461.8309953704</v>
      </c>
      <c r="G1147" s="22"/>
      <c r="H1147" s="23">
        <v>436</v>
      </c>
      <c r="I1147" s="23">
        <v>218</v>
      </c>
      <c r="J1147" s="24">
        <v>436</v>
      </c>
      <c r="K1147" s="21">
        <v>0</v>
      </c>
      <c r="L1147" s="21">
        <v>0</v>
      </c>
      <c r="M1147" s="21">
        <f>COUNTIF($A$2:$A$5481,A1147)</f>
        <v>1</v>
      </c>
      <c r="N1147" s="24">
        <f t="shared" si="17"/>
        <v>436.0001147</v>
      </c>
    </row>
    <row r="1148" spans="1:14">
      <c r="A1148" s="21" t="s">
        <v>1772</v>
      </c>
      <c r="B1148" s="21" t="s">
        <v>929</v>
      </c>
      <c r="C1148" s="21" t="s">
        <v>26</v>
      </c>
      <c r="D1148" s="21" t="s">
        <v>921</v>
      </c>
      <c r="E1148" s="21">
        <v>2</v>
      </c>
      <c r="F1148" s="22">
        <v>45393.6782175926</v>
      </c>
      <c r="G1148" s="22"/>
      <c r="H1148" s="23">
        <v>282.12</v>
      </c>
      <c r="I1148" s="23">
        <v>141.06</v>
      </c>
      <c r="J1148" s="24">
        <v>282.12</v>
      </c>
      <c r="K1148" s="21">
        <v>0</v>
      </c>
      <c r="L1148" s="21">
        <v>0</v>
      </c>
      <c r="M1148" s="21">
        <f>COUNTIF($A$2:$A$5481,A1148)</f>
        <v>1</v>
      </c>
      <c r="N1148" s="24">
        <f t="shared" si="17"/>
        <v>282.1201148</v>
      </c>
    </row>
    <row r="1149" spans="1:14">
      <c r="A1149" s="21" t="s">
        <v>1773</v>
      </c>
      <c r="B1149" s="21" t="s">
        <v>26</v>
      </c>
      <c r="C1149" s="21" t="s">
        <v>26</v>
      </c>
      <c r="D1149" s="21" t="s">
        <v>921</v>
      </c>
      <c r="E1149" s="21">
        <v>1</v>
      </c>
      <c r="F1149" s="22">
        <v>46107.35625</v>
      </c>
      <c r="G1149" s="22"/>
      <c r="H1149" s="23">
        <v>88.9</v>
      </c>
      <c r="I1149" s="23">
        <v>88.9</v>
      </c>
      <c r="J1149" s="24">
        <v>88.9</v>
      </c>
      <c r="K1149" s="21">
        <v>0</v>
      </c>
      <c r="L1149" s="21">
        <v>0</v>
      </c>
      <c r="M1149" s="21">
        <f>COUNTIF($A$2:$A$5481,A1149)</f>
        <v>1</v>
      </c>
      <c r="N1149" s="24">
        <f t="shared" si="17"/>
        <v>88.9001149</v>
      </c>
    </row>
    <row r="1150" spans="1:14">
      <c r="A1150" s="21" t="s">
        <v>1774</v>
      </c>
      <c r="B1150" s="21" t="s">
        <v>26</v>
      </c>
      <c r="C1150" s="21" t="s">
        <v>26</v>
      </c>
      <c r="D1150" s="21" t="s">
        <v>921</v>
      </c>
      <c r="E1150" s="21">
        <v>2</v>
      </c>
      <c r="F1150" s="22">
        <v>45994.5823611111</v>
      </c>
      <c r="G1150" s="22"/>
      <c r="H1150" s="23">
        <v>91.8</v>
      </c>
      <c r="I1150" s="23">
        <v>45.9</v>
      </c>
      <c r="J1150" s="24">
        <v>91.8</v>
      </c>
      <c r="K1150" s="21">
        <v>0</v>
      </c>
      <c r="L1150" s="21">
        <v>0</v>
      </c>
      <c r="M1150" s="21">
        <f>COUNTIF($A$2:$A$5481,A1150)</f>
        <v>1</v>
      </c>
      <c r="N1150" s="24">
        <f t="shared" si="17"/>
        <v>91.800115</v>
      </c>
    </row>
    <row r="1151" spans="1:14">
      <c r="A1151" s="21" t="s">
        <v>1775</v>
      </c>
      <c r="B1151" s="21" t="s">
        <v>929</v>
      </c>
      <c r="C1151" s="21" t="s">
        <v>26</v>
      </c>
      <c r="D1151" s="21" t="s">
        <v>921</v>
      </c>
      <c r="E1151" s="21">
        <v>2</v>
      </c>
      <c r="F1151" s="22">
        <v>45986.3750347222</v>
      </c>
      <c r="G1151" s="22"/>
      <c r="H1151" s="23">
        <v>93.54</v>
      </c>
      <c r="I1151" s="23">
        <v>46.77</v>
      </c>
      <c r="J1151" s="24">
        <v>93.54</v>
      </c>
      <c r="K1151" s="21">
        <v>0</v>
      </c>
      <c r="L1151" s="21">
        <v>0</v>
      </c>
      <c r="M1151" s="21">
        <f>COUNTIF($A$2:$A$5481,A1151)</f>
        <v>1</v>
      </c>
      <c r="N1151" s="24">
        <f t="shared" si="17"/>
        <v>93.5401151</v>
      </c>
    </row>
    <row r="1152" spans="1:14">
      <c r="A1152" s="21" t="s">
        <v>1776</v>
      </c>
      <c r="B1152" s="21" t="s">
        <v>26</v>
      </c>
      <c r="C1152" s="21" t="s">
        <v>26</v>
      </c>
      <c r="D1152" s="21" t="s">
        <v>921</v>
      </c>
      <c r="E1152" s="21">
        <v>2</v>
      </c>
      <c r="F1152" s="22">
        <v>45421.39375</v>
      </c>
      <c r="G1152" s="22"/>
      <c r="H1152" s="23">
        <v>30</v>
      </c>
      <c r="I1152" s="23">
        <v>15</v>
      </c>
      <c r="J1152" s="24">
        <v>30</v>
      </c>
      <c r="K1152" s="21">
        <v>0</v>
      </c>
      <c r="L1152" s="21">
        <v>0</v>
      </c>
      <c r="M1152" s="21">
        <f>COUNTIF($A$2:$A$5481,A1152)</f>
        <v>1</v>
      </c>
      <c r="N1152" s="24">
        <f t="shared" si="17"/>
        <v>30.0001152</v>
      </c>
    </row>
    <row r="1153" spans="1:14">
      <c r="A1153" s="21" t="s">
        <v>1777</v>
      </c>
      <c r="B1153" s="21" t="s">
        <v>929</v>
      </c>
      <c r="C1153" s="21" t="s">
        <v>26</v>
      </c>
      <c r="D1153" s="21" t="s">
        <v>921</v>
      </c>
      <c r="E1153" s="21">
        <v>2</v>
      </c>
      <c r="F1153" s="22">
        <v>45671.7025462963</v>
      </c>
      <c r="G1153" s="22"/>
      <c r="H1153" s="23">
        <v>157.6</v>
      </c>
      <c r="I1153" s="23">
        <v>78.8</v>
      </c>
      <c r="J1153" s="24">
        <v>157.6</v>
      </c>
      <c r="K1153" s="21">
        <v>0</v>
      </c>
      <c r="L1153" s="21">
        <v>0</v>
      </c>
      <c r="M1153" s="21">
        <f>COUNTIF($A$2:$A$5481,A1153)</f>
        <v>1</v>
      </c>
      <c r="N1153" s="24">
        <f t="shared" si="17"/>
        <v>157.6001153</v>
      </c>
    </row>
    <row r="1154" spans="1:14">
      <c r="A1154" s="21" t="s">
        <v>1778</v>
      </c>
      <c r="B1154" s="21" t="s">
        <v>929</v>
      </c>
      <c r="C1154" s="21" t="s">
        <v>182</v>
      </c>
      <c r="D1154" s="21" t="s">
        <v>921</v>
      </c>
      <c r="E1154" s="21">
        <v>2</v>
      </c>
      <c r="F1154" s="22">
        <v>45373.8138888889</v>
      </c>
      <c r="G1154" s="22"/>
      <c r="H1154" s="23">
        <v>163.2</v>
      </c>
      <c r="I1154" s="23">
        <v>81.6</v>
      </c>
      <c r="J1154" s="24">
        <v>163.2</v>
      </c>
      <c r="K1154" s="21">
        <v>0</v>
      </c>
      <c r="L1154" s="21">
        <v>0</v>
      </c>
      <c r="M1154" s="21">
        <f>COUNTIF($A$2:$A$5481,A1154)</f>
        <v>2</v>
      </c>
      <c r="N1154" s="24">
        <f t="shared" ref="N1154:N1217" si="18">J1154+ROW()/10000000</f>
        <v>163.2001154</v>
      </c>
    </row>
    <row r="1155" spans="1:14">
      <c r="A1155" s="21" t="s">
        <v>1778</v>
      </c>
      <c r="B1155" s="21" t="s">
        <v>929</v>
      </c>
      <c r="C1155" s="21" t="s">
        <v>26</v>
      </c>
      <c r="D1155" s="21" t="s">
        <v>921</v>
      </c>
      <c r="E1155" s="21">
        <v>5</v>
      </c>
      <c r="F1155" s="22">
        <v>46112.8795717593</v>
      </c>
      <c r="G1155" s="22"/>
      <c r="H1155" s="23">
        <v>176.8</v>
      </c>
      <c r="I1155" s="23">
        <v>50.562</v>
      </c>
      <c r="J1155" s="24">
        <v>252.8</v>
      </c>
      <c r="K1155" s="21">
        <v>0</v>
      </c>
      <c r="L1155" s="21">
        <v>0</v>
      </c>
      <c r="M1155" s="21">
        <f>COUNTIF($A$2:$A$5481,A1155)</f>
        <v>2</v>
      </c>
      <c r="N1155" s="24">
        <f t="shared" si="18"/>
        <v>252.8001155</v>
      </c>
    </row>
    <row r="1156" spans="1:14">
      <c r="A1156" s="21" t="s">
        <v>708</v>
      </c>
      <c r="B1156" s="21" t="s">
        <v>926</v>
      </c>
      <c r="C1156" s="21" t="s">
        <v>26</v>
      </c>
      <c r="D1156" s="21" t="s">
        <v>921</v>
      </c>
      <c r="E1156" s="21">
        <v>0</v>
      </c>
      <c r="F1156" s="22">
        <v>46038.566400463</v>
      </c>
      <c r="G1156" s="22">
        <v>46252.5690509259</v>
      </c>
      <c r="H1156" s="23">
        <v>110</v>
      </c>
      <c r="I1156" s="23">
        <v>27.9666666667</v>
      </c>
      <c r="J1156" s="24">
        <v>0</v>
      </c>
      <c r="K1156" s="21">
        <v>0</v>
      </c>
      <c r="L1156" s="21">
        <v>0</v>
      </c>
      <c r="M1156" s="21">
        <f>COUNTIF($A$2:$A$5481,A1156)</f>
        <v>1</v>
      </c>
      <c r="N1156" s="24">
        <f t="shared" si="18"/>
        <v>0.0001156</v>
      </c>
    </row>
    <row r="1157" spans="1:14">
      <c r="A1157" s="21" t="s">
        <v>1779</v>
      </c>
      <c r="B1157" s="21" t="s">
        <v>926</v>
      </c>
      <c r="C1157" s="21" t="s">
        <v>38</v>
      </c>
      <c r="D1157" s="21" t="s">
        <v>921</v>
      </c>
      <c r="E1157" s="21">
        <v>17</v>
      </c>
      <c r="F1157" s="22">
        <v>45316.8020833333</v>
      </c>
      <c r="G1157" s="22">
        <v>45469.5780902778</v>
      </c>
      <c r="H1157" s="23">
        <v>486</v>
      </c>
      <c r="I1157" s="23">
        <v>27</v>
      </c>
      <c r="J1157" s="24">
        <v>459</v>
      </c>
      <c r="K1157" s="21">
        <v>0</v>
      </c>
      <c r="L1157" s="21">
        <v>0</v>
      </c>
      <c r="M1157" s="21">
        <f>COUNTIF($A$2:$A$5481,A1157)</f>
        <v>1</v>
      </c>
      <c r="N1157" s="24">
        <f t="shared" si="18"/>
        <v>459.0001157</v>
      </c>
    </row>
    <row r="1158" spans="1:14">
      <c r="A1158" s="21" t="s">
        <v>1780</v>
      </c>
      <c r="B1158" s="21" t="s">
        <v>929</v>
      </c>
      <c r="C1158" s="21" t="s">
        <v>182</v>
      </c>
      <c r="D1158" s="21" t="s">
        <v>921</v>
      </c>
      <c r="E1158" s="21">
        <v>1</v>
      </c>
      <c r="F1158" s="22">
        <v>45310.6824652778</v>
      </c>
      <c r="G1158" s="22"/>
      <c r="H1158" s="23">
        <v>15</v>
      </c>
      <c r="I1158" s="23">
        <v>15</v>
      </c>
      <c r="J1158" s="24">
        <v>15</v>
      </c>
      <c r="K1158" s="21">
        <v>0</v>
      </c>
      <c r="L1158" s="21">
        <v>0</v>
      </c>
      <c r="M1158" s="21">
        <f>COUNTIF($A$2:$A$5481,A1158)</f>
        <v>4</v>
      </c>
      <c r="N1158" s="24">
        <f t="shared" si="18"/>
        <v>15.0001158</v>
      </c>
    </row>
    <row r="1159" spans="1:14">
      <c r="A1159" s="21" t="s">
        <v>1780</v>
      </c>
      <c r="B1159" s="21" t="s">
        <v>929</v>
      </c>
      <c r="C1159" s="21" t="s">
        <v>26</v>
      </c>
      <c r="D1159" s="21" t="s">
        <v>921</v>
      </c>
      <c r="E1159" s="21">
        <v>4</v>
      </c>
      <c r="F1159" s="22">
        <v>45659.3955208333</v>
      </c>
      <c r="G1159" s="22">
        <v>45686.4640972222</v>
      </c>
      <c r="H1159" s="23">
        <v>120</v>
      </c>
      <c r="I1159" s="23">
        <v>45.66667</v>
      </c>
      <c r="J1159" s="24">
        <v>182.68</v>
      </c>
      <c r="K1159" s="21">
        <v>0</v>
      </c>
      <c r="L1159" s="21">
        <v>0</v>
      </c>
      <c r="M1159" s="21">
        <f>COUNTIF($A$2:$A$5481,A1159)</f>
        <v>4</v>
      </c>
      <c r="N1159" s="24">
        <f t="shared" si="18"/>
        <v>182.6801159</v>
      </c>
    </row>
    <row r="1160" spans="1:14">
      <c r="A1160" s="21" t="s">
        <v>1780</v>
      </c>
      <c r="B1160" s="21" t="s">
        <v>929</v>
      </c>
      <c r="C1160" s="21" t="s">
        <v>390</v>
      </c>
      <c r="D1160" s="21" t="s">
        <v>921</v>
      </c>
      <c r="E1160" s="21">
        <v>20</v>
      </c>
      <c r="F1160" s="22">
        <v>45726.4272337963</v>
      </c>
      <c r="G1160" s="22"/>
      <c r="H1160" s="23">
        <v>1360</v>
      </c>
      <c r="I1160" s="23">
        <v>68</v>
      </c>
      <c r="J1160" s="24">
        <v>1360</v>
      </c>
      <c r="K1160" s="21">
        <v>0</v>
      </c>
      <c r="L1160" s="21">
        <v>0</v>
      </c>
      <c r="M1160" s="21">
        <f>COUNTIF($A$2:$A$5481,A1160)</f>
        <v>4</v>
      </c>
      <c r="N1160" s="24">
        <f t="shared" si="18"/>
        <v>1360.000116</v>
      </c>
    </row>
    <row r="1161" spans="1:14">
      <c r="A1161" s="21" t="s">
        <v>1780</v>
      </c>
      <c r="B1161" s="21" t="s">
        <v>929</v>
      </c>
      <c r="C1161" s="21" t="s">
        <v>414</v>
      </c>
      <c r="D1161" s="21" t="s">
        <v>921</v>
      </c>
      <c r="E1161" s="21">
        <v>10</v>
      </c>
      <c r="F1161" s="22">
        <v>46009.6700578704</v>
      </c>
      <c r="G1161" s="22"/>
      <c r="H1161" s="23">
        <v>1340</v>
      </c>
      <c r="I1161" s="23">
        <v>134</v>
      </c>
      <c r="J1161" s="24">
        <v>1340</v>
      </c>
      <c r="K1161" s="21">
        <v>0</v>
      </c>
      <c r="L1161" s="21">
        <v>0</v>
      </c>
      <c r="M1161" s="21">
        <f>COUNTIF($A$2:$A$5481,A1161)</f>
        <v>4</v>
      </c>
      <c r="N1161" s="24">
        <f t="shared" si="18"/>
        <v>1340.0001161</v>
      </c>
    </row>
    <row r="1162" spans="1:14">
      <c r="A1162" s="21" t="s">
        <v>1781</v>
      </c>
      <c r="B1162" s="21" t="s">
        <v>929</v>
      </c>
      <c r="C1162" s="21" t="s">
        <v>26</v>
      </c>
      <c r="D1162" s="21" t="s">
        <v>921</v>
      </c>
      <c r="E1162" s="21">
        <v>1</v>
      </c>
      <c r="F1162" s="22">
        <v>45888.5769328704</v>
      </c>
      <c r="G1162" s="22"/>
      <c r="H1162" s="23">
        <v>15.9</v>
      </c>
      <c r="I1162" s="23">
        <v>15.9</v>
      </c>
      <c r="J1162" s="24">
        <v>15.9</v>
      </c>
      <c r="K1162" s="21">
        <v>0</v>
      </c>
      <c r="L1162" s="21">
        <v>0</v>
      </c>
      <c r="M1162" s="21">
        <f>COUNTIF($A$2:$A$5481,A1162)</f>
        <v>1</v>
      </c>
      <c r="N1162" s="24">
        <f t="shared" si="18"/>
        <v>15.9001162</v>
      </c>
    </row>
    <row r="1163" spans="1:14">
      <c r="A1163" s="21" t="s">
        <v>1782</v>
      </c>
      <c r="B1163" s="21" t="s">
        <v>920</v>
      </c>
      <c r="C1163" s="21" t="s">
        <v>26</v>
      </c>
      <c r="D1163" s="21" t="s">
        <v>921</v>
      </c>
      <c r="E1163" s="21">
        <v>6</v>
      </c>
      <c r="F1163" s="22">
        <v>46212.569212963</v>
      </c>
      <c r="G1163" s="22"/>
      <c r="H1163" s="23">
        <v>90</v>
      </c>
      <c r="I1163" s="23">
        <v>15</v>
      </c>
      <c r="J1163" s="24">
        <v>90</v>
      </c>
      <c r="K1163" s="21">
        <v>0</v>
      </c>
      <c r="L1163" s="21">
        <v>0</v>
      </c>
      <c r="M1163" s="21">
        <f>COUNTIF($A$2:$A$5481,A1163)</f>
        <v>1</v>
      </c>
      <c r="N1163" s="24">
        <f t="shared" si="18"/>
        <v>90.0001163</v>
      </c>
    </row>
    <row r="1164" spans="1:14">
      <c r="A1164" s="21" t="s">
        <v>1783</v>
      </c>
      <c r="B1164" s="21" t="s">
        <v>929</v>
      </c>
      <c r="C1164" s="21" t="s">
        <v>26</v>
      </c>
      <c r="D1164" s="21" t="s">
        <v>921</v>
      </c>
      <c r="E1164" s="21">
        <v>8</v>
      </c>
      <c r="F1164" s="22">
        <v>45352.4909722222</v>
      </c>
      <c r="G1164" s="22"/>
      <c r="H1164" s="23">
        <v>118.12</v>
      </c>
      <c r="I1164" s="23">
        <v>29.53</v>
      </c>
      <c r="J1164" s="24">
        <v>236.24</v>
      </c>
      <c r="K1164" s="21">
        <v>0</v>
      </c>
      <c r="L1164" s="21">
        <v>0</v>
      </c>
      <c r="M1164" s="21">
        <f>COUNTIF($A$2:$A$5481,A1164)</f>
        <v>1</v>
      </c>
      <c r="N1164" s="24">
        <f t="shared" si="18"/>
        <v>236.2401164</v>
      </c>
    </row>
    <row r="1165" spans="1:14">
      <c r="A1165" s="21" t="s">
        <v>1784</v>
      </c>
      <c r="B1165" s="21" t="s">
        <v>26</v>
      </c>
      <c r="C1165" s="21" t="s">
        <v>26</v>
      </c>
      <c r="D1165" s="21" t="s">
        <v>921</v>
      </c>
      <c r="E1165" s="21">
        <v>1</v>
      </c>
      <c r="F1165" s="22">
        <v>46078.5484837963</v>
      </c>
      <c r="G1165" s="22"/>
      <c r="H1165" s="23">
        <v>52.72</v>
      </c>
      <c r="I1165" s="23">
        <v>52.72</v>
      </c>
      <c r="J1165" s="24">
        <v>52.72</v>
      </c>
      <c r="K1165" s="21">
        <v>0</v>
      </c>
      <c r="L1165" s="21">
        <v>0</v>
      </c>
      <c r="M1165" s="21">
        <f>COUNTIF($A$2:$A$5481,A1165)</f>
        <v>1</v>
      </c>
      <c r="N1165" s="24">
        <f t="shared" si="18"/>
        <v>52.7201165</v>
      </c>
    </row>
    <row r="1166" spans="1:14">
      <c r="A1166" s="21" t="s">
        <v>1785</v>
      </c>
      <c r="B1166" s="21" t="s">
        <v>26</v>
      </c>
      <c r="C1166" s="21" t="s">
        <v>26</v>
      </c>
      <c r="D1166" s="21" t="s">
        <v>921</v>
      </c>
      <c r="E1166" s="21">
        <v>14</v>
      </c>
      <c r="F1166" s="22">
        <v>45706.5624305556</v>
      </c>
      <c r="G1166" s="22"/>
      <c r="H1166" s="23">
        <v>206.3</v>
      </c>
      <c r="I1166" s="23">
        <v>17.55857</v>
      </c>
      <c r="J1166" s="24">
        <v>245.84</v>
      </c>
      <c r="K1166" s="21">
        <v>0</v>
      </c>
      <c r="L1166" s="21">
        <v>0</v>
      </c>
      <c r="M1166" s="21">
        <f>COUNTIF($A$2:$A$5481,A1166)</f>
        <v>1</v>
      </c>
      <c r="N1166" s="24">
        <f t="shared" si="18"/>
        <v>245.8401166</v>
      </c>
    </row>
    <row r="1167" spans="1:14">
      <c r="A1167" s="21" t="s">
        <v>1786</v>
      </c>
      <c r="B1167" s="21" t="s">
        <v>26</v>
      </c>
      <c r="C1167" s="21" t="s">
        <v>26</v>
      </c>
      <c r="D1167" s="21" t="s">
        <v>921</v>
      </c>
      <c r="E1167" s="21">
        <v>10</v>
      </c>
      <c r="F1167" s="22">
        <v>46077.5403935185</v>
      </c>
      <c r="G1167" s="22"/>
      <c r="H1167" s="23">
        <v>173.7</v>
      </c>
      <c r="I1167" s="23">
        <v>17.37</v>
      </c>
      <c r="J1167" s="24">
        <v>173.7</v>
      </c>
      <c r="K1167" s="21">
        <v>0</v>
      </c>
      <c r="L1167" s="21">
        <v>0</v>
      </c>
      <c r="M1167" s="21">
        <f>COUNTIF($A$2:$A$5481,A1167)</f>
        <v>1</v>
      </c>
      <c r="N1167" s="24">
        <f t="shared" si="18"/>
        <v>173.7001167</v>
      </c>
    </row>
    <row r="1168" spans="1:14">
      <c r="A1168" s="21" t="s">
        <v>1787</v>
      </c>
      <c r="B1168" s="21" t="s">
        <v>920</v>
      </c>
      <c r="C1168" s="21" t="s">
        <v>26</v>
      </c>
      <c r="D1168" s="21" t="s">
        <v>931</v>
      </c>
      <c r="E1168" s="21">
        <v>10</v>
      </c>
      <c r="F1168" s="22">
        <v>45855.5498148148</v>
      </c>
      <c r="G1168" s="22"/>
      <c r="H1168" s="23">
        <v>198.5</v>
      </c>
      <c r="I1168" s="23">
        <v>41.42</v>
      </c>
      <c r="J1168" s="24">
        <v>414.2</v>
      </c>
      <c r="K1168" s="21">
        <v>0</v>
      </c>
      <c r="L1168" s="21">
        <v>0</v>
      </c>
      <c r="M1168" s="21">
        <f>COUNTIF($A$2:$A$5481,A1168)</f>
        <v>1</v>
      </c>
      <c r="N1168" s="24">
        <f t="shared" si="18"/>
        <v>414.2001168</v>
      </c>
    </row>
    <row r="1169" spans="1:14">
      <c r="A1169" s="21" t="s">
        <v>1788</v>
      </c>
      <c r="B1169" s="21" t="s">
        <v>920</v>
      </c>
      <c r="C1169" s="21" t="s">
        <v>26</v>
      </c>
      <c r="D1169" s="21" t="s">
        <v>921</v>
      </c>
      <c r="E1169" s="21">
        <v>200</v>
      </c>
      <c r="F1169" s="22">
        <v>45855.3525462963</v>
      </c>
      <c r="G1169" s="22"/>
      <c r="H1169" s="23">
        <v>60</v>
      </c>
      <c r="I1169" s="23">
        <v>0.3</v>
      </c>
      <c r="J1169" s="24">
        <v>60</v>
      </c>
      <c r="K1169" s="21">
        <v>0</v>
      </c>
      <c r="L1169" s="21">
        <v>0</v>
      </c>
      <c r="M1169" s="21">
        <f>COUNTIF($A$2:$A$5481,A1169)</f>
        <v>1</v>
      </c>
      <c r="N1169" s="24">
        <f t="shared" si="18"/>
        <v>60.0001169</v>
      </c>
    </row>
    <row r="1170" spans="1:14">
      <c r="A1170" s="21" t="s">
        <v>1789</v>
      </c>
      <c r="B1170" s="21" t="s">
        <v>920</v>
      </c>
      <c r="C1170" s="21" t="s">
        <v>26</v>
      </c>
      <c r="D1170" s="21" t="s">
        <v>921</v>
      </c>
      <c r="E1170" s="21">
        <v>25</v>
      </c>
      <c r="F1170" s="22">
        <v>45526.4375810185</v>
      </c>
      <c r="G1170" s="22"/>
      <c r="H1170" s="23">
        <v>25.5</v>
      </c>
      <c r="I1170" s="23">
        <v>1.02</v>
      </c>
      <c r="J1170" s="24">
        <v>25.5</v>
      </c>
      <c r="K1170" s="21">
        <v>0</v>
      </c>
      <c r="L1170" s="21">
        <v>0</v>
      </c>
      <c r="M1170" s="21">
        <f>COUNTIF($A$2:$A$5481,A1170)</f>
        <v>1</v>
      </c>
      <c r="N1170" s="24">
        <f t="shared" si="18"/>
        <v>25.500117</v>
      </c>
    </row>
    <row r="1171" spans="1:14">
      <c r="A1171" s="21" t="s">
        <v>1790</v>
      </c>
      <c r="B1171" s="21" t="s">
        <v>920</v>
      </c>
      <c r="C1171" s="21" t="s">
        <v>26</v>
      </c>
      <c r="D1171" s="21" t="s">
        <v>921</v>
      </c>
      <c r="E1171" s="21">
        <v>125</v>
      </c>
      <c r="F1171" s="22">
        <v>45916.709375</v>
      </c>
      <c r="G1171" s="22"/>
      <c r="H1171" s="23">
        <v>58</v>
      </c>
      <c r="I1171" s="23">
        <v>0.616</v>
      </c>
      <c r="J1171" s="24">
        <v>77.5</v>
      </c>
      <c r="K1171" s="21">
        <v>0</v>
      </c>
      <c r="L1171" s="21">
        <v>0</v>
      </c>
      <c r="M1171" s="21">
        <f>COUNTIF($A$2:$A$5481,A1171)</f>
        <v>1</v>
      </c>
      <c r="N1171" s="24">
        <f t="shared" si="18"/>
        <v>77.5001171</v>
      </c>
    </row>
    <row r="1172" spans="1:14">
      <c r="A1172" s="21" t="s">
        <v>1791</v>
      </c>
      <c r="B1172" s="21" t="s">
        <v>920</v>
      </c>
      <c r="C1172" s="21" t="s">
        <v>26</v>
      </c>
      <c r="D1172" s="21" t="s">
        <v>921</v>
      </c>
      <c r="E1172" s="21">
        <v>125</v>
      </c>
      <c r="F1172" s="22">
        <v>45916.709375</v>
      </c>
      <c r="G1172" s="22"/>
      <c r="H1172" s="23">
        <v>52</v>
      </c>
      <c r="I1172" s="23">
        <v>0.552</v>
      </c>
      <c r="J1172" s="24">
        <v>68.75</v>
      </c>
      <c r="K1172" s="21">
        <v>0</v>
      </c>
      <c r="L1172" s="21">
        <v>0</v>
      </c>
      <c r="M1172" s="21">
        <f>COUNTIF($A$2:$A$5481,A1172)</f>
        <v>1</v>
      </c>
      <c r="N1172" s="24">
        <f t="shared" si="18"/>
        <v>68.7501172</v>
      </c>
    </row>
    <row r="1173" spans="1:14">
      <c r="A1173" s="21" t="s">
        <v>1792</v>
      </c>
      <c r="B1173" s="21" t="s">
        <v>26</v>
      </c>
      <c r="C1173" s="21" t="s">
        <v>26</v>
      </c>
      <c r="D1173" s="21" t="s">
        <v>921</v>
      </c>
      <c r="E1173" s="21">
        <v>5</v>
      </c>
      <c r="F1173" s="22">
        <v>45496.3477430556</v>
      </c>
      <c r="G1173" s="22"/>
      <c r="H1173" s="23">
        <v>144.5</v>
      </c>
      <c r="I1173" s="23">
        <v>28.9</v>
      </c>
      <c r="J1173" s="24">
        <v>144.5</v>
      </c>
      <c r="K1173" s="21">
        <v>0</v>
      </c>
      <c r="L1173" s="21">
        <v>0</v>
      </c>
      <c r="M1173" s="21">
        <f>COUNTIF($A$2:$A$5481,A1173)</f>
        <v>1</v>
      </c>
      <c r="N1173" s="24">
        <f t="shared" si="18"/>
        <v>144.5001173</v>
      </c>
    </row>
    <row r="1174" spans="1:14">
      <c r="A1174" s="21" t="s">
        <v>1793</v>
      </c>
      <c r="B1174" s="21" t="s">
        <v>920</v>
      </c>
      <c r="C1174" s="21" t="s">
        <v>26</v>
      </c>
      <c r="D1174" s="21" t="s">
        <v>921</v>
      </c>
      <c r="E1174" s="21">
        <v>7</v>
      </c>
      <c r="F1174" s="22">
        <v>45447.5733217593</v>
      </c>
      <c r="G1174" s="22"/>
      <c r="H1174" s="23">
        <v>169.65</v>
      </c>
      <c r="I1174" s="23">
        <v>40.85571</v>
      </c>
      <c r="J1174" s="24">
        <v>286.02</v>
      </c>
      <c r="K1174" s="21">
        <v>0</v>
      </c>
      <c r="L1174" s="21">
        <v>0</v>
      </c>
      <c r="M1174" s="21">
        <f>COUNTIF($A$2:$A$5481,A1174)</f>
        <v>1</v>
      </c>
      <c r="N1174" s="24">
        <f t="shared" si="18"/>
        <v>286.0201174</v>
      </c>
    </row>
    <row r="1175" spans="1:14">
      <c r="A1175" s="21" t="s">
        <v>1794</v>
      </c>
      <c r="B1175" s="21" t="s">
        <v>920</v>
      </c>
      <c r="C1175" s="21" t="s">
        <v>35</v>
      </c>
      <c r="D1175" s="21" t="s">
        <v>921</v>
      </c>
      <c r="E1175" s="21">
        <v>2</v>
      </c>
      <c r="F1175" s="22">
        <v>45316.5138888889</v>
      </c>
      <c r="G1175" s="22"/>
      <c r="H1175" s="23">
        <v>36.08</v>
      </c>
      <c r="I1175" s="23">
        <v>18.04</v>
      </c>
      <c r="J1175" s="24">
        <v>36.08</v>
      </c>
      <c r="K1175" s="21">
        <v>0</v>
      </c>
      <c r="L1175" s="21">
        <v>0</v>
      </c>
      <c r="M1175" s="21">
        <f>COUNTIF($A$2:$A$5481,A1175)</f>
        <v>2</v>
      </c>
      <c r="N1175" s="24">
        <f t="shared" si="18"/>
        <v>36.0801175</v>
      </c>
    </row>
    <row r="1176" spans="1:14">
      <c r="A1176" s="21" t="s">
        <v>1794</v>
      </c>
      <c r="B1176" s="21" t="s">
        <v>920</v>
      </c>
      <c r="C1176" s="21" t="s">
        <v>26</v>
      </c>
      <c r="D1176" s="21" t="s">
        <v>921</v>
      </c>
      <c r="E1176" s="21">
        <v>5</v>
      </c>
      <c r="F1176" s="22">
        <v>45510.3639236111</v>
      </c>
      <c r="G1176" s="22"/>
      <c r="H1176" s="23">
        <v>23.45</v>
      </c>
      <c r="I1176" s="23">
        <v>4.69</v>
      </c>
      <c r="J1176" s="24">
        <v>23.45</v>
      </c>
      <c r="K1176" s="21">
        <v>0</v>
      </c>
      <c r="L1176" s="21">
        <v>0</v>
      </c>
      <c r="M1176" s="21">
        <f>COUNTIF($A$2:$A$5481,A1176)</f>
        <v>2</v>
      </c>
      <c r="N1176" s="24">
        <f t="shared" si="18"/>
        <v>23.4501176</v>
      </c>
    </row>
    <row r="1177" spans="1:14">
      <c r="A1177" s="21" t="s">
        <v>1795</v>
      </c>
      <c r="B1177" s="21" t="s">
        <v>920</v>
      </c>
      <c r="C1177" s="21" t="s">
        <v>35</v>
      </c>
      <c r="D1177" s="21" t="s">
        <v>921</v>
      </c>
      <c r="E1177" s="21">
        <v>2</v>
      </c>
      <c r="F1177" s="22">
        <v>45316.5138888889</v>
      </c>
      <c r="G1177" s="22"/>
      <c r="H1177" s="23">
        <v>51.44</v>
      </c>
      <c r="I1177" s="23">
        <v>25.72</v>
      </c>
      <c r="J1177" s="24">
        <v>51.44</v>
      </c>
      <c r="K1177" s="21">
        <v>0</v>
      </c>
      <c r="L1177" s="21">
        <v>0</v>
      </c>
      <c r="M1177" s="21">
        <f>COUNTIF($A$2:$A$5481,A1177)</f>
        <v>2</v>
      </c>
      <c r="N1177" s="24">
        <f t="shared" si="18"/>
        <v>51.4401177</v>
      </c>
    </row>
    <row r="1178" spans="1:14">
      <c r="A1178" s="21" t="s">
        <v>1795</v>
      </c>
      <c r="B1178" s="21" t="s">
        <v>920</v>
      </c>
      <c r="C1178" s="21" t="s">
        <v>26</v>
      </c>
      <c r="D1178" s="21" t="s">
        <v>921</v>
      </c>
      <c r="E1178" s="21">
        <v>5</v>
      </c>
      <c r="F1178" s="22">
        <v>46055.7105324074</v>
      </c>
      <c r="G1178" s="22"/>
      <c r="H1178" s="23">
        <v>179.3</v>
      </c>
      <c r="I1178" s="23">
        <v>35.86</v>
      </c>
      <c r="J1178" s="24">
        <v>179.3</v>
      </c>
      <c r="K1178" s="21">
        <v>0</v>
      </c>
      <c r="L1178" s="21">
        <v>0</v>
      </c>
      <c r="M1178" s="21">
        <f>COUNTIF($A$2:$A$5481,A1178)</f>
        <v>2</v>
      </c>
      <c r="N1178" s="24">
        <f t="shared" si="18"/>
        <v>179.3001178</v>
      </c>
    </row>
    <row r="1179" spans="1:14">
      <c r="A1179" s="21" t="s">
        <v>1796</v>
      </c>
      <c r="B1179" s="21" t="s">
        <v>920</v>
      </c>
      <c r="C1179" s="21" t="s">
        <v>26</v>
      </c>
      <c r="D1179" s="21" t="s">
        <v>931</v>
      </c>
      <c r="E1179" s="21">
        <v>100</v>
      </c>
      <c r="F1179" s="22">
        <v>45916.709375</v>
      </c>
      <c r="G1179" s="22"/>
      <c r="H1179" s="23">
        <v>73</v>
      </c>
      <c r="I1179" s="23">
        <v>0.73</v>
      </c>
      <c r="J1179" s="24">
        <v>73</v>
      </c>
      <c r="K1179" s="21">
        <v>0</v>
      </c>
      <c r="L1179" s="21">
        <v>0</v>
      </c>
      <c r="M1179" s="21">
        <f>COUNTIF($A$2:$A$5481,A1179)</f>
        <v>1</v>
      </c>
      <c r="N1179" s="24">
        <f t="shared" si="18"/>
        <v>73.0001179</v>
      </c>
    </row>
    <row r="1180" spans="1:14">
      <c r="A1180" s="21" t="s">
        <v>1797</v>
      </c>
      <c r="B1180" s="21" t="s">
        <v>920</v>
      </c>
      <c r="C1180" s="21" t="s">
        <v>35</v>
      </c>
      <c r="D1180" s="21" t="s">
        <v>921</v>
      </c>
      <c r="E1180" s="21">
        <v>12</v>
      </c>
      <c r="F1180" s="22">
        <v>45981.3548148148</v>
      </c>
      <c r="G1180" s="22"/>
      <c r="H1180" s="23">
        <v>2.04</v>
      </c>
      <c r="I1180" s="23">
        <v>0.17</v>
      </c>
      <c r="J1180" s="24">
        <v>2.04</v>
      </c>
      <c r="K1180" s="21">
        <v>0</v>
      </c>
      <c r="L1180" s="21">
        <v>0</v>
      </c>
      <c r="M1180" s="21">
        <f>COUNTIF($A$2:$A$5481,A1180)</f>
        <v>1</v>
      </c>
      <c r="N1180" s="24">
        <f t="shared" si="18"/>
        <v>2.040118</v>
      </c>
    </row>
    <row r="1181" spans="1:14">
      <c r="A1181" s="21" t="s">
        <v>1798</v>
      </c>
      <c r="B1181" s="21" t="s">
        <v>920</v>
      </c>
      <c r="C1181" s="21" t="s">
        <v>26</v>
      </c>
      <c r="D1181" s="21" t="s">
        <v>921</v>
      </c>
      <c r="E1181" s="21">
        <v>5</v>
      </c>
      <c r="F1181" s="22">
        <v>46238.5709953704</v>
      </c>
      <c r="G1181" s="22"/>
      <c r="H1181" s="23">
        <v>165</v>
      </c>
      <c r="I1181" s="23">
        <v>33</v>
      </c>
      <c r="J1181" s="24">
        <v>165</v>
      </c>
      <c r="K1181" s="21">
        <v>0</v>
      </c>
      <c r="L1181" s="21">
        <v>0</v>
      </c>
      <c r="M1181" s="21">
        <f>COUNTIF($A$2:$A$5481,A1181)</f>
        <v>1</v>
      </c>
      <c r="N1181" s="24">
        <f t="shared" si="18"/>
        <v>165.0001181</v>
      </c>
    </row>
    <row r="1182" spans="1:14">
      <c r="A1182" s="21" t="s">
        <v>1799</v>
      </c>
      <c r="B1182" s="21" t="s">
        <v>920</v>
      </c>
      <c r="C1182" s="21" t="s">
        <v>26</v>
      </c>
      <c r="D1182" s="21" t="s">
        <v>931</v>
      </c>
      <c r="E1182" s="21">
        <v>9</v>
      </c>
      <c r="F1182" s="22">
        <v>46169.5992476852</v>
      </c>
      <c r="G1182" s="22"/>
      <c r="H1182" s="23">
        <v>127.12</v>
      </c>
      <c r="I1182" s="23">
        <v>39.0133333333</v>
      </c>
      <c r="J1182" s="24">
        <v>351.09</v>
      </c>
      <c r="K1182" s="21">
        <v>0</v>
      </c>
      <c r="L1182" s="21">
        <v>0</v>
      </c>
      <c r="M1182" s="21">
        <f>COUNTIF($A$2:$A$5481,A1182)</f>
        <v>1</v>
      </c>
      <c r="N1182" s="24">
        <f t="shared" si="18"/>
        <v>351.0901182</v>
      </c>
    </row>
    <row r="1183" spans="1:14">
      <c r="A1183" s="21" t="s">
        <v>1800</v>
      </c>
      <c r="B1183" s="21" t="s">
        <v>26</v>
      </c>
      <c r="C1183" s="21" t="s">
        <v>26</v>
      </c>
      <c r="D1183" s="21" t="s">
        <v>921</v>
      </c>
      <c r="E1183" s="21">
        <v>230</v>
      </c>
      <c r="F1183" s="22">
        <v>45496.3627314815</v>
      </c>
      <c r="G1183" s="22"/>
      <c r="H1183" s="23">
        <v>112.7</v>
      </c>
      <c r="I1183" s="23">
        <v>0.49</v>
      </c>
      <c r="J1183" s="24">
        <v>112.7</v>
      </c>
      <c r="K1183" s="21">
        <v>0</v>
      </c>
      <c r="L1183" s="21">
        <v>0</v>
      </c>
      <c r="M1183" s="21">
        <f>COUNTIF($A$2:$A$5481,A1183)</f>
        <v>1</v>
      </c>
      <c r="N1183" s="24">
        <f t="shared" si="18"/>
        <v>112.7001183</v>
      </c>
    </row>
    <row r="1184" spans="1:14">
      <c r="A1184" s="21" t="s">
        <v>1801</v>
      </c>
      <c r="B1184" s="21" t="s">
        <v>920</v>
      </c>
      <c r="C1184" s="21" t="s">
        <v>26</v>
      </c>
      <c r="D1184" s="21" t="s">
        <v>921</v>
      </c>
      <c r="E1184" s="21">
        <v>100</v>
      </c>
      <c r="F1184" s="22">
        <v>45348.7048611111</v>
      </c>
      <c r="G1184" s="22"/>
      <c r="H1184" s="23">
        <v>30</v>
      </c>
      <c r="I1184" s="23">
        <v>0.3</v>
      </c>
      <c r="J1184" s="24">
        <v>30</v>
      </c>
      <c r="K1184" s="21">
        <v>0</v>
      </c>
      <c r="L1184" s="21">
        <v>0</v>
      </c>
      <c r="M1184" s="21">
        <f>COUNTIF($A$2:$A$5481,A1184)</f>
        <v>1</v>
      </c>
      <c r="N1184" s="24">
        <f t="shared" si="18"/>
        <v>30.0001184</v>
      </c>
    </row>
    <row r="1185" spans="1:14">
      <c r="A1185" s="21" t="s">
        <v>1802</v>
      </c>
      <c r="B1185" s="21" t="s">
        <v>920</v>
      </c>
      <c r="C1185" s="21" t="s">
        <v>35</v>
      </c>
      <c r="D1185" s="21" t="s">
        <v>921</v>
      </c>
      <c r="E1185" s="21">
        <v>1</v>
      </c>
      <c r="F1185" s="22">
        <v>45428.5912037037</v>
      </c>
      <c r="G1185" s="22"/>
      <c r="H1185" s="23">
        <v>29</v>
      </c>
      <c r="I1185" s="23">
        <v>29</v>
      </c>
      <c r="J1185" s="24">
        <v>29</v>
      </c>
      <c r="K1185" s="21">
        <v>0</v>
      </c>
      <c r="L1185" s="21">
        <v>0</v>
      </c>
      <c r="M1185" s="21">
        <f>COUNTIF($A$2:$A$5481,A1185)</f>
        <v>1</v>
      </c>
      <c r="N1185" s="24">
        <f t="shared" si="18"/>
        <v>29.0001185</v>
      </c>
    </row>
    <row r="1186" spans="1:14">
      <c r="A1186" s="21" t="s">
        <v>1803</v>
      </c>
      <c r="B1186" s="21" t="s">
        <v>920</v>
      </c>
      <c r="C1186" s="21" t="s">
        <v>35</v>
      </c>
      <c r="D1186" s="21" t="s">
        <v>921</v>
      </c>
      <c r="E1186" s="21">
        <v>50</v>
      </c>
      <c r="F1186" s="22">
        <v>45428.5912037037</v>
      </c>
      <c r="G1186" s="22"/>
      <c r="H1186" s="23">
        <v>9</v>
      </c>
      <c r="I1186" s="23">
        <v>0.18</v>
      </c>
      <c r="J1186" s="24">
        <v>9</v>
      </c>
      <c r="K1186" s="21">
        <v>0</v>
      </c>
      <c r="L1186" s="21">
        <v>0</v>
      </c>
      <c r="M1186" s="21">
        <f>COUNTIF($A$2:$A$5481,A1186)</f>
        <v>1</v>
      </c>
      <c r="N1186" s="24">
        <f t="shared" si="18"/>
        <v>9.0001186</v>
      </c>
    </row>
    <row r="1187" spans="1:14">
      <c r="A1187" s="21" t="s">
        <v>1804</v>
      </c>
      <c r="B1187" s="21" t="s">
        <v>920</v>
      </c>
      <c r="C1187" s="21" t="s">
        <v>35</v>
      </c>
      <c r="D1187" s="21" t="s">
        <v>921</v>
      </c>
      <c r="E1187" s="21">
        <v>50</v>
      </c>
      <c r="F1187" s="22">
        <v>45428.5912037037</v>
      </c>
      <c r="G1187" s="22"/>
      <c r="H1187" s="23">
        <v>10.5</v>
      </c>
      <c r="I1187" s="23">
        <v>0.21</v>
      </c>
      <c r="J1187" s="24">
        <v>10.5</v>
      </c>
      <c r="K1187" s="21">
        <v>0</v>
      </c>
      <c r="L1187" s="21">
        <v>0</v>
      </c>
      <c r="M1187" s="21">
        <f>COUNTIF($A$2:$A$5481,A1187)</f>
        <v>1</v>
      </c>
      <c r="N1187" s="24">
        <f t="shared" si="18"/>
        <v>10.5001187</v>
      </c>
    </row>
    <row r="1188" spans="1:14">
      <c r="A1188" s="21" t="s">
        <v>1805</v>
      </c>
      <c r="B1188" s="21" t="s">
        <v>26</v>
      </c>
      <c r="C1188" s="21" t="s">
        <v>26</v>
      </c>
      <c r="D1188" s="21" t="s">
        <v>921</v>
      </c>
      <c r="E1188" s="21">
        <v>10</v>
      </c>
      <c r="F1188" s="22">
        <v>45817.8450115741</v>
      </c>
      <c r="G1188" s="22"/>
      <c r="H1188" s="23">
        <v>120</v>
      </c>
      <c r="I1188" s="23">
        <v>12</v>
      </c>
      <c r="J1188" s="24">
        <v>120</v>
      </c>
      <c r="K1188" s="21">
        <v>0</v>
      </c>
      <c r="L1188" s="21">
        <v>0</v>
      </c>
      <c r="M1188" s="21">
        <f>COUNTIF($A$2:$A$5481,A1188)</f>
        <v>1</v>
      </c>
      <c r="N1188" s="24">
        <f t="shared" si="18"/>
        <v>120.0001188</v>
      </c>
    </row>
    <row r="1189" spans="1:14">
      <c r="A1189" s="21" t="s">
        <v>1806</v>
      </c>
      <c r="B1189" s="21" t="s">
        <v>920</v>
      </c>
      <c r="C1189" s="21" t="s">
        <v>26</v>
      </c>
      <c r="D1189" s="21" t="s">
        <v>1217</v>
      </c>
      <c r="E1189" s="21">
        <v>50</v>
      </c>
      <c r="F1189" s="22">
        <v>45852.5996759259</v>
      </c>
      <c r="G1189" s="22"/>
      <c r="H1189" s="23">
        <v>12.5</v>
      </c>
      <c r="I1189" s="23">
        <v>0.25</v>
      </c>
      <c r="J1189" s="24">
        <v>12.5</v>
      </c>
      <c r="K1189" s="21">
        <v>0</v>
      </c>
      <c r="L1189" s="21">
        <v>0</v>
      </c>
      <c r="M1189" s="21">
        <f>COUNTIF($A$2:$A$5481,A1189)</f>
        <v>1</v>
      </c>
      <c r="N1189" s="24">
        <f t="shared" si="18"/>
        <v>12.5001189</v>
      </c>
    </row>
    <row r="1190" spans="1:14">
      <c r="A1190" s="21" t="s">
        <v>1807</v>
      </c>
      <c r="B1190" s="21" t="s">
        <v>26</v>
      </c>
      <c r="C1190" s="21" t="s">
        <v>26</v>
      </c>
      <c r="D1190" s="21" t="s">
        <v>921</v>
      </c>
      <c r="E1190" s="21">
        <v>1</v>
      </c>
      <c r="F1190" s="22">
        <v>45460.3506944445</v>
      </c>
      <c r="G1190" s="22"/>
      <c r="H1190" s="23">
        <v>27</v>
      </c>
      <c r="I1190" s="23">
        <v>27</v>
      </c>
      <c r="J1190" s="24">
        <v>27</v>
      </c>
      <c r="K1190" s="21">
        <v>0</v>
      </c>
      <c r="L1190" s="21">
        <v>0</v>
      </c>
      <c r="M1190" s="21">
        <f>COUNTIF($A$2:$A$5481,A1190)</f>
        <v>1</v>
      </c>
      <c r="N1190" s="24">
        <f t="shared" si="18"/>
        <v>27.000119</v>
      </c>
    </row>
    <row r="1191" spans="1:14">
      <c r="A1191" s="21" t="s">
        <v>1808</v>
      </c>
      <c r="B1191" s="21" t="s">
        <v>26</v>
      </c>
      <c r="C1191" s="21" t="s">
        <v>26</v>
      </c>
      <c r="D1191" s="21" t="s">
        <v>921</v>
      </c>
      <c r="E1191" s="21">
        <v>1</v>
      </c>
      <c r="F1191" s="22">
        <v>45460.3506944445</v>
      </c>
      <c r="G1191" s="22"/>
      <c r="H1191" s="23">
        <v>27</v>
      </c>
      <c r="I1191" s="23">
        <v>27</v>
      </c>
      <c r="J1191" s="24">
        <v>27</v>
      </c>
      <c r="K1191" s="21">
        <v>0</v>
      </c>
      <c r="L1191" s="21">
        <v>0</v>
      </c>
      <c r="M1191" s="21">
        <f>COUNTIF($A$2:$A$5481,A1191)</f>
        <v>1</v>
      </c>
      <c r="N1191" s="24">
        <f t="shared" si="18"/>
        <v>27.0001191</v>
      </c>
    </row>
    <row r="1192" spans="1:14">
      <c r="A1192" s="21" t="s">
        <v>1809</v>
      </c>
      <c r="B1192" s="21" t="s">
        <v>920</v>
      </c>
      <c r="C1192" s="21" t="s">
        <v>26</v>
      </c>
      <c r="D1192" s="21" t="s">
        <v>1217</v>
      </c>
      <c r="E1192" s="21">
        <v>50</v>
      </c>
      <c r="F1192" s="22">
        <v>45852.5996759259</v>
      </c>
      <c r="G1192" s="22"/>
      <c r="H1192" s="23">
        <v>15</v>
      </c>
      <c r="I1192" s="23">
        <v>0.3</v>
      </c>
      <c r="J1192" s="24">
        <v>15</v>
      </c>
      <c r="K1192" s="21">
        <v>0</v>
      </c>
      <c r="L1192" s="21">
        <v>0</v>
      </c>
      <c r="M1192" s="21">
        <f>COUNTIF($A$2:$A$5481,A1192)</f>
        <v>1</v>
      </c>
      <c r="N1192" s="24">
        <f t="shared" si="18"/>
        <v>15.0001192</v>
      </c>
    </row>
    <row r="1193" spans="1:14">
      <c r="A1193" s="21" t="s">
        <v>1810</v>
      </c>
      <c r="B1193" s="21" t="s">
        <v>920</v>
      </c>
      <c r="C1193" s="21" t="s">
        <v>26</v>
      </c>
      <c r="D1193" s="21" t="s">
        <v>921</v>
      </c>
      <c r="E1193" s="21">
        <v>1000</v>
      </c>
      <c r="F1193" s="22">
        <v>45772.3839814815</v>
      </c>
      <c r="G1193" s="22"/>
      <c r="H1193" s="23">
        <v>260</v>
      </c>
      <c r="I1193" s="23">
        <v>0.26</v>
      </c>
      <c r="J1193" s="24">
        <v>260</v>
      </c>
      <c r="K1193" s="21">
        <v>0</v>
      </c>
      <c r="L1193" s="21">
        <v>0</v>
      </c>
      <c r="M1193" s="21">
        <f>COUNTIF($A$2:$A$5481,A1193)</f>
        <v>1</v>
      </c>
      <c r="N1193" s="24">
        <f t="shared" si="18"/>
        <v>260.0001193</v>
      </c>
    </row>
    <row r="1194" spans="1:14">
      <c r="A1194" s="21" t="s">
        <v>1811</v>
      </c>
      <c r="B1194" s="21" t="s">
        <v>26</v>
      </c>
      <c r="C1194" s="21" t="s">
        <v>26</v>
      </c>
      <c r="D1194" s="21" t="s">
        <v>921</v>
      </c>
      <c r="E1194" s="21">
        <v>3</v>
      </c>
      <c r="F1194" s="22">
        <v>45495.4178125</v>
      </c>
      <c r="G1194" s="22"/>
      <c r="H1194" s="23">
        <v>68.22</v>
      </c>
      <c r="I1194" s="23">
        <v>22.74</v>
      </c>
      <c r="J1194" s="24">
        <v>68.22</v>
      </c>
      <c r="K1194" s="21">
        <v>0</v>
      </c>
      <c r="L1194" s="21">
        <v>0</v>
      </c>
      <c r="M1194" s="21">
        <f>COUNTIF($A$2:$A$5481,A1194)</f>
        <v>1</v>
      </c>
      <c r="N1194" s="24">
        <f t="shared" si="18"/>
        <v>68.2201194</v>
      </c>
    </row>
    <row r="1195" spans="1:14">
      <c r="A1195" s="21" t="s">
        <v>635</v>
      </c>
      <c r="B1195" s="21" t="s">
        <v>948</v>
      </c>
      <c r="C1195" s="21" t="s">
        <v>414</v>
      </c>
      <c r="D1195" s="21" t="s">
        <v>1539</v>
      </c>
      <c r="E1195" s="21">
        <v>10</v>
      </c>
      <c r="F1195" s="22">
        <v>45328.5957986111</v>
      </c>
      <c r="G1195" s="22"/>
      <c r="H1195" s="23">
        <v>71</v>
      </c>
      <c r="I1195" s="23">
        <v>7.1</v>
      </c>
      <c r="J1195" s="24">
        <v>71</v>
      </c>
      <c r="K1195" s="21">
        <v>0</v>
      </c>
      <c r="L1195" s="21">
        <v>0</v>
      </c>
      <c r="M1195" s="21">
        <f>COUNTIF($A$2:$A$5481,A1195)</f>
        <v>3</v>
      </c>
      <c r="N1195" s="24">
        <f t="shared" si="18"/>
        <v>71.0001195</v>
      </c>
    </row>
    <row r="1196" spans="1:14">
      <c r="A1196" s="21" t="s">
        <v>635</v>
      </c>
      <c r="B1196" s="21" t="s">
        <v>948</v>
      </c>
      <c r="C1196" s="21" t="s">
        <v>641</v>
      </c>
      <c r="D1196" s="21" t="s">
        <v>1539</v>
      </c>
      <c r="E1196" s="21">
        <v>50</v>
      </c>
      <c r="F1196" s="22">
        <v>45475.4149768519</v>
      </c>
      <c r="G1196" s="22">
        <v>45278.3923032407</v>
      </c>
      <c r="H1196" s="23">
        <v>79</v>
      </c>
      <c r="I1196" s="23">
        <v>7.572</v>
      </c>
      <c r="J1196" s="24">
        <v>378.5</v>
      </c>
      <c r="K1196" s="21">
        <v>0</v>
      </c>
      <c r="L1196" s="21">
        <v>0</v>
      </c>
      <c r="M1196" s="21">
        <f>COUNTIF($A$2:$A$5481,A1196)</f>
        <v>3</v>
      </c>
      <c r="N1196" s="24">
        <f t="shared" si="18"/>
        <v>378.5001196</v>
      </c>
    </row>
    <row r="1197" spans="1:14">
      <c r="A1197" s="21" t="s">
        <v>635</v>
      </c>
      <c r="B1197" s="21" t="s">
        <v>948</v>
      </c>
      <c r="C1197" s="21" t="s">
        <v>26</v>
      </c>
      <c r="D1197" s="21" t="s">
        <v>1539</v>
      </c>
      <c r="E1197" s="21">
        <v>1</v>
      </c>
      <c r="F1197" s="22">
        <v>46252.5548263889</v>
      </c>
      <c r="G1197" s="22">
        <v>46252.4863194445</v>
      </c>
      <c r="H1197" s="23">
        <v>147</v>
      </c>
      <c r="I1197" s="23">
        <v>147.0000000139</v>
      </c>
      <c r="J1197" s="24">
        <v>147</v>
      </c>
      <c r="K1197" s="21">
        <v>0</v>
      </c>
      <c r="L1197" s="21">
        <v>0</v>
      </c>
      <c r="M1197" s="21">
        <f>COUNTIF($A$2:$A$5481,A1197)</f>
        <v>3</v>
      </c>
      <c r="N1197" s="24">
        <f t="shared" si="18"/>
        <v>147.0001197</v>
      </c>
    </row>
    <row r="1198" spans="1:14">
      <c r="A1198" s="21" t="s">
        <v>1812</v>
      </c>
      <c r="B1198" s="21" t="s">
        <v>920</v>
      </c>
      <c r="C1198" s="21" t="s">
        <v>390</v>
      </c>
      <c r="D1198" s="21" t="s">
        <v>921</v>
      </c>
      <c r="E1198" s="21">
        <v>1</v>
      </c>
      <c r="F1198" s="22">
        <v>45581.4859606482</v>
      </c>
      <c r="G1198" s="22"/>
      <c r="H1198" s="23">
        <v>1280</v>
      </c>
      <c r="I1198" s="23">
        <v>1280</v>
      </c>
      <c r="J1198" s="24">
        <v>1280</v>
      </c>
      <c r="K1198" s="21">
        <v>0</v>
      </c>
      <c r="L1198" s="21">
        <v>0</v>
      </c>
      <c r="M1198" s="21">
        <f>COUNTIF($A$2:$A$5481,A1198)</f>
        <v>1</v>
      </c>
      <c r="N1198" s="24">
        <f t="shared" si="18"/>
        <v>1280.0001198</v>
      </c>
    </row>
    <row r="1199" spans="1:14">
      <c r="A1199" s="21" t="s">
        <v>1813</v>
      </c>
      <c r="B1199" s="21" t="s">
        <v>1175</v>
      </c>
      <c r="C1199" s="21" t="s">
        <v>51</v>
      </c>
      <c r="D1199" s="21" t="s">
        <v>921</v>
      </c>
      <c r="E1199" s="21">
        <v>5</v>
      </c>
      <c r="F1199" s="22">
        <v>45420.4958333333</v>
      </c>
      <c r="G1199" s="22"/>
      <c r="H1199" s="23">
        <v>519</v>
      </c>
      <c r="I1199" s="23">
        <v>103.8</v>
      </c>
      <c r="J1199" s="24">
        <v>519</v>
      </c>
      <c r="K1199" s="21">
        <v>0</v>
      </c>
      <c r="L1199" s="21">
        <v>0</v>
      </c>
      <c r="M1199" s="21">
        <f>COUNTIF($A$2:$A$5481,A1199)</f>
        <v>1</v>
      </c>
      <c r="N1199" s="24">
        <f t="shared" si="18"/>
        <v>519.0001199</v>
      </c>
    </row>
    <row r="1200" spans="1:14">
      <c r="A1200" s="21" t="s">
        <v>746</v>
      </c>
      <c r="B1200" s="21" t="s">
        <v>920</v>
      </c>
      <c r="C1200" s="21" t="s">
        <v>26</v>
      </c>
      <c r="D1200" s="21" t="s">
        <v>921</v>
      </c>
      <c r="E1200" s="21">
        <v>0</v>
      </c>
      <c r="F1200" s="22">
        <v>45560.5815740741</v>
      </c>
      <c r="G1200" s="22">
        <v>46252.6094328704</v>
      </c>
      <c r="H1200" s="23">
        <v>116</v>
      </c>
      <c r="I1200" s="23">
        <v>91.3333333333</v>
      </c>
      <c r="J1200" s="24">
        <v>0</v>
      </c>
      <c r="K1200" s="21">
        <v>0</v>
      </c>
      <c r="L1200" s="21">
        <v>0</v>
      </c>
      <c r="M1200" s="21">
        <f>COUNTIF($A$2:$A$5481,A1200)</f>
        <v>1</v>
      </c>
      <c r="N1200" s="24">
        <f t="shared" si="18"/>
        <v>0.00012</v>
      </c>
    </row>
    <row r="1201" spans="1:14">
      <c r="A1201" s="21" t="s">
        <v>1814</v>
      </c>
      <c r="B1201" s="21" t="s">
        <v>920</v>
      </c>
      <c r="C1201" s="21" t="s">
        <v>35</v>
      </c>
      <c r="D1201" s="21" t="s">
        <v>921</v>
      </c>
      <c r="E1201" s="21">
        <v>1</v>
      </c>
      <c r="F1201" s="22">
        <v>45378.8429398148</v>
      </c>
      <c r="G1201" s="22"/>
      <c r="H1201" s="23">
        <v>360</v>
      </c>
      <c r="I1201" s="23">
        <v>360</v>
      </c>
      <c r="J1201" s="24">
        <v>360</v>
      </c>
      <c r="K1201" s="21">
        <v>0</v>
      </c>
      <c r="L1201" s="21">
        <v>0</v>
      </c>
      <c r="M1201" s="21">
        <f>COUNTIF($A$2:$A$5481,A1201)</f>
        <v>1</v>
      </c>
      <c r="N1201" s="24">
        <f t="shared" si="18"/>
        <v>360.0001201</v>
      </c>
    </row>
    <row r="1202" spans="1:14">
      <c r="A1202" s="21" t="s">
        <v>1815</v>
      </c>
      <c r="B1202" s="21" t="s">
        <v>26</v>
      </c>
      <c r="C1202" s="21" t="s">
        <v>26</v>
      </c>
      <c r="D1202" s="21" t="s">
        <v>921</v>
      </c>
      <c r="E1202" s="21">
        <v>1</v>
      </c>
      <c r="F1202" s="22">
        <v>45672.4724074074</v>
      </c>
      <c r="G1202" s="22"/>
      <c r="H1202" s="23">
        <v>350</v>
      </c>
      <c r="I1202" s="23">
        <v>350</v>
      </c>
      <c r="J1202" s="24">
        <v>350</v>
      </c>
      <c r="K1202" s="21">
        <v>0</v>
      </c>
      <c r="L1202" s="21">
        <v>0</v>
      </c>
      <c r="M1202" s="21">
        <f>COUNTIF($A$2:$A$5481,A1202)</f>
        <v>1</v>
      </c>
      <c r="N1202" s="24">
        <f t="shared" si="18"/>
        <v>350.0001202</v>
      </c>
    </row>
    <row r="1203" spans="1:14">
      <c r="A1203" s="21" t="s">
        <v>1816</v>
      </c>
      <c r="B1203" s="21" t="s">
        <v>920</v>
      </c>
      <c r="C1203" s="21" t="s">
        <v>35</v>
      </c>
      <c r="D1203" s="21" t="s">
        <v>931</v>
      </c>
      <c r="E1203" s="21">
        <v>1</v>
      </c>
      <c r="F1203" s="22">
        <v>46141.6040856482</v>
      </c>
      <c r="G1203" s="22">
        <v>45789.3490046296</v>
      </c>
      <c r="H1203" s="23">
        <v>1745</v>
      </c>
      <c r="I1203" s="23">
        <v>1745</v>
      </c>
      <c r="J1203" s="24">
        <v>1745</v>
      </c>
      <c r="K1203" s="21">
        <v>0</v>
      </c>
      <c r="L1203" s="21">
        <v>0</v>
      </c>
      <c r="M1203" s="21">
        <f>COUNTIF($A$2:$A$5481,A1203)</f>
        <v>1</v>
      </c>
      <c r="N1203" s="24">
        <f t="shared" si="18"/>
        <v>1745.0001203</v>
      </c>
    </row>
    <row r="1204" spans="1:14">
      <c r="A1204" s="21" t="s">
        <v>1817</v>
      </c>
      <c r="B1204" s="21" t="s">
        <v>1175</v>
      </c>
      <c r="C1204" s="21" t="s">
        <v>26</v>
      </c>
      <c r="D1204" s="21" t="s">
        <v>931</v>
      </c>
      <c r="E1204" s="21">
        <v>1</v>
      </c>
      <c r="F1204" s="22">
        <v>45755.6425</v>
      </c>
      <c r="G1204" s="22"/>
      <c r="H1204" s="23">
        <v>1298.7</v>
      </c>
      <c r="I1204" s="23">
        <v>1298.7</v>
      </c>
      <c r="J1204" s="24">
        <v>1298.7</v>
      </c>
      <c r="K1204" s="21">
        <v>0</v>
      </c>
      <c r="L1204" s="21">
        <v>0</v>
      </c>
      <c r="M1204" s="21">
        <f>COUNTIF($A$2:$A$5481,A1204)</f>
        <v>1</v>
      </c>
      <c r="N1204" s="24">
        <f t="shared" si="18"/>
        <v>1298.7001204</v>
      </c>
    </row>
    <row r="1205" spans="1:14">
      <c r="A1205" s="21" t="s">
        <v>1818</v>
      </c>
      <c r="B1205" s="21" t="s">
        <v>929</v>
      </c>
      <c r="C1205" s="21" t="s">
        <v>414</v>
      </c>
      <c r="D1205" s="21" t="s">
        <v>921</v>
      </c>
      <c r="E1205" s="21">
        <v>1</v>
      </c>
      <c r="F1205" s="22">
        <v>45352.5817592593</v>
      </c>
      <c r="G1205" s="22"/>
      <c r="H1205" s="23">
        <v>46.94</v>
      </c>
      <c r="I1205" s="23">
        <v>46.94</v>
      </c>
      <c r="J1205" s="24">
        <v>46.94</v>
      </c>
      <c r="K1205" s="21">
        <v>0</v>
      </c>
      <c r="L1205" s="21">
        <v>0</v>
      </c>
      <c r="M1205" s="21">
        <f>COUNTIF($A$2:$A$5481,A1205)</f>
        <v>1</v>
      </c>
      <c r="N1205" s="24">
        <f t="shared" si="18"/>
        <v>46.9401205</v>
      </c>
    </row>
    <row r="1206" spans="1:14">
      <c r="A1206" s="21" t="s">
        <v>1819</v>
      </c>
      <c r="B1206" s="21" t="s">
        <v>929</v>
      </c>
      <c r="C1206" s="21" t="s">
        <v>26</v>
      </c>
      <c r="D1206" s="21" t="s">
        <v>921</v>
      </c>
      <c r="E1206" s="21">
        <v>2</v>
      </c>
      <c r="F1206" s="22">
        <v>45670.3330439815</v>
      </c>
      <c r="G1206" s="22"/>
      <c r="H1206" s="23">
        <v>20.94</v>
      </c>
      <c r="I1206" s="23">
        <v>10.47</v>
      </c>
      <c r="J1206" s="24">
        <v>20.94</v>
      </c>
      <c r="K1206" s="21">
        <v>0</v>
      </c>
      <c r="L1206" s="21">
        <v>0</v>
      </c>
      <c r="M1206" s="21">
        <f>COUNTIF($A$2:$A$5481,A1206)</f>
        <v>1</v>
      </c>
      <c r="N1206" s="24">
        <f t="shared" si="18"/>
        <v>20.9401206</v>
      </c>
    </row>
    <row r="1207" spans="1:14">
      <c r="A1207" s="21" t="s">
        <v>1820</v>
      </c>
      <c r="B1207" s="21" t="s">
        <v>929</v>
      </c>
      <c r="C1207" s="21" t="s">
        <v>26</v>
      </c>
      <c r="D1207" s="21" t="s">
        <v>921</v>
      </c>
      <c r="E1207" s="21">
        <v>2</v>
      </c>
      <c r="F1207" s="22">
        <v>45670.3330439815</v>
      </c>
      <c r="G1207" s="22"/>
      <c r="H1207" s="23">
        <v>133.88</v>
      </c>
      <c r="I1207" s="23">
        <v>66.94</v>
      </c>
      <c r="J1207" s="24">
        <v>133.88</v>
      </c>
      <c r="K1207" s="21">
        <v>0</v>
      </c>
      <c r="L1207" s="21">
        <v>0</v>
      </c>
      <c r="M1207" s="21">
        <f>COUNTIF($A$2:$A$5481,A1207)</f>
        <v>1</v>
      </c>
      <c r="N1207" s="24">
        <f t="shared" si="18"/>
        <v>133.8801207</v>
      </c>
    </row>
    <row r="1208" spans="1:14">
      <c r="A1208" s="21" t="s">
        <v>1821</v>
      </c>
      <c r="B1208" s="21" t="s">
        <v>949</v>
      </c>
      <c r="C1208" s="21" t="s">
        <v>26</v>
      </c>
      <c r="D1208" s="21" t="s">
        <v>921</v>
      </c>
      <c r="E1208" s="21">
        <v>0</v>
      </c>
      <c r="F1208" s="22">
        <v>45323.3923611111</v>
      </c>
      <c r="G1208" s="22">
        <v>45324.4904861111</v>
      </c>
      <c r="H1208" s="23">
        <v>77.9</v>
      </c>
      <c r="I1208" s="23">
        <v>77.9</v>
      </c>
      <c r="J1208" s="24">
        <v>0</v>
      </c>
      <c r="K1208" s="21">
        <v>0</v>
      </c>
      <c r="L1208" s="21">
        <v>0</v>
      </c>
      <c r="M1208" s="21">
        <f>COUNTIF($A$2:$A$5481,A1208)</f>
        <v>1</v>
      </c>
      <c r="N1208" s="24">
        <f t="shared" si="18"/>
        <v>0.0001208</v>
      </c>
    </row>
    <row r="1209" spans="1:14">
      <c r="A1209" s="21" t="s">
        <v>1822</v>
      </c>
      <c r="B1209" s="21" t="s">
        <v>26</v>
      </c>
      <c r="C1209" s="21" t="s">
        <v>26</v>
      </c>
      <c r="D1209" s="21" t="s">
        <v>921</v>
      </c>
      <c r="E1209" s="21">
        <v>1</v>
      </c>
      <c r="F1209" s="22">
        <v>45512.8391319444</v>
      </c>
      <c r="G1209" s="22"/>
      <c r="H1209" s="23">
        <v>143.08</v>
      </c>
      <c r="I1209" s="23">
        <v>143.08</v>
      </c>
      <c r="J1209" s="24">
        <v>143.08</v>
      </c>
      <c r="K1209" s="21">
        <v>0</v>
      </c>
      <c r="L1209" s="21">
        <v>0</v>
      </c>
      <c r="M1209" s="21">
        <f>COUNTIF($A$2:$A$5481,A1209)</f>
        <v>1</v>
      </c>
      <c r="N1209" s="24">
        <f t="shared" si="18"/>
        <v>143.0801209</v>
      </c>
    </row>
    <row r="1210" spans="1:14">
      <c r="A1210" s="21" t="s">
        <v>1823</v>
      </c>
      <c r="B1210" s="21" t="s">
        <v>26</v>
      </c>
      <c r="C1210" s="21" t="s">
        <v>26</v>
      </c>
      <c r="D1210" s="21" t="s">
        <v>921</v>
      </c>
      <c r="E1210" s="21">
        <v>32</v>
      </c>
      <c r="F1210" s="22">
        <v>46064.5692708333</v>
      </c>
      <c r="G1210" s="22">
        <v>45446.3887847222</v>
      </c>
      <c r="H1210" s="23">
        <v>94.76</v>
      </c>
      <c r="I1210" s="23">
        <v>27.0340625</v>
      </c>
      <c r="J1210" s="24">
        <v>864.96</v>
      </c>
      <c r="K1210" s="21">
        <v>0</v>
      </c>
      <c r="L1210" s="21">
        <v>0</v>
      </c>
      <c r="M1210" s="21">
        <f>COUNTIF($A$2:$A$5481,A1210)</f>
        <v>1</v>
      </c>
      <c r="N1210" s="24">
        <f t="shared" si="18"/>
        <v>864.960121</v>
      </c>
    </row>
    <row r="1211" spans="1:14">
      <c r="A1211" s="21" t="s">
        <v>1824</v>
      </c>
      <c r="B1211" s="21" t="s">
        <v>949</v>
      </c>
      <c r="C1211" s="21" t="s">
        <v>182</v>
      </c>
      <c r="D1211" s="21" t="s">
        <v>921</v>
      </c>
      <c r="E1211" s="21">
        <v>0</v>
      </c>
      <c r="F1211" s="22">
        <v>45355.6104166667</v>
      </c>
      <c r="G1211" s="22">
        <v>45357.4119097222</v>
      </c>
      <c r="H1211" s="23">
        <v>65</v>
      </c>
      <c r="I1211" s="23">
        <v>32.5</v>
      </c>
      <c r="J1211" s="24">
        <v>0</v>
      </c>
      <c r="K1211" s="21">
        <v>0</v>
      </c>
      <c r="L1211" s="21">
        <v>0</v>
      </c>
      <c r="M1211" s="21">
        <f>COUNTIF($A$2:$A$5481,A1211)</f>
        <v>2</v>
      </c>
      <c r="N1211" s="24">
        <f t="shared" si="18"/>
        <v>0.0001211</v>
      </c>
    </row>
    <row r="1212" spans="1:14">
      <c r="A1212" s="21" t="s">
        <v>1824</v>
      </c>
      <c r="B1212" s="21" t="s">
        <v>949</v>
      </c>
      <c r="C1212" s="21" t="s">
        <v>26</v>
      </c>
      <c r="D1212" s="21" t="s">
        <v>921</v>
      </c>
      <c r="E1212" s="21">
        <v>3</v>
      </c>
      <c r="F1212" s="22">
        <v>45408.614212963</v>
      </c>
      <c r="G1212" s="22">
        <v>45331.4256828704</v>
      </c>
      <c r="H1212" s="23">
        <v>32.5</v>
      </c>
      <c r="I1212" s="23">
        <v>32.5</v>
      </c>
      <c r="J1212" s="24">
        <v>97.5</v>
      </c>
      <c r="K1212" s="21">
        <v>0</v>
      </c>
      <c r="L1212" s="21">
        <v>0</v>
      </c>
      <c r="M1212" s="21">
        <f>COUNTIF($A$2:$A$5481,A1212)</f>
        <v>2</v>
      </c>
      <c r="N1212" s="24">
        <f t="shared" si="18"/>
        <v>97.5001212</v>
      </c>
    </row>
    <row r="1213" spans="1:14">
      <c r="A1213" s="21" t="s">
        <v>1825</v>
      </c>
      <c r="B1213" s="21" t="s">
        <v>26</v>
      </c>
      <c r="C1213" s="21" t="s">
        <v>26</v>
      </c>
      <c r="D1213" s="21" t="s">
        <v>921</v>
      </c>
      <c r="E1213" s="21">
        <v>1</v>
      </c>
      <c r="F1213" s="22">
        <v>46002.4484606482</v>
      </c>
      <c r="G1213" s="22"/>
      <c r="H1213" s="23">
        <v>55.75</v>
      </c>
      <c r="I1213" s="23">
        <v>55.75</v>
      </c>
      <c r="J1213" s="24">
        <v>55.75</v>
      </c>
      <c r="K1213" s="21">
        <v>0</v>
      </c>
      <c r="L1213" s="21">
        <v>0</v>
      </c>
      <c r="M1213" s="21">
        <f>COUNTIF($A$2:$A$5481,A1213)</f>
        <v>1</v>
      </c>
      <c r="N1213" s="24">
        <f t="shared" si="18"/>
        <v>55.7501213</v>
      </c>
    </row>
    <row r="1214" spans="1:14">
      <c r="A1214" s="21" t="s">
        <v>1826</v>
      </c>
      <c r="B1214" s="21" t="s">
        <v>920</v>
      </c>
      <c r="C1214" s="21" t="s">
        <v>26</v>
      </c>
      <c r="D1214" s="21" t="s">
        <v>921</v>
      </c>
      <c r="E1214" s="21">
        <v>1</v>
      </c>
      <c r="F1214" s="22">
        <v>45484.7950462963</v>
      </c>
      <c r="G1214" s="22"/>
      <c r="H1214" s="23">
        <v>31.75</v>
      </c>
      <c r="I1214" s="23">
        <v>31.75</v>
      </c>
      <c r="J1214" s="24">
        <v>31.75</v>
      </c>
      <c r="K1214" s="21">
        <v>0</v>
      </c>
      <c r="L1214" s="21">
        <v>0</v>
      </c>
      <c r="M1214" s="21">
        <f>COUNTIF($A$2:$A$5481,A1214)</f>
        <v>1</v>
      </c>
      <c r="N1214" s="24">
        <f t="shared" si="18"/>
        <v>31.7501214</v>
      </c>
    </row>
    <row r="1215" spans="1:14">
      <c r="A1215" s="21" t="s">
        <v>1827</v>
      </c>
      <c r="B1215" s="21" t="s">
        <v>920</v>
      </c>
      <c r="C1215" s="21" t="s">
        <v>26</v>
      </c>
      <c r="D1215" s="21" t="s">
        <v>921</v>
      </c>
      <c r="E1215" s="21">
        <v>2</v>
      </c>
      <c r="F1215" s="22">
        <v>46014.5561574074</v>
      </c>
      <c r="G1215" s="22"/>
      <c r="H1215" s="23">
        <v>953.75</v>
      </c>
      <c r="I1215" s="23">
        <v>1105.505</v>
      </c>
      <c r="J1215" s="24">
        <v>2211.02</v>
      </c>
      <c r="K1215" s="21">
        <v>0</v>
      </c>
      <c r="L1215" s="21">
        <v>0</v>
      </c>
      <c r="M1215" s="21">
        <f>COUNTIF($A$2:$A$5481,A1215)</f>
        <v>1</v>
      </c>
      <c r="N1215" s="24">
        <f t="shared" si="18"/>
        <v>2211.0201215</v>
      </c>
    </row>
    <row r="1216" spans="1:14">
      <c r="A1216" s="21" t="s">
        <v>1828</v>
      </c>
      <c r="B1216" s="21" t="s">
        <v>929</v>
      </c>
      <c r="C1216" s="21" t="s">
        <v>26</v>
      </c>
      <c r="D1216" s="21" t="s">
        <v>921</v>
      </c>
      <c r="E1216" s="21">
        <v>3</v>
      </c>
      <c r="F1216" s="22">
        <v>45825.845462963</v>
      </c>
      <c r="G1216" s="22">
        <v>45891.4089699074</v>
      </c>
      <c r="H1216" s="23">
        <v>190.6</v>
      </c>
      <c r="I1216" s="23">
        <v>47.65</v>
      </c>
      <c r="J1216" s="24">
        <v>142.95</v>
      </c>
      <c r="K1216" s="21">
        <v>0</v>
      </c>
      <c r="L1216" s="21">
        <v>0</v>
      </c>
      <c r="M1216" s="21">
        <f>COUNTIF($A$2:$A$5481,A1216)</f>
        <v>1</v>
      </c>
      <c r="N1216" s="24">
        <f t="shared" si="18"/>
        <v>142.9501216</v>
      </c>
    </row>
    <row r="1217" spans="1:14">
      <c r="A1217" s="21" t="s">
        <v>1829</v>
      </c>
      <c r="B1217" s="21" t="s">
        <v>26</v>
      </c>
      <c r="C1217" s="21" t="s">
        <v>26</v>
      </c>
      <c r="D1217" s="21" t="s">
        <v>921</v>
      </c>
      <c r="E1217" s="21">
        <v>4</v>
      </c>
      <c r="F1217" s="22">
        <v>45895.5674421296</v>
      </c>
      <c r="G1217" s="22"/>
      <c r="H1217" s="23">
        <v>93.54</v>
      </c>
      <c r="I1217" s="23">
        <v>31.18</v>
      </c>
      <c r="J1217" s="24">
        <v>124.72</v>
      </c>
      <c r="K1217" s="21">
        <v>0</v>
      </c>
      <c r="L1217" s="21">
        <v>0</v>
      </c>
      <c r="M1217" s="21">
        <f>COUNTIF($A$2:$A$5481,A1217)</f>
        <v>1</v>
      </c>
      <c r="N1217" s="24">
        <f t="shared" si="18"/>
        <v>124.7201217</v>
      </c>
    </row>
    <row r="1218" spans="1:14">
      <c r="A1218" s="21" t="s">
        <v>1830</v>
      </c>
      <c r="B1218" s="21" t="s">
        <v>26</v>
      </c>
      <c r="C1218" s="21" t="s">
        <v>26</v>
      </c>
      <c r="D1218" s="21" t="s">
        <v>921</v>
      </c>
      <c r="E1218" s="21">
        <v>7</v>
      </c>
      <c r="F1218" s="22">
        <v>45744.4147685185</v>
      </c>
      <c r="G1218" s="22"/>
      <c r="H1218" s="23">
        <v>183.54</v>
      </c>
      <c r="I1218" s="23">
        <v>30.59</v>
      </c>
      <c r="J1218" s="24">
        <v>214.13</v>
      </c>
      <c r="K1218" s="21">
        <v>0</v>
      </c>
      <c r="L1218" s="21">
        <v>0</v>
      </c>
      <c r="M1218" s="21">
        <f>COUNTIF($A$2:$A$5481,A1218)</f>
        <v>1</v>
      </c>
      <c r="N1218" s="24">
        <f t="shared" ref="N1218:N1281" si="19">J1218+ROW()/10000000</f>
        <v>214.1301218</v>
      </c>
    </row>
    <row r="1219" spans="1:14">
      <c r="A1219" s="21" t="s">
        <v>1831</v>
      </c>
      <c r="B1219" s="21" t="s">
        <v>929</v>
      </c>
      <c r="C1219" s="21" t="s">
        <v>26</v>
      </c>
      <c r="D1219" s="21" t="s">
        <v>931</v>
      </c>
      <c r="E1219" s="21">
        <v>6</v>
      </c>
      <c r="F1219" s="22">
        <v>45744.4147685185</v>
      </c>
      <c r="G1219" s="22"/>
      <c r="H1219" s="23">
        <v>62.82</v>
      </c>
      <c r="I1219" s="23">
        <v>10.47</v>
      </c>
      <c r="J1219" s="24">
        <v>62.82</v>
      </c>
      <c r="K1219" s="21">
        <v>0</v>
      </c>
      <c r="L1219" s="21">
        <v>0</v>
      </c>
      <c r="M1219" s="21">
        <f>COUNTIF($A$2:$A$5481,A1219)</f>
        <v>1</v>
      </c>
      <c r="N1219" s="24">
        <f t="shared" si="19"/>
        <v>62.8201219</v>
      </c>
    </row>
    <row r="1220" spans="1:14">
      <c r="A1220" s="21" t="s">
        <v>1832</v>
      </c>
      <c r="B1220" s="21" t="s">
        <v>929</v>
      </c>
      <c r="C1220" s="21" t="s">
        <v>26</v>
      </c>
      <c r="D1220" s="21" t="s">
        <v>921</v>
      </c>
      <c r="E1220" s="21">
        <v>1</v>
      </c>
      <c r="F1220" s="22">
        <v>45314.5194444444</v>
      </c>
      <c r="G1220" s="22"/>
      <c r="H1220" s="23">
        <v>134</v>
      </c>
      <c r="I1220" s="23">
        <v>134</v>
      </c>
      <c r="J1220" s="24">
        <v>134</v>
      </c>
      <c r="K1220" s="21">
        <v>0</v>
      </c>
      <c r="L1220" s="21">
        <v>0</v>
      </c>
      <c r="M1220" s="21">
        <f>COUNTIF($A$2:$A$5481,A1220)</f>
        <v>1</v>
      </c>
      <c r="N1220" s="24">
        <f t="shared" si="19"/>
        <v>134.000122</v>
      </c>
    </row>
    <row r="1221" spans="1:14">
      <c r="A1221" s="21" t="s">
        <v>1833</v>
      </c>
      <c r="B1221" s="21" t="s">
        <v>26</v>
      </c>
      <c r="C1221" s="21" t="s">
        <v>26</v>
      </c>
      <c r="D1221" s="21" t="s">
        <v>921</v>
      </c>
      <c r="E1221" s="21">
        <v>5</v>
      </c>
      <c r="F1221" s="22">
        <v>45924.6517939815</v>
      </c>
      <c r="G1221" s="22"/>
      <c r="H1221" s="23">
        <v>59.95</v>
      </c>
      <c r="I1221" s="23">
        <v>11.99</v>
      </c>
      <c r="J1221" s="24">
        <v>59.95</v>
      </c>
      <c r="K1221" s="21">
        <v>0</v>
      </c>
      <c r="L1221" s="21">
        <v>0</v>
      </c>
      <c r="M1221" s="21">
        <f>COUNTIF($A$2:$A$5481,A1221)</f>
        <v>1</v>
      </c>
      <c r="N1221" s="24">
        <f t="shared" si="19"/>
        <v>59.9501221</v>
      </c>
    </row>
    <row r="1222" spans="1:14">
      <c r="A1222" s="21" t="s">
        <v>1834</v>
      </c>
      <c r="B1222" s="21" t="s">
        <v>26</v>
      </c>
      <c r="C1222" s="21" t="s">
        <v>26</v>
      </c>
      <c r="D1222" s="21" t="s">
        <v>921</v>
      </c>
      <c r="E1222" s="21">
        <v>15</v>
      </c>
      <c r="F1222" s="22">
        <v>45924.6517939815</v>
      </c>
      <c r="G1222" s="22"/>
      <c r="H1222" s="23">
        <v>133.5</v>
      </c>
      <c r="I1222" s="23">
        <v>8.9</v>
      </c>
      <c r="J1222" s="24">
        <v>133.5</v>
      </c>
      <c r="K1222" s="21">
        <v>0</v>
      </c>
      <c r="L1222" s="21">
        <v>0</v>
      </c>
      <c r="M1222" s="21">
        <f>COUNTIF($A$2:$A$5481,A1222)</f>
        <v>1</v>
      </c>
      <c r="N1222" s="24">
        <f t="shared" si="19"/>
        <v>133.5001222</v>
      </c>
    </row>
    <row r="1223" spans="1:14">
      <c r="A1223" s="21" t="s">
        <v>1835</v>
      </c>
      <c r="B1223" s="21" t="s">
        <v>26</v>
      </c>
      <c r="C1223" s="21" t="s">
        <v>26</v>
      </c>
      <c r="D1223" s="21" t="s">
        <v>921</v>
      </c>
      <c r="E1223" s="21">
        <v>0</v>
      </c>
      <c r="F1223" s="22">
        <v>45496.4233101852</v>
      </c>
      <c r="G1223" s="22">
        <v>45511.4241666667</v>
      </c>
      <c r="H1223" s="23">
        <v>229</v>
      </c>
      <c r="I1223" s="23">
        <v>229</v>
      </c>
      <c r="J1223" s="24">
        <v>0</v>
      </c>
      <c r="K1223" s="21">
        <v>0</v>
      </c>
      <c r="L1223" s="21">
        <v>0</v>
      </c>
      <c r="M1223" s="21">
        <f>COUNTIF($A$2:$A$5481,A1223)</f>
        <v>1</v>
      </c>
      <c r="N1223" s="24">
        <f t="shared" si="19"/>
        <v>0.0001223</v>
      </c>
    </row>
    <row r="1224" spans="1:14">
      <c r="A1224" s="21" t="s">
        <v>1836</v>
      </c>
      <c r="B1224" s="21" t="s">
        <v>920</v>
      </c>
      <c r="C1224" s="21" t="s">
        <v>26</v>
      </c>
      <c r="D1224" s="21" t="s">
        <v>921</v>
      </c>
      <c r="E1224" s="21">
        <v>1</v>
      </c>
      <c r="F1224" s="22">
        <v>46042.5533449074</v>
      </c>
      <c r="G1224" s="22"/>
      <c r="H1224" s="23">
        <v>71.33</v>
      </c>
      <c r="I1224" s="23">
        <v>71.33</v>
      </c>
      <c r="J1224" s="24">
        <v>71.33</v>
      </c>
      <c r="K1224" s="21">
        <v>0</v>
      </c>
      <c r="L1224" s="21">
        <v>0</v>
      </c>
      <c r="M1224" s="21">
        <f>COUNTIF($A$2:$A$5481,A1224)</f>
        <v>1</v>
      </c>
      <c r="N1224" s="24">
        <f t="shared" si="19"/>
        <v>71.3301224</v>
      </c>
    </row>
    <row r="1225" spans="1:14">
      <c r="A1225" s="21" t="s">
        <v>1837</v>
      </c>
      <c r="B1225" s="21" t="s">
        <v>26</v>
      </c>
      <c r="C1225" s="21" t="s">
        <v>26</v>
      </c>
      <c r="D1225" s="21" t="s">
        <v>921</v>
      </c>
      <c r="E1225" s="21">
        <v>2</v>
      </c>
      <c r="F1225" s="22">
        <v>45609.3697337963</v>
      </c>
      <c r="G1225" s="22"/>
      <c r="H1225" s="23">
        <v>33.54</v>
      </c>
      <c r="I1225" s="23">
        <v>16.77</v>
      </c>
      <c r="J1225" s="24">
        <v>33.54</v>
      </c>
      <c r="K1225" s="21">
        <v>0</v>
      </c>
      <c r="L1225" s="21">
        <v>0</v>
      </c>
      <c r="M1225" s="21">
        <f>COUNTIF($A$2:$A$5481,A1225)</f>
        <v>1</v>
      </c>
      <c r="N1225" s="24">
        <f t="shared" si="19"/>
        <v>33.5401225</v>
      </c>
    </row>
    <row r="1226" spans="1:14">
      <c r="A1226" s="21" t="s">
        <v>1838</v>
      </c>
      <c r="B1226" s="21" t="s">
        <v>26</v>
      </c>
      <c r="C1226" s="21" t="s">
        <v>26</v>
      </c>
      <c r="D1226" s="21" t="s">
        <v>921</v>
      </c>
      <c r="E1226" s="21">
        <v>5</v>
      </c>
      <c r="F1226" s="22">
        <v>45911.4879513889</v>
      </c>
      <c r="G1226" s="22"/>
      <c r="H1226" s="23">
        <v>25</v>
      </c>
      <c r="I1226" s="23">
        <v>31.196</v>
      </c>
      <c r="J1226" s="24">
        <v>156</v>
      </c>
      <c r="K1226" s="21">
        <v>0</v>
      </c>
      <c r="L1226" s="21">
        <v>0</v>
      </c>
      <c r="M1226" s="21">
        <f>COUNTIF($A$2:$A$5481,A1226)</f>
        <v>1</v>
      </c>
      <c r="N1226" s="24">
        <f t="shared" si="19"/>
        <v>156.0001226</v>
      </c>
    </row>
    <row r="1227" spans="1:14">
      <c r="A1227" s="21" t="s">
        <v>1839</v>
      </c>
      <c r="B1227" s="21" t="s">
        <v>926</v>
      </c>
      <c r="C1227" s="21" t="s">
        <v>38</v>
      </c>
      <c r="D1227" s="21" t="s">
        <v>921</v>
      </c>
      <c r="E1227" s="21">
        <v>3</v>
      </c>
      <c r="F1227" s="22">
        <v>45316.6684375</v>
      </c>
      <c r="G1227" s="22"/>
      <c r="H1227" s="23">
        <v>227.73</v>
      </c>
      <c r="I1227" s="23">
        <v>75.91</v>
      </c>
      <c r="J1227" s="24">
        <v>227.73</v>
      </c>
      <c r="K1227" s="21">
        <v>0</v>
      </c>
      <c r="L1227" s="21">
        <v>0</v>
      </c>
      <c r="M1227" s="21">
        <f>COUNTIF($A$2:$A$5481,A1227)</f>
        <v>1</v>
      </c>
      <c r="N1227" s="24">
        <f t="shared" si="19"/>
        <v>227.7301227</v>
      </c>
    </row>
    <row r="1228" spans="1:14">
      <c r="A1228" s="21" t="s">
        <v>1840</v>
      </c>
      <c r="B1228" s="21" t="s">
        <v>26</v>
      </c>
      <c r="C1228" s="21" t="s">
        <v>26</v>
      </c>
      <c r="D1228" s="21" t="s">
        <v>921</v>
      </c>
      <c r="E1228" s="21">
        <v>3</v>
      </c>
      <c r="F1228" s="22">
        <v>45644.3898032407</v>
      </c>
      <c r="G1228" s="22"/>
      <c r="H1228" s="23">
        <v>56.13</v>
      </c>
      <c r="I1228" s="23">
        <v>18.71</v>
      </c>
      <c r="J1228" s="24">
        <v>56.13</v>
      </c>
      <c r="K1228" s="21">
        <v>0</v>
      </c>
      <c r="L1228" s="21">
        <v>0</v>
      </c>
      <c r="M1228" s="21">
        <f>COUNTIF($A$2:$A$5481,A1228)</f>
        <v>1</v>
      </c>
      <c r="N1228" s="24">
        <f t="shared" si="19"/>
        <v>56.1301228</v>
      </c>
    </row>
    <row r="1229" spans="1:14">
      <c r="A1229" s="21" t="s">
        <v>203</v>
      </c>
      <c r="B1229" s="21" t="s">
        <v>920</v>
      </c>
      <c r="C1229" s="21" t="s">
        <v>26</v>
      </c>
      <c r="D1229" s="21" t="s">
        <v>921</v>
      </c>
      <c r="E1229" s="21">
        <v>1</v>
      </c>
      <c r="F1229" s="22">
        <v>46262.7118865741</v>
      </c>
      <c r="G1229" s="22">
        <v>46085.4012152778</v>
      </c>
      <c r="H1229" s="23">
        <v>132</v>
      </c>
      <c r="I1229" s="23">
        <v>132</v>
      </c>
      <c r="J1229" s="24">
        <v>132</v>
      </c>
      <c r="K1229" s="21">
        <v>0</v>
      </c>
      <c r="L1229" s="21">
        <v>0</v>
      </c>
      <c r="M1229" s="21">
        <f>COUNTIF($A$2:$A$5481,A1229)</f>
        <v>1</v>
      </c>
      <c r="N1229" s="24">
        <f t="shared" si="19"/>
        <v>132.0001229</v>
      </c>
    </row>
    <row r="1230" spans="1:14">
      <c r="A1230" s="21" t="s">
        <v>219</v>
      </c>
      <c r="B1230" s="21" t="s">
        <v>920</v>
      </c>
      <c r="C1230" s="21" t="s">
        <v>26</v>
      </c>
      <c r="D1230" s="21" t="s">
        <v>921</v>
      </c>
      <c r="E1230" s="21">
        <v>3</v>
      </c>
      <c r="F1230" s="22">
        <v>46262.7118865741</v>
      </c>
      <c r="G1230" s="22">
        <v>46056.4600578704</v>
      </c>
      <c r="H1230" s="23">
        <v>132</v>
      </c>
      <c r="I1230" s="23">
        <v>89.0666666667</v>
      </c>
      <c r="J1230" s="24">
        <v>267.21</v>
      </c>
      <c r="K1230" s="21">
        <v>0</v>
      </c>
      <c r="L1230" s="21">
        <v>0</v>
      </c>
      <c r="M1230" s="21">
        <f>COUNTIF($A$2:$A$5481,A1230)</f>
        <v>1</v>
      </c>
      <c r="N1230" s="24">
        <f t="shared" si="19"/>
        <v>267.210123</v>
      </c>
    </row>
    <row r="1231" spans="1:14">
      <c r="A1231" s="21" t="s">
        <v>1841</v>
      </c>
      <c r="B1231" s="21" t="s">
        <v>929</v>
      </c>
      <c r="C1231" s="21" t="s">
        <v>26</v>
      </c>
      <c r="D1231" s="21" t="s">
        <v>921</v>
      </c>
      <c r="E1231" s="21">
        <v>1</v>
      </c>
      <c r="F1231" s="22">
        <v>45357.4243055556</v>
      </c>
      <c r="G1231" s="22">
        <v>45686.3824189815</v>
      </c>
      <c r="H1231" s="23">
        <v>4.45</v>
      </c>
      <c r="I1231" s="23">
        <v>4.45</v>
      </c>
      <c r="J1231" s="24">
        <v>4.45</v>
      </c>
      <c r="K1231" s="21">
        <v>0</v>
      </c>
      <c r="L1231" s="21">
        <v>0</v>
      </c>
      <c r="M1231" s="21">
        <f>COUNTIF($A$2:$A$5481,A1231)</f>
        <v>1</v>
      </c>
      <c r="N1231" s="24">
        <f t="shared" si="19"/>
        <v>4.4501231</v>
      </c>
    </row>
    <row r="1232" spans="1:14">
      <c r="A1232" s="21" t="s">
        <v>1842</v>
      </c>
      <c r="B1232" s="21" t="s">
        <v>1510</v>
      </c>
      <c r="C1232" s="21" t="s">
        <v>26</v>
      </c>
      <c r="D1232" s="21" t="s">
        <v>921</v>
      </c>
      <c r="E1232" s="21">
        <v>1</v>
      </c>
      <c r="F1232" s="22">
        <v>46218.617962963</v>
      </c>
      <c r="G1232" s="22"/>
      <c r="H1232" s="23">
        <v>93.4</v>
      </c>
      <c r="I1232" s="23">
        <v>93.4</v>
      </c>
      <c r="J1232" s="24">
        <v>93.4</v>
      </c>
      <c r="K1232" s="21">
        <v>0</v>
      </c>
      <c r="L1232" s="21">
        <v>0</v>
      </c>
      <c r="M1232" s="21">
        <f>COUNTIF($A$2:$A$5481,A1232)</f>
        <v>1</v>
      </c>
      <c r="N1232" s="24">
        <f t="shared" si="19"/>
        <v>93.4001232</v>
      </c>
    </row>
    <row r="1233" spans="1:14">
      <c r="A1233" s="21" t="s">
        <v>1843</v>
      </c>
      <c r="B1233" s="21" t="s">
        <v>948</v>
      </c>
      <c r="C1233" s="21" t="s">
        <v>26</v>
      </c>
      <c r="D1233" s="21" t="s">
        <v>921</v>
      </c>
      <c r="E1233" s="21">
        <v>1</v>
      </c>
      <c r="F1233" s="22">
        <v>45987.3882523148</v>
      </c>
      <c r="G1233" s="22"/>
      <c r="H1233" s="23">
        <v>38.85</v>
      </c>
      <c r="I1233" s="23">
        <v>38.85</v>
      </c>
      <c r="J1233" s="24">
        <v>38.85</v>
      </c>
      <c r="K1233" s="21">
        <v>0</v>
      </c>
      <c r="L1233" s="21">
        <v>0</v>
      </c>
      <c r="M1233" s="21">
        <f>COUNTIF($A$2:$A$5481,A1233)</f>
        <v>1</v>
      </c>
      <c r="N1233" s="24">
        <f t="shared" si="19"/>
        <v>38.8501233</v>
      </c>
    </row>
    <row r="1234" spans="1:14">
      <c r="A1234" s="21" t="s">
        <v>1844</v>
      </c>
      <c r="B1234" s="21" t="s">
        <v>920</v>
      </c>
      <c r="C1234" s="21" t="s">
        <v>26</v>
      </c>
      <c r="D1234" s="21" t="s">
        <v>921</v>
      </c>
      <c r="E1234" s="21">
        <v>1</v>
      </c>
      <c r="F1234" s="22">
        <v>45971.5887615741</v>
      </c>
      <c r="G1234" s="22"/>
      <c r="H1234" s="23">
        <v>222.2</v>
      </c>
      <c r="I1234" s="23">
        <v>222.2</v>
      </c>
      <c r="J1234" s="24">
        <v>222.2</v>
      </c>
      <c r="K1234" s="21">
        <v>0</v>
      </c>
      <c r="L1234" s="21">
        <v>0</v>
      </c>
      <c r="M1234" s="21">
        <f>COUNTIF($A$2:$A$5481,A1234)</f>
        <v>1</v>
      </c>
      <c r="N1234" s="24">
        <f t="shared" si="19"/>
        <v>222.2001234</v>
      </c>
    </row>
    <row r="1235" spans="1:14">
      <c r="A1235" s="21" t="s">
        <v>507</v>
      </c>
      <c r="B1235" s="21" t="s">
        <v>920</v>
      </c>
      <c r="C1235" s="21" t="s">
        <v>26</v>
      </c>
      <c r="D1235" s="21" t="s">
        <v>921</v>
      </c>
      <c r="E1235" s="21">
        <v>9</v>
      </c>
      <c r="F1235" s="22">
        <v>46072.4680671296</v>
      </c>
      <c r="G1235" s="22">
        <v>46238.7266550926</v>
      </c>
      <c r="H1235" s="23">
        <v>175.8</v>
      </c>
      <c r="I1235" s="23">
        <v>39.1818181818</v>
      </c>
      <c r="J1235" s="24">
        <v>352.62</v>
      </c>
      <c r="K1235" s="21">
        <v>0</v>
      </c>
      <c r="L1235" s="21">
        <v>0</v>
      </c>
      <c r="M1235" s="21">
        <f>COUNTIF($A$2:$A$5481,A1235)</f>
        <v>1</v>
      </c>
      <c r="N1235" s="24">
        <f t="shared" si="19"/>
        <v>352.6201235</v>
      </c>
    </row>
    <row r="1236" spans="1:14">
      <c r="A1236" s="21" t="s">
        <v>1845</v>
      </c>
      <c r="B1236" s="21" t="s">
        <v>920</v>
      </c>
      <c r="C1236" s="21" t="s">
        <v>35</v>
      </c>
      <c r="D1236" s="21" t="s">
        <v>921</v>
      </c>
      <c r="E1236" s="21">
        <v>12</v>
      </c>
      <c r="F1236" s="22">
        <v>45313.7501157407</v>
      </c>
      <c r="G1236" s="22"/>
      <c r="H1236" s="23">
        <v>260.76</v>
      </c>
      <c r="I1236" s="23">
        <v>21.73</v>
      </c>
      <c r="J1236" s="24">
        <v>260.76</v>
      </c>
      <c r="K1236" s="21">
        <v>0</v>
      </c>
      <c r="L1236" s="21">
        <v>0</v>
      </c>
      <c r="M1236" s="21">
        <f>COUNTIF($A$2:$A$5481,A1236)</f>
        <v>2</v>
      </c>
      <c r="N1236" s="24">
        <f t="shared" si="19"/>
        <v>260.7601236</v>
      </c>
    </row>
    <row r="1237" spans="1:14">
      <c r="A1237" s="21" t="s">
        <v>1845</v>
      </c>
      <c r="B1237" s="21" t="s">
        <v>920</v>
      </c>
      <c r="C1237" s="21" t="s">
        <v>26</v>
      </c>
      <c r="D1237" s="21" t="s">
        <v>921</v>
      </c>
      <c r="E1237" s="21">
        <v>20</v>
      </c>
      <c r="F1237" s="22">
        <v>45526.4375810185</v>
      </c>
      <c r="G1237" s="22">
        <v>45932.367650463</v>
      </c>
      <c r="H1237" s="23">
        <v>539.76</v>
      </c>
      <c r="I1237" s="23">
        <v>22.49</v>
      </c>
      <c r="J1237" s="24">
        <v>449.8</v>
      </c>
      <c r="K1237" s="21">
        <v>0</v>
      </c>
      <c r="L1237" s="21">
        <v>0</v>
      </c>
      <c r="M1237" s="21">
        <f>COUNTIF($A$2:$A$5481,A1237)</f>
        <v>2</v>
      </c>
      <c r="N1237" s="24">
        <f t="shared" si="19"/>
        <v>449.8001237</v>
      </c>
    </row>
    <row r="1238" spans="1:14">
      <c r="A1238" s="21" t="s">
        <v>1846</v>
      </c>
      <c r="B1238" s="21" t="s">
        <v>920</v>
      </c>
      <c r="C1238" s="21" t="s">
        <v>26</v>
      </c>
      <c r="D1238" s="21" t="s">
        <v>921</v>
      </c>
      <c r="E1238" s="21">
        <v>4</v>
      </c>
      <c r="F1238" s="22">
        <v>46037.6031018519</v>
      </c>
      <c r="G1238" s="22"/>
      <c r="H1238" s="23">
        <v>215.8</v>
      </c>
      <c r="I1238" s="23">
        <v>53.95</v>
      </c>
      <c r="J1238" s="24">
        <v>215.8</v>
      </c>
      <c r="K1238" s="21">
        <v>0</v>
      </c>
      <c r="L1238" s="21">
        <v>0</v>
      </c>
      <c r="M1238" s="21">
        <f>COUNTIF($A$2:$A$5481,A1238)</f>
        <v>1</v>
      </c>
      <c r="N1238" s="24">
        <f t="shared" si="19"/>
        <v>215.8001238</v>
      </c>
    </row>
    <row r="1239" spans="1:14">
      <c r="A1239" s="21" t="s">
        <v>493</v>
      </c>
      <c r="B1239" s="21" t="s">
        <v>920</v>
      </c>
      <c r="C1239" s="21" t="s">
        <v>26</v>
      </c>
      <c r="D1239" s="21" t="s">
        <v>921</v>
      </c>
      <c r="E1239" s="21">
        <v>47</v>
      </c>
      <c r="F1239" s="22">
        <v>45916.8172916667</v>
      </c>
      <c r="G1239" s="22">
        <v>46231.3959027778</v>
      </c>
      <c r="H1239" s="23">
        <v>647.52</v>
      </c>
      <c r="I1239" s="23">
        <v>24.735</v>
      </c>
      <c r="J1239" s="24">
        <v>1162.78</v>
      </c>
      <c r="K1239" s="21">
        <v>0</v>
      </c>
      <c r="L1239" s="21">
        <v>0</v>
      </c>
      <c r="M1239" s="21">
        <f>COUNTIF($A$2:$A$5481,A1239)</f>
        <v>1</v>
      </c>
      <c r="N1239" s="24">
        <f t="shared" si="19"/>
        <v>1162.7801239</v>
      </c>
    </row>
    <row r="1240" spans="1:14">
      <c r="A1240" s="21" t="s">
        <v>1847</v>
      </c>
      <c r="B1240" s="21" t="s">
        <v>920</v>
      </c>
      <c r="C1240" s="21" t="s">
        <v>26</v>
      </c>
      <c r="D1240" s="21" t="s">
        <v>921</v>
      </c>
      <c r="E1240" s="21">
        <v>2</v>
      </c>
      <c r="F1240" s="22">
        <v>46058.7040277778</v>
      </c>
      <c r="G1240" s="22"/>
      <c r="H1240" s="23">
        <v>853.06</v>
      </c>
      <c r="I1240" s="23">
        <v>426.53</v>
      </c>
      <c r="J1240" s="24">
        <v>853.06</v>
      </c>
      <c r="K1240" s="21">
        <v>0</v>
      </c>
      <c r="L1240" s="21">
        <v>0</v>
      </c>
      <c r="M1240" s="21">
        <f>COUNTIF($A$2:$A$5481,A1240)</f>
        <v>1</v>
      </c>
      <c r="N1240" s="24">
        <f t="shared" si="19"/>
        <v>853.060124</v>
      </c>
    </row>
    <row r="1241" spans="1:14">
      <c r="A1241" s="21" t="s">
        <v>1848</v>
      </c>
      <c r="B1241" s="21" t="s">
        <v>949</v>
      </c>
      <c r="C1241" s="21" t="s">
        <v>182</v>
      </c>
      <c r="D1241" s="21" t="s">
        <v>921</v>
      </c>
      <c r="E1241" s="21">
        <v>3</v>
      </c>
      <c r="F1241" s="22">
        <v>45317.791712963</v>
      </c>
      <c r="G1241" s="22"/>
      <c r="H1241" s="23">
        <v>74.97</v>
      </c>
      <c r="I1241" s="23">
        <v>24.99</v>
      </c>
      <c r="J1241" s="24">
        <v>74.97</v>
      </c>
      <c r="K1241" s="21">
        <v>0</v>
      </c>
      <c r="L1241" s="21">
        <v>0</v>
      </c>
      <c r="M1241" s="21">
        <f>COUNTIF($A$2:$A$5481,A1241)</f>
        <v>2</v>
      </c>
      <c r="N1241" s="24">
        <f t="shared" si="19"/>
        <v>74.9701241</v>
      </c>
    </row>
    <row r="1242" spans="1:14">
      <c r="A1242" s="21" t="s">
        <v>1848</v>
      </c>
      <c r="B1242" s="21" t="s">
        <v>949</v>
      </c>
      <c r="C1242" s="21" t="s">
        <v>26</v>
      </c>
      <c r="D1242" s="21" t="s">
        <v>921</v>
      </c>
      <c r="E1242" s="21">
        <v>3</v>
      </c>
      <c r="F1242" s="22">
        <v>45432.831087963</v>
      </c>
      <c r="G1242" s="22"/>
      <c r="H1242" s="23">
        <v>49.98</v>
      </c>
      <c r="I1242" s="23">
        <v>26.62667</v>
      </c>
      <c r="J1242" s="24">
        <v>79.89</v>
      </c>
      <c r="K1242" s="21">
        <v>0</v>
      </c>
      <c r="L1242" s="21">
        <v>0</v>
      </c>
      <c r="M1242" s="21">
        <f>COUNTIF($A$2:$A$5481,A1242)</f>
        <v>2</v>
      </c>
      <c r="N1242" s="24">
        <f t="shared" si="19"/>
        <v>79.8901242</v>
      </c>
    </row>
    <row r="1243" spans="1:14">
      <c r="A1243" s="21" t="s">
        <v>443</v>
      </c>
      <c r="B1243" s="21" t="s">
        <v>948</v>
      </c>
      <c r="C1243" s="21" t="s">
        <v>26</v>
      </c>
      <c r="D1243" s="21" t="s">
        <v>921</v>
      </c>
      <c r="E1243" s="21">
        <v>2</v>
      </c>
      <c r="F1243" s="22">
        <v>46204.7157638889</v>
      </c>
      <c r="G1243" s="22">
        <v>46205.358587963</v>
      </c>
      <c r="H1243" s="23">
        <v>178</v>
      </c>
      <c r="I1243" s="23">
        <v>83.6666666667</v>
      </c>
      <c r="J1243" s="24">
        <v>167.34</v>
      </c>
      <c r="K1243" s="21">
        <v>0</v>
      </c>
      <c r="L1243" s="21">
        <v>0</v>
      </c>
      <c r="M1243" s="21">
        <f>COUNTIF($A$2:$A$5481,A1243)</f>
        <v>1</v>
      </c>
      <c r="N1243" s="24">
        <f t="shared" si="19"/>
        <v>167.3401243</v>
      </c>
    </row>
    <row r="1244" spans="1:14">
      <c r="A1244" s="21" t="s">
        <v>1849</v>
      </c>
      <c r="B1244" s="21" t="s">
        <v>920</v>
      </c>
      <c r="C1244" s="21" t="s">
        <v>35</v>
      </c>
      <c r="D1244" s="21" t="s">
        <v>921</v>
      </c>
      <c r="E1244" s="21">
        <v>2</v>
      </c>
      <c r="F1244" s="22">
        <v>46050.6261689815</v>
      </c>
      <c r="G1244" s="22"/>
      <c r="H1244" s="23">
        <v>74.19</v>
      </c>
      <c r="I1244" s="23">
        <v>65.26</v>
      </c>
      <c r="J1244" s="24">
        <v>130.52</v>
      </c>
      <c r="K1244" s="21">
        <v>0</v>
      </c>
      <c r="L1244" s="21">
        <v>0</v>
      </c>
      <c r="M1244" s="21">
        <f>COUNTIF($A$2:$A$5481,A1244)</f>
        <v>1</v>
      </c>
      <c r="N1244" s="24">
        <f t="shared" si="19"/>
        <v>130.5201244</v>
      </c>
    </row>
    <row r="1245" spans="1:14">
      <c r="A1245" s="21" t="s">
        <v>1850</v>
      </c>
      <c r="B1245" s="21" t="s">
        <v>26</v>
      </c>
      <c r="C1245" s="21" t="s">
        <v>26</v>
      </c>
      <c r="D1245" s="21" t="s">
        <v>921</v>
      </c>
      <c r="E1245" s="21">
        <v>1</v>
      </c>
      <c r="F1245" s="22">
        <v>46056.8165740741</v>
      </c>
      <c r="G1245" s="22"/>
      <c r="H1245" s="23">
        <v>162.23</v>
      </c>
      <c r="I1245" s="23">
        <v>162.23</v>
      </c>
      <c r="J1245" s="24">
        <v>162.23</v>
      </c>
      <c r="K1245" s="21">
        <v>0</v>
      </c>
      <c r="L1245" s="21">
        <v>0</v>
      </c>
      <c r="M1245" s="21">
        <f>COUNTIF($A$2:$A$5481,A1245)</f>
        <v>1</v>
      </c>
      <c r="N1245" s="24">
        <f t="shared" si="19"/>
        <v>162.2301245</v>
      </c>
    </row>
    <row r="1246" spans="1:14">
      <c r="A1246" s="21" t="s">
        <v>1851</v>
      </c>
      <c r="B1246" s="21" t="s">
        <v>948</v>
      </c>
      <c r="C1246" s="21" t="s">
        <v>26</v>
      </c>
      <c r="D1246" s="21" t="s">
        <v>921</v>
      </c>
      <c r="E1246" s="21">
        <v>2</v>
      </c>
      <c r="F1246" s="22">
        <v>45856.4520601852</v>
      </c>
      <c r="G1246" s="22">
        <v>45862.4750578704</v>
      </c>
      <c r="H1246" s="23">
        <v>240</v>
      </c>
      <c r="I1246" s="23">
        <v>80</v>
      </c>
      <c r="J1246" s="24">
        <v>160</v>
      </c>
      <c r="K1246" s="21">
        <v>0</v>
      </c>
      <c r="L1246" s="21">
        <v>0</v>
      </c>
      <c r="M1246" s="21">
        <f>COUNTIF($A$2:$A$5481,A1246)</f>
        <v>1</v>
      </c>
      <c r="N1246" s="24">
        <f t="shared" si="19"/>
        <v>160.0001246</v>
      </c>
    </row>
    <row r="1247" spans="1:14">
      <c r="A1247" s="21" t="s">
        <v>712</v>
      </c>
      <c r="B1247" s="21" t="s">
        <v>26</v>
      </c>
      <c r="C1247" s="21" t="s">
        <v>26</v>
      </c>
      <c r="D1247" s="21" t="s">
        <v>921</v>
      </c>
      <c r="E1247" s="21">
        <v>0</v>
      </c>
      <c r="F1247" s="22">
        <v>46034.5303935185</v>
      </c>
      <c r="G1247" s="22">
        <v>46252.5690972222</v>
      </c>
      <c r="H1247" s="23">
        <v>84.28</v>
      </c>
      <c r="I1247" s="23">
        <v>84.28</v>
      </c>
      <c r="J1247" s="24">
        <v>0</v>
      </c>
      <c r="K1247" s="21">
        <v>0</v>
      </c>
      <c r="L1247" s="21">
        <v>0</v>
      </c>
      <c r="M1247" s="21">
        <f>COUNTIF($A$2:$A$5481,A1247)</f>
        <v>1</v>
      </c>
      <c r="N1247" s="24">
        <f t="shared" si="19"/>
        <v>0.0001247</v>
      </c>
    </row>
    <row r="1248" spans="1:14">
      <c r="A1248" s="21" t="s">
        <v>1852</v>
      </c>
      <c r="B1248" s="21" t="s">
        <v>920</v>
      </c>
      <c r="C1248" s="21" t="s">
        <v>35</v>
      </c>
      <c r="D1248" s="21" t="s">
        <v>921</v>
      </c>
      <c r="E1248" s="21">
        <v>2</v>
      </c>
      <c r="F1248" s="22">
        <v>45313.7501157407</v>
      </c>
      <c r="G1248" s="22"/>
      <c r="H1248" s="23">
        <v>106.5988</v>
      </c>
      <c r="I1248" s="23">
        <v>53.2994</v>
      </c>
      <c r="J1248" s="24">
        <v>106.6</v>
      </c>
      <c r="K1248" s="21">
        <v>0</v>
      </c>
      <c r="L1248" s="21">
        <v>0</v>
      </c>
      <c r="M1248" s="21">
        <f>COUNTIF($A$2:$A$5481,A1248)</f>
        <v>2</v>
      </c>
      <c r="N1248" s="24">
        <f t="shared" si="19"/>
        <v>106.6001248</v>
      </c>
    </row>
    <row r="1249" spans="1:14">
      <c r="A1249" s="21" t="s">
        <v>1852</v>
      </c>
      <c r="B1249" s="21" t="s">
        <v>920</v>
      </c>
      <c r="C1249" s="21" t="s">
        <v>26</v>
      </c>
      <c r="D1249" s="21" t="s">
        <v>921</v>
      </c>
      <c r="E1249" s="21">
        <v>2</v>
      </c>
      <c r="F1249" s="22">
        <v>45633.35</v>
      </c>
      <c r="G1249" s="22"/>
      <c r="H1249" s="23">
        <v>93.86</v>
      </c>
      <c r="I1249" s="23">
        <v>46.93</v>
      </c>
      <c r="J1249" s="24">
        <v>93.86</v>
      </c>
      <c r="K1249" s="21">
        <v>0</v>
      </c>
      <c r="L1249" s="21">
        <v>0</v>
      </c>
      <c r="M1249" s="21">
        <f>COUNTIF($A$2:$A$5481,A1249)</f>
        <v>2</v>
      </c>
      <c r="N1249" s="24">
        <f t="shared" si="19"/>
        <v>93.8601249</v>
      </c>
    </row>
    <row r="1250" spans="1:14">
      <c r="A1250" s="21" t="s">
        <v>1853</v>
      </c>
      <c r="B1250" s="21" t="s">
        <v>1115</v>
      </c>
      <c r="C1250" s="21" t="s">
        <v>51</v>
      </c>
      <c r="D1250" s="21" t="s">
        <v>931</v>
      </c>
      <c r="E1250" s="21">
        <v>100</v>
      </c>
      <c r="F1250" s="22">
        <v>45740.4453009259</v>
      </c>
      <c r="G1250" s="22"/>
      <c r="H1250" s="23">
        <v>795</v>
      </c>
      <c r="I1250" s="23">
        <v>7.95</v>
      </c>
      <c r="J1250" s="24">
        <v>795</v>
      </c>
      <c r="K1250" s="21">
        <v>0</v>
      </c>
      <c r="L1250" s="21">
        <v>0</v>
      </c>
      <c r="M1250" s="21">
        <f>COUNTIF($A$2:$A$5481,A1250)</f>
        <v>1</v>
      </c>
      <c r="N1250" s="24">
        <f t="shared" si="19"/>
        <v>795.000125</v>
      </c>
    </row>
    <row r="1251" spans="1:14">
      <c r="A1251" s="21" t="s">
        <v>544</v>
      </c>
      <c r="B1251" s="21" t="s">
        <v>1115</v>
      </c>
      <c r="C1251" s="21" t="s">
        <v>26</v>
      </c>
      <c r="D1251" s="21" t="s">
        <v>921</v>
      </c>
      <c r="E1251" s="21">
        <v>27</v>
      </c>
      <c r="F1251" s="22">
        <v>45988.3732638889</v>
      </c>
      <c r="G1251" s="22">
        <v>46251.429537037</v>
      </c>
      <c r="H1251" s="23">
        <v>18</v>
      </c>
      <c r="I1251" s="23">
        <v>1.3178571429</v>
      </c>
      <c r="J1251" s="24">
        <v>35.64</v>
      </c>
      <c r="K1251" s="21">
        <v>0</v>
      </c>
      <c r="L1251" s="21">
        <v>0</v>
      </c>
      <c r="M1251" s="21">
        <f>COUNTIF($A$2:$A$5481,A1251)</f>
        <v>1</v>
      </c>
      <c r="N1251" s="24">
        <f t="shared" si="19"/>
        <v>35.6401251</v>
      </c>
    </row>
    <row r="1252" spans="1:14">
      <c r="A1252" s="21" t="s">
        <v>1854</v>
      </c>
      <c r="B1252" s="21" t="s">
        <v>929</v>
      </c>
      <c r="C1252" s="21" t="s">
        <v>26</v>
      </c>
      <c r="D1252" s="21" t="s">
        <v>921</v>
      </c>
      <c r="E1252" s="21">
        <v>1</v>
      </c>
      <c r="F1252" s="22">
        <v>45328.6159722222</v>
      </c>
      <c r="G1252" s="22"/>
      <c r="H1252" s="23">
        <v>54.73</v>
      </c>
      <c r="I1252" s="23">
        <v>54.73</v>
      </c>
      <c r="J1252" s="24">
        <v>54.73</v>
      </c>
      <c r="K1252" s="21">
        <v>0</v>
      </c>
      <c r="L1252" s="21">
        <v>0</v>
      </c>
      <c r="M1252" s="21">
        <f>COUNTIF($A$2:$A$5481,A1252)</f>
        <v>1</v>
      </c>
      <c r="N1252" s="24">
        <f t="shared" si="19"/>
        <v>54.7301252</v>
      </c>
    </row>
    <row r="1253" spans="1:14">
      <c r="A1253" s="21" t="s">
        <v>1855</v>
      </c>
      <c r="B1253" s="21" t="s">
        <v>920</v>
      </c>
      <c r="C1253" s="21" t="s">
        <v>26</v>
      </c>
      <c r="D1253" s="21" t="s">
        <v>921</v>
      </c>
      <c r="E1253" s="21">
        <v>20</v>
      </c>
      <c r="F1253" s="22">
        <v>45604.7444212963</v>
      </c>
      <c r="G1253" s="22"/>
      <c r="H1253" s="23">
        <v>316</v>
      </c>
      <c r="I1253" s="23">
        <v>15.8</v>
      </c>
      <c r="J1253" s="24">
        <v>316</v>
      </c>
      <c r="K1253" s="21">
        <v>0</v>
      </c>
      <c r="L1253" s="21">
        <v>0</v>
      </c>
      <c r="M1253" s="21">
        <f>COUNTIF($A$2:$A$5481,A1253)</f>
        <v>1</v>
      </c>
      <c r="N1253" s="24">
        <f t="shared" si="19"/>
        <v>316.0001253</v>
      </c>
    </row>
    <row r="1254" spans="1:14">
      <c r="A1254" s="21" t="s">
        <v>1856</v>
      </c>
      <c r="B1254" s="21" t="s">
        <v>929</v>
      </c>
      <c r="C1254" s="21" t="s">
        <v>26</v>
      </c>
      <c r="D1254" s="21" t="s">
        <v>921</v>
      </c>
      <c r="E1254" s="21">
        <v>4</v>
      </c>
      <c r="F1254" s="22">
        <v>46265.50625</v>
      </c>
      <c r="G1254" s="22"/>
      <c r="H1254" s="23">
        <v>197.35</v>
      </c>
      <c r="I1254" s="23">
        <v>197.35</v>
      </c>
      <c r="J1254" s="24">
        <v>789.4</v>
      </c>
      <c r="K1254" s="21">
        <v>0</v>
      </c>
      <c r="L1254" s="21">
        <v>0</v>
      </c>
      <c r="M1254" s="21">
        <f>COUNTIF($A$2:$A$5481,A1254)</f>
        <v>1</v>
      </c>
      <c r="N1254" s="24">
        <f t="shared" si="19"/>
        <v>789.4001254</v>
      </c>
    </row>
    <row r="1255" spans="1:14">
      <c r="A1255" s="21" t="s">
        <v>1857</v>
      </c>
      <c r="B1255" s="21" t="s">
        <v>929</v>
      </c>
      <c r="C1255" s="21" t="s">
        <v>414</v>
      </c>
      <c r="D1255" s="21" t="s">
        <v>921</v>
      </c>
      <c r="E1255" s="21">
        <v>2</v>
      </c>
      <c r="F1255" s="22">
        <v>45520.7298611111</v>
      </c>
      <c r="G1255" s="22"/>
      <c r="H1255" s="23">
        <v>3804</v>
      </c>
      <c r="I1255" s="23">
        <v>1902</v>
      </c>
      <c r="J1255" s="24">
        <v>3804</v>
      </c>
      <c r="K1255" s="21">
        <v>0</v>
      </c>
      <c r="L1255" s="21">
        <v>0</v>
      </c>
      <c r="M1255" s="21">
        <f>COUNTIF($A$2:$A$5481,A1255)</f>
        <v>1</v>
      </c>
      <c r="N1255" s="24">
        <f t="shared" si="19"/>
        <v>3804.0001255</v>
      </c>
    </row>
    <row r="1256" spans="1:14">
      <c r="A1256" s="21" t="s">
        <v>1858</v>
      </c>
      <c r="B1256" s="21" t="s">
        <v>920</v>
      </c>
      <c r="C1256" s="21" t="s">
        <v>26</v>
      </c>
      <c r="D1256" s="21" t="s">
        <v>921</v>
      </c>
      <c r="E1256" s="21">
        <v>11</v>
      </c>
      <c r="F1256" s="22">
        <v>45912.3536111111</v>
      </c>
      <c r="G1256" s="22">
        <v>45932.3746180556</v>
      </c>
      <c r="H1256" s="23">
        <v>358.14</v>
      </c>
      <c r="I1256" s="23">
        <v>59.98</v>
      </c>
      <c r="J1256" s="24">
        <v>659.78</v>
      </c>
      <c r="K1256" s="21">
        <v>0</v>
      </c>
      <c r="L1256" s="21">
        <v>0</v>
      </c>
      <c r="M1256" s="21">
        <f>COUNTIF($A$2:$A$5481,A1256)</f>
        <v>1</v>
      </c>
      <c r="N1256" s="24">
        <f t="shared" si="19"/>
        <v>659.7801256</v>
      </c>
    </row>
    <row r="1257" spans="1:14">
      <c r="A1257" s="21" t="s">
        <v>1859</v>
      </c>
      <c r="B1257" s="21" t="s">
        <v>929</v>
      </c>
      <c r="C1257" s="21" t="s">
        <v>26</v>
      </c>
      <c r="D1257" s="21" t="s">
        <v>921</v>
      </c>
      <c r="E1257" s="21">
        <v>2</v>
      </c>
      <c r="F1257" s="22">
        <v>46234.5952430556</v>
      </c>
      <c r="G1257" s="22"/>
      <c r="H1257" s="23">
        <v>61.56</v>
      </c>
      <c r="I1257" s="23">
        <v>68.93</v>
      </c>
      <c r="J1257" s="24">
        <v>137.86</v>
      </c>
      <c r="K1257" s="21">
        <v>0</v>
      </c>
      <c r="L1257" s="21">
        <v>0</v>
      </c>
      <c r="M1257" s="21">
        <f>COUNTIF($A$2:$A$5481,A1257)</f>
        <v>1</v>
      </c>
      <c r="N1257" s="24">
        <f t="shared" si="19"/>
        <v>137.8601257</v>
      </c>
    </row>
    <row r="1258" spans="1:14">
      <c r="A1258" s="21" t="s">
        <v>1860</v>
      </c>
      <c r="B1258" s="21" t="s">
        <v>929</v>
      </c>
      <c r="C1258" s="21" t="s">
        <v>26</v>
      </c>
      <c r="D1258" s="21" t="s">
        <v>921</v>
      </c>
      <c r="E1258" s="21">
        <v>6</v>
      </c>
      <c r="F1258" s="22">
        <v>45749.8311689815</v>
      </c>
      <c r="G1258" s="22"/>
      <c r="H1258" s="23">
        <v>45.9</v>
      </c>
      <c r="I1258" s="23">
        <v>22.95</v>
      </c>
      <c r="J1258" s="24">
        <v>137.7</v>
      </c>
      <c r="K1258" s="21">
        <v>0</v>
      </c>
      <c r="L1258" s="21">
        <v>0</v>
      </c>
      <c r="M1258" s="21">
        <f>COUNTIF($A$2:$A$5481,A1258)</f>
        <v>1</v>
      </c>
      <c r="N1258" s="24">
        <f t="shared" si="19"/>
        <v>137.7001258</v>
      </c>
    </row>
    <row r="1259" spans="1:14">
      <c r="A1259" s="21" t="s">
        <v>184</v>
      </c>
      <c r="B1259" s="21" t="s">
        <v>920</v>
      </c>
      <c r="C1259" s="21" t="s">
        <v>35</v>
      </c>
      <c r="D1259" s="21" t="s">
        <v>921</v>
      </c>
      <c r="E1259" s="21">
        <v>-1</v>
      </c>
      <c r="F1259" s="22">
        <v>45267.5892939815</v>
      </c>
      <c r="G1259" s="22">
        <v>45323.4762152778</v>
      </c>
      <c r="H1259" s="23">
        <v>248.78</v>
      </c>
      <c r="I1259" s="23">
        <v>0</v>
      </c>
      <c r="J1259" s="24">
        <v>0</v>
      </c>
      <c r="K1259" s="21">
        <v>0</v>
      </c>
      <c r="L1259" s="21">
        <v>0</v>
      </c>
      <c r="M1259" s="21">
        <f>COUNTIF($A$2:$A$5481,A1259)</f>
        <v>2</v>
      </c>
      <c r="N1259" s="24">
        <f t="shared" si="19"/>
        <v>0.0001259</v>
      </c>
    </row>
    <row r="1260" spans="1:14">
      <c r="A1260" s="21" t="s">
        <v>184</v>
      </c>
      <c r="B1260" s="21" t="s">
        <v>920</v>
      </c>
      <c r="C1260" s="21" t="s">
        <v>26</v>
      </c>
      <c r="D1260" s="21" t="s">
        <v>921</v>
      </c>
      <c r="E1260" s="21">
        <v>1</v>
      </c>
      <c r="F1260" s="22">
        <v>46043.3465277778</v>
      </c>
      <c r="G1260" s="22">
        <v>46043.3469675926</v>
      </c>
      <c r="H1260" s="23">
        <v>496</v>
      </c>
      <c r="I1260" s="23">
        <v>248</v>
      </c>
      <c r="J1260" s="24">
        <v>248</v>
      </c>
      <c r="K1260" s="21">
        <v>0</v>
      </c>
      <c r="L1260" s="21">
        <v>0</v>
      </c>
      <c r="M1260" s="21">
        <f>COUNTIF($A$2:$A$5481,A1260)</f>
        <v>2</v>
      </c>
      <c r="N1260" s="24">
        <f t="shared" si="19"/>
        <v>248.000126</v>
      </c>
    </row>
    <row r="1261" spans="1:14">
      <c r="A1261" s="21" t="s">
        <v>1861</v>
      </c>
      <c r="B1261" s="21" t="s">
        <v>929</v>
      </c>
      <c r="C1261" s="21" t="s">
        <v>26</v>
      </c>
      <c r="D1261" s="21" t="s">
        <v>921</v>
      </c>
      <c r="E1261" s="21">
        <v>0</v>
      </c>
      <c r="F1261" s="22">
        <v>45832.4647916667</v>
      </c>
      <c r="G1261" s="22">
        <v>45833.4979513889</v>
      </c>
      <c r="H1261" s="23">
        <v>95</v>
      </c>
      <c r="I1261" s="23">
        <v>95</v>
      </c>
      <c r="J1261" s="24">
        <v>0</v>
      </c>
      <c r="K1261" s="21">
        <v>0</v>
      </c>
      <c r="L1261" s="21">
        <v>0</v>
      </c>
      <c r="M1261" s="21">
        <f>COUNTIF($A$2:$A$5481,A1261)</f>
        <v>1</v>
      </c>
      <c r="N1261" s="24">
        <f t="shared" si="19"/>
        <v>0.0001261</v>
      </c>
    </row>
    <row r="1262" spans="1:14">
      <c r="A1262" s="21" t="s">
        <v>1862</v>
      </c>
      <c r="B1262" s="21" t="s">
        <v>920</v>
      </c>
      <c r="C1262" s="21" t="s">
        <v>26</v>
      </c>
      <c r="D1262" s="21" t="s">
        <v>921</v>
      </c>
      <c r="E1262" s="21">
        <v>10</v>
      </c>
      <c r="F1262" s="22">
        <v>46210.7104282407</v>
      </c>
      <c r="G1262" s="22"/>
      <c r="H1262" s="23">
        <v>10</v>
      </c>
      <c r="I1262" s="23">
        <v>1</v>
      </c>
      <c r="J1262" s="24">
        <v>10</v>
      </c>
      <c r="K1262" s="21">
        <v>0</v>
      </c>
      <c r="L1262" s="21">
        <v>0</v>
      </c>
      <c r="M1262" s="21">
        <f>COUNTIF($A$2:$A$5481,A1262)</f>
        <v>1</v>
      </c>
      <c r="N1262" s="24">
        <f t="shared" si="19"/>
        <v>10.0001262</v>
      </c>
    </row>
    <row r="1263" spans="1:14">
      <c r="A1263" s="21" t="s">
        <v>1863</v>
      </c>
      <c r="B1263" s="21" t="s">
        <v>26</v>
      </c>
      <c r="C1263" s="21" t="s">
        <v>26</v>
      </c>
      <c r="D1263" s="21" t="s">
        <v>921</v>
      </c>
      <c r="E1263" s="21">
        <v>2</v>
      </c>
      <c r="F1263" s="22">
        <v>45520.4274421296</v>
      </c>
      <c r="G1263" s="22"/>
      <c r="H1263" s="23">
        <v>4</v>
      </c>
      <c r="I1263" s="23">
        <v>2</v>
      </c>
      <c r="J1263" s="24">
        <v>4</v>
      </c>
      <c r="K1263" s="21">
        <v>0</v>
      </c>
      <c r="L1263" s="21">
        <v>0</v>
      </c>
      <c r="M1263" s="21">
        <f>COUNTIF($A$2:$A$5481,A1263)</f>
        <v>1</v>
      </c>
      <c r="N1263" s="24">
        <f t="shared" si="19"/>
        <v>4.0001263</v>
      </c>
    </row>
    <row r="1264" spans="1:14">
      <c r="A1264" s="21" t="s">
        <v>1864</v>
      </c>
      <c r="B1264" s="21" t="s">
        <v>26</v>
      </c>
      <c r="C1264" s="21" t="s">
        <v>26</v>
      </c>
      <c r="D1264" s="21" t="s">
        <v>921</v>
      </c>
      <c r="E1264" s="21">
        <v>2</v>
      </c>
      <c r="F1264" s="22">
        <v>45520.4274421296</v>
      </c>
      <c r="G1264" s="22"/>
      <c r="H1264" s="23">
        <v>4</v>
      </c>
      <c r="I1264" s="23">
        <v>2</v>
      </c>
      <c r="J1264" s="24">
        <v>4</v>
      </c>
      <c r="K1264" s="21">
        <v>0</v>
      </c>
      <c r="L1264" s="21">
        <v>0</v>
      </c>
      <c r="M1264" s="21">
        <f>COUNTIF($A$2:$A$5481,A1264)</f>
        <v>1</v>
      </c>
      <c r="N1264" s="24">
        <f t="shared" si="19"/>
        <v>4.0001264</v>
      </c>
    </row>
    <row r="1265" spans="1:14">
      <c r="A1265" s="21" t="s">
        <v>1865</v>
      </c>
      <c r="B1265" s="21" t="s">
        <v>920</v>
      </c>
      <c r="C1265" s="21" t="s">
        <v>35</v>
      </c>
      <c r="D1265" s="21" t="s">
        <v>921</v>
      </c>
      <c r="E1265" s="21">
        <v>1</v>
      </c>
      <c r="F1265" s="22">
        <v>45287.3454976852</v>
      </c>
      <c r="G1265" s="22"/>
      <c r="H1265" s="23">
        <v>61.6</v>
      </c>
      <c r="I1265" s="23">
        <v>61.6</v>
      </c>
      <c r="J1265" s="24">
        <v>61.6</v>
      </c>
      <c r="K1265" s="21">
        <v>0</v>
      </c>
      <c r="L1265" s="21">
        <v>0</v>
      </c>
      <c r="M1265" s="21">
        <f>COUNTIF($A$2:$A$5481,A1265)</f>
        <v>1</v>
      </c>
      <c r="N1265" s="24">
        <f t="shared" si="19"/>
        <v>61.6001265</v>
      </c>
    </row>
    <row r="1266" spans="1:14">
      <c r="A1266" s="21" t="s">
        <v>1866</v>
      </c>
      <c r="B1266" s="21" t="s">
        <v>920</v>
      </c>
      <c r="C1266" s="21" t="s">
        <v>26</v>
      </c>
      <c r="D1266" s="21" t="s">
        <v>921</v>
      </c>
      <c r="E1266" s="21">
        <v>30</v>
      </c>
      <c r="F1266" s="22">
        <v>46164.5487037037</v>
      </c>
      <c r="G1266" s="22"/>
      <c r="H1266" s="23">
        <v>60</v>
      </c>
      <c r="I1266" s="23">
        <v>2</v>
      </c>
      <c r="J1266" s="24">
        <v>60</v>
      </c>
      <c r="K1266" s="21">
        <v>0</v>
      </c>
      <c r="L1266" s="21">
        <v>0</v>
      </c>
      <c r="M1266" s="21">
        <f>COUNTIF($A$2:$A$5481,A1266)</f>
        <v>1</v>
      </c>
      <c r="N1266" s="24">
        <f t="shared" si="19"/>
        <v>60.0001266</v>
      </c>
    </row>
    <row r="1267" spans="1:14">
      <c r="A1267" s="21" t="s">
        <v>1867</v>
      </c>
      <c r="B1267" s="21" t="s">
        <v>920</v>
      </c>
      <c r="C1267" s="21" t="s">
        <v>35</v>
      </c>
      <c r="D1267" s="21" t="s">
        <v>1217</v>
      </c>
      <c r="E1267" s="21">
        <v>0</v>
      </c>
      <c r="F1267" s="22">
        <v>45278.4636226852</v>
      </c>
      <c r="G1267" s="22">
        <v>45279.3529976852</v>
      </c>
      <c r="H1267" s="23">
        <v>20</v>
      </c>
      <c r="I1267" s="23">
        <v>5</v>
      </c>
      <c r="J1267" s="24">
        <v>0</v>
      </c>
      <c r="K1267" s="21">
        <v>0</v>
      </c>
      <c r="L1267" s="21">
        <v>0</v>
      </c>
      <c r="M1267" s="21">
        <f>COUNTIF($A$2:$A$5481,A1267)</f>
        <v>1</v>
      </c>
      <c r="N1267" s="24">
        <f t="shared" si="19"/>
        <v>0.0001267</v>
      </c>
    </row>
    <row r="1268" spans="1:14">
      <c r="A1268" s="21" t="s">
        <v>1868</v>
      </c>
      <c r="B1268" s="21" t="s">
        <v>26</v>
      </c>
      <c r="C1268" s="21" t="s">
        <v>26</v>
      </c>
      <c r="D1268" s="21" t="s">
        <v>921</v>
      </c>
      <c r="E1268" s="21">
        <v>7</v>
      </c>
      <c r="F1268" s="22">
        <v>46078.5905671296</v>
      </c>
      <c r="G1268" s="22"/>
      <c r="H1268" s="23">
        <v>30</v>
      </c>
      <c r="I1268" s="23">
        <v>4.8571428571</v>
      </c>
      <c r="J1268" s="24">
        <v>34.02</v>
      </c>
      <c r="K1268" s="21">
        <v>0</v>
      </c>
      <c r="L1268" s="21">
        <v>0</v>
      </c>
      <c r="M1268" s="21">
        <f>COUNTIF($A$2:$A$5481,A1268)</f>
        <v>1</v>
      </c>
      <c r="N1268" s="24">
        <f t="shared" si="19"/>
        <v>34.0201268</v>
      </c>
    </row>
    <row r="1269" spans="1:14">
      <c r="A1269" s="21" t="s">
        <v>1869</v>
      </c>
      <c r="B1269" s="21" t="s">
        <v>929</v>
      </c>
      <c r="C1269" s="21" t="s">
        <v>35</v>
      </c>
      <c r="D1269" s="21" t="s">
        <v>921</v>
      </c>
      <c r="E1269" s="21">
        <v>1</v>
      </c>
      <c r="F1269" s="22">
        <v>45329.4507175926</v>
      </c>
      <c r="G1269" s="22"/>
      <c r="H1269" s="23">
        <v>134.89</v>
      </c>
      <c r="I1269" s="23">
        <v>134.89</v>
      </c>
      <c r="J1269" s="24">
        <v>134.89</v>
      </c>
      <c r="K1269" s="21">
        <v>0</v>
      </c>
      <c r="L1269" s="21">
        <v>0</v>
      </c>
      <c r="M1269" s="21">
        <f>COUNTIF($A$2:$A$5481,A1269)</f>
        <v>2</v>
      </c>
      <c r="N1269" s="24">
        <f t="shared" si="19"/>
        <v>134.8901269</v>
      </c>
    </row>
    <row r="1270" spans="1:14">
      <c r="A1270" s="21" t="s">
        <v>1869</v>
      </c>
      <c r="B1270" s="21" t="s">
        <v>929</v>
      </c>
      <c r="C1270" s="21" t="s">
        <v>414</v>
      </c>
      <c r="D1270" s="21" t="s">
        <v>921</v>
      </c>
      <c r="E1270" s="21">
        <v>1</v>
      </c>
      <c r="F1270" s="22">
        <v>45803.4424305556</v>
      </c>
      <c r="G1270" s="22">
        <v>45819.4616550926</v>
      </c>
      <c r="H1270" s="23">
        <v>241.18</v>
      </c>
      <c r="I1270" s="23">
        <v>205.75</v>
      </c>
      <c r="J1270" s="24">
        <v>205.75</v>
      </c>
      <c r="K1270" s="21">
        <v>0</v>
      </c>
      <c r="L1270" s="21">
        <v>0</v>
      </c>
      <c r="M1270" s="21">
        <f>COUNTIF($A$2:$A$5481,A1270)</f>
        <v>2</v>
      </c>
      <c r="N1270" s="24">
        <f t="shared" si="19"/>
        <v>205.750127</v>
      </c>
    </row>
    <row r="1271" spans="1:14">
      <c r="A1271" s="21" t="s">
        <v>1870</v>
      </c>
      <c r="B1271" s="21" t="s">
        <v>26</v>
      </c>
      <c r="C1271" s="21" t="s">
        <v>26</v>
      </c>
      <c r="D1271" s="21" t="s">
        <v>921</v>
      </c>
      <c r="E1271" s="21">
        <v>1</v>
      </c>
      <c r="F1271" s="22">
        <v>45650.4486226852</v>
      </c>
      <c r="G1271" s="22"/>
      <c r="H1271" s="23">
        <v>2644.33</v>
      </c>
      <c r="I1271" s="23">
        <v>2644.33</v>
      </c>
      <c r="J1271" s="24">
        <v>2644.33</v>
      </c>
      <c r="K1271" s="21">
        <v>0</v>
      </c>
      <c r="L1271" s="21">
        <v>0</v>
      </c>
      <c r="M1271" s="21">
        <f>COUNTIF($A$2:$A$5481,A1271)</f>
        <v>1</v>
      </c>
      <c r="N1271" s="24">
        <f t="shared" si="19"/>
        <v>2644.3301271</v>
      </c>
    </row>
    <row r="1272" spans="1:14">
      <c r="A1272" s="21" t="s">
        <v>1871</v>
      </c>
      <c r="B1272" s="21" t="s">
        <v>26</v>
      </c>
      <c r="C1272" s="21" t="s">
        <v>182</v>
      </c>
      <c r="D1272" s="21" t="s">
        <v>921</v>
      </c>
      <c r="E1272" s="21">
        <v>10</v>
      </c>
      <c r="F1272" s="22">
        <v>45364.8436805556</v>
      </c>
      <c r="G1272" s="22"/>
      <c r="H1272" s="23">
        <v>20</v>
      </c>
      <c r="I1272" s="23">
        <v>2</v>
      </c>
      <c r="J1272" s="24">
        <v>20</v>
      </c>
      <c r="K1272" s="21">
        <v>0</v>
      </c>
      <c r="L1272" s="21">
        <v>0</v>
      </c>
      <c r="M1272" s="21">
        <f>COUNTIF($A$2:$A$5481,A1272)</f>
        <v>1</v>
      </c>
      <c r="N1272" s="24">
        <f t="shared" si="19"/>
        <v>20.0001272</v>
      </c>
    </row>
    <row r="1273" spans="1:14">
      <c r="A1273" s="21" t="s">
        <v>1872</v>
      </c>
      <c r="B1273" s="21" t="s">
        <v>920</v>
      </c>
      <c r="C1273" s="21" t="s">
        <v>26</v>
      </c>
      <c r="D1273" s="21" t="s">
        <v>921</v>
      </c>
      <c r="E1273" s="21">
        <v>6</v>
      </c>
      <c r="F1273" s="22">
        <v>46190.6957986111</v>
      </c>
      <c r="G1273" s="22"/>
      <c r="H1273" s="23">
        <v>414</v>
      </c>
      <c r="I1273" s="23">
        <v>69</v>
      </c>
      <c r="J1273" s="24">
        <v>414</v>
      </c>
      <c r="K1273" s="21">
        <v>0</v>
      </c>
      <c r="L1273" s="21">
        <v>0</v>
      </c>
      <c r="M1273" s="21">
        <f>COUNTIF($A$2:$A$5481,A1273)</f>
        <v>1</v>
      </c>
      <c r="N1273" s="24">
        <f t="shared" si="19"/>
        <v>414.0001273</v>
      </c>
    </row>
    <row r="1274" spans="1:14">
      <c r="A1274" s="21" t="s">
        <v>1873</v>
      </c>
      <c r="B1274" s="21" t="s">
        <v>26</v>
      </c>
      <c r="C1274" s="21" t="s">
        <v>26</v>
      </c>
      <c r="D1274" s="21" t="s">
        <v>921</v>
      </c>
      <c r="E1274" s="21">
        <v>1</v>
      </c>
      <c r="F1274" s="22">
        <v>46078.5582060185</v>
      </c>
      <c r="G1274" s="22"/>
      <c r="H1274" s="23">
        <v>47.8</v>
      </c>
      <c r="I1274" s="23">
        <v>47.8</v>
      </c>
      <c r="J1274" s="24">
        <v>47.8</v>
      </c>
      <c r="K1274" s="21">
        <v>0</v>
      </c>
      <c r="L1274" s="21">
        <v>0</v>
      </c>
      <c r="M1274" s="21">
        <f>COUNTIF($A$2:$A$5481,A1274)</f>
        <v>1</v>
      </c>
      <c r="N1274" s="24">
        <f t="shared" si="19"/>
        <v>47.8001274</v>
      </c>
    </row>
    <row r="1275" spans="1:14">
      <c r="A1275" s="21" t="s">
        <v>1874</v>
      </c>
      <c r="B1275" s="21" t="s">
        <v>929</v>
      </c>
      <c r="C1275" s="21" t="s">
        <v>26</v>
      </c>
      <c r="D1275" s="21" t="s">
        <v>921</v>
      </c>
      <c r="E1275" s="21">
        <v>3</v>
      </c>
      <c r="F1275" s="22">
        <v>46175.808587963</v>
      </c>
      <c r="G1275" s="22"/>
      <c r="H1275" s="23">
        <v>100.2</v>
      </c>
      <c r="I1275" s="23">
        <v>33.4</v>
      </c>
      <c r="J1275" s="24">
        <v>100.2</v>
      </c>
      <c r="K1275" s="21">
        <v>0</v>
      </c>
      <c r="L1275" s="21">
        <v>0</v>
      </c>
      <c r="M1275" s="21">
        <f>COUNTIF($A$2:$A$5481,A1275)</f>
        <v>1</v>
      </c>
      <c r="N1275" s="24">
        <f t="shared" si="19"/>
        <v>100.2001275</v>
      </c>
    </row>
    <row r="1276" spans="1:14">
      <c r="A1276" s="21" t="s">
        <v>1875</v>
      </c>
      <c r="B1276" s="21" t="s">
        <v>26</v>
      </c>
      <c r="C1276" s="21" t="s">
        <v>26</v>
      </c>
      <c r="D1276" s="21" t="s">
        <v>921</v>
      </c>
      <c r="E1276" s="21">
        <v>4</v>
      </c>
      <c r="F1276" s="22">
        <v>45895.5674421296</v>
      </c>
      <c r="G1276" s="22"/>
      <c r="H1276" s="23">
        <v>117.16</v>
      </c>
      <c r="I1276" s="23">
        <v>29.29</v>
      </c>
      <c r="J1276" s="24">
        <v>117.16</v>
      </c>
      <c r="K1276" s="21">
        <v>0</v>
      </c>
      <c r="L1276" s="21">
        <v>0</v>
      </c>
      <c r="M1276" s="21">
        <f>COUNTIF($A$2:$A$5481,A1276)</f>
        <v>1</v>
      </c>
      <c r="N1276" s="24">
        <f t="shared" si="19"/>
        <v>117.1601276</v>
      </c>
    </row>
    <row r="1277" spans="1:14">
      <c r="A1277" s="21" t="s">
        <v>1876</v>
      </c>
      <c r="B1277" s="21" t="s">
        <v>26</v>
      </c>
      <c r="C1277" s="21" t="s">
        <v>26</v>
      </c>
      <c r="D1277" s="21" t="s">
        <v>921</v>
      </c>
      <c r="E1277" s="21">
        <v>0</v>
      </c>
      <c r="F1277" s="22">
        <v>45628.3940856482</v>
      </c>
      <c r="G1277" s="22">
        <v>45891.3502662037</v>
      </c>
      <c r="H1277" s="23">
        <v>603</v>
      </c>
      <c r="I1277" s="23">
        <v>603</v>
      </c>
      <c r="J1277" s="24">
        <v>0</v>
      </c>
      <c r="K1277" s="21">
        <v>0</v>
      </c>
      <c r="L1277" s="21">
        <v>0</v>
      </c>
      <c r="M1277" s="21">
        <f>COUNTIF($A$2:$A$5481,A1277)</f>
        <v>2</v>
      </c>
      <c r="N1277" s="24">
        <f t="shared" si="19"/>
        <v>0.0001277</v>
      </c>
    </row>
    <row r="1278" spans="1:14">
      <c r="A1278" s="21" t="s">
        <v>1876</v>
      </c>
      <c r="B1278" s="21" t="s">
        <v>26</v>
      </c>
      <c r="C1278" s="21" t="s">
        <v>35</v>
      </c>
      <c r="D1278" s="21" t="s">
        <v>921</v>
      </c>
      <c r="E1278" s="21">
        <v>1</v>
      </c>
      <c r="F1278" s="22">
        <v>45890.3645601852</v>
      </c>
      <c r="G1278" s="22"/>
      <c r="H1278" s="23">
        <v>611</v>
      </c>
      <c r="I1278" s="23">
        <v>611</v>
      </c>
      <c r="J1278" s="24">
        <v>611</v>
      </c>
      <c r="K1278" s="21">
        <v>0</v>
      </c>
      <c r="L1278" s="21">
        <v>0</v>
      </c>
      <c r="M1278" s="21">
        <f>COUNTIF($A$2:$A$5481,A1278)</f>
        <v>2</v>
      </c>
      <c r="N1278" s="24">
        <f t="shared" si="19"/>
        <v>611.0001278</v>
      </c>
    </row>
    <row r="1279" spans="1:14">
      <c r="A1279" s="21" t="s">
        <v>1877</v>
      </c>
      <c r="B1279" s="21" t="s">
        <v>949</v>
      </c>
      <c r="C1279" s="21" t="s">
        <v>26</v>
      </c>
      <c r="D1279" s="21" t="s">
        <v>921</v>
      </c>
      <c r="E1279" s="21">
        <v>50</v>
      </c>
      <c r="F1279" s="22">
        <v>45464.7430092593</v>
      </c>
      <c r="G1279" s="22"/>
      <c r="H1279" s="23">
        <v>249.5</v>
      </c>
      <c r="I1279" s="23">
        <v>4.99</v>
      </c>
      <c r="J1279" s="24">
        <v>249.5</v>
      </c>
      <c r="K1279" s="21">
        <v>0</v>
      </c>
      <c r="L1279" s="21">
        <v>0</v>
      </c>
      <c r="M1279" s="21">
        <f>COUNTIF($A$2:$A$5481,A1279)</f>
        <v>1</v>
      </c>
      <c r="N1279" s="24">
        <f t="shared" si="19"/>
        <v>249.5001279</v>
      </c>
    </row>
    <row r="1280" spans="1:14">
      <c r="A1280" s="21" t="s">
        <v>1878</v>
      </c>
      <c r="B1280" s="21" t="s">
        <v>949</v>
      </c>
      <c r="C1280" s="21" t="s">
        <v>182</v>
      </c>
      <c r="D1280" s="21" t="s">
        <v>921</v>
      </c>
      <c r="E1280" s="21">
        <v>0</v>
      </c>
      <c r="F1280" s="22">
        <v>45355.6104166667</v>
      </c>
      <c r="G1280" s="22">
        <v>45357.4119444444</v>
      </c>
      <c r="H1280" s="23">
        <v>10</v>
      </c>
      <c r="I1280" s="23">
        <v>1</v>
      </c>
      <c r="J1280" s="24">
        <v>0</v>
      </c>
      <c r="K1280" s="21">
        <v>0</v>
      </c>
      <c r="L1280" s="21">
        <v>0</v>
      </c>
      <c r="M1280" s="21">
        <f>COUNTIF($A$2:$A$5481,A1280)</f>
        <v>2</v>
      </c>
      <c r="N1280" s="24">
        <f t="shared" si="19"/>
        <v>0.000128</v>
      </c>
    </row>
    <row r="1281" spans="1:14">
      <c r="A1281" s="21" t="s">
        <v>1878</v>
      </c>
      <c r="B1281" s="21" t="s">
        <v>949</v>
      </c>
      <c r="C1281" s="21" t="s">
        <v>26</v>
      </c>
      <c r="D1281" s="21" t="s">
        <v>921</v>
      </c>
      <c r="E1281" s="21">
        <v>10</v>
      </c>
      <c r="F1281" s="22">
        <v>45593.4046759259</v>
      </c>
      <c r="G1281" s="22"/>
      <c r="H1281" s="23">
        <v>35</v>
      </c>
      <c r="I1281" s="23">
        <v>3.5</v>
      </c>
      <c r="J1281" s="24">
        <v>35</v>
      </c>
      <c r="K1281" s="21">
        <v>0</v>
      </c>
      <c r="L1281" s="21">
        <v>0</v>
      </c>
      <c r="M1281" s="21">
        <f>COUNTIF($A$2:$A$5481,A1281)</f>
        <v>2</v>
      </c>
      <c r="N1281" s="24">
        <f t="shared" si="19"/>
        <v>35.0001281</v>
      </c>
    </row>
    <row r="1282" spans="1:14">
      <c r="A1282" s="21" t="s">
        <v>1879</v>
      </c>
      <c r="B1282" s="21" t="s">
        <v>920</v>
      </c>
      <c r="C1282" s="21" t="s">
        <v>26</v>
      </c>
      <c r="D1282" s="21" t="s">
        <v>921</v>
      </c>
      <c r="E1282" s="21">
        <v>2</v>
      </c>
      <c r="F1282" s="22">
        <v>46197.641412037</v>
      </c>
      <c r="G1282" s="22"/>
      <c r="H1282" s="23">
        <v>110</v>
      </c>
      <c r="I1282" s="23">
        <v>55</v>
      </c>
      <c r="J1282" s="24">
        <v>110</v>
      </c>
      <c r="K1282" s="21">
        <v>0</v>
      </c>
      <c r="L1282" s="21">
        <v>0</v>
      </c>
      <c r="M1282" s="21">
        <f>COUNTIF($A$2:$A$5481,A1282)</f>
        <v>1</v>
      </c>
      <c r="N1282" s="24">
        <f t="shared" ref="N1282:N1345" si="20">J1282+ROW()/10000000</f>
        <v>110.0001282</v>
      </c>
    </row>
    <row r="1283" spans="1:14">
      <c r="A1283" s="21" t="s">
        <v>1880</v>
      </c>
      <c r="B1283" s="21" t="s">
        <v>929</v>
      </c>
      <c r="C1283" s="21" t="s">
        <v>414</v>
      </c>
      <c r="D1283" s="21" t="s">
        <v>921</v>
      </c>
      <c r="E1283" s="21">
        <v>0</v>
      </c>
      <c r="F1283" s="22">
        <v>45300.8689699074</v>
      </c>
      <c r="G1283" s="22">
        <v>45300.8705902778</v>
      </c>
      <c r="H1283" s="23">
        <v>96</v>
      </c>
      <c r="I1283" s="23">
        <v>96</v>
      </c>
      <c r="J1283" s="24">
        <v>0</v>
      </c>
      <c r="K1283" s="21">
        <v>0</v>
      </c>
      <c r="L1283" s="21">
        <v>1</v>
      </c>
      <c r="M1283" s="21">
        <f>COUNTIF($A$2:$A$5481,A1283)</f>
        <v>1</v>
      </c>
      <c r="N1283" s="24">
        <f t="shared" si="20"/>
        <v>0.0001283</v>
      </c>
    </row>
    <row r="1284" spans="1:14">
      <c r="A1284" s="21" t="s">
        <v>1881</v>
      </c>
      <c r="B1284" s="21" t="s">
        <v>26</v>
      </c>
      <c r="C1284" s="21" t="s">
        <v>26</v>
      </c>
      <c r="D1284" s="21" t="s">
        <v>921</v>
      </c>
      <c r="E1284" s="21">
        <v>1</v>
      </c>
      <c r="F1284" s="22">
        <v>45624.3546180556</v>
      </c>
      <c r="G1284" s="22"/>
      <c r="H1284" s="23">
        <v>40</v>
      </c>
      <c r="I1284" s="23">
        <v>40</v>
      </c>
      <c r="J1284" s="24">
        <v>40</v>
      </c>
      <c r="K1284" s="21">
        <v>0</v>
      </c>
      <c r="L1284" s="21">
        <v>0</v>
      </c>
      <c r="M1284" s="21">
        <f>COUNTIF($A$2:$A$5481,A1284)</f>
        <v>1</v>
      </c>
      <c r="N1284" s="24">
        <f t="shared" si="20"/>
        <v>40.0001284</v>
      </c>
    </row>
    <row r="1285" spans="1:14">
      <c r="A1285" s="21" t="s">
        <v>1882</v>
      </c>
      <c r="B1285" s="21" t="s">
        <v>26</v>
      </c>
      <c r="C1285" s="21" t="s">
        <v>182</v>
      </c>
      <c r="D1285" s="21" t="s">
        <v>921</v>
      </c>
      <c r="E1285" s="21">
        <v>17</v>
      </c>
      <c r="F1285" s="22">
        <v>45357.9527777778</v>
      </c>
      <c r="G1285" s="22">
        <v>45477.8557291667</v>
      </c>
      <c r="H1285" s="23">
        <v>68.3</v>
      </c>
      <c r="I1285" s="23">
        <v>6.83</v>
      </c>
      <c r="J1285" s="24">
        <v>116.11</v>
      </c>
      <c r="K1285" s="21">
        <v>0</v>
      </c>
      <c r="L1285" s="21">
        <v>0</v>
      </c>
      <c r="M1285" s="21">
        <f>COUNTIF($A$2:$A$5481,A1285)</f>
        <v>2</v>
      </c>
      <c r="N1285" s="24">
        <f t="shared" si="20"/>
        <v>116.1101285</v>
      </c>
    </row>
    <row r="1286" spans="1:14">
      <c r="A1286" s="21" t="s">
        <v>1882</v>
      </c>
      <c r="B1286" s="21" t="s">
        <v>26</v>
      </c>
      <c r="C1286" s="21" t="s">
        <v>26</v>
      </c>
      <c r="D1286" s="21" t="s">
        <v>921</v>
      </c>
      <c r="E1286" s="21">
        <v>5</v>
      </c>
      <c r="F1286" s="22">
        <v>45702.8326736111</v>
      </c>
      <c r="G1286" s="22"/>
      <c r="H1286" s="23">
        <v>39.95</v>
      </c>
      <c r="I1286" s="23">
        <v>7.99</v>
      </c>
      <c r="J1286" s="24">
        <v>39.95</v>
      </c>
      <c r="K1286" s="21">
        <v>0</v>
      </c>
      <c r="L1286" s="21">
        <v>0</v>
      </c>
      <c r="M1286" s="21">
        <f>COUNTIF($A$2:$A$5481,A1286)</f>
        <v>2</v>
      </c>
      <c r="N1286" s="24">
        <f t="shared" si="20"/>
        <v>39.9501286</v>
      </c>
    </row>
    <row r="1287" spans="1:14">
      <c r="A1287" s="21" t="s">
        <v>1883</v>
      </c>
      <c r="B1287" s="21" t="s">
        <v>26</v>
      </c>
      <c r="C1287" s="21" t="s">
        <v>26</v>
      </c>
      <c r="D1287" s="21" t="s">
        <v>921</v>
      </c>
      <c r="E1287" s="21">
        <v>10</v>
      </c>
      <c r="F1287" s="22">
        <v>45797.8126388889</v>
      </c>
      <c r="G1287" s="22"/>
      <c r="H1287" s="23">
        <v>79.9</v>
      </c>
      <c r="I1287" s="23">
        <v>7.99</v>
      </c>
      <c r="J1287" s="24">
        <v>79.9</v>
      </c>
      <c r="K1287" s="21">
        <v>0</v>
      </c>
      <c r="L1287" s="21">
        <v>0</v>
      </c>
      <c r="M1287" s="21">
        <f>COUNTIF($A$2:$A$5481,A1287)</f>
        <v>1</v>
      </c>
      <c r="N1287" s="24">
        <f t="shared" si="20"/>
        <v>79.9001287</v>
      </c>
    </row>
    <row r="1288" spans="1:14">
      <c r="A1288" s="21" t="s">
        <v>1884</v>
      </c>
      <c r="B1288" s="21" t="s">
        <v>26</v>
      </c>
      <c r="C1288" s="21" t="s">
        <v>51</v>
      </c>
      <c r="D1288" s="21" t="s">
        <v>921</v>
      </c>
      <c r="E1288" s="21">
        <v>10</v>
      </c>
      <c r="F1288" s="22">
        <v>45882.354837963</v>
      </c>
      <c r="G1288" s="22"/>
      <c r="H1288" s="23">
        <v>156.7</v>
      </c>
      <c r="I1288" s="23">
        <v>15.67</v>
      </c>
      <c r="J1288" s="24">
        <v>156.7</v>
      </c>
      <c r="K1288" s="21">
        <v>0</v>
      </c>
      <c r="L1288" s="21">
        <v>0</v>
      </c>
      <c r="M1288" s="21">
        <f>COUNTIF($A$2:$A$5481,A1288)</f>
        <v>2</v>
      </c>
      <c r="N1288" s="24">
        <f t="shared" si="20"/>
        <v>156.7001288</v>
      </c>
    </row>
    <row r="1289" spans="1:14">
      <c r="A1289" s="21" t="s">
        <v>1884</v>
      </c>
      <c r="B1289" s="21" t="s">
        <v>26</v>
      </c>
      <c r="C1289" s="21" t="s">
        <v>182</v>
      </c>
      <c r="D1289" s="21" t="s">
        <v>921</v>
      </c>
      <c r="E1289" s="21">
        <v>10</v>
      </c>
      <c r="F1289" s="22">
        <v>46092.5319444445</v>
      </c>
      <c r="G1289" s="22"/>
      <c r="H1289" s="23">
        <v>174.9</v>
      </c>
      <c r="I1289" s="23">
        <v>17.49</v>
      </c>
      <c r="J1289" s="24">
        <v>174.9</v>
      </c>
      <c r="K1289" s="21">
        <v>0</v>
      </c>
      <c r="L1289" s="21">
        <v>0</v>
      </c>
      <c r="M1289" s="21">
        <f>COUNTIF($A$2:$A$5481,A1289)</f>
        <v>2</v>
      </c>
      <c r="N1289" s="24">
        <f t="shared" si="20"/>
        <v>174.9001289</v>
      </c>
    </row>
    <row r="1290" spans="1:14">
      <c r="A1290" s="21" t="s">
        <v>1885</v>
      </c>
      <c r="B1290" s="21" t="s">
        <v>26</v>
      </c>
      <c r="C1290" s="21" t="s">
        <v>51</v>
      </c>
      <c r="D1290" s="21" t="s">
        <v>921</v>
      </c>
      <c r="E1290" s="21">
        <v>2</v>
      </c>
      <c r="F1290" s="22">
        <v>45461.3576388889</v>
      </c>
      <c r="G1290" s="22"/>
      <c r="H1290" s="23">
        <v>59.8</v>
      </c>
      <c r="I1290" s="23">
        <v>29.9</v>
      </c>
      <c r="J1290" s="24">
        <v>59.8</v>
      </c>
      <c r="K1290" s="21">
        <v>0</v>
      </c>
      <c r="L1290" s="21">
        <v>0</v>
      </c>
      <c r="M1290" s="21">
        <f>COUNTIF($A$2:$A$5481,A1290)</f>
        <v>1</v>
      </c>
      <c r="N1290" s="24">
        <f t="shared" si="20"/>
        <v>59.800129</v>
      </c>
    </row>
    <row r="1291" spans="1:14">
      <c r="A1291" s="21" t="s">
        <v>1886</v>
      </c>
      <c r="B1291" s="21" t="s">
        <v>26</v>
      </c>
      <c r="C1291" s="21" t="s">
        <v>51</v>
      </c>
      <c r="D1291" s="21" t="s">
        <v>921</v>
      </c>
      <c r="E1291" s="21">
        <v>1</v>
      </c>
      <c r="F1291" s="22">
        <v>45608.3601157407</v>
      </c>
      <c r="G1291" s="22"/>
      <c r="H1291" s="23">
        <v>650</v>
      </c>
      <c r="I1291" s="23">
        <v>650</v>
      </c>
      <c r="J1291" s="24">
        <v>650</v>
      </c>
      <c r="K1291" s="21">
        <v>0</v>
      </c>
      <c r="L1291" s="21">
        <v>0</v>
      </c>
      <c r="M1291" s="21">
        <f>COUNTIF($A$2:$A$5481,A1291)</f>
        <v>1</v>
      </c>
      <c r="N1291" s="24">
        <f t="shared" si="20"/>
        <v>650.0001291</v>
      </c>
    </row>
    <row r="1292" spans="1:14">
      <c r="A1292" s="21" t="s">
        <v>1887</v>
      </c>
      <c r="B1292" s="21" t="s">
        <v>949</v>
      </c>
      <c r="C1292" s="21" t="s">
        <v>26</v>
      </c>
      <c r="D1292" s="21" t="s">
        <v>921</v>
      </c>
      <c r="E1292" s="21">
        <v>4</v>
      </c>
      <c r="F1292" s="22">
        <v>46058.5860648148</v>
      </c>
      <c r="G1292" s="22"/>
      <c r="H1292" s="23">
        <v>30</v>
      </c>
      <c r="I1292" s="23">
        <v>7.5</v>
      </c>
      <c r="J1292" s="24">
        <v>30</v>
      </c>
      <c r="K1292" s="21">
        <v>0</v>
      </c>
      <c r="L1292" s="21">
        <v>0</v>
      </c>
      <c r="M1292" s="21">
        <f>COUNTIF($A$2:$A$5481,A1292)</f>
        <v>1</v>
      </c>
      <c r="N1292" s="24">
        <f t="shared" si="20"/>
        <v>30.0001292</v>
      </c>
    </row>
    <row r="1293" spans="1:14">
      <c r="A1293" s="21" t="s">
        <v>1888</v>
      </c>
      <c r="B1293" s="21" t="s">
        <v>949</v>
      </c>
      <c r="C1293" s="21" t="s">
        <v>26</v>
      </c>
      <c r="D1293" s="21" t="s">
        <v>1217</v>
      </c>
      <c r="E1293" s="21">
        <v>20</v>
      </c>
      <c r="F1293" s="22">
        <v>45558.8315625</v>
      </c>
      <c r="G1293" s="22">
        <v>45331.4257060185</v>
      </c>
      <c r="H1293" s="23">
        <v>13</v>
      </c>
      <c r="I1293" s="23">
        <v>5.625</v>
      </c>
      <c r="J1293" s="24">
        <v>112.6</v>
      </c>
      <c r="K1293" s="21">
        <v>0</v>
      </c>
      <c r="L1293" s="21">
        <v>0</v>
      </c>
      <c r="M1293" s="21">
        <f>COUNTIF($A$2:$A$5481,A1293)</f>
        <v>1</v>
      </c>
      <c r="N1293" s="24">
        <f t="shared" si="20"/>
        <v>112.6001293</v>
      </c>
    </row>
    <row r="1294" spans="1:14">
      <c r="A1294" s="21" t="s">
        <v>1889</v>
      </c>
      <c r="B1294" s="21" t="s">
        <v>949</v>
      </c>
      <c r="C1294" s="21" t="s">
        <v>26</v>
      </c>
      <c r="D1294" s="21" t="s">
        <v>921</v>
      </c>
      <c r="E1294" s="21">
        <v>2</v>
      </c>
      <c r="F1294" s="22">
        <v>45579.8277546296</v>
      </c>
      <c r="G1294" s="22"/>
      <c r="H1294" s="23">
        <v>15.98</v>
      </c>
      <c r="I1294" s="23">
        <v>7.99</v>
      </c>
      <c r="J1294" s="24">
        <v>15.98</v>
      </c>
      <c r="K1294" s="21">
        <v>0</v>
      </c>
      <c r="L1294" s="21">
        <v>0</v>
      </c>
      <c r="M1294" s="21">
        <f>COUNTIF($A$2:$A$5481,A1294)</f>
        <v>1</v>
      </c>
      <c r="N1294" s="24">
        <f t="shared" si="20"/>
        <v>15.9801294</v>
      </c>
    </row>
    <row r="1295" spans="1:14">
      <c r="A1295" s="21" t="s">
        <v>616</v>
      </c>
      <c r="B1295" s="21" t="s">
        <v>26</v>
      </c>
      <c r="C1295" s="21" t="s">
        <v>26</v>
      </c>
      <c r="D1295" s="21" t="s">
        <v>921</v>
      </c>
      <c r="E1295" s="21">
        <v>8</v>
      </c>
      <c r="F1295" s="22">
        <v>45692.4096296296</v>
      </c>
      <c r="G1295" s="22"/>
      <c r="H1295" s="23">
        <v>215.2</v>
      </c>
      <c r="I1295" s="23">
        <v>26.9</v>
      </c>
      <c r="J1295" s="24">
        <v>215.2</v>
      </c>
      <c r="K1295" s="21">
        <v>0</v>
      </c>
      <c r="L1295" s="21">
        <v>0</v>
      </c>
      <c r="M1295" s="21">
        <f>COUNTIF($A$2:$A$5481,A1295)</f>
        <v>2</v>
      </c>
      <c r="N1295" s="24">
        <f t="shared" si="20"/>
        <v>215.2001295</v>
      </c>
    </row>
    <row r="1296" spans="1:14">
      <c r="A1296" s="21" t="s">
        <v>616</v>
      </c>
      <c r="B1296" s="21" t="s">
        <v>26</v>
      </c>
      <c r="C1296" s="21" t="s">
        <v>182</v>
      </c>
      <c r="D1296" s="21" t="s">
        <v>921</v>
      </c>
      <c r="E1296" s="21">
        <v>9</v>
      </c>
      <c r="F1296" s="22">
        <v>46161.4354166667</v>
      </c>
      <c r="G1296" s="22">
        <v>46259.6050578704</v>
      </c>
      <c r="H1296" s="23">
        <v>46.8</v>
      </c>
      <c r="I1296" s="23">
        <v>4.1133333333</v>
      </c>
      <c r="J1296" s="24">
        <v>36.99</v>
      </c>
      <c r="K1296" s="21">
        <v>0</v>
      </c>
      <c r="L1296" s="21">
        <v>0</v>
      </c>
      <c r="M1296" s="21">
        <f>COUNTIF($A$2:$A$5481,A1296)</f>
        <v>2</v>
      </c>
      <c r="N1296" s="24">
        <f t="shared" si="20"/>
        <v>36.9901296</v>
      </c>
    </row>
    <row r="1297" spans="1:14">
      <c r="A1297" s="21" t="s">
        <v>1890</v>
      </c>
      <c r="B1297" s="21" t="s">
        <v>26</v>
      </c>
      <c r="C1297" s="21" t="s">
        <v>35</v>
      </c>
      <c r="D1297" s="21" t="s">
        <v>921</v>
      </c>
      <c r="E1297" s="21">
        <v>0</v>
      </c>
      <c r="F1297" s="22">
        <v>45671.377962963</v>
      </c>
      <c r="G1297" s="22">
        <v>45730.4632291667</v>
      </c>
      <c r="H1297" s="23">
        <v>1880.4</v>
      </c>
      <c r="I1297" s="23">
        <v>1880.4</v>
      </c>
      <c r="J1297" s="24">
        <v>0</v>
      </c>
      <c r="K1297" s="21">
        <v>0</v>
      </c>
      <c r="L1297" s="21">
        <v>0</v>
      </c>
      <c r="M1297" s="21">
        <f>COUNTIF($A$2:$A$5481,A1297)</f>
        <v>2</v>
      </c>
      <c r="N1297" s="24">
        <f t="shared" si="20"/>
        <v>0.0001297</v>
      </c>
    </row>
    <row r="1298" spans="1:14">
      <c r="A1298" s="21" t="s">
        <v>1890</v>
      </c>
      <c r="B1298" s="21" t="s">
        <v>26</v>
      </c>
      <c r="C1298" s="21" t="s">
        <v>26</v>
      </c>
      <c r="D1298" s="21" t="s">
        <v>921</v>
      </c>
      <c r="E1298" s="21">
        <v>1</v>
      </c>
      <c r="F1298" s="22">
        <v>45755.4092361111</v>
      </c>
      <c r="G1298" s="22"/>
      <c r="H1298" s="23">
        <v>1815</v>
      </c>
      <c r="I1298" s="23">
        <v>1815</v>
      </c>
      <c r="J1298" s="24">
        <v>1815</v>
      </c>
      <c r="K1298" s="21">
        <v>0</v>
      </c>
      <c r="L1298" s="21">
        <v>0</v>
      </c>
      <c r="M1298" s="21">
        <f>COUNTIF($A$2:$A$5481,A1298)</f>
        <v>2</v>
      </c>
      <c r="N1298" s="24">
        <f t="shared" si="20"/>
        <v>1815.0001298</v>
      </c>
    </row>
    <row r="1299" spans="1:14">
      <c r="A1299" s="21" t="s">
        <v>1891</v>
      </c>
      <c r="B1299" s="21" t="s">
        <v>929</v>
      </c>
      <c r="C1299" s="21" t="s">
        <v>26</v>
      </c>
      <c r="D1299" s="21" t="s">
        <v>921</v>
      </c>
      <c r="E1299" s="21">
        <v>1</v>
      </c>
      <c r="F1299" s="22">
        <v>45974.6569097222</v>
      </c>
      <c r="G1299" s="22"/>
      <c r="H1299" s="23">
        <v>163</v>
      </c>
      <c r="I1299" s="23">
        <v>163</v>
      </c>
      <c r="J1299" s="24">
        <v>163</v>
      </c>
      <c r="K1299" s="21">
        <v>0</v>
      </c>
      <c r="L1299" s="21">
        <v>0</v>
      </c>
      <c r="M1299" s="21">
        <f>COUNTIF($A$2:$A$5481,A1299)</f>
        <v>1</v>
      </c>
      <c r="N1299" s="24">
        <f t="shared" si="20"/>
        <v>163.0001299</v>
      </c>
    </row>
    <row r="1300" spans="1:14">
      <c r="A1300" s="21" t="s">
        <v>1892</v>
      </c>
      <c r="B1300" s="21" t="s">
        <v>920</v>
      </c>
      <c r="C1300" s="21" t="s">
        <v>26</v>
      </c>
      <c r="D1300" s="21" t="s">
        <v>921</v>
      </c>
      <c r="E1300" s="21">
        <v>30</v>
      </c>
      <c r="F1300" s="22">
        <v>46037.5950694445</v>
      </c>
      <c r="G1300" s="22">
        <v>45684.8637615741</v>
      </c>
      <c r="H1300" s="23">
        <v>120</v>
      </c>
      <c r="I1300" s="23">
        <v>7.6666666667</v>
      </c>
      <c r="J1300" s="24">
        <v>230.1</v>
      </c>
      <c r="K1300" s="21">
        <v>0</v>
      </c>
      <c r="L1300" s="21">
        <v>0</v>
      </c>
      <c r="M1300" s="21">
        <f>COUNTIF($A$2:$A$5481,A1300)</f>
        <v>1</v>
      </c>
      <c r="N1300" s="24">
        <f t="shared" si="20"/>
        <v>230.10013</v>
      </c>
    </row>
    <row r="1301" spans="1:14">
      <c r="A1301" s="21" t="s">
        <v>790</v>
      </c>
      <c r="B1301" s="21" t="s">
        <v>1352</v>
      </c>
      <c r="C1301" s="21" t="s">
        <v>51</v>
      </c>
      <c r="D1301" s="21" t="s">
        <v>921</v>
      </c>
      <c r="E1301" s="21">
        <v>0</v>
      </c>
      <c r="F1301" s="22">
        <v>46026.3652777778</v>
      </c>
      <c r="G1301" s="22">
        <v>46254.444525463</v>
      </c>
      <c r="H1301" s="23">
        <v>946.5</v>
      </c>
      <c r="I1301" s="23">
        <v>946.5</v>
      </c>
      <c r="J1301" s="24">
        <v>0</v>
      </c>
      <c r="K1301" s="21">
        <v>0</v>
      </c>
      <c r="L1301" s="21">
        <v>0</v>
      </c>
      <c r="M1301" s="21">
        <f>COUNTIF($A$2:$A$5481,A1301)</f>
        <v>1</v>
      </c>
      <c r="N1301" s="24">
        <f t="shared" si="20"/>
        <v>0.0001301</v>
      </c>
    </row>
    <row r="1302" spans="1:14">
      <c r="A1302" s="21" t="s">
        <v>1893</v>
      </c>
      <c r="B1302" s="21" t="s">
        <v>929</v>
      </c>
      <c r="C1302" s="21" t="s">
        <v>26</v>
      </c>
      <c r="D1302" s="21" t="s">
        <v>921</v>
      </c>
      <c r="E1302" s="21">
        <v>1</v>
      </c>
      <c r="F1302" s="22">
        <v>45916.5859722222</v>
      </c>
      <c r="G1302" s="22"/>
      <c r="H1302" s="23">
        <v>45.89</v>
      </c>
      <c r="I1302" s="23">
        <v>45.89</v>
      </c>
      <c r="J1302" s="24">
        <v>45.89</v>
      </c>
      <c r="K1302" s="21">
        <v>0</v>
      </c>
      <c r="L1302" s="21">
        <v>0</v>
      </c>
      <c r="M1302" s="21">
        <f>COUNTIF($A$2:$A$5481,A1302)</f>
        <v>1</v>
      </c>
      <c r="N1302" s="24">
        <f t="shared" si="20"/>
        <v>45.8901302</v>
      </c>
    </row>
    <row r="1303" spans="1:14">
      <c r="A1303" s="21" t="s">
        <v>1894</v>
      </c>
      <c r="B1303" s="21" t="s">
        <v>920</v>
      </c>
      <c r="C1303" s="21" t="s">
        <v>26</v>
      </c>
      <c r="D1303" s="21" t="s">
        <v>931</v>
      </c>
      <c r="E1303" s="21">
        <v>1</v>
      </c>
      <c r="F1303" s="22">
        <v>45399.3293865741</v>
      </c>
      <c r="G1303" s="22"/>
      <c r="H1303" s="23">
        <v>32.97</v>
      </c>
      <c r="I1303" s="23">
        <v>32.97</v>
      </c>
      <c r="J1303" s="24">
        <v>32.97</v>
      </c>
      <c r="K1303" s="21">
        <v>0</v>
      </c>
      <c r="L1303" s="21">
        <v>0</v>
      </c>
      <c r="M1303" s="21">
        <f>COUNTIF($A$2:$A$5481,A1303)</f>
        <v>1</v>
      </c>
      <c r="N1303" s="24">
        <f t="shared" si="20"/>
        <v>32.9701303</v>
      </c>
    </row>
    <row r="1304" spans="1:14">
      <c r="A1304" s="21" t="s">
        <v>785</v>
      </c>
      <c r="B1304" s="21" t="s">
        <v>1895</v>
      </c>
      <c r="C1304" s="21" t="s">
        <v>182</v>
      </c>
      <c r="D1304" s="21" t="s">
        <v>1217</v>
      </c>
      <c r="E1304" s="21">
        <v>0</v>
      </c>
      <c r="F1304" s="22">
        <v>45346.5798611111</v>
      </c>
      <c r="G1304" s="22">
        <v>46253.6455555556</v>
      </c>
      <c r="H1304" s="23">
        <v>7.49</v>
      </c>
      <c r="I1304" s="23">
        <v>7.49</v>
      </c>
      <c r="J1304" s="24">
        <v>0</v>
      </c>
      <c r="K1304" s="21">
        <v>0</v>
      </c>
      <c r="L1304" s="21">
        <v>0</v>
      </c>
      <c r="M1304" s="21">
        <f>COUNTIF($A$2:$A$5481,A1304)</f>
        <v>2</v>
      </c>
      <c r="N1304" s="24">
        <f t="shared" si="20"/>
        <v>0.0001304</v>
      </c>
    </row>
    <row r="1305" spans="1:14">
      <c r="A1305" s="21" t="s">
        <v>785</v>
      </c>
      <c r="B1305" s="21" t="s">
        <v>1895</v>
      </c>
      <c r="C1305" s="21" t="s">
        <v>26</v>
      </c>
      <c r="D1305" s="21" t="s">
        <v>1217</v>
      </c>
      <c r="E1305" s="21">
        <v>0</v>
      </c>
      <c r="F1305" s="22">
        <v>46161.4104166667</v>
      </c>
      <c r="G1305" s="22">
        <v>46253.647662037</v>
      </c>
      <c r="H1305" s="23">
        <v>14.98</v>
      </c>
      <c r="I1305" s="23">
        <v>1.161875</v>
      </c>
      <c r="J1305" s="24">
        <v>0</v>
      </c>
      <c r="K1305" s="21">
        <v>0</v>
      </c>
      <c r="L1305" s="21">
        <v>0</v>
      </c>
      <c r="M1305" s="21">
        <f>COUNTIF($A$2:$A$5481,A1305)</f>
        <v>2</v>
      </c>
      <c r="N1305" s="24">
        <f t="shared" si="20"/>
        <v>0.0001305</v>
      </c>
    </row>
    <row r="1306" spans="1:14">
      <c r="A1306" s="21" t="s">
        <v>784</v>
      </c>
      <c r="B1306" s="21" t="s">
        <v>1895</v>
      </c>
      <c r="C1306" s="21" t="s">
        <v>182</v>
      </c>
      <c r="D1306" s="21" t="s">
        <v>1217</v>
      </c>
      <c r="E1306" s="21">
        <v>0</v>
      </c>
      <c r="F1306" s="22">
        <v>45346.5798611111</v>
      </c>
      <c r="G1306" s="22">
        <v>46253.6455439815</v>
      </c>
      <c r="H1306" s="23">
        <v>14.98</v>
      </c>
      <c r="I1306" s="23">
        <v>7.49</v>
      </c>
      <c r="J1306" s="24">
        <v>0</v>
      </c>
      <c r="K1306" s="21">
        <v>0</v>
      </c>
      <c r="L1306" s="21">
        <v>0</v>
      </c>
      <c r="M1306" s="21">
        <f>COUNTIF($A$2:$A$5481,A1306)</f>
        <v>2</v>
      </c>
      <c r="N1306" s="24">
        <f t="shared" si="20"/>
        <v>0.0001306</v>
      </c>
    </row>
    <row r="1307" spans="1:14">
      <c r="A1307" s="21" t="s">
        <v>784</v>
      </c>
      <c r="B1307" s="21" t="s">
        <v>1895</v>
      </c>
      <c r="C1307" s="21" t="s">
        <v>26</v>
      </c>
      <c r="D1307" s="21" t="s">
        <v>1217</v>
      </c>
      <c r="E1307" s="21">
        <v>0</v>
      </c>
      <c r="F1307" s="22">
        <v>46161.4104166667</v>
      </c>
      <c r="G1307" s="22">
        <v>46253.647650463</v>
      </c>
      <c r="H1307" s="23">
        <v>22.47</v>
      </c>
      <c r="I1307" s="23">
        <v>1.8677777778</v>
      </c>
      <c r="J1307" s="24">
        <v>0</v>
      </c>
      <c r="K1307" s="21">
        <v>0</v>
      </c>
      <c r="L1307" s="21">
        <v>0</v>
      </c>
      <c r="M1307" s="21">
        <f>COUNTIF($A$2:$A$5481,A1307)</f>
        <v>2</v>
      </c>
      <c r="N1307" s="24">
        <f t="shared" si="20"/>
        <v>0.0001307</v>
      </c>
    </row>
    <row r="1308" spans="1:14">
      <c r="A1308" s="21" t="s">
        <v>1896</v>
      </c>
      <c r="B1308" s="21" t="s">
        <v>929</v>
      </c>
      <c r="C1308" s="21" t="s">
        <v>26</v>
      </c>
      <c r="D1308" s="21" t="s">
        <v>921</v>
      </c>
      <c r="E1308" s="21">
        <v>6</v>
      </c>
      <c r="F1308" s="22">
        <v>46205.8163078704</v>
      </c>
      <c r="G1308" s="22"/>
      <c r="H1308" s="23">
        <v>79.9</v>
      </c>
      <c r="I1308" s="23">
        <v>55.9766666667</v>
      </c>
      <c r="J1308" s="24">
        <v>335.88</v>
      </c>
      <c r="K1308" s="21">
        <v>0</v>
      </c>
      <c r="L1308" s="21">
        <v>0</v>
      </c>
      <c r="M1308" s="21">
        <f>COUNTIF($A$2:$A$5481,A1308)</f>
        <v>1</v>
      </c>
      <c r="N1308" s="24">
        <f t="shared" si="20"/>
        <v>335.8801308</v>
      </c>
    </row>
    <row r="1309" spans="1:14">
      <c r="A1309" s="21" t="s">
        <v>1897</v>
      </c>
      <c r="B1309" s="21" t="s">
        <v>1898</v>
      </c>
      <c r="C1309" s="21" t="s">
        <v>51</v>
      </c>
      <c r="D1309" s="21" t="s">
        <v>921</v>
      </c>
      <c r="E1309" s="21">
        <v>4</v>
      </c>
      <c r="F1309" s="22">
        <v>45882.354837963</v>
      </c>
      <c r="G1309" s="22"/>
      <c r="H1309" s="23">
        <v>45.04</v>
      </c>
      <c r="I1309" s="23">
        <v>11.26</v>
      </c>
      <c r="J1309" s="24">
        <v>45.04</v>
      </c>
      <c r="K1309" s="21">
        <v>0</v>
      </c>
      <c r="L1309" s="21">
        <v>0</v>
      </c>
      <c r="M1309" s="21">
        <f>COUNTIF($A$2:$A$5481,A1309)</f>
        <v>1</v>
      </c>
      <c r="N1309" s="24">
        <f t="shared" si="20"/>
        <v>45.0401309</v>
      </c>
    </row>
    <row r="1310" spans="1:14">
      <c r="A1310" s="21" t="s">
        <v>826</v>
      </c>
      <c r="B1310" s="21" t="s">
        <v>26</v>
      </c>
      <c r="C1310" s="21" t="s">
        <v>26</v>
      </c>
      <c r="D1310" s="21" t="s">
        <v>921</v>
      </c>
      <c r="E1310" s="21">
        <v>9</v>
      </c>
      <c r="F1310" s="22">
        <v>46119.5279282407</v>
      </c>
      <c r="G1310" s="22">
        <v>46265.5921296296</v>
      </c>
      <c r="H1310" s="23">
        <v>80</v>
      </c>
      <c r="I1310" s="23">
        <v>10.558</v>
      </c>
      <c r="J1310" s="24">
        <v>95.04</v>
      </c>
      <c r="K1310" s="21">
        <v>0</v>
      </c>
      <c r="L1310" s="21">
        <v>0</v>
      </c>
      <c r="M1310" s="21">
        <f>COUNTIF($A$2:$A$5481,A1310)</f>
        <v>1</v>
      </c>
      <c r="N1310" s="24">
        <f t="shared" si="20"/>
        <v>95.040131</v>
      </c>
    </row>
    <row r="1311" spans="1:14">
      <c r="A1311" s="21" t="s">
        <v>1899</v>
      </c>
      <c r="B1311" s="21" t="s">
        <v>26</v>
      </c>
      <c r="C1311" s="21" t="s">
        <v>26</v>
      </c>
      <c r="D1311" s="21" t="s">
        <v>921</v>
      </c>
      <c r="E1311" s="21">
        <v>20</v>
      </c>
      <c r="F1311" s="22">
        <v>45482.4497800926</v>
      </c>
      <c r="G1311" s="22"/>
      <c r="H1311" s="23">
        <v>11.4</v>
      </c>
      <c r="I1311" s="23">
        <v>0.57</v>
      </c>
      <c r="J1311" s="24">
        <v>11.4</v>
      </c>
      <c r="K1311" s="21">
        <v>0</v>
      </c>
      <c r="L1311" s="21">
        <v>0</v>
      </c>
      <c r="M1311" s="21">
        <f>COUNTIF($A$2:$A$5481,A1311)</f>
        <v>1</v>
      </c>
      <c r="N1311" s="24">
        <f t="shared" si="20"/>
        <v>11.4001311</v>
      </c>
    </row>
    <row r="1312" spans="1:14">
      <c r="A1312" s="21" t="s">
        <v>1900</v>
      </c>
      <c r="B1312" s="21" t="s">
        <v>26</v>
      </c>
      <c r="C1312" s="21" t="s">
        <v>26</v>
      </c>
      <c r="D1312" s="21" t="s">
        <v>921</v>
      </c>
      <c r="E1312" s="21">
        <v>50</v>
      </c>
      <c r="F1312" s="22">
        <v>46094.5597222222</v>
      </c>
      <c r="G1312" s="22"/>
      <c r="H1312" s="23">
        <v>18.1</v>
      </c>
      <c r="I1312" s="23">
        <v>1.33</v>
      </c>
      <c r="J1312" s="24">
        <v>66.5</v>
      </c>
      <c r="K1312" s="21">
        <v>0</v>
      </c>
      <c r="L1312" s="21">
        <v>0</v>
      </c>
      <c r="M1312" s="21">
        <f>COUNTIF($A$2:$A$5481,A1312)</f>
        <v>1</v>
      </c>
      <c r="N1312" s="24">
        <f t="shared" si="20"/>
        <v>66.5001312</v>
      </c>
    </row>
    <row r="1313" spans="1:14">
      <c r="A1313" s="21" t="s">
        <v>1901</v>
      </c>
      <c r="B1313" s="21" t="s">
        <v>920</v>
      </c>
      <c r="C1313" s="21" t="s">
        <v>26</v>
      </c>
      <c r="D1313" s="21" t="s">
        <v>921</v>
      </c>
      <c r="E1313" s="21">
        <v>2</v>
      </c>
      <c r="F1313" s="22">
        <v>46247.5618055556</v>
      </c>
      <c r="G1313" s="22"/>
      <c r="H1313" s="23">
        <v>3.12</v>
      </c>
      <c r="I1313" s="23">
        <v>1.56</v>
      </c>
      <c r="J1313" s="24">
        <v>3.12</v>
      </c>
      <c r="K1313" s="21">
        <v>0</v>
      </c>
      <c r="L1313" s="21">
        <v>0</v>
      </c>
      <c r="M1313" s="21">
        <f>COUNTIF($A$2:$A$5481,A1313)</f>
        <v>1</v>
      </c>
      <c r="N1313" s="24">
        <f t="shared" si="20"/>
        <v>3.1201313</v>
      </c>
    </row>
    <row r="1314" spans="1:14">
      <c r="A1314" s="21" t="s">
        <v>1902</v>
      </c>
      <c r="B1314" s="21" t="s">
        <v>920</v>
      </c>
      <c r="C1314" s="21" t="s">
        <v>35</v>
      </c>
      <c r="D1314" s="21" t="s">
        <v>921</v>
      </c>
      <c r="E1314" s="21">
        <v>6</v>
      </c>
      <c r="F1314" s="22">
        <v>46050.6261689815</v>
      </c>
      <c r="G1314" s="22"/>
      <c r="H1314" s="23">
        <v>56.19</v>
      </c>
      <c r="I1314" s="23">
        <v>16.09</v>
      </c>
      <c r="J1314" s="24">
        <v>96.54</v>
      </c>
      <c r="K1314" s="21">
        <v>0</v>
      </c>
      <c r="L1314" s="21">
        <v>0</v>
      </c>
      <c r="M1314" s="21">
        <f>COUNTIF($A$2:$A$5481,A1314)</f>
        <v>1</v>
      </c>
      <c r="N1314" s="24">
        <f t="shared" si="20"/>
        <v>96.5401314</v>
      </c>
    </row>
    <row r="1315" spans="1:14">
      <c r="A1315" s="21" t="s">
        <v>1903</v>
      </c>
      <c r="B1315" s="21" t="s">
        <v>920</v>
      </c>
      <c r="C1315" s="21" t="s">
        <v>26</v>
      </c>
      <c r="D1315" s="21" t="s">
        <v>921</v>
      </c>
      <c r="E1315" s="21">
        <v>171</v>
      </c>
      <c r="F1315" s="22">
        <v>46073.3593402778</v>
      </c>
      <c r="G1315" s="22"/>
      <c r="H1315" s="23">
        <v>3</v>
      </c>
      <c r="I1315" s="23">
        <v>0.3128654971</v>
      </c>
      <c r="J1315" s="24">
        <v>53.01</v>
      </c>
      <c r="K1315" s="21">
        <v>0</v>
      </c>
      <c r="L1315" s="21">
        <v>0</v>
      </c>
      <c r="M1315" s="21">
        <f>COUNTIF($A$2:$A$5481,A1315)</f>
        <v>1</v>
      </c>
      <c r="N1315" s="24">
        <f t="shared" si="20"/>
        <v>53.0101315</v>
      </c>
    </row>
    <row r="1316" spans="1:14">
      <c r="A1316" s="21" t="s">
        <v>1904</v>
      </c>
      <c r="B1316" s="21" t="s">
        <v>920</v>
      </c>
      <c r="C1316" s="21" t="s">
        <v>26</v>
      </c>
      <c r="D1316" s="21" t="s">
        <v>921</v>
      </c>
      <c r="E1316" s="21">
        <v>10</v>
      </c>
      <c r="F1316" s="22">
        <v>45371.6638888889</v>
      </c>
      <c r="G1316" s="22"/>
      <c r="H1316" s="23">
        <v>22.8</v>
      </c>
      <c r="I1316" s="23">
        <v>2.28</v>
      </c>
      <c r="J1316" s="24">
        <v>22.8</v>
      </c>
      <c r="K1316" s="21">
        <v>0</v>
      </c>
      <c r="L1316" s="21">
        <v>0</v>
      </c>
      <c r="M1316" s="21">
        <f>COUNTIF($A$2:$A$5481,A1316)</f>
        <v>1</v>
      </c>
      <c r="N1316" s="24">
        <f t="shared" si="20"/>
        <v>22.8001316</v>
      </c>
    </row>
    <row r="1317" spans="1:14">
      <c r="A1317" s="21" t="s">
        <v>1905</v>
      </c>
      <c r="B1317" s="21" t="s">
        <v>920</v>
      </c>
      <c r="C1317" s="21" t="s">
        <v>35</v>
      </c>
      <c r="D1317" s="21" t="s">
        <v>921</v>
      </c>
      <c r="E1317" s="21">
        <v>50</v>
      </c>
      <c r="F1317" s="22">
        <v>45454.3669791667</v>
      </c>
      <c r="G1317" s="22"/>
      <c r="H1317" s="23">
        <v>11.5</v>
      </c>
      <c r="I1317" s="23">
        <v>0.23</v>
      </c>
      <c r="J1317" s="24">
        <v>11.5</v>
      </c>
      <c r="K1317" s="21">
        <v>0</v>
      </c>
      <c r="L1317" s="21">
        <v>0</v>
      </c>
      <c r="M1317" s="21">
        <f>COUNTIF($A$2:$A$5481,A1317)</f>
        <v>2</v>
      </c>
      <c r="N1317" s="24">
        <f t="shared" si="20"/>
        <v>11.5001317</v>
      </c>
    </row>
    <row r="1318" spans="1:14">
      <c r="A1318" s="21" t="s">
        <v>1905</v>
      </c>
      <c r="B1318" s="21" t="s">
        <v>920</v>
      </c>
      <c r="C1318" s="21" t="s">
        <v>26</v>
      </c>
      <c r="D1318" s="21" t="s">
        <v>921</v>
      </c>
      <c r="E1318" s="21">
        <v>130</v>
      </c>
      <c r="F1318" s="22">
        <v>46136.5707060185</v>
      </c>
      <c r="G1318" s="22"/>
      <c r="H1318" s="23">
        <v>14.1</v>
      </c>
      <c r="I1318" s="23">
        <v>0.3015384615</v>
      </c>
      <c r="J1318" s="24">
        <v>39</v>
      </c>
      <c r="K1318" s="21">
        <v>0</v>
      </c>
      <c r="L1318" s="21">
        <v>0</v>
      </c>
      <c r="M1318" s="21">
        <f>COUNTIF($A$2:$A$5481,A1318)</f>
        <v>2</v>
      </c>
      <c r="N1318" s="24">
        <f t="shared" si="20"/>
        <v>39.0001318</v>
      </c>
    </row>
    <row r="1319" spans="1:14">
      <c r="A1319" s="21" t="s">
        <v>1906</v>
      </c>
      <c r="B1319" s="21" t="s">
        <v>920</v>
      </c>
      <c r="C1319" s="21" t="s">
        <v>26</v>
      </c>
      <c r="D1319" s="21" t="s">
        <v>931</v>
      </c>
      <c r="E1319" s="21">
        <v>10</v>
      </c>
      <c r="F1319" s="22">
        <v>45775.4054398148</v>
      </c>
      <c r="G1319" s="22"/>
      <c r="H1319" s="23">
        <v>3.7</v>
      </c>
      <c r="I1319" s="23">
        <v>0.37</v>
      </c>
      <c r="J1319" s="24">
        <v>3.7</v>
      </c>
      <c r="K1319" s="21">
        <v>0</v>
      </c>
      <c r="L1319" s="21">
        <v>0</v>
      </c>
      <c r="M1319" s="21">
        <f>COUNTIF($A$2:$A$5481,A1319)</f>
        <v>1</v>
      </c>
      <c r="N1319" s="24">
        <f t="shared" si="20"/>
        <v>3.7001319</v>
      </c>
    </row>
    <row r="1320" spans="1:14">
      <c r="A1320" s="21" t="s">
        <v>1907</v>
      </c>
      <c r="B1320" s="21" t="s">
        <v>920</v>
      </c>
      <c r="C1320" s="21" t="s">
        <v>26</v>
      </c>
      <c r="D1320" s="21" t="s">
        <v>931</v>
      </c>
      <c r="E1320" s="21">
        <v>20</v>
      </c>
      <c r="F1320" s="22">
        <v>45790.8454976852</v>
      </c>
      <c r="G1320" s="22"/>
      <c r="H1320" s="23">
        <v>1.3</v>
      </c>
      <c r="I1320" s="23">
        <v>0.13</v>
      </c>
      <c r="J1320" s="24">
        <v>2.6</v>
      </c>
      <c r="K1320" s="21">
        <v>0</v>
      </c>
      <c r="L1320" s="21">
        <v>0</v>
      </c>
      <c r="M1320" s="21">
        <f>COUNTIF($A$2:$A$5481,A1320)</f>
        <v>1</v>
      </c>
      <c r="N1320" s="24">
        <f t="shared" si="20"/>
        <v>2.600132</v>
      </c>
    </row>
    <row r="1321" spans="1:14">
      <c r="A1321" s="21" t="s">
        <v>1908</v>
      </c>
      <c r="B1321" s="21" t="s">
        <v>920</v>
      </c>
      <c r="C1321" s="21" t="s">
        <v>26</v>
      </c>
      <c r="D1321" s="21" t="s">
        <v>921</v>
      </c>
      <c r="E1321" s="21">
        <v>30</v>
      </c>
      <c r="F1321" s="22">
        <v>45701.3558680556</v>
      </c>
      <c r="G1321" s="22"/>
      <c r="H1321" s="23">
        <v>72.8</v>
      </c>
      <c r="I1321" s="23">
        <v>2.89</v>
      </c>
      <c r="J1321" s="24">
        <v>86.7</v>
      </c>
      <c r="K1321" s="21">
        <v>0</v>
      </c>
      <c r="L1321" s="21">
        <v>0</v>
      </c>
      <c r="M1321" s="21">
        <f>COUNTIF($A$2:$A$5481,A1321)</f>
        <v>1</v>
      </c>
      <c r="N1321" s="24">
        <f t="shared" si="20"/>
        <v>86.7001321</v>
      </c>
    </row>
    <row r="1322" spans="1:14">
      <c r="A1322" s="21" t="s">
        <v>1909</v>
      </c>
      <c r="B1322" s="21" t="s">
        <v>920</v>
      </c>
      <c r="C1322" s="21" t="s">
        <v>35</v>
      </c>
      <c r="D1322" s="21" t="s">
        <v>921</v>
      </c>
      <c r="E1322" s="21">
        <v>8</v>
      </c>
      <c r="F1322" s="22">
        <v>45981.3548148148</v>
      </c>
      <c r="G1322" s="22"/>
      <c r="H1322" s="23">
        <v>1.36</v>
      </c>
      <c r="I1322" s="23">
        <v>0.17</v>
      </c>
      <c r="J1322" s="24">
        <v>1.36</v>
      </c>
      <c r="K1322" s="21">
        <v>0</v>
      </c>
      <c r="L1322" s="21">
        <v>0</v>
      </c>
      <c r="M1322" s="21">
        <f>COUNTIF($A$2:$A$5481,A1322)</f>
        <v>1</v>
      </c>
      <c r="N1322" s="24">
        <f t="shared" si="20"/>
        <v>1.3601322</v>
      </c>
    </row>
    <row r="1323" spans="1:14">
      <c r="A1323" s="21" t="s">
        <v>1910</v>
      </c>
      <c r="B1323" s="21" t="s">
        <v>920</v>
      </c>
      <c r="C1323" s="21" t="s">
        <v>26</v>
      </c>
      <c r="D1323" s="21" t="s">
        <v>921</v>
      </c>
      <c r="E1323" s="21">
        <v>20</v>
      </c>
      <c r="F1323" s="22">
        <v>45902.6713657407</v>
      </c>
      <c r="G1323" s="22"/>
      <c r="H1323" s="23">
        <v>31</v>
      </c>
      <c r="I1323" s="23">
        <v>2.505</v>
      </c>
      <c r="J1323" s="24">
        <v>50.2</v>
      </c>
      <c r="K1323" s="21">
        <v>0</v>
      </c>
      <c r="L1323" s="21">
        <v>0</v>
      </c>
      <c r="M1323" s="21">
        <f>COUNTIF($A$2:$A$5481,A1323)</f>
        <v>1</v>
      </c>
      <c r="N1323" s="24">
        <f t="shared" si="20"/>
        <v>50.2001323</v>
      </c>
    </row>
    <row r="1324" spans="1:14">
      <c r="A1324" s="21" t="s">
        <v>1911</v>
      </c>
      <c r="B1324" s="21" t="s">
        <v>26</v>
      </c>
      <c r="C1324" s="21" t="s">
        <v>26</v>
      </c>
      <c r="D1324" s="21" t="s">
        <v>921</v>
      </c>
      <c r="E1324" s="21">
        <v>40</v>
      </c>
      <c r="F1324" s="22">
        <v>45826.8091782407</v>
      </c>
      <c r="G1324" s="22"/>
      <c r="H1324" s="23">
        <v>20.4</v>
      </c>
      <c r="I1324" s="23">
        <v>2.07</v>
      </c>
      <c r="J1324" s="24">
        <v>82.8</v>
      </c>
      <c r="K1324" s="21">
        <v>0</v>
      </c>
      <c r="L1324" s="21">
        <v>0</v>
      </c>
      <c r="M1324" s="21">
        <f>COUNTIF($A$2:$A$5481,A1324)</f>
        <v>1</v>
      </c>
      <c r="N1324" s="24">
        <f t="shared" si="20"/>
        <v>82.8001324</v>
      </c>
    </row>
    <row r="1325" spans="1:14">
      <c r="A1325" s="21" t="s">
        <v>1912</v>
      </c>
      <c r="B1325" s="21" t="s">
        <v>26</v>
      </c>
      <c r="C1325" s="21" t="s">
        <v>26</v>
      </c>
      <c r="D1325" s="21" t="s">
        <v>921</v>
      </c>
      <c r="E1325" s="21">
        <v>13</v>
      </c>
      <c r="F1325" s="22">
        <v>45603.4764583333</v>
      </c>
      <c r="G1325" s="22"/>
      <c r="H1325" s="23">
        <v>35.1</v>
      </c>
      <c r="I1325" s="23">
        <v>2.7</v>
      </c>
      <c r="J1325" s="24">
        <v>35.1</v>
      </c>
      <c r="K1325" s="21">
        <v>0</v>
      </c>
      <c r="L1325" s="21">
        <v>0</v>
      </c>
      <c r="M1325" s="21">
        <f>COUNTIF($A$2:$A$5481,A1325)</f>
        <v>1</v>
      </c>
      <c r="N1325" s="24">
        <f t="shared" si="20"/>
        <v>35.1001325</v>
      </c>
    </row>
    <row r="1326" spans="1:14">
      <c r="A1326" s="21" t="s">
        <v>1913</v>
      </c>
      <c r="B1326" s="21" t="s">
        <v>26</v>
      </c>
      <c r="C1326" s="21" t="s">
        <v>26</v>
      </c>
      <c r="D1326" s="21" t="s">
        <v>921</v>
      </c>
      <c r="E1326" s="21">
        <v>10</v>
      </c>
      <c r="F1326" s="22">
        <v>45497.3905324074</v>
      </c>
      <c r="G1326" s="22"/>
      <c r="H1326" s="23">
        <v>38.5</v>
      </c>
      <c r="I1326" s="23">
        <v>3.85</v>
      </c>
      <c r="J1326" s="24">
        <v>38.5</v>
      </c>
      <c r="K1326" s="21">
        <v>0</v>
      </c>
      <c r="L1326" s="21">
        <v>0</v>
      </c>
      <c r="M1326" s="21">
        <f>COUNTIF($A$2:$A$5481,A1326)</f>
        <v>1</v>
      </c>
      <c r="N1326" s="24">
        <f t="shared" si="20"/>
        <v>38.5001326</v>
      </c>
    </row>
    <row r="1327" spans="1:14">
      <c r="A1327" s="21" t="s">
        <v>1914</v>
      </c>
      <c r="B1327" s="21" t="s">
        <v>26</v>
      </c>
      <c r="C1327" s="21" t="s">
        <v>26</v>
      </c>
      <c r="D1327" s="21" t="s">
        <v>921</v>
      </c>
      <c r="E1327" s="21">
        <v>20</v>
      </c>
      <c r="F1327" s="22">
        <v>45992.5357638889</v>
      </c>
      <c r="G1327" s="22"/>
      <c r="H1327" s="23">
        <v>14.1</v>
      </c>
      <c r="I1327" s="23">
        <v>1.315</v>
      </c>
      <c r="J1327" s="24">
        <v>26.4</v>
      </c>
      <c r="K1327" s="21">
        <v>0</v>
      </c>
      <c r="L1327" s="21">
        <v>0</v>
      </c>
      <c r="M1327" s="21">
        <f>COUNTIF($A$2:$A$5481,A1327)</f>
        <v>1</v>
      </c>
      <c r="N1327" s="24">
        <f t="shared" si="20"/>
        <v>26.4001327</v>
      </c>
    </row>
    <row r="1328" spans="1:14">
      <c r="A1328" s="21" t="s">
        <v>1915</v>
      </c>
      <c r="B1328" s="21" t="s">
        <v>920</v>
      </c>
      <c r="C1328" s="21" t="s">
        <v>26</v>
      </c>
      <c r="D1328" s="21" t="s">
        <v>921</v>
      </c>
      <c r="E1328" s="21">
        <v>10</v>
      </c>
      <c r="F1328" s="22">
        <v>46087.3930555556</v>
      </c>
      <c r="G1328" s="22"/>
      <c r="H1328" s="23">
        <v>7.95</v>
      </c>
      <c r="I1328" s="23">
        <v>1.5</v>
      </c>
      <c r="J1328" s="24">
        <v>15</v>
      </c>
      <c r="K1328" s="21">
        <v>0</v>
      </c>
      <c r="L1328" s="21">
        <v>0</v>
      </c>
      <c r="M1328" s="21">
        <f>COUNTIF($A$2:$A$5481,A1328)</f>
        <v>1</v>
      </c>
      <c r="N1328" s="24">
        <f t="shared" si="20"/>
        <v>15.0001328</v>
      </c>
    </row>
    <row r="1329" spans="1:14">
      <c r="A1329" s="21" t="s">
        <v>1916</v>
      </c>
      <c r="B1329" s="21" t="s">
        <v>26</v>
      </c>
      <c r="C1329" s="21" t="s">
        <v>26</v>
      </c>
      <c r="D1329" s="21" t="s">
        <v>921</v>
      </c>
      <c r="E1329" s="21">
        <v>4</v>
      </c>
      <c r="F1329" s="22">
        <v>45610.8243055556</v>
      </c>
      <c r="G1329" s="22"/>
      <c r="H1329" s="23">
        <v>15.32</v>
      </c>
      <c r="I1329" s="23">
        <v>3.83</v>
      </c>
      <c r="J1329" s="24">
        <v>15.32</v>
      </c>
      <c r="K1329" s="21">
        <v>0</v>
      </c>
      <c r="L1329" s="21">
        <v>0</v>
      </c>
      <c r="M1329" s="21">
        <f>COUNTIF($A$2:$A$5481,A1329)</f>
        <v>1</v>
      </c>
      <c r="N1329" s="24">
        <f t="shared" si="20"/>
        <v>15.3201329</v>
      </c>
    </row>
    <row r="1330" spans="1:14">
      <c r="A1330" s="21" t="s">
        <v>1917</v>
      </c>
      <c r="B1330" s="21" t="s">
        <v>26</v>
      </c>
      <c r="C1330" s="21" t="s">
        <v>26</v>
      </c>
      <c r="D1330" s="21" t="s">
        <v>921</v>
      </c>
      <c r="E1330" s="21">
        <v>80</v>
      </c>
      <c r="F1330" s="22">
        <v>45880.8092361111</v>
      </c>
      <c r="G1330" s="22"/>
      <c r="H1330" s="23">
        <v>7.2</v>
      </c>
      <c r="I1330" s="23">
        <v>0.2025</v>
      </c>
      <c r="J1330" s="24">
        <v>16</v>
      </c>
      <c r="K1330" s="21">
        <v>0</v>
      </c>
      <c r="L1330" s="21">
        <v>0</v>
      </c>
      <c r="M1330" s="21">
        <f>COUNTIF($A$2:$A$5481,A1330)</f>
        <v>1</v>
      </c>
      <c r="N1330" s="24">
        <f t="shared" si="20"/>
        <v>16.000133</v>
      </c>
    </row>
    <row r="1331" spans="1:14">
      <c r="A1331" s="21" t="s">
        <v>1918</v>
      </c>
      <c r="B1331" s="21" t="s">
        <v>920</v>
      </c>
      <c r="C1331" s="21" t="s">
        <v>35</v>
      </c>
      <c r="D1331" s="21" t="s">
        <v>921</v>
      </c>
      <c r="E1331" s="21">
        <v>20</v>
      </c>
      <c r="F1331" s="22">
        <v>45310.7019212963</v>
      </c>
      <c r="G1331" s="22"/>
      <c r="H1331" s="23">
        <v>45.6</v>
      </c>
      <c r="I1331" s="23">
        <v>2.28</v>
      </c>
      <c r="J1331" s="24">
        <v>45.6</v>
      </c>
      <c r="K1331" s="21">
        <v>1</v>
      </c>
      <c r="L1331" s="21">
        <v>50</v>
      </c>
      <c r="M1331" s="21">
        <f>COUNTIF($A$2:$A$5481,A1331)</f>
        <v>1</v>
      </c>
      <c r="N1331" s="24">
        <f t="shared" si="20"/>
        <v>45.6001331</v>
      </c>
    </row>
    <row r="1332" spans="1:14">
      <c r="A1332" s="21" t="s">
        <v>1919</v>
      </c>
      <c r="B1332" s="21" t="s">
        <v>920</v>
      </c>
      <c r="C1332" s="21" t="s">
        <v>35</v>
      </c>
      <c r="D1332" s="21" t="s">
        <v>921</v>
      </c>
      <c r="E1332" s="21">
        <v>8</v>
      </c>
      <c r="F1332" s="22">
        <v>45456.3520833333</v>
      </c>
      <c r="G1332" s="22"/>
      <c r="H1332" s="23">
        <v>2.24</v>
      </c>
      <c r="I1332" s="23">
        <v>0.28</v>
      </c>
      <c r="J1332" s="24">
        <v>2.24</v>
      </c>
      <c r="K1332" s="21">
        <v>0</v>
      </c>
      <c r="L1332" s="21">
        <v>0</v>
      </c>
      <c r="M1332" s="21">
        <f>COUNTIF($A$2:$A$5481,A1332)</f>
        <v>2</v>
      </c>
      <c r="N1332" s="24">
        <f t="shared" si="20"/>
        <v>2.2401332</v>
      </c>
    </row>
    <row r="1333" spans="1:14">
      <c r="A1333" s="21" t="s">
        <v>1919</v>
      </c>
      <c r="B1333" s="21" t="s">
        <v>920</v>
      </c>
      <c r="C1333" s="21" t="s">
        <v>26</v>
      </c>
      <c r="D1333" s="21" t="s">
        <v>921</v>
      </c>
      <c r="E1333" s="21">
        <v>2</v>
      </c>
      <c r="F1333" s="22">
        <v>46157.5865856482</v>
      </c>
      <c r="G1333" s="22"/>
      <c r="H1333" s="23">
        <v>24</v>
      </c>
      <c r="I1333" s="23">
        <v>12</v>
      </c>
      <c r="J1333" s="24">
        <v>24</v>
      </c>
      <c r="K1333" s="21">
        <v>0</v>
      </c>
      <c r="L1333" s="21">
        <v>0</v>
      </c>
      <c r="M1333" s="21">
        <f>COUNTIF($A$2:$A$5481,A1333)</f>
        <v>2</v>
      </c>
      <c r="N1333" s="24">
        <f t="shared" si="20"/>
        <v>24.0001333</v>
      </c>
    </row>
    <row r="1334" spans="1:14">
      <c r="A1334" s="21" t="s">
        <v>1920</v>
      </c>
      <c r="B1334" s="21" t="s">
        <v>920</v>
      </c>
      <c r="C1334" s="21" t="s">
        <v>35</v>
      </c>
      <c r="D1334" s="21" t="s">
        <v>921</v>
      </c>
      <c r="E1334" s="21">
        <v>100</v>
      </c>
      <c r="F1334" s="22">
        <v>45455.5681597222</v>
      </c>
      <c r="G1334" s="22"/>
      <c r="H1334" s="23">
        <v>45</v>
      </c>
      <c r="I1334" s="23">
        <v>0.45</v>
      </c>
      <c r="J1334" s="24">
        <v>45</v>
      </c>
      <c r="K1334" s="21">
        <v>0</v>
      </c>
      <c r="L1334" s="21">
        <v>0</v>
      </c>
      <c r="M1334" s="21">
        <f>COUNTIF($A$2:$A$5481,A1334)</f>
        <v>1</v>
      </c>
      <c r="N1334" s="24">
        <f t="shared" si="20"/>
        <v>45.0001334</v>
      </c>
    </row>
    <row r="1335" spans="1:14">
      <c r="A1335" s="21" t="s">
        <v>1921</v>
      </c>
      <c r="B1335" s="21" t="s">
        <v>920</v>
      </c>
      <c r="C1335" s="21" t="s">
        <v>35</v>
      </c>
      <c r="D1335" s="21" t="s">
        <v>921</v>
      </c>
      <c r="E1335" s="21">
        <v>1</v>
      </c>
      <c r="F1335" s="22">
        <v>46021.5372685185</v>
      </c>
      <c r="G1335" s="22"/>
      <c r="H1335" s="23">
        <v>176.12</v>
      </c>
      <c r="I1335" s="23">
        <v>176.12</v>
      </c>
      <c r="J1335" s="24">
        <v>176.12</v>
      </c>
      <c r="K1335" s="21">
        <v>0</v>
      </c>
      <c r="L1335" s="21">
        <v>0</v>
      </c>
      <c r="M1335" s="21">
        <f>COUNTIF($A$2:$A$5481,A1335)</f>
        <v>1</v>
      </c>
      <c r="N1335" s="24">
        <f t="shared" si="20"/>
        <v>176.1201335</v>
      </c>
    </row>
    <row r="1336" spans="1:14">
      <c r="A1336" s="21" t="s">
        <v>1922</v>
      </c>
      <c r="B1336" s="21" t="s">
        <v>920</v>
      </c>
      <c r="C1336" s="21" t="s">
        <v>26</v>
      </c>
      <c r="D1336" s="21" t="s">
        <v>921</v>
      </c>
      <c r="E1336" s="21">
        <v>20</v>
      </c>
      <c r="F1336" s="22">
        <v>45482.4497800926</v>
      </c>
      <c r="G1336" s="22"/>
      <c r="H1336" s="23">
        <v>34.6</v>
      </c>
      <c r="I1336" s="23">
        <v>1.73</v>
      </c>
      <c r="J1336" s="24">
        <v>34.6</v>
      </c>
      <c r="K1336" s="21">
        <v>0</v>
      </c>
      <c r="L1336" s="21">
        <v>0</v>
      </c>
      <c r="M1336" s="21">
        <f>COUNTIF($A$2:$A$5481,A1336)</f>
        <v>1</v>
      </c>
      <c r="N1336" s="24">
        <f t="shared" si="20"/>
        <v>34.6001336</v>
      </c>
    </row>
    <row r="1337" spans="1:14">
      <c r="A1337" s="21" t="s">
        <v>1923</v>
      </c>
      <c r="B1337" s="21" t="s">
        <v>920</v>
      </c>
      <c r="C1337" s="21" t="s">
        <v>26</v>
      </c>
      <c r="D1337" s="21" t="s">
        <v>921</v>
      </c>
      <c r="E1337" s="21">
        <v>4</v>
      </c>
      <c r="F1337" s="22">
        <v>46001.5511458333</v>
      </c>
      <c r="G1337" s="22"/>
      <c r="H1337" s="23">
        <v>30</v>
      </c>
      <c r="I1337" s="23">
        <v>7.5</v>
      </c>
      <c r="J1337" s="24">
        <v>30</v>
      </c>
      <c r="K1337" s="21">
        <v>0</v>
      </c>
      <c r="L1337" s="21">
        <v>0</v>
      </c>
      <c r="M1337" s="21">
        <f>COUNTIF($A$2:$A$5481,A1337)</f>
        <v>1</v>
      </c>
      <c r="N1337" s="24">
        <f t="shared" si="20"/>
        <v>30.0001337</v>
      </c>
    </row>
    <row r="1338" spans="1:14">
      <c r="A1338" s="21" t="s">
        <v>1924</v>
      </c>
      <c r="B1338" s="21" t="s">
        <v>920</v>
      </c>
      <c r="C1338" s="21" t="s">
        <v>26</v>
      </c>
      <c r="D1338" s="21" t="s">
        <v>921</v>
      </c>
      <c r="E1338" s="21">
        <v>22</v>
      </c>
      <c r="F1338" s="22">
        <v>45565.6030671296</v>
      </c>
      <c r="G1338" s="22"/>
      <c r="H1338" s="23">
        <v>193.6</v>
      </c>
      <c r="I1338" s="23">
        <v>8.8</v>
      </c>
      <c r="J1338" s="24">
        <v>193.6</v>
      </c>
      <c r="K1338" s="21">
        <v>0</v>
      </c>
      <c r="L1338" s="21">
        <v>0</v>
      </c>
      <c r="M1338" s="21">
        <f>COUNTIF($A$2:$A$5481,A1338)</f>
        <v>1</v>
      </c>
      <c r="N1338" s="24">
        <f t="shared" si="20"/>
        <v>193.6001338</v>
      </c>
    </row>
    <row r="1339" spans="1:14">
      <c r="A1339" s="21" t="s">
        <v>1925</v>
      </c>
      <c r="B1339" s="21" t="s">
        <v>920</v>
      </c>
      <c r="C1339" s="21" t="s">
        <v>26</v>
      </c>
      <c r="D1339" s="21" t="s">
        <v>921</v>
      </c>
      <c r="E1339" s="21">
        <v>10</v>
      </c>
      <c r="F1339" s="22">
        <v>46092.5388888889</v>
      </c>
      <c r="G1339" s="22"/>
      <c r="H1339" s="23">
        <v>20</v>
      </c>
      <c r="I1339" s="23">
        <v>2</v>
      </c>
      <c r="J1339" s="24">
        <v>20</v>
      </c>
      <c r="K1339" s="21">
        <v>0</v>
      </c>
      <c r="L1339" s="21">
        <v>0</v>
      </c>
      <c r="M1339" s="21">
        <f>COUNTIF($A$2:$A$5481,A1339)</f>
        <v>1</v>
      </c>
      <c r="N1339" s="24">
        <f t="shared" si="20"/>
        <v>20.0001339</v>
      </c>
    </row>
    <row r="1340" spans="1:14">
      <c r="A1340" s="21" t="s">
        <v>1926</v>
      </c>
      <c r="B1340" s="21" t="s">
        <v>920</v>
      </c>
      <c r="C1340" s="21" t="s">
        <v>26</v>
      </c>
      <c r="D1340" s="21" t="s">
        <v>931</v>
      </c>
      <c r="E1340" s="21">
        <v>0</v>
      </c>
      <c r="F1340" s="22">
        <v>45869.7026967593</v>
      </c>
      <c r="G1340" s="22">
        <v>45870.4726273148</v>
      </c>
      <c r="H1340" s="23">
        <v>120</v>
      </c>
      <c r="I1340" s="23">
        <v>60</v>
      </c>
      <c r="J1340" s="24">
        <v>0</v>
      </c>
      <c r="K1340" s="21">
        <v>0</v>
      </c>
      <c r="L1340" s="21">
        <v>0</v>
      </c>
      <c r="M1340" s="21">
        <f>COUNTIF($A$2:$A$5481,A1340)</f>
        <v>1</v>
      </c>
      <c r="N1340" s="24">
        <f t="shared" si="20"/>
        <v>0.000134</v>
      </c>
    </row>
    <row r="1341" spans="1:14">
      <c r="A1341" s="21" t="s">
        <v>1927</v>
      </c>
      <c r="B1341" s="21" t="s">
        <v>920</v>
      </c>
      <c r="C1341" s="21" t="s">
        <v>26</v>
      </c>
      <c r="D1341" s="21" t="s">
        <v>921</v>
      </c>
      <c r="E1341" s="21">
        <v>10</v>
      </c>
      <c r="F1341" s="22">
        <v>45433.8347453704</v>
      </c>
      <c r="G1341" s="22"/>
      <c r="H1341" s="23">
        <v>28</v>
      </c>
      <c r="I1341" s="23">
        <v>2.8</v>
      </c>
      <c r="J1341" s="24">
        <v>28</v>
      </c>
      <c r="K1341" s="21">
        <v>0</v>
      </c>
      <c r="L1341" s="21">
        <v>0</v>
      </c>
      <c r="M1341" s="21">
        <f>COUNTIF($A$2:$A$5481,A1341)</f>
        <v>1</v>
      </c>
      <c r="N1341" s="24">
        <f t="shared" si="20"/>
        <v>28.0001341</v>
      </c>
    </row>
    <row r="1342" spans="1:14">
      <c r="A1342" s="21" t="s">
        <v>798</v>
      </c>
      <c r="B1342" s="21" t="s">
        <v>920</v>
      </c>
      <c r="C1342" s="21" t="s">
        <v>35</v>
      </c>
      <c r="D1342" s="21" t="s">
        <v>921</v>
      </c>
      <c r="E1342" s="21">
        <v>1</v>
      </c>
      <c r="F1342" s="22">
        <v>46252.4993055556</v>
      </c>
      <c r="G1342" s="22">
        <v>46254.6614583333</v>
      </c>
      <c r="H1342" s="23">
        <v>240</v>
      </c>
      <c r="I1342" s="23">
        <v>240</v>
      </c>
      <c r="J1342" s="24">
        <v>240</v>
      </c>
      <c r="K1342" s="21">
        <v>0</v>
      </c>
      <c r="L1342" s="21">
        <v>0</v>
      </c>
      <c r="M1342" s="21">
        <f>COUNTIF($A$2:$A$5481,A1342)</f>
        <v>1</v>
      </c>
      <c r="N1342" s="24">
        <f t="shared" si="20"/>
        <v>240.0001342</v>
      </c>
    </row>
    <row r="1343" spans="1:14">
      <c r="A1343" s="21" t="s">
        <v>1928</v>
      </c>
      <c r="B1343" s="21" t="s">
        <v>920</v>
      </c>
      <c r="C1343" s="21" t="s">
        <v>26</v>
      </c>
      <c r="D1343" s="21" t="s">
        <v>931</v>
      </c>
      <c r="E1343" s="21">
        <v>1</v>
      </c>
      <c r="F1343" s="22">
        <v>45818.3865162037</v>
      </c>
      <c r="G1343" s="22"/>
      <c r="H1343" s="23">
        <v>12</v>
      </c>
      <c r="I1343" s="23">
        <v>12</v>
      </c>
      <c r="J1343" s="24">
        <v>12</v>
      </c>
      <c r="K1343" s="21">
        <v>0</v>
      </c>
      <c r="L1343" s="21">
        <v>0</v>
      </c>
      <c r="M1343" s="21">
        <f>COUNTIF($A$2:$A$5481,A1343)</f>
        <v>1</v>
      </c>
      <c r="N1343" s="24">
        <f t="shared" si="20"/>
        <v>12.0001343</v>
      </c>
    </row>
    <row r="1344" spans="1:14">
      <c r="A1344" s="21" t="s">
        <v>345</v>
      </c>
      <c r="B1344" s="21" t="s">
        <v>920</v>
      </c>
      <c r="C1344" s="21" t="s">
        <v>35</v>
      </c>
      <c r="D1344" s="21" t="s">
        <v>921</v>
      </c>
      <c r="E1344" s="21">
        <v>0</v>
      </c>
      <c r="F1344" s="22">
        <v>46013.5532986111</v>
      </c>
      <c r="G1344" s="22">
        <v>46121.5357175926</v>
      </c>
      <c r="H1344" s="23">
        <v>45</v>
      </c>
      <c r="I1344" s="23">
        <v>45</v>
      </c>
      <c r="J1344" s="24">
        <v>0</v>
      </c>
      <c r="K1344" s="21">
        <v>0</v>
      </c>
      <c r="L1344" s="21">
        <v>0</v>
      </c>
      <c r="M1344" s="21">
        <f>COUNTIF($A$2:$A$5481,A1344)</f>
        <v>1</v>
      </c>
      <c r="N1344" s="24">
        <f t="shared" si="20"/>
        <v>0.0001344</v>
      </c>
    </row>
    <row r="1345" spans="1:14">
      <c r="A1345" s="21" t="s">
        <v>1929</v>
      </c>
      <c r="B1345" s="21" t="s">
        <v>26</v>
      </c>
      <c r="C1345" s="21" t="s">
        <v>26</v>
      </c>
      <c r="D1345" s="21" t="s">
        <v>921</v>
      </c>
      <c r="E1345" s="21">
        <v>0</v>
      </c>
      <c r="F1345" s="22">
        <v>45540.3539236111</v>
      </c>
      <c r="G1345" s="22">
        <v>45541.8514236111</v>
      </c>
      <c r="H1345" s="23">
        <v>48</v>
      </c>
      <c r="I1345" s="23">
        <v>48</v>
      </c>
      <c r="J1345" s="24">
        <v>0</v>
      </c>
      <c r="K1345" s="21">
        <v>0</v>
      </c>
      <c r="L1345" s="21">
        <v>0</v>
      </c>
      <c r="M1345" s="21">
        <f>COUNTIF($A$2:$A$5481,A1345)</f>
        <v>1</v>
      </c>
      <c r="N1345" s="24">
        <f t="shared" si="20"/>
        <v>0.0001345</v>
      </c>
    </row>
    <row r="1346" spans="1:14">
      <c r="A1346" s="21" t="s">
        <v>1930</v>
      </c>
      <c r="B1346" s="21" t="s">
        <v>26</v>
      </c>
      <c r="C1346" s="21" t="s">
        <v>26</v>
      </c>
      <c r="D1346" s="21" t="s">
        <v>921</v>
      </c>
      <c r="E1346" s="21">
        <v>10</v>
      </c>
      <c r="F1346" s="22">
        <v>45551.3872453704</v>
      </c>
      <c r="G1346" s="22"/>
      <c r="H1346" s="23">
        <v>28.5</v>
      </c>
      <c r="I1346" s="23">
        <v>2.85</v>
      </c>
      <c r="J1346" s="24">
        <v>28.5</v>
      </c>
      <c r="K1346" s="21">
        <v>0</v>
      </c>
      <c r="L1346" s="21">
        <v>0</v>
      </c>
      <c r="M1346" s="21">
        <f>COUNTIF($A$2:$A$5481,A1346)</f>
        <v>1</v>
      </c>
      <c r="N1346" s="24">
        <f t="shared" ref="N1346:N1409" si="21">J1346+ROW()/10000000</f>
        <v>28.5001346</v>
      </c>
    </row>
    <row r="1347" spans="1:14">
      <c r="A1347" s="21" t="s">
        <v>1931</v>
      </c>
      <c r="B1347" s="21" t="s">
        <v>920</v>
      </c>
      <c r="C1347" s="21" t="s">
        <v>26</v>
      </c>
      <c r="D1347" s="21" t="s">
        <v>931</v>
      </c>
      <c r="E1347" s="21">
        <v>2</v>
      </c>
      <c r="F1347" s="22">
        <v>45791.3490509259</v>
      </c>
      <c r="G1347" s="22"/>
      <c r="H1347" s="23">
        <v>0.88</v>
      </c>
      <c r="I1347" s="23">
        <v>0.44</v>
      </c>
      <c r="J1347" s="24">
        <v>0.88</v>
      </c>
      <c r="K1347" s="21">
        <v>0</v>
      </c>
      <c r="L1347" s="21">
        <v>0</v>
      </c>
      <c r="M1347" s="21">
        <f>COUNTIF($A$2:$A$5481,A1347)</f>
        <v>1</v>
      </c>
      <c r="N1347" s="24">
        <f t="shared" si="21"/>
        <v>0.8801347</v>
      </c>
    </row>
    <row r="1348" spans="1:14">
      <c r="A1348" s="21" t="s">
        <v>1932</v>
      </c>
      <c r="B1348" s="21" t="s">
        <v>920</v>
      </c>
      <c r="C1348" s="21" t="s">
        <v>26</v>
      </c>
      <c r="D1348" s="21" t="s">
        <v>921</v>
      </c>
      <c r="E1348" s="21">
        <v>35</v>
      </c>
      <c r="F1348" s="22">
        <v>45609.3697337963</v>
      </c>
      <c r="G1348" s="22"/>
      <c r="H1348" s="23">
        <v>19.95</v>
      </c>
      <c r="I1348" s="23">
        <v>0.57</v>
      </c>
      <c r="J1348" s="24">
        <v>19.95</v>
      </c>
      <c r="K1348" s="21">
        <v>0</v>
      </c>
      <c r="L1348" s="21">
        <v>0</v>
      </c>
      <c r="M1348" s="21">
        <f>COUNTIF($A$2:$A$5481,A1348)</f>
        <v>1</v>
      </c>
      <c r="N1348" s="24">
        <f t="shared" si="21"/>
        <v>19.9501348</v>
      </c>
    </row>
    <row r="1349" spans="1:14">
      <c r="A1349" s="21" t="s">
        <v>1933</v>
      </c>
      <c r="B1349" s="21" t="s">
        <v>920</v>
      </c>
      <c r="C1349" s="21" t="s">
        <v>35</v>
      </c>
      <c r="D1349" s="21" t="s">
        <v>921</v>
      </c>
      <c r="E1349" s="21">
        <v>10</v>
      </c>
      <c r="F1349" s="22">
        <v>45446.3498032407</v>
      </c>
      <c r="G1349" s="22"/>
      <c r="H1349" s="23">
        <v>10.2</v>
      </c>
      <c r="I1349" s="23">
        <v>1.02</v>
      </c>
      <c r="J1349" s="24">
        <v>10.2</v>
      </c>
      <c r="K1349" s="21">
        <v>0</v>
      </c>
      <c r="L1349" s="21">
        <v>0</v>
      </c>
      <c r="M1349" s="21">
        <f>COUNTIF($A$2:$A$5481,A1349)</f>
        <v>2</v>
      </c>
      <c r="N1349" s="24">
        <f t="shared" si="21"/>
        <v>10.2001349</v>
      </c>
    </row>
    <row r="1350" spans="1:14">
      <c r="A1350" s="21" t="s">
        <v>1933</v>
      </c>
      <c r="B1350" s="21" t="s">
        <v>920</v>
      </c>
      <c r="C1350" s="21" t="s">
        <v>26</v>
      </c>
      <c r="D1350" s="21" t="s">
        <v>921</v>
      </c>
      <c r="E1350" s="21">
        <v>180</v>
      </c>
      <c r="F1350" s="22">
        <v>45911.5543171296</v>
      </c>
      <c r="G1350" s="22"/>
      <c r="H1350" s="23">
        <v>52</v>
      </c>
      <c r="I1350" s="23">
        <v>1</v>
      </c>
      <c r="J1350" s="24">
        <v>180</v>
      </c>
      <c r="K1350" s="21">
        <v>0</v>
      </c>
      <c r="L1350" s="21">
        <v>0</v>
      </c>
      <c r="M1350" s="21">
        <f>COUNTIF($A$2:$A$5481,A1350)</f>
        <v>2</v>
      </c>
      <c r="N1350" s="24">
        <f t="shared" si="21"/>
        <v>180.000135</v>
      </c>
    </row>
    <row r="1351" spans="1:14">
      <c r="A1351" s="21" t="s">
        <v>1934</v>
      </c>
      <c r="B1351" s="21" t="s">
        <v>920</v>
      </c>
      <c r="C1351" s="21" t="s">
        <v>26</v>
      </c>
      <c r="D1351" s="21" t="s">
        <v>921</v>
      </c>
      <c r="E1351" s="21">
        <v>96</v>
      </c>
      <c r="F1351" s="22">
        <v>46065.7193865741</v>
      </c>
      <c r="G1351" s="22"/>
      <c r="H1351" s="23">
        <v>18.2</v>
      </c>
      <c r="I1351" s="23">
        <v>1.619375</v>
      </c>
      <c r="J1351" s="24">
        <v>155.52</v>
      </c>
      <c r="K1351" s="21">
        <v>0</v>
      </c>
      <c r="L1351" s="21">
        <v>0</v>
      </c>
      <c r="M1351" s="21">
        <f>COUNTIF($A$2:$A$5481,A1351)</f>
        <v>1</v>
      </c>
      <c r="N1351" s="24">
        <f t="shared" si="21"/>
        <v>155.5201351</v>
      </c>
    </row>
    <row r="1352" spans="1:14">
      <c r="A1352" s="21" t="s">
        <v>1935</v>
      </c>
      <c r="B1352" s="21" t="s">
        <v>26</v>
      </c>
      <c r="C1352" s="21" t="s">
        <v>26</v>
      </c>
      <c r="D1352" s="21" t="s">
        <v>921</v>
      </c>
      <c r="E1352" s="21">
        <v>180</v>
      </c>
      <c r="F1352" s="22">
        <v>45604.8111111111</v>
      </c>
      <c r="G1352" s="22"/>
      <c r="H1352" s="23">
        <v>27.2</v>
      </c>
      <c r="I1352" s="23">
        <v>1.69889</v>
      </c>
      <c r="J1352" s="24">
        <v>306</v>
      </c>
      <c r="K1352" s="21">
        <v>0</v>
      </c>
      <c r="L1352" s="21">
        <v>0</v>
      </c>
      <c r="M1352" s="21">
        <f>COUNTIF($A$2:$A$5481,A1352)</f>
        <v>1</v>
      </c>
      <c r="N1352" s="24">
        <f t="shared" si="21"/>
        <v>306.0001352</v>
      </c>
    </row>
    <row r="1353" spans="1:14">
      <c r="A1353" s="21" t="s">
        <v>1936</v>
      </c>
      <c r="B1353" s="21" t="s">
        <v>920</v>
      </c>
      <c r="C1353" s="21" t="s">
        <v>26</v>
      </c>
      <c r="D1353" s="21" t="s">
        <v>921</v>
      </c>
      <c r="E1353" s="21">
        <v>74</v>
      </c>
      <c r="F1353" s="22">
        <v>46160.6623032407</v>
      </c>
      <c r="G1353" s="22"/>
      <c r="H1353" s="23">
        <v>94</v>
      </c>
      <c r="I1353" s="23">
        <v>1.8583783784</v>
      </c>
      <c r="J1353" s="24">
        <v>137.64</v>
      </c>
      <c r="K1353" s="21">
        <v>0</v>
      </c>
      <c r="L1353" s="21">
        <v>0</v>
      </c>
      <c r="M1353" s="21">
        <f>COUNTIF($A$2:$A$5481,A1353)</f>
        <v>1</v>
      </c>
      <c r="N1353" s="24">
        <f t="shared" si="21"/>
        <v>137.6401353</v>
      </c>
    </row>
    <row r="1354" spans="1:14">
      <c r="A1354" s="21" t="s">
        <v>1937</v>
      </c>
      <c r="B1354" s="21" t="s">
        <v>920</v>
      </c>
      <c r="C1354" s="21" t="s">
        <v>26</v>
      </c>
      <c r="D1354" s="21" t="s">
        <v>921</v>
      </c>
      <c r="E1354" s="21">
        <v>42.07</v>
      </c>
      <c r="F1354" s="22">
        <v>45726.6703703704</v>
      </c>
      <c r="G1354" s="22"/>
      <c r="H1354" s="23">
        <v>0.2548</v>
      </c>
      <c r="I1354" s="23">
        <v>3.11041</v>
      </c>
      <c r="J1354" s="24">
        <v>130.8377</v>
      </c>
      <c r="K1354" s="21">
        <v>0</v>
      </c>
      <c r="L1354" s="21">
        <v>0</v>
      </c>
      <c r="M1354" s="21">
        <f>COUNTIF($A$2:$A$5481,A1354)</f>
        <v>1</v>
      </c>
      <c r="N1354" s="24">
        <f t="shared" si="21"/>
        <v>130.8378354</v>
      </c>
    </row>
    <row r="1355" spans="1:14">
      <c r="A1355" s="21" t="s">
        <v>1938</v>
      </c>
      <c r="B1355" s="21" t="s">
        <v>920</v>
      </c>
      <c r="C1355" s="21" t="s">
        <v>26</v>
      </c>
      <c r="D1355" s="21" t="s">
        <v>931</v>
      </c>
      <c r="E1355" s="21">
        <v>2</v>
      </c>
      <c r="F1355" s="22">
        <v>45791.3490509259</v>
      </c>
      <c r="G1355" s="22"/>
      <c r="H1355" s="23">
        <v>5.48</v>
      </c>
      <c r="I1355" s="23">
        <v>2.74</v>
      </c>
      <c r="J1355" s="24">
        <v>5.48</v>
      </c>
      <c r="K1355" s="21">
        <v>0</v>
      </c>
      <c r="L1355" s="21">
        <v>0</v>
      </c>
      <c r="M1355" s="21">
        <f>COUNTIF($A$2:$A$5481,A1355)</f>
        <v>1</v>
      </c>
      <c r="N1355" s="24">
        <f t="shared" si="21"/>
        <v>5.4801355</v>
      </c>
    </row>
    <row r="1356" spans="1:14">
      <c r="A1356" s="21" t="s">
        <v>1939</v>
      </c>
      <c r="B1356" s="21" t="s">
        <v>26</v>
      </c>
      <c r="C1356" s="21" t="s">
        <v>26</v>
      </c>
      <c r="D1356" s="21" t="s">
        <v>921</v>
      </c>
      <c r="E1356" s="21">
        <v>10</v>
      </c>
      <c r="F1356" s="22">
        <v>45826.8091782407</v>
      </c>
      <c r="G1356" s="22"/>
      <c r="H1356" s="23">
        <v>41.5</v>
      </c>
      <c r="I1356" s="23">
        <v>4.15</v>
      </c>
      <c r="J1356" s="24">
        <v>41.5</v>
      </c>
      <c r="K1356" s="21">
        <v>0</v>
      </c>
      <c r="L1356" s="21">
        <v>0</v>
      </c>
      <c r="M1356" s="21">
        <f>COUNTIF($A$2:$A$5481,A1356)</f>
        <v>1</v>
      </c>
      <c r="N1356" s="24">
        <f t="shared" si="21"/>
        <v>41.5001356</v>
      </c>
    </row>
    <row r="1357" spans="1:14">
      <c r="A1357" s="21" t="s">
        <v>1940</v>
      </c>
      <c r="B1357" s="21" t="s">
        <v>920</v>
      </c>
      <c r="C1357" s="21" t="s">
        <v>26</v>
      </c>
      <c r="D1357" s="21" t="s">
        <v>921</v>
      </c>
      <c r="E1357" s="21">
        <v>50</v>
      </c>
      <c r="F1357" s="22">
        <v>46218.6997685185</v>
      </c>
      <c r="G1357" s="22"/>
      <c r="H1357" s="23">
        <v>21.2</v>
      </c>
      <c r="I1357" s="23">
        <v>3.116</v>
      </c>
      <c r="J1357" s="24">
        <v>156</v>
      </c>
      <c r="K1357" s="21">
        <v>0</v>
      </c>
      <c r="L1357" s="21">
        <v>0</v>
      </c>
      <c r="M1357" s="21">
        <f>COUNTIF($A$2:$A$5481,A1357)</f>
        <v>1</v>
      </c>
      <c r="N1357" s="24">
        <f t="shared" si="21"/>
        <v>156.0001357</v>
      </c>
    </row>
    <row r="1358" spans="1:14">
      <c r="A1358" s="21" t="s">
        <v>1941</v>
      </c>
      <c r="B1358" s="21" t="s">
        <v>920</v>
      </c>
      <c r="C1358" s="21" t="s">
        <v>26</v>
      </c>
      <c r="D1358" s="21" t="s">
        <v>931</v>
      </c>
      <c r="E1358" s="21">
        <v>90</v>
      </c>
      <c r="F1358" s="22">
        <v>45817.8450115741</v>
      </c>
      <c r="G1358" s="22"/>
      <c r="H1358" s="23">
        <v>11.6</v>
      </c>
      <c r="I1358" s="23">
        <v>0.29</v>
      </c>
      <c r="J1358" s="24">
        <v>26.1</v>
      </c>
      <c r="K1358" s="21">
        <v>0</v>
      </c>
      <c r="L1358" s="21">
        <v>0</v>
      </c>
      <c r="M1358" s="21">
        <f>COUNTIF($A$2:$A$5481,A1358)</f>
        <v>1</v>
      </c>
      <c r="N1358" s="24">
        <f t="shared" si="21"/>
        <v>26.1001358</v>
      </c>
    </row>
    <row r="1359" spans="1:14">
      <c r="A1359" s="21" t="s">
        <v>1942</v>
      </c>
      <c r="B1359" s="21" t="s">
        <v>920</v>
      </c>
      <c r="C1359" s="21" t="s">
        <v>26</v>
      </c>
      <c r="D1359" s="21" t="s">
        <v>921</v>
      </c>
      <c r="E1359" s="21">
        <v>12</v>
      </c>
      <c r="F1359" s="22">
        <v>46154.4041666667</v>
      </c>
      <c r="G1359" s="22"/>
      <c r="H1359" s="23">
        <v>22</v>
      </c>
      <c r="I1359" s="23">
        <v>5.5</v>
      </c>
      <c r="J1359" s="24">
        <v>66</v>
      </c>
      <c r="K1359" s="21">
        <v>0</v>
      </c>
      <c r="L1359" s="21">
        <v>0</v>
      </c>
      <c r="M1359" s="21">
        <f>COUNTIF($A$2:$A$5481,A1359)</f>
        <v>1</v>
      </c>
      <c r="N1359" s="24">
        <f t="shared" si="21"/>
        <v>66.0001359</v>
      </c>
    </row>
    <row r="1360" spans="1:14">
      <c r="A1360" s="21" t="s">
        <v>1943</v>
      </c>
      <c r="B1360" s="21" t="s">
        <v>920</v>
      </c>
      <c r="C1360" s="21" t="s">
        <v>26</v>
      </c>
      <c r="D1360" s="21" t="s">
        <v>921</v>
      </c>
      <c r="E1360" s="21">
        <v>2</v>
      </c>
      <c r="F1360" s="22">
        <v>45604.3785300926</v>
      </c>
      <c r="G1360" s="22"/>
      <c r="H1360" s="23">
        <v>18</v>
      </c>
      <c r="I1360" s="23">
        <v>9</v>
      </c>
      <c r="J1360" s="24">
        <v>18</v>
      </c>
      <c r="K1360" s="21">
        <v>0</v>
      </c>
      <c r="L1360" s="21">
        <v>0</v>
      </c>
      <c r="M1360" s="21">
        <f>COUNTIF($A$2:$A$5481,A1360)</f>
        <v>1</v>
      </c>
      <c r="N1360" s="24">
        <f t="shared" si="21"/>
        <v>18.000136</v>
      </c>
    </row>
    <row r="1361" spans="1:14">
      <c r="A1361" s="21" t="s">
        <v>1944</v>
      </c>
      <c r="B1361" s="21" t="s">
        <v>920</v>
      </c>
      <c r="C1361" s="21" t="s">
        <v>26</v>
      </c>
      <c r="D1361" s="21" t="s">
        <v>931</v>
      </c>
      <c r="E1361" s="21">
        <v>8</v>
      </c>
      <c r="F1361" s="22">
        <v>45839.3625115741</v>
      </c>
      <c r="G1361" s="22"/>
      <c r="H1361" s="23">
        <v>34.88</v>
      </c>
      <c r="I1361" s="23">
        <v>4.36</v>
      </c>
      <c r="J1361" s="24">
        <v>34.88</v>
      </c>
      <c r="K1361" s="21">
        <v>0</v>
      </c>
      <c r="L1361" s="21">
        <v>0</v>
      </c>
      <c r="M1361" s="21">
        <f>COUNTIF($A$2:$A$5481,A1361)</f>
        <v>1</v>
      </c>
      <c r="N1361" s="24">
        <f t="shared" si="21"/>
        <v>34.8801361</v>
      </c>
    </row>
    <row r="1362" spans="1:14">
      <c r="A1362" s="21" t="s">
        <v>1945</v>
      </c>
      <c r="B1362" s="21" t="s">
        <v>26</v>
      </c>
      <c r="C1362" s="21" t="s">
        <v>26</v>
      </c>
      <c r="D1362" s="21" t="s">
        <v>921</v>
      </c>
      <c r="E1362" s="21">
        <v>2</v>
      </c>
      <c r="F1362" s="22">
        <v>46037.3818865741</v>
      </c>
      <c r="G1362" s="22"/>
      <c r="H1362" s="23">
        <v>14</v>
      </c>
      <c r="I1362" s="23">
        <v>7</v>
      </c>
      <c r="J1362" s="24">
        <v>14</v>
      </c>
      <c r="K1362" s="21">
        <v>0</v>
      </c>
      <c r="L1362" s="21">
        <v>0</v>
      </c>
      <c r="M1362" s="21">
        <f>COUNTIF($A$2:$A$5481,A1362)</f>
        <v>1</v>
      </c>
      <c r="N1362" s="24">
        <f t="shared" si="21"/>
        <v>14.0001362</v>
      </c>
    </row>
    <row r="1363" spans="1:14">
      <c r="A1363" s="21" t="s">
        <v>1946</v>
      </c>
      <c r="B1363" s="21" t="s">
        <v>920</v>
      </c>
      <c r="C1363" s="21" t="s">
        <v>35</v>
      </c>
      <c r="D1363" s="21" t="s">
        <v>921</v>
      </c>
      <c r="E1363" s="21">
        <v>10</v>
      </c>
      <c r="F1363" s="22">
        <v>45282.7825</v>
      </c>
      <c r="G1363" s="22"/>
      <c r="H1363" s="23">
        <v>16</v>
      </c>
      <c r="I1363" s="23">
        <v>1.6</v>
      </c>
      <c r="J1363" s="24">
        <v>16</v>
      </c>
      <c r="K1363" s="21">
        <v>2</v>
      </c>
      <c r="L1363" s="21">
        <v>20</v>
      </c>
      <c r="M1363" s="21">
        <f>COUNTIF($A$2:$A$5481,A1363)</f>
        <v>2</v>
      </c>
      <c r="N1363" s="24">
        <f t="shared" si="21"/>
        <v>16.0001363</v>
      </c>
    </row>
    <row r="1364" spans="1:14">
      <c r="A1364" s="21" t="s">
        <v>1946</v>
      </c>
      <c r="B1364" s="21" t="s">
        <v>920</v>
      </c>
      <c r="C1364" s="21" t="s">
        <v>26</v>
      </c>
      <c r="D1364" s="21" t="s">
        <v>921</v>
      </c>
      <c r="E1364" s="21">
        <v>26</v>
      </c>
      <c r="F1364" s="22">
        <v>46225.6426273148</v>
      </c>
      <c r="G1364" s="22"/>
      <c r="H1364" s="23">
        <v>6.8</v>
      </c>
      <c r="I1364" s="23">
        <v>1.6576923077</v>
      </c>
      <c r="J1364" s="24">
        <v>43.16</v>
      </c>
      <c r="K1364" s="21">
        <v>2</v>
      </c>
      <c r="L1364" s="21">
        <v>20</v>
      </c>
      <c r="M1364" s="21">
        <f>COUNTIF($A$2:$A$5481,A1364)</f>
        <v>2</v>
      </c>
      <c r="N1364" s="24">
        <f t="shared" si="21"/>
        <v>43.1601364</v>
      </c>
    </row>
    <row r="1365" spans="1:14">
      <c r="A1365" s="21" t="s">
        <v>1947</v>
      </c>
      <c r="B1365" s="21" t="s">
        <v>920</v>
      </c>
      <c r="C1365" s="21" t="s">
        <v>26</v>
      </c>
      <c r="D1365" s="21" t="s">
        <v>931</v>
      </c>
      <c r="E1365" s="21">
        <v>34</v>
      </c>
      <c r="F1365" s="22">
        <v>45755.3952314815</v>
      </c>
      <c r="G1365" s="22"/>
      <c r="H1365" s="23">
        <v>27.8</v>
      </c>
      <c r="I1365" s="23">
        <v>1.94706</v>
      </c>
      <c r="J1365" s="24">
        <v>66.3</v>
      </c>
      <c r="K1365" s="21">
        <v>0</v>
      </c>
      <c r="L1365" s="21">
        <v>0</v>
      </c>
      <c r="M1365" s="21">
        <f>COUNTIF($A$2:$A$5481,A1365)</f>
        <v>1</v>
      </c>
      <c r="N1365" s="24">
        <f t="shared" si="21"/>
        <v>66.3001365</v>
      </c>
    </row>
    <row r="1366" spans="1:14">
      <c r="A1366" s="21" t="s">
        <v>1948</v>
      </c>
      <c r="B1366" s="21" t="s">
        <v>920</v>
      </c>
      <c r="C1366" s="21" t="s">
        <v>26</v>
      </c>
      <c r="D1366" s="21" t="s">
        <v>921</v>
      </c>
      <c r="E1366" s="21">
        <v>30</v>
      </c>
      <c r="F1366" s="22">
        <v>46094.5597222222</v>
      </c>
      <c r="G1366" s="22"/>
      <c r="H1366" s="23">
        <v>21.2</v>
      </c>
      <c r="I1366" s="23">
        <v>2.7366666667</v>
      </c>
      <c r="J1366" s="24">
        <v>82.2</v>
      </c>
      <c r="K1366" s="21">
        <v>0</v>
      </c>
      <c r="L1366" s="21">
        <v>0</v>
      </c>
      <c r="M1366" s="21">
        <f>COUNTIF($A$2:$A$5481,A1366)</f>
        <v>1</v>
      </c>
      <c r="N1366" s="24">
        <f t="shared" si="21"/>
        <v>82.2001366</v>
      </c>
    </row>
    <row r="1367" spans="1:14">
      <c r="A1367" s="21" t="s">
        <v>1949</v>
      </c>
      <c r="B1367" s="21" t="s">
        <v>920</v>
      </c>
      <c r="C1367" s="21" t="s">
        <v>26</v>
      </c>
      <c r="D1367" s="21" t="s">
        <v>921</v>
      </c>
      <c r="E1367" s="21">
        <v>20</v>
      </c>
      <c r="F1367" s="22">
        <v>46084.5253009259</v>
      </c>
      <c r="G1367" s="22"/>
      <c r="H1367" s="23">
        <v>27.8</v>
      </c>
      <c r="I1367" s="23">
        <v>3.42</v>
      </c>
      <c r="J1367" s="24">
        <v>68.4</v>
      </c>
      <c r="K1367" s="21">
        <v>0</v>
      </c>
      <c r="L1367" s="21">
        <v>0</v>
      </c>
      <c r="M1367" s="21">
        <f>COUNTIF($A$2:$A$5481,A1367)</f>
        <v>1</v>
      </c>
      <c r="N1367" s="24">
        <f t="shared" si="21"/>
        <v>68.4001367</v>
      </c>
    </row>
    <row r="1368" spans="1:14">
      <c r="A1368" s="21" t="s">
        <v>1950</v>
      </c>
      <c r="B1368" s="21" t="s">
        <v>920</v>
      </c>
      <c r="C1368" s="21" t="s">
        <v>26</v>
      </c>
      <c r="D1368" s="21" t="s">
        <v>921</v>
      </c>
      <c r="E1368" s="21">
        <v>6</v>
      </c>
      <c r="F1368" s="22">
        <v>45398.8353703704</v>
      </c>
      <c r="G1368" s="22"/>
      <c r="H1368" s="23">
        <v>8.4</v>
      </c>
      <c r="I1368" s="23">
        <v>1.4</v>
      </c>
      <c r="J1368" s="24">
        <v>8.4</v>
      </c>
      <c r="K1368" s="21">
        <v>0</v>
      </c>
      <c r="L1368" s="21">
        <v>0</v>
      </c>
      <c r="M1368" s="21">
        <f>COUNTIF($A$2:$A$5481,A1368)</f>
        <v>1</v>
      </c>
      <c r="N1368" s="24">
        <f t="shared" si="21"/>
        <v>8.4001368</v>
      </c>
    </row>
    <row r="1369" spans="1:14">
      <c r="A1369" s="21" t="s">
        <v>1951</v>
      </c>
      <c r="B1369" s="21" t="s">
        <v>26</v>
      </c>
      <c r="C1369" s="21" t="s">
        <v>26</v>
      </c>
      <c r="D1369" s="21" t="s">
        <v>921</v>
      </c>
      <c r="E1369" s="21">
        <v>10</v>
      </c>
      <c r="F1369" s="22">
        <v>45546.3717939815</v>
      </c>
      <c r="G1369" s="22"/>
      <c r="H1369" s="23">
        <v>9</v>
      </c>
      <c r="I1369" s="23">
        <v>0.9</v>
      </c>
      <c r="J1369" s="24">
        <v>9</v>
      </c>
      <c r="K1369" s="21">
        <v>0</v>
      </c>
      <c r="L1369" s="21">
        <v>0</v>
      </c>
      <c r="M1369" s="21">
        <f>COUNTIF($A$2:$A$5481,A1369)</f>
        <v>1</v>
      </c>
      <c r="N1369" s="24">
        <f t="shared" si="21"/>
        <v>9.0001369</v>
      </c>
    </row>
    <row r="1370" spans="1:14">
      <c r="A1370" s="21" t="s">
        <v>666</v>
      </c>
      <c r="B1370" s="21" t="s">
        <v>1175</v>
      </c>
      <c r="C1370" s="21" t="s">
        <v>26</v>
      </c>
      <c r="D1370" s="21" t="s">
        <v>921</v>
      </c>
      <c r="E1370" s="21">
        <v>0</v>
      </c>
      <c r="F1370" s="22">
        <v>46245.6074305556</v>
      </c>
      <c r="G1370" s="22">
        <v>46252.552962963</v>
      </c>
      <c r="H1370" s="23">
        <v>735</v>
      </c>
      <c r="I1370" s="23">
        <v>735</v>
      </c>
      <c r="J1370" s="24">
        <v>0</v>
      </c>
      <c r="K1370" s="21">
        <v>0</v>
      </c>
      <c r="L1370" s="21">
        <v>0</v>
      </c>
      <c r="M1370" s="21">
        <f>COUNTIF($A$2:$A$5481,A1370)</f>
        <v>1</v>
      </c>
      <c r="N1370" s="24">
        <f t="shared" si="21"/>
        <v>0.000137</v>
      </c>
    </row>
    <row r="1371" spans="1:14">
      <c r="A1371" s="21" t="s">
        <v>663</v>
      </c>
      <c r="B1371" s="21" t="s">
        <v>1175</v>
      </c>
      <c r="C1371" s="21" t="s">
        <v>26</v>
      </c>
      <c r="D1371" s="21" t="s">
        <v>921</v>
      </c>
      <c r="E1371" s="21">
        <v>0</v>
      </c>
      <c r="F1371" s="22">
        <v>46237.6361111111</v>
      </c>
      <c r="G1371" s="22">
        <v>46252.5529282407</v>
      </c>
      <c r="H1371" s="23">
        <v>1108.43</v>
      </c>
      <c r="I1371" s="23">
        <v>1108.43</v>
      </c>
      <c r="J1371" s="24">
        <v>0</v>
      </c>
      <c r="K1371" s="21">
        <v>0</v>
      </c>
      <c r="L1371" s="21">
        <v>0</v>
      </c>
      <c r="M1371" s="21">
        <f>COUNTIF($A$2:$A$5481,A1371)</f>
        <v>1</v>
      </c>
      <c r="N1371" s="24">
        <f t="shared" si="21"/>
        <v>0.0001371</v>
      </c>
    </row>
    <row r="1372" spans="1:14">
      <c r="A1372" s="21" t="s">
        <v>1952</v>
      </c>
      <c r="B1372" s="21" t="s">
        <v>920</v>
      </c>
      <c r="C1372" s="21" t="s">
        <v>35</v>
      </c>
      <c r="D1372" s="21" t="s">
        <v>921</v>
      </c>
      <c r="E1372" s="21">
        <v>1.99</v>
      </c>
      <c r="F1372" s="22">
        <v>45300.8153935185</v>
      </c>
      <c r="G1372" s="22">
        <v>45296.5802314815</v>
      </c>
      <c r="H1372" s="23">
        <v>102</v>
      </c>
      <c r="I1372" s="23">
        <v>104.98492</v>
      </c>
      <c r="J1372" s="24">
        <v>208.9102</v>
      </c>
      <c r="K1372" s="21">
        <v>0</v>
      </c>
      <c r="L1372" s="21">
        <v>6</v>
      </c>
      <c r="M1372" s="21">
        <f>COUNTIF($A$2:$A$5481,A1372)</f>
        <v>1</v>
      </c>
      <c r="N1372" s="24">
        <f t="shared" si="21"/>
        <v>208.9103372</v>
      </c>
    </row>
    <row r="1373" spans="1:14">
      <c r="A1373" s="21" t="s">
        <v>1953</v>
      </c>
      <c r="B1373" s="21" t="s">
        <v>920</v>
      </c>
      <c r="C1373" s="21" t="s">
        <v>26</v>
      </c>
      <c r="D1373" s="21" t="s">
        <v>921</v>
      </c>
      <c r="E1373" s="21">
        <v>1</v>
      </c>
      <c r="F1373" s="22">
        <v>46099.5333333333</v>
      </c>
      <c r="G1373" s="22"/>
      <c r="H1373" s="23">
        <v>100</v>
      </c>
      <c r="I1373" s="23">
        <v>100</v>
      </c>
      <c r="J1373" s="24">
        <v>100</v>
      </c>
      <c r="K1373" s="21">
        <v>0</v>
      </c>
      <c r="L1373" s="21">
        <v>0</v>
      </c>
      <c r="M1373" s="21">
        <f>COUNTIF($A$2:$A$5481,A1373)</f>
        <v>1</v>
      </c>
      <c r="N1373" s="24">
        <f t="shared" si="21"/>
        <v>100.0001373</v>
      </c>
    </row>
    <row r="1374" spans="1:14">
      <c r="A1374" s="21" t="s">
        <v>1954</v>
      </c>
      <c r="B1374" s="21" t="s">
        <v>920</v>
      </c>
      <c r="C1374" s="21" t="s">
        <v>35</v>
      </c>
      <c r="D1374" s="21" t="s">
        <v>921</v>
      </c>
      <c r="E1374" s="21">
        <v>0</v>
      </c>
      <c r="F1374" s="22">
        <v>45278.4272106482</v>
      </c>
      <c r="G1374" s="22">
        <v>45288.4336574074</v>
      </c>
      <c r="H1374" s="23">
        <v>98.9</v>
      </c>
      <c r="I1374" s="23">
        <v>98.9</v>
      </c>
      <c r="J1374" s="24">
        <v>0</v>
      </c>
      <c r="K1374" s="21">
        <v>0</v>
      </c>
      <c r="L1374" s="21">
        <v>0</v>
      </c>
      <c r="M1374" s="21">
        <f>COUNTIF($A$2:$A$5481,A1374)</f>
        <v>1</v>
      </c>
      <c r="N1374" s="24">
        <f t="shared" si="21"/>
        <v>0.0001374</v>
      </c>
    </row>
    <row r="1375" spans="1:14">
      <c r="A1375" s="21" t="s">
        <v>1955</v>
      </c>
      <c r="B1375" s="21" t="s">
        <v>920</v>
      </c>
      <c r="C1375" s="21" t="s">
        <v>35</v>
      </c>
      <c r="D1375" s="21" t="s">
        <v>921</v>
      </c>
      <c r="E1375" s="21">
        <v>0</v>
      </c>
      <c r="F1375" s="22">
        <v>45278.4272106482</v>
      </c>
      <c r="G1375" s="22">
        <v>45288.4336458333</v>
      </c>
      <c r="H1375" s="23">
        <v>98.9</v>
      </c>
      <c r="I1375" s="23">
        <v>98.9</v>
      </c>
      <c r="J1375" s="24">
        <v>0</v>
      </c>
      <c r="K1375" s="21">
        <v>0</v>
      </c>
      <c r="L1375" s="21">
        <v>0</v>
      </c>
      <c r="M1375" s="21">
        <f>COUNTIF($A$2:$A$5481,A1375)</f>
        <v>1</v>
      </c>
      <c r="N1375" s="24">
        <f t="shared" si="21"/>
        <v>0.0001375</v>
      </c>
    </row>
    <row r="1376" spans="1:14">
      <c r="A1376" s="21" t="s">
        <v>1956</v>
      </c>
      <c r="B1376" s="21" t="s">
        <v>26</v>
      </c>
      <c r="C1376" s="21" t="s">
        <v>26</v>
      </c>
      <c r="D1376" s="21" t="s">
        <v>921</v>
      </c>
      <c r="E1376" s="21">
        <v>12</v>
      </c>
      <c r="F1376" s="22">
        <v>45489.3607986111</v>
      </c>
      <c r="G1376" s="22"/>
      <c r="H1376" s="23">
        <v>8.88</v>
      </c>
      <c r="I1376" s="23">
        <v>0.74</v>
      </c>
      <c r="J1376" s="24">
        <v>8.88</v>
      </c>
      <c r="K1376" s="21">
        <v>0</v>
      </c>
      <c r="L1376" s="21">
        <v>0</v>
      </c>
      <c r="M1376" s="21">
        <f>COUNTIF($A$2:$A$5481,A1376)</f>
        <v>1</v>
      </c>
      <c r="N1376" s="24">
        <f t="shared" si="21"/>
        <v>8.8801376</v>
      </c>
    </row>
    <row r="1377" spans="1:14">
      <c r="A1377" s="21" t="s">
        <v>1957</v>
      </c>
      <c r="B1377" s="21" t="s">
        <v>920</v>
      </c>
      <c r="C1377" s="21" t="s">
        <v>26</v>
      </c>
      <c r="D1377" s="21" t="s">
        <v>921</v>
      </c>
      <c r="E1377" s="21">
        <v>2</v>
      </c>
      <c r="F1377" s="22">
        <v>45938.7040509259</v>
      </c>
      <c r="G1377" s="22">
        <v>45938.5515740741</v>
      </c>
      <c r="H1377" s="23">
        <v>424</v>
      </c>
      <c r="I1377" s="23">
        <v>212</v>
      </c>
      <c r="J1377" s="24">
        <v>424</v>
      </c>
      <c r="K1377" s="21">
        <v>0</v>
      </c>
      <c r="L1377" s="21">
        <v>0</v>
      </c>
      <c r="M1377" s="21">
        <f>COUNTIF($A$2:$A$5481,A1377)</f>
        <v>1</v>
      </c>
      <c r="N1377" s="24">
        <f t="shared" si="21"/>
        <v>424.0001377</v>
      </c>
    </row>
    <row r="1378" spans="1:14">
      <c r="A1378" s="21" t="s">
        <v>1958</v>
      </c>
      <c r="B1378" s="21" t="s">
        <v>920</v>
      </c>
      <c r="C1378" s="21" t="s">
        <v>26</v>
      </c>
      <c r="D1378" s="21" t="s">
        <v>921</v>
      </c>
      <c r="E1378" s="21">
        <v>2</v>
      </c>
      <c r="F1378" s="22">
        <v>45938.7040509259</v>
      </c>
      <c r="G1378" s="22">
        <v>45715.3869907407</v>
      </c>
      <c r="H1378" s="23">
        <v>424</v>
      </c>
      <c r="I1378" s="23">
        <v>212</v>
      </c>
      <c r="J1378" s="24">
        <v>424</v>
      </c>
      <c r="K1378" s="21">
        <v>0</v>
      </c>
      <c r="L1378" s="21">
        <v>0</v>
      </c>
      <c r="M1378" s="21">
        <f>COUNTIF($A$2:$A$5481,A1378)</f>
        <v>1</v>
      </c>
      <c r="N1378" s="24">
        <f t="shared" si="21"/>
        <v>424.0001378</v>
      </c>
    </row>
    <row r="1379" spans="1:14">
      <c r="A1379" s="21" t="s">
        <v>1959</v>
      </c>
      <c r="B1379" s="21" t="s">
        <v>1115</v>
      </c>
      <c r="C1379" s="21" t="s">
        <v>783</v>
      </c>
      <c r="D1379" s="21" t="s">
        <v>931</v>
      </c>
      <c r="E1379" s="21">
        <v>20</v>
      </c>
      <c r="F1379" s="22">
        <v>45800.4188657407</v>
      </c>
      <c r="G1379" s="22"/>
      <c r="H1379" s="23">
        <v>960</v>
      </c>
      <c r="I1379" s="23">
        <v>48</v>
      </c>
      <c r="J1379" s="24">
        <v>960</v>
      </c>
      <c r="K1379" s="21">
        <v>0</v>
      </c>
      <c r="L1379" s="21">
        <v>0</v>
      </c>
      <c r="M1379" s="21">
        <f>COUNTIF($A$2:$A$5481,A1379)</f>
        <v>1</v>
      </c>
      <c r="N1379" s="24">
        <f t="shared" si="21"/>
        <v>960.0001379</v>
      </c>
    </row>
    <row r="1380" spans="1:14">
      <c r="A1380" s="21" t="s">
        <v>1960</v>
      </c>
      <c r="B1380" s="21" t="s">
        <v>920</v>
      </c>
      <c r="C1380" s="21" t="s">
        <v>35</v>
      </c>
      <c r="D1380" s="21" t="s">
        <v>931</v>
      </c>
      <c r="E1380" s="21">
        <v>1</v>
      </c>
      <c r="F1380" s="22">
        <v>45863.3893981482</v>
      </c>
      <c r="G1380" s="22"/>
      <c r="H1380" s="23">
        <v>430</v>
      </c>
      <c r="I1380" s="23">
        <v>430</v>
      </c>
      <c r="J1380" s="24">
        <v>430</v>
      </c>
      <c r="K1380" s="21">
        <v>0</v>
      </c>
      <c r="L1380" s="21">
        <v>0</v>
      </c>
      <c r="M1380" s="21">
        <f>COUNTIF($A$2:$A$5481,A1380)</f>
        <v>1</v>
      </c>
      <c r="N1380" s="24">
        <f t="shared" si="21"/>
        <v>430.000138</v>
      </c>
    </row>
    <row r="1381" spans="1:14">
      <c r="A1381" s="21" t="s">
        <v>1961</v>
      </c>
      <c r="B1381" s="21" t="s">
        <v>920</v>
      </c>
      <c r="C1381" s="21" t="s">
        <v>26</v>
      </c>
      <c r="D1381" s="21" t="s">
        <v>921</v>
      </c>
      <c r="E1381" s="21">
        <v>1</v>
      </c>
      <c r="F1381" s="22">
        <v>46188.6695949074</v>
      </c>
      <c r="G1381" s="22"/>
      <c r="H1381" s="23">
        <v>118</v>
      </c>
      <c r="I1381" s="23">
        <v>118</v>
      </c>
      <c r="J1381" s="24">
        <v>118</v>
      </c>
      <c r="K1381" s="21">
        <v>0</v>
      </c>
      <c r="L1381" s="21">
        <v>0</v>
      </c>
      <c r="M1381" s="21">
        <f>COUNTIF($A$2:$A$5481,A1381)</f>
        <v>1</v>
      </c>
      <c r="N1381" s="24">
        <f t="shared" si="21"/>
        <v>118.0001381</v>
      </c>
    </row>
    <row r="1382" spans="1:14">
      <c r="A1382" s="21" t="s">
        <v>1962</v>
      </c>
      <c r="B1382" s="21" t="s">
        <v>920</v>
      </c>
      <c r="C1382" s="21" t="s">
        <v>35</v>
      </c>
      <c r="D1382" s="21" t="s">
        <v>921</v>
      </c>
      <c r="E1382" s="21">
        <v>0</v>
      </c>
      <c r="F1382" s="22">
        <v>45267.6244791667</v>
      </c>
      <c r="G1382" s="22">
        <v>45317.4475</v>
      </c>
      <c r="H1382" s="23">
        <v>1800</v>
      </c>
      <c r="I1382" s="23">
        <v>1800</v>
      </c>
      <c r="J1382" s="24">
        <v>0</v>
      </c>
      <c r="K1382" s="21">
        <v>0</v>
      </c>
      <c r="L1382" s="21">
        <v>0</v>
      </c>
      <c r="M1382" s="21">
        <f>COUNTIF($A$2:$A$5481,A1382)</f>
        <v>1</v>
      </c>
      <c r="N1382" s="24">
        <f t="shared" si="21"/>
        <v>0.0001382</v>
      </c>
    </row>
    <row r="1383" spans="1:14">
      <c r="A1383" s="21" t="s">
        <v>1963</v>
      </c>
      <c r="B1383" s="21" t="s">
        <v>920</v>
      </c>
      <c r="C1383" s="21" t="s">
        <v>26</v>
      </c>
      <c r="D1383" s="21" t="s">
        <v>921</v>
      </c>
      <c r="E1383" s="21">
        <v>70</v>
      </c>
      <c r="F1383" s="22">
        <v>46160.6623032407</v>
      </c>
      <c r="G1383" s="22"/>
      <c r="H1383" s="23">
        <v>121</v>
      </c>
      <c r="I1383" s="23">
        <v>2.5857142857</v>
      </c>
      <c r="J1383" s="24">
        <v>181.3</v>
      </c>
      <c r="K1383" s="21">
        <v>0</v>
      </c>
      <c r="L1383" s="21">
        <v>0</v>
      </c>
      <c r="M1383" s="21">
        <f>COUNTIF($A$2:$A$5481,A1383)</f>
        <v>1</v>
      </c>
      <c r="N1383" s="24">
        <f t="shared" si="21"/>
        <v>181.3001383</v>
      </c>
    </row>
    <row r="1384" spans="1:14">
      <c r="A1384" s="21" t="s">
        <v>1964</v>
      </c>
      <c r="B1384" s="21" t="s">
        <v>920</v>
      </c>
      <c r="C1384" s="21" t="s">
        <v>26</v>
      </c>
      <c r="D1384" s="21" t="s">
        <v>921</v>
      </c>
      <c r="E1384" s="21">
        <v>20</v>
      </c>
      <c r="F1384" s="22">
        <v>45684.8543171296</v>
      </c>
      <c r="G1384" s="22"/>
      <c r="H1384" s="23">
        <v>32</v>
      </c>
      <c r="I1384" s="23">
        <v>1.6</v>
      </c>
      <c r="J1384" s="24">
        <v>32</v>
      </c>
      <c r="K1384" s="21">
        <v>0</v>
      </c>
      <c r="L1384" s="21">
        <v>0</v>
      </c>
      <c r="M1384" s="21">
        <f>COUNTIF($A$2:$A$5481,A1384)</f>
        <v>1</v>
      </c>
      <c r="N1384" s="24">
        <f t="shared" si="21"/>
        <v>32.0001384</v>
      </c>
    </row>
    <row r="1385" spans="1:14">
      <c r="A1385" s="21" t="s">
        <v>1965</v>
      </c>
      <c r="B1385" s="21" t="s">
        <v>949</v>
      </c>
      <c r="C1385" s="21" t="s">
        <v>26</v>
      </c>
      <c r="D1385" s="21" t="s">
        <v>921</v>
      </c>
      <c r="E1385" s="21">
        <v>10</v>
      </c>
      <c r="F1385" s="22">
        <v>45758.4283333333</v>
      </c>
      <c r="G1385" s="22"/>
      <c r="H1385" s="23">
        <v>339.8</v>
      </c>
      <c r="I1385" s="23">
        <v>33.98</v>
      </c>
      <c r="J1385" s="24">
        <v>339.8</v>
      </c>
      <c r="K1385" s="21">
        <v>0</v>
      </c>
      <c r="L1385" s="21">
        <v>0</v>
      </c>
      <c r="M1385" s="21">
        <f>COUNTIF($A$2:$A$5481,A1385)</f>
        <v>1</v>
      </c>
      <c r="N1385" s="24">
        <f t="shared" si="21"/>
        <v>339.8001385</v>
      </c>
    </row>
    <row r="1386" spans="1:14">
      <c r="A1386" s="21" t="s">
        <v>521</v>
      </c>
      <c r="B1386" s="21" t="s">
        <v>920</v>
      </c>
      <c r="C1386" s="21" t="s">
        <v>26</v>
      </c>
      <c r="D1386" s="21" t="s">
        <v>921</v>
      </c>
      <c r="E1386" s="21">
        <v>0</v>
      </c>
      <c r="F1386" s="22">
        <v>46227.6832060185</v>
      </c>
      <c r="G1386" s="22">
        <v>46244.6825694444</v>
      </c>
      <c r="H1386" s="23">
        <v>179.5</v>
      </c>
      <c r="I1386" s="23">
        <v>179.5</v>
      </c>
      <c r="J1386" s="24">
        <v>0</v>
      </c>
      <c r="K1386" s="21">
        <v>0</v>
      </c>
      <c r="L1386" s="21">
        <v>0</v>
      </c>
      <c r="M1386" s="21">
        <f>COUNTIF($A$2:$A$5481,A1386)</f>
        <v>1</v>
      </c>
      <c r="N1386" s="24">
        <f t="shared" si="21"/>
        <v>0.0001386</v>
      </c>
    </row>
    <row r="1387" spans="1:14">
      <c r="A1387" s="21" t="s">
        <v>1966</v>
      </c>
      <c r="B1387" s="21" t="s">
        <v>920</v>
      </c>
      <c r="C1387" s="21" t="s">
        <v>26</v>
      </c>
      <c r="D1387" s="21" t="s">
        <v>921</v>
      </c>
      <c r="E1387" s="21">
        <v>1</v>
      </c>
      <c r="F1387" s="22">
        <v>46267.6631944445</v>
      </c>
      <c r="G1387" s="22"/>
      <c r="H1387" s="23">
        <v>15.9</v>
      </c>
      <c r="I1387" s="23">
        <v>15.9</v>
      </c>
      <c r="J1387" s="24">
        <v>15.9</v>
      </c>
      <c r="K1387" s="21">
        <v>0</v>
      </c>
      <c r="L1387" s="21">
        <v>0</v>
      </c>
      <c r="M1387" s="21">
        <f>COUNTIF($A$2:$A$5481,A1387)</f>
        <v>1</v>
      </c>
      <c r="N1387" s="24">
        <f t="shared" si="21"/>
        <v>15.9001387</v>
      </c>
    </row>
    <row r="1388" spans="1:14">
      <c r="A1388" s="21" t="s">
        <v>563</v>
      </c>
      <c r="B1388" s="21" t="s">
        <v>26</v>
      </c>
      <c r="C1388" s="21" t="s">
        <v>26</v>
      </c>
      <c r="D1388" s="21" t="s">
        <v>921</v>
      </c>
      <c r="E1388" s="21">
        <v>0</v>
      </c>
      <c r="F1388" s="22">
        <v>45656.4722569444</v>
      </c>
      <c r="G1388" s="22">
        <v>46251.7494791667</v>
      </c>
      <c r="H1388" s="23">
        <v>166.5</v>
      </c>
      <c r="I1388" s="23">
        <v>166.5</v>
      </c>
      <c r="J1388" s="24">
        <v>0</v>
      </c>
      <c r="K1388" s="21">
        <v>0</v>
      </c>
      <c r="L1388" s="21">
        <v>0</v>
      </c>
      <c r="M1388" s="21">
        <f>COUNTIF($A$2:$A$5481,A1388)</f>
        <v>1</v>
      </c>
      <c r="N1388" s="24">
        <f t="shared" si="21"/>
        <v>0.0001388</v>
      </c>
    </row>
    <row r="1389" spans="1:14">
      <c r="A1389" s="21" t="s">
        <v>564</v>
      </c>
      <c r="B1389" s="21" t="s">
        <v>920</v>
      </c>
      <c r="C1389" s="21" t="s">
        <v>26</v>
      </c>
      <c r="D1389" s="21" t="s">
        <v>921</v>
      </c>
      <c r="E1389" s="21">
        <v>0</v>
      </c>
      <c r="F1389" s="22">
        <v>46184.7207523148</v>
      </c>
      <c r="G1389" s="22">
        <v>46251.7494907407</v>
      </c>
      <c r="H1389" s="23">
        <v>177.5</v>
      </c>
      <c r="I1389" s="23">
        <v>177.5</v>
      </c>
      <c r="J1389" s="24">
        <v>0</v>
      </c>
      <c r="K1389" s="21">
        <v>0</v>
      </c>
      <c r="L1389" s="21">
        <v>0</v>
      </c>
      <c r="M1389" s="21">
        <f>COUNTIF($A$2:$A$5481,A1389)</f>
        <v>1</v>
      </c>
      <c r="N1389" s="24">
        <f t="shared" si="21"/>
        <v>0.0001389</v>
      </c>
    </row>
    <row r="1390" spans="1:14">
      <c r="A1390" s="21" t="s">
        <v>1967</v>
      </c>
      <c r="B1390" s="21" t="s">
        <v>26</v>
      </c>
      <c r="C1390" s="21" t="s">
        <v>26</v>
      </c>
      <c r="D1390" s="21" t="s">
        <v>921</v>
      </c>
      <c r="E1390" s="21">
        <v>1</v>
      </c>
      <c r="F1390" s="22">
        <v>45656.4722569444</v>
      </c>
      <c r="G1390" s="22"/>
      <c r="H1390" s="23">
        <v>142.9</v>
      </c>
      <c r="I1390" s="23">
        <v>142.9</v>
      </c>
      <c r="J1390" s="24">
        <v>142.9</v>
      </c>
      <c r="K1390" s="21">
        <v>0</v>
      </c>
      <c r="L1390" s="21">
        <v>0</v>
      </c>
      <c r="M1390" s="21">
        <f>COUNTIF($A$2:$A$5481,A1390)</f>
        <v>1</v>
      </c>
      <c r="N1390" s="24">
        <f t="shared" si="21"/>
        <v>142.900139</v>
      </c>
    </row>
    <row r="1391" spans="1:14">
      <c r="A1391" s="21" t="s">
        <v>1968</v>
      </c>
      <c r="B1391" s="21" t="s">
        <v>920</v>
      </c>
      <c r="C1391" s="21" t="s">
        <v>35</v>
      </c>
      <c r="D1391" s="21" t="s">
        <v>921</v>
      </c>
      <c r="E1391" s="21">
        <v>2</v>
      </c>
      <c r="F1391" s="22">
        <v>45306.8418055556</v>
      </c>
      <c r="G1391" s="22"/>
      <c r="H1391" s="23">
        <v>3580</v>
      </c>
      <c r="I1391" s="23">
        <v>1790</v>
      </c>
      <c r="J1391" s="24">
        <v>3580</v>
      </c>
      <c r="K1391" s="21">
        <v>0</v>
      </c>
      <c r="L1391" s="21">
        <v>6</v>
      </c>
      <c r="M1391" s="21">
        <f>COUNTIF($A$2:$A$5481,A1391)</f>
        <v>1</v>
      </c>
      <c r="N1391" s="24">
        <f t="shared" si="21"/>
        <v>3580.0001391</v>
      </c>
    </row>
    <row r="1392" spans="1:14">
      <c r="A1392" s="21" t="s">
        <v>1969</v>
      </c>
      <c r="B1392" s="21" t="s">
        <v>929</v>
      </c>
      <c r="C1392" s="21" t="s">
        <v>35</v>
      </c>
      <c r="D1392" s="21" t="s">
        <v>921</v>
      </c>
      <c r="E1392" s="21">
        <v>2</v>
      </c>
      <c r="F1392" s="22">
        <v>45303.8486226852</v>
      </c>
      <c r="G1392" s="22"/>
      <c r="H1392" s="23">
        <v>1620</v>
      </c>
      <c r="I1392" s="23">
        <v>810</v>
      </c>
      <c r="J1392" s="24">
        <v>1620</v>
      </c>
      <c r="K1392" s="21">
        <v>0</v>
      </c>
      <c r="L1392" s="21">
        <v>6</v>
      </c>
      <c r="M1392" s="21">
        <f>COUNTIF($A$2:$A$5481,A1392)</f>
        <v>1</v>
      </c>
      <c r="N1392" s="24">
        <f t="shared" si="21"/>
        <v>1620.0001392</v>
      </c>
    </row>
    <row r="1393" spans="1:14">
      <c r="A1393" s="21" t="s">
        <v>559</v>
      </c>
      <c r="B1393" s="21" t="s">
        <v>920</v>
      </c>
      <c r="C1393" s="21" t="s">
        <v>35</v>
      </c>
      <c r="D1393" s="21" t="s">
        <v>921</v>
      </c>
      <c r="E1393" s="21">
        <v>16</v>
      </c>
      <c r="F1393" s="22">
        <v>45376.7909837963</v>
      </c>
      <c r="G1393" s="22"/>
      <c r="H1393" s="23">
        <v>677.6</v>
      </c>
      <c r="I1393" s="23">
        <v>42.35</v>
      </c>
      <c r="J1393" s="24">
        <v>677.6</v>
      </c>
      <c r="K1393" s="21">
        <v>0</v>
      </c>
      <c r="L1393" s="21">
        <v>0</v>
      </c>
      <c r="M1393" s="21">
        <f>COUNTIF($A$2:$A$5481,A1393)</f>
        <v>2</v>
      </c>
      <c r="N1393" s="24">
        <f t="shared" si="21"/>
        <v>677.6001393</v>
      </c>
    </row>
    <row r="1394" spans="1:14">
      <c r="A1394" s="21" t="s">
        <v>559</v>
      </c>
      <c r="B1394" s="21" t="s">
        <v>920</v>
      </c>
      <c r="C1394" s="21" t="s">
        <v>26</v>
      </c>
      <c r="D1394" s="21" t="s">
        <v>921</v>
      </c>
      <c r="E1394" s="21">
        <v>0</v>
      </c>
      <c r="F1394" s="22">
        <v>46141.692974537</v>
      </c>
      <c r="G1394" s="22">
        <v>46251.7494212963</v>
      </c>
      <c r="H1394" s="23">
        <v>209.64</v>
      </c>
      <c r="I1394" s="23">
        <v>45.284</v>
      </c>
      <c r="J1394" s="24">
        <v>0</v>
      </c>
      <c r="K1394" s="21">
        <v>0</v>
      </c>
      <c r="L1394" s="21">
        <v>0</v>
      </c>
      <c r="M1394" s="21">
        <f>COUNTIF($A$2:$A$5481,A1394)</f>
        <v>2</v>
      </c>
      <c r="N1394" s="24">
        <f t="shared" si="21"/>
        <v>0.0001394</v>
      </c>
    </row>
    <row r="1395" spans="1:14">
      <c r="A1395" s="21" t="s">
        <v>565</v>
      </c>
      <c r="B1395" s="21" t="s">
        <v>920</v>
      </c>
      <c r="C1395" s="21" t="s">
        <v>26</v>
      </c>
      <c r="D1395" s="21" t="s">
        <v>921</v>
      </c>
      <c r="E1395" s="21">
        <v>0</v>
      </c>
      <c r="F1395" s="22">
        <v>45408.6237152778</v>
      </c>
      <c r="G1395" s="22">
        <v>46251.7495023148</v>
      </c>
      <c r="H1395" s="23">
        <v>88.22</v>
      </c>
      <c r="I1395" s="23">
        <v>44.11</v>
      </c>
      <c r="J1395" s="24">
        <v>0</v>
      </c>
      <c r="K1395" s="21">
        <v>0</v>
      </c>
      <c r="L1395" s="21">
        <v>0</v>
      </c>
      <c r="M1395" s="21">
        <f>COUNTIF($A$2:$A$5481,A1395)</f>
        <v>2</v>
      </c>
      <c r="N1395" s="24">
        <f t="shared" si="21"/>
        <v>0.0001395</v>
      </c>
    </row>
    <row r="1396" spans="1:14">
      <c r="A1396" s="21" t="s">
        <v>565</v>
      </c>
      <c r="B1396" s="21" t="s">
        <v>920</v>
      </c>
      <c r="C1396" s="21" t="s">
        <v>641</v>
      </c>
      <c r="D1396" s="21" t="s">
        <v>921</v>
      </c>
      <c r="E1396" s="21">
        <v>1</v>
      </c>
      <c r="F1396" s="22">
        <v>45576.4718865741</v>
      </c>
      <c r="G1396" s="22"/>
      <c r="H1396" s="23">
        <v>47.65</v>
      </c>
      <c r="I1396" s="23">
        <v>47.65</v>
      </c>
      <c r="J1396" s="24">
        <v>47.65</v>
      </c>
      <c r="K1396" s="21">
        <v>0</v>
      </c>
      <c r="L1396" s="21">
        <v>0</v>
      </c>
      <c r="M1396" s="21">
        <f>COUNTIF($A$2:$A$5481,A1396)</f>
        <v>2</v>
      </c>
      <c r="N1396" s="24">
        <f t="shared" si="21"/>
        <v>47.6501396</v>
      </c>
    </row>
    <row r="1397" spans="1:14">
      <c r="A1397" s="21" t="s">
        <v>1970</v>
      </c>
      <c r="B1397" s="21" t="s">
        <v>920</v>
      </c>
      <c r="C1397" s="21" t="s">
        <v>26</v>
      </c>
      <c r="D1397" s="21" t="s">
        <v>921</v>
      </c>
      <c r="E1397" s="21">
        <v>2</v>
      </c>
      <c r="F1397" s="22">
        <v>46038.7096759259</v>
      </c>
      <c r="G1397" s="22"/>
      <c r="H1397" s="23">
        <v>5923.32</v>
      </c>
      <c r="I1397" s="23">
        <v>2961.66</v>
      </c>
      <c r="J1397" s="24">
        <v>5923.32</v>
      </c>
      <c r="K1397" s="21">
        <v>0</v>
      </c>
      <c r="L1397" s="21">
        <v>0</v>
      </c>
      <c r="M1397" s="21">
        <f>COUNTIF($A$2:$A$5481,A1397)</f>
        <v>1</v>
      </c>
      <c r="N1397" s="24">
        <f t="shared" si="21"/>
        <v>5923.3201397</v>
      </c>
    </row>
    <row r="1398" spans="1:14">
      <c r="A1398" s="21" t="s">
        <v>1971</v>
      </c>
      <c r="B1398" s="21" t="s">
        <v>920</v>
      </c>
      <c r="C1398" s="21" t="s">
        <v>1972</v>
      </c>
      <c r="D1398" s="21" t="s">
        <v>921</v>
      </c>
      <c r="E1398" s="21">
        <v>2</v>
      </c>
      <c r="F1398" s="22">
        <v>45811.3430092593</v>
      </c>
      <c r="G1398" s="22"/>
      <c r="H1398" s="23">
        <v>5800</v>
      </c>
      <c r="I1398" s="23">
        <v>2900</v>
      </c>
      <c r="J1398" s="24">
        <v>5800</v>
      </c>
      <c r="K1398" s="21">
        <v>0</v>
      </c>
      <c r="L1398" s="21">
        <v>0</v>
      </c>
      <c r="M1398" s="21">
        <f>COUNTIF($A$2:$A$5481,A1398)</f>
        <v>2</v>
      </c>
      <c r="N1398" s="24">
        <f t="shared" si="21"/>
        <v>5800.0001398</v>
      </c>
    </row>
    <row r="1399" spans="1:14">
      <c r="A1399" s="21" t="s">
        <v>1971</v>
      </c>
      <c r="B1399" s="21" t="s">
        <v>920</v>
      </c>
      <c r="C1399" s="21" t="s">
        <v>35</v>
      </c>
      <c r="D1399" s="21" t="s">
        <v>921</v>
      </c>
      <c r="E1399" s="21">
        <v>4</v>
      </c>
      <c r="F1399" s="22">
        <v>45903.5613078704</v>
      </c>
      <c r="G1399" s="22"/>
      <c r="H1399" s="23">
        <v>6150</v>
      </c>
      <c r="I1399" s="23">
        <v>3235</v>
      </c>
      <c r="J1399" s="24">
        <v>12940</v>
      </c>
      <c r="K1399" s="21">
        <v>0</v>
      </c>
      <c r="L1399" s="21">
        <v>0</v>
      </c>
      <c r="M1399" s="21">
        <f>COUNTIF($A$2:$A$5481,A1399)</f>
        <v>2</v>
      </c>
      <c r="N1399" s="24">
        <f t="shared" si="21"/>
        <v>12940.0001399</v>
      </c>
    </row>
    <row r="1400" spans="1:14">
      <c r="A1400" s="21" t="s">
        <v>1973</v>
      </c>
      <c r="B1400" s="21" t="s">
        <v>920</v>
      </c>
      <c r="C1400" s="21" t="s">
        <v>35</v>
      </c>
      <c r="D1400" s="21" t="s">
        <v>921</v>
      </c>
      <c r="E1400" s="21">
        <v>2</v>
      </c>
      <c r="F1400" s="22">
        <v>45903.5613078704</v>
      </c>
      <c r="G1400" s="22"/>
      <c r="H1400" s="23">
        <v>6647.92</v>
      </c>
      <c r="I1400" s="23">
        <v>3323.96</v>
      </c>
      <c r="J1400" s="24">
        <v>6647.92</v>
      </c>
      <c r="K1400" s="21">
        <v>0</v>
      </c>
      <c r="L1400" s="21">
        <v>0</v>
      </c>
      <c r="M1400" s="21">
        <f>COUNTIF($A$2:$A$5481,A1400)</f>
        <v>1</v>
      </c>
      <c r="N1400" s="24">
        <f t="shared" si="21"/>
        <v>6647.92014</v>
      </c>
    </row>
    <row r="1401" spans="1:14">
      <c r="A1401" s="21" t="s">
        <v>1974</v>
      </c>
      <c r="B1401" s="21" t="s">
        <v>920</v>
      </c>
      <c r="C1401" s="21" t="s">
        <v>26</v>
      </c>
      <c r="D1401" s="21" t="s">
        <v>921</v>
      </c>
      <c r="E1401" s="21">
        <v>10</v>
      </c>
      <c r="F1401" s="22">
        <v>45568.3607638889</v>
      </c>
      <c r="G1401" s="22"/>
      <c r="H1401" s="23">
        <v>226.98</v>
      </c>
      <c r="I1401" s="23">
        <v>37.522</v>
      </c>
      <c r="J1401" s="24">
        <v>375.2</v>
      </c>
      <c r="K1401" s="21">
        <v>0</v>
      </c>
      <c r="L1401" s="21">
        <v>0</v>
      </c>
      <c r="M1401" s="21">
        <f>COUNTIF($A$2:$A$5481,A1401)</f>
        <v>1</v>
      </c>
      <c r="N1401" s="24">
        <f t="shared" si="21"/>
        <v>375.2001401</v>
      </c>
    </row>
    <row r="1402" spans="1:14">
      <c r="A1402" s="21" t="s">
        <v>1975</v>
      </c>
      <c r="B1402" s="21" t="s">
        <v>929</v>
      </c>
      <c r="C1402" s="21" t="s">
        <v>26</v>
      </c>
      <c r="D1402" s="21" t="s">
        <v>921</v>
      </c>
      <c r="E1402" s="21">
        <v>3</v>
      </c>
      <c r="F1402" s="22">
        <v>46035.3555902778</v>
      </c>
      <c r="G1402" s="22"/>
      <c r="H1402" s="23">
        <v>2.91</v>
      </c>
      <c r="I1402" s="23">
        <v>0.97</v>
      </c>
      <c r="J1402" s="24">
        <v>2.91</v>
      </c>
      <c r="K1402" s="21">
        <v>0</v>
      </c>
      <c r="L1402" s="21">
        <v>0</v>
      </c>
      <c r="M1402" s="21">
        <f>COUNTIF($A$2:$A$5481,A1402)</f>
        <v>1</v>
      </c>
      <c r="N1402" s="24">
        <f t="shared" si="21"/>
        <v>2.9101402</v>
      </c>
    </row>
    <row r="1403" spans="1:14">
      <c r="A1403" s="21" t="s">
        <v>1976</v>
      </c>
      <c r="B1403" s="21" t="s">
        <v>1175</v>
      </c>
      <c r="C1403" s="21" t="s">
        <v>26</v>
      </c>
      <c r="D1403" s="21" t="s">
        <v>921</v>
      </c>
      <c r="E1403" s="21">
        <v>4</v>
      </c>
      <c r="F1403" s="22">
        <v>46121.8298148148</v>
      </c>
      <c r="G1403" s="22"/>
      <c r="H1403" s="23">
        <v>8</v>
      </c>
      <c r="I1403" s="23">
        <v>2</v>
      </c>
      <c r="J1403" s="24">
        <v>8</v>
      </c>
      <c r="K1403" s="21">
        <v>0</v>
      </c>
      <c r="L1403" s="21">
        <v>0</v>
      </c>
      <c r="M1403" s="21">
        <f>COUNTIF($A$2:$A$5481,A1403)</f>
        <v>1</v>
      </c>
      <c r="N1403" s="24">
        <f t="shared" si="21"/>
        <v>8.0001403</v>
      </c>
    </row>
    <row r="1404" spans="1:14">
      <c r="A1404" s="21" t="s">
        <v>1977</v>
      </c>
      <c r="B1404" s="21" t="s">
        <v>929</v>
      </c>
      <c r="C1404" s="21" t="s">
        <v>26</v>
      </c>
      <c r="D1404" s="21" t="s">
        <v>921</v>
      </c>
      <c r="E1404" s="21">
        <v>9</v>
      </c>
      <c r="F1404" s="22">
        <v>45460.7263773148</v>
      </c>
      <c r="G1404" s="22">
        <v>45833.3743981482</v>
      </c>
      <c r="H1404" s="23">
        <v>91.3</v>
      </c>
      <c r="I1404" s="23">
        <v>9.13</v>
      </c>
      <c r="J1404" s="24">
        <v>82.17</v>
      </c>
      <c r="K1404" s="21">
        <v>0</v>
      </c>
      <c r="L1404" s="21">
        <v>0</v>
      </c>
      <c r="M1404" s="21">
        <f>COUNTIF($A$2:$A$5481,A1404)</f>
        <v>1</v>
      </c>
      <c r="N1404" s="24">
        <f t="shared" si="21"/>
        <v>82.1701404</v>
      </c>
    </row>
    <row r="1405" spans="1:14">
      <c r="A1405" s="21" t="s">
        <v>1978</v>
      </c>
      <c r="B1405" s="21" t="s">
        <v>26</v>
      </c>
      <c r="C1405" s="21" t="s">
        <v>26</v>
      </c>
      <c r="D1405" s="21" t="s">
        <v>921</v>
      </c>
      <c r="E1405" s="21">
        <v>10</v>
      </c>
      <c r="F1405" s="22">
        <v>45629.401099537</v>
      </c>
      <c r="G1405" s="22"/>
      <c r="H1405" s="23">
        <v>37.1</v>
      </c>
      <c r="I1405" s="23">
        <v>3.71</v>
      </c>
      <c r="J1405" s="24">
        <v>37.1</v>
      </c>
      <c r="K1405" s="21">
        <v>0</v>
      </c>
      <c r="L1405" s="21">
        <v>0</v>
      </c>
      <c r="M1405" s="21">
        <f>COUNTIF($A$2:$A$5481,A1405)</f>
        <v>1</v>
      </c>
      <c r="N1405" s="24">
        <f t="shared" si="21"/>
        <v>37.1001405</v>
      </c>
    </row>
    <row r="1406" spans="1:14">
      <c r="A1406" s="21" t="s">
        <v>1979</v>
      </c>
      <c r="B1406" s="21" t="s">
        <v>929</v>
      </c>
      <c r="C1406" s="21" t="s">
        <v>414</v>
      </c>
      <c r="D1406" s="21" t="s">
        <v>921</v>
      </c>
      <c r="E1406" s="21">
        <v>1</v>
      </c>
      <c r="F1406" s="22">
        <v>45342.8284953704</v>
      </c>
      <c r="G1406" s="22"/>
      <c r="H1406" s="23">
        <v>5.5</v>
      </c>
      <c r="I1406" s="23">
        <v>5.5</v>
      </c>
      <c r="J1406" s="24">
        <v>5.5</v>
      </c>
      <c r="K1406" s="21">
        <v>0</v>
      </c>
      <c r="L1406" s="21">
        <v>0</v>
      </c>
      <c r="M1406" s="21">
        <f>COUNTIF($A$2:$A$5481,A1406)</f>
        <v>1</v>
      </c>
      <c r="N1406" s="24">
        <f t="shared" si="21"/>
        <v>5.5001406</v>
      </c>
    </row>
    <row r="1407" spans="1:14">
      <c r="A1407" s="21" t="s">
        <v>1980</v>
      </c>
      <c r="B1407" s="21" t="s">
        <v>929</v>
      </c>
      <c r="C1407" s="21" t="s">
        <v>26</v>
      </c>
      <c r="D1407" s="21" t="s">
        <v>931</v>
      </c>
      <c r="E1407" s="21">
        <v>10</v>
      </c>
      <c r="F1407" s="22">
        <v>45831.8278703704</v>
      </c>
      <c r="G1407" s="22"/>
      <c r="H1407" s="23">
        <v>378</v>
      </c>
      <c r="I1407" s="23">
        <v>90.24</v>
      </c>
      <c r="J1407" s="24">
        <v>902.4</v>
      </c>
      <c r="K1407" s="21">
        <v>0</v>
      </c>
      <c r="L1407" s="21">
        <v>0</v>
      </c>
      <c r="M1407" s="21">
        <f>COUNTIF($A$2:$A$5481,A1407)</f>
        <v>1</v>
      </c>
      <c r="N1407" s="24">
        <f t="shared" si="21"/>
        <v>902.4001407</v>
      </c>
    </row>
    <row r="1408" spans="1:14">
      <c r="A1408" s="21" t="s">
        <v>1981</v>
      </c>
      <c r="B1408" s="21" t="s">
        <v>929</v>
      </c>
      <c r="C1408" s="21" t="s">
        <v>26</v>
      </c>
      <c r="D1408" s="21" t="s">
        <v>931</v>
      </c>
      <c r="E1408" s="21">
        <v>1</v>
      </c>
      <c r="F1408" s="22">
        <v>45393.6688425926</v>
      </c>
      <c r="G1408" s="22"/>
      <c r="H1408" s="23">
        <v>57.5</v>
      </c>
      <c r="I1408" s="23">
        <v>57.5</v>
      </c>
      <c r="J1408" s="24">
        <v>57.5</v>
      </c>
      <c r="K1408" s="21">
        <v>0</v>
      </c>
      <c r="L1408" s="21">
        <v>0</v>
      </c>
      <c r="M1408" s="21">
        <f>COUNTIF($A$2:$A$5481,A1408)</f>
        <v>1</v>
      </c>
      <c r="N1408" s="24">
        <f t="shared" si="21"/>
        <v>57.5001408</v>
      </c>
    </row>
    <row r="1409" spans="1:14">
      <c r="A1409" s="21" t="s">
        <v>1982</v>
      </c>
      <c r="B1409" s="21" t="s">
        <v>929</v>
      </c>
      <c r="C1409" s="21" t="s">
        <v>414</v>
      </c>
      <c r="D1409" s="21" t="s">
        <v>921</v>
      </c>
      <c r="E1409" s="21">
        <v>1</v>
      </c>
      <c r="F1409" s="22">
        <v>45313.7795833333</v>
      </c>
      <c r="G1409" s="22"/>
      <c r="H1409" s="23">
        <v>87.4</v>
      </c>
      <c r="I1409" s="23">
        <v>87.4</v>
      </c>
      <c r="J1409" s="24">
        <v>87.4</v>
      </c>
      <c r="K1409" s="21">
        <v>0</v>
      </c>
      <c r="L1409" s="21">
        <v>0</v>
      </c>
      <c r="M1409" s="21">
        <f>COUNTIF($A$2:$A$5481,A1409)</f>
        <v>2</v>
      </c>
      <c r="N1409" s="24">
        <f t="shared" si="21"/>
        <v>87.4001409</v>
      </c>
    </row>
    <row r="1410" spans="1:14">
      <c r="A1410" s="21" t="s">
        <v>1982</v>
      </c>
      <c r="B1410" s="21" t="s">
        <v>929</v>
      </c>
      <c r="C1410" s="21" t="s">
        <v>26</v>
      </c>
      <c r="D1410" s="21" t="s">
        <v>921</v>
      </c>
      <c r="E1410" s="21">
        <v>7</v>
      </c>
      <c r="F1410" s="22">
        <v>45971.3494444444</v>
      </c>
      <c r="G1410" s="22"/>
      <c r="H1410" s="23">
        <v>156</v>
      </c>
      <c r="I1410" s="23">
        <v>61.1985714286</v>
      </c>
      <c r="J1410" s="24">
        <v>428.4</v>
      </c>
      <c r="K1410" s="21">
        <v>0</v>
      </c>
      <c r="L1410" s="21">
        <v>0</v>
      </c>
      <c r="M1410" s="21">
        <f>COUNTIF($A$2:$A$5481,A1410)</f>
        <v>2</v>
      </c>
      <c r="N1410" s="24">
        <f t="shared" ref="N1410:N1473" si="22">J1410+ROW()/10000000</f>
        <v>428.400141</v>
      </c>
    </row>
    <row r="1411" spans="1:14">
      <c r="A1411" s="21" t="s">
        <v>1983</v>
      </c>
      <c r="B1411" s="21" t="s">
        <v>929</v>
      </c>
      <c r="C1411" s="21" t="s">
        <v>26</v>
      </c>
      <c r="D1411" s="21" t="s">
        <v>921</v>
      </c>
      <c r="E1411" s="21">
        <v>3</v>
      </c>
      <c r="F1411" s="22">
        <v>46056.8221875</v>
      </c>
      <c r="G1411" s="22"/>
      <c r="H1411" s="23">
        <v>190.5</v>
      </c>
      <c r="I1411" s="23">
        <v>63.5</v>
      </c>
      <c r="J1411" s="24">
        <v>190.5</v>
      </c>
      <c r="K1411" s="21">
        <v>0</v>
      </c>
      <c r="L1411" s="21">
        <v>0</v>
      </c>
      <c r="M1411" s="21">
        <f>COUNTIF($A$2:$A$5481,A1411)</f>
        <v>1</v>
      </c>
      <c r="N1411" s="24">
        <f t="shared" si="22"/>
        <v>190.5001411</v>
      </c>
    </row>
    <row r="1412" spans="1:14">
      <c r="A1412" s="21" t="s">
        <v>1984</v>
      </c>
      <c r="B1412" s="21" t="s">
        <v>929</v>
      </c>
      <c r="C1412" s="21" t="s">
        <v>414</v>
      </c>
      <c r="D1412" s="21" t="s">
        <v>921</v>
      </c>
      <c r="E1412" s="21">
        <v>1</v>
      </c>
      <c r="F1412" s="22">
        <v>45309.7788425926</v>
      </c>
      <c r="G1412" s="22"/>
      <c r="H1412" s="23">
        <v>40.5</v>
      </c>
      <c r="I1412" s="23">
        <v>40.5</v>
      </c>
      <c r="J1412" s="24">
        <v>40.5</v>
      </c>
      <c r="K1412" s="21">
        <v>0</v>
      </c>
      <c r="L1412" s="21">
        <v>20</v>
      </c>
      <c r="M1412" s="21">
        <f>COUNTIF($A$2:$A$5481,A1412)</f>
        <v>1</v>
      </c>
      <c r="N1412" s="24">
        <f t="shared" si="22"/>
        <v>40.5001412</v>
      </c>
    </row>
    <row r="1413" spans="1:14">
      <c r="A1413" s="21" t="s">
        <v>1985</v>
      </c>
      <c r="B1413" s="21" t="s">
        <v>929</v>
      </c>
      <c r="C1413" s="21" t="s">
        <v>26</v>
      </c>
      <c r="D1413" s="21" t="s">
        <v>921</v>
      </c>
      <c r="E1413" s="21">
        <v>12</v>
      </c>
      <c r="F1413" s="22">
        <v>46240.8037615741</v>
      </c>
      <c r="G1413" s="22"/>
      <c r="H1413" s="23">
        <v>131.1</v>
      </c>
      <c r="I1413" s="23">
        <v>12.775</v>
      </c>
      <c r="J1413" s="24">
        <v>153.36</v>
      </c>
      <c r="K1413" s="21">
        <v>0</v>
      </c>
      <c r="L1413" s="21">
        <v>0</v>
      </c>
      <c r="M1413" s="21">
        <f>COUNTIF($A$2:$A$5481,A1413)</f>
        <v>1</v>
      </c>
      <c r="N1413" s="24">
        <f t="shared" si="22"/>
        <v>153.3601413</v>
      </c>
    </row>
    <row r="1414" spans="1:14">
      <c r="A1414" s="21" t="s">
        <v>1986</v>
      </c>
      <c r="B1414" s="21" t="s">
        <v>929</v>
      </c>
      <c r="C1414" s="21" t="s">
        <v>414</v>
      </c>
      <c r="D1414" s="21" t="s">
        <v>921</v>
      </c>
      <c r="E1414" s="21">
        <v>4</v>
      </c>
      <c r="F1414" s="22">
        <v>45342.8247453704</v>
      </c>
      <c r="G1414" s="22"/>
      <c r="H1414" s="23">
        <v>38</v>
      </c>
      <c r="I1414" s="23">
        <v>9.5</v>
      </c>
      <c r="J1414" s="24">
        <v>38</v>
      </c>
      <c r="K1414" s="21">
        <v>0</v>
      </c>
      <c r="L1414" s="21">
        <v>0</v>
      </c>
      <c r="M1414" s="21">
        <f>COUNTIF($A$2:$A$5481,A1414)</f>
        <v>2</v>
      </c>
      <c r="N1414" s="24">
        <f t="shared" si="22"/>
        <v>38.0001414</v>
      </c>
    </row>
    <row r="1415" spans="1:14">
      <c r="A1415" s="21" t="s">
        <v>1986</v>
      </c>
      <c r="B1415" s="21" t="s">
        <v>929</v>
      </c>
      <c r="C1415" s="21" t="s">
        <v>26</v>
      </c>
      <c r="D1415" s="21" t="s">
        <v>921</v>
      </c>
      <c r="E1415" s="21">
        <v>23</v>
      </c>
      <c r="F1415" s="22">
        <v>46171.5930092593</v>
      </c>
      <c r="G1415" s="22">
        <v>45890.3912615741</v>
      </c>
      <c r="H1415" s="23">
        <v>125.64</v>
      </c>
      <c r="I1415" s="23">
        <v>11.2982608696</v>
      </c>
      <c r="J1415" s="24">
        <v>259.9</v>
      </c>
      <c r="K1415" s="21">
        <v>0</v>
      </c>
      <c r="L1415" s="21">
        <v>0</v>
      </c>
      <c r="M1415" s="21">
        <f>COUNTIF($A$2:$A$5481,A1415)</f>
        <v>2</v>
      </c>
      <c r="N1415" s="24">
        <f t="shared" si="22"/>
        <v>259.9001415</v>
      </c>
    </row>
    <row r="1416" spans="1:14">
      <c r="A1416" s="21" t="s">
        <v>1987</v>
      </c>
      <c r="B1416" s="21" t="s">
        <v>929</v>
      </c>
      <c r="C1416" s="21" t="s">
        <v>26</v>
      </c>
      <c r="D1416" s="21" t="s">
        <v>921</v>
      </c>
      <c r="E1416" s="21">
        <v>36</v>
      </c>
      <c r="F1416" s="22">
        <v>45936.3654513889</v>
      </c>
      <c r="G1416" s="22"/>
      <c r="H1416" s="23">
        <v>38.7</v>
      </c>
      <c r="I1416" s="23">
        <v>6.9458333333</v>
      </c>
      <c r="J1416" s="24">
        <v>250.2</v>
      </c>
      <c r="K1416" s="21">
        <v>0</v>
      </c>
      <c r="L1416" s="21">
        <v>0</v>
      </c>
      <c r="M1416" s="21">
        <f>COUNTIF($A$2:$A$5481,A1416)</f>
        <v>1</v>
      </c>
      <c r="N1416" s="24">
        <f t="shared" si="22"/>
        <v>250.2001416</v>
      </c>
    </row>
    <row r="1417" spans="1:14">
      <c r="A1417" s="21" t="s">
        <v>1988</v>
      </c>
      <c r="B1417" s="21" t="s">
        <v>929</v>
      </c>
      <c r="C1417" s="21" t="s">
        <v>26</v>
      </c>
      <c r="D1417" s="21" t="s">
        <v>921</v>
      </c>
      <c r="E1417" s="21">
        <v>45</v>
      </c>
      <c r="F1417" s="22">
        <v>46003.3891203704</v>
      </c>
      <c r="G1417" s="22"/>
      <c r="H1417" s="23">
        <v>129.4</v>
      </c>
      <c r="I1417" s="23">
        <v>9.4522222222</v>
      </c>
      <c r="J1417" s="24">
        <v>425.25</v>
      </c>
      <c r="K1417" s="21">
        <v>0</v>
      </c>
      <c r="L1417" s="21">
        <v>0</v>
      </c>
      <c r="M1417" s="21">
        <f>COUNTIF($A$2:$A$5481,A1417)</f>
        <v>1</v>
      </c>
      <c r="N1417" s="24">
        <f t="shared" si="22"/>
        <v>425.2501417</v>
      </c>
    </row>
    <row r="1418" spans="1:14">
      <c r="A1418" s="21" t="s">
        <v>1989</v>
      </c>
      <c r="B1418" s="21" t="s">
        <v>929</v>
      </c>
      <c r="C1418" s="21" t="s">
        <v>26</v>
      </c>
      <c r="D1418" s="21" t="s">
        <v>921</v>
      </c>
      <c r="E1418" s="21">
        <v>35</v>
      </c>
      <c r="F1418" s="22">
        <v>45936.3654513889</v>
      </c>
      <c r="G1418" s="22"/>
      <c r="H1418" s="23">
        <v>21.75</v>
      </c>
      <c r="I1418" s="23">
        <v>5.3157142857</v>
      </c>
      <c r="J1418" s="24">
        <v>186.2</v>
      </c>
      <c r="K1418" s="21">
        <v>0</v>
      </c>
      <c r="L1418" s="21">
        <v>0</v>
      </c>
      <c r="M1418" s="21">
        <f>COUNTIF($A$2:$A$5481,A1418)</f>
        <v>1</v>
      </c>
      <c r="N1418" s="24">
        <f t="shared" si="22"/>
        <v>186.2001418</v>
      </c>
    </row>
    <row r="1419" spans="1:14">
      <c r="A1419" s="21" t="s">
        <v>1990</v>
      </c>
      <c r="B1419" s="21" t="s">
        <v>929</v>
      </c>
      <c r="C1419" s="21" t="s">
        <v>26</v>
      </c>
      <c r="D1419" s="21" t="s">
        <v>921</v>
      </c>
      <c r="E1419" s="21">
        <v>1</v>
      </c>
      <c r="F1419" s="22">
        <v>45552.843275463</v>
      </c>
      <c r="G1419" s="22"/>
      <c r="H1419" s="23">
        <v>4.51</v>
      </c>
      <c r="I1419" s="23">
        <v>4.51</v>
      </c>
      <c r="J1419" s="24">
        <v>4.51</v>
      </c>
      <c r="K1419" s="21">
        <v>0</v>
      </c>
      <c r="L1419" s="21">
        <v>0</v>
      </c>
      <c r="M1419" s="21">
        <f>COUNTIF($A$2:$A$5481,A1419)</f>
        <v>1</v>
      </c>
      <c r="N1419" s="24">
        <f t="shared" si="22"/>
        <v>4.5101419</v>
      </c>
    </row>
    <row r="1420" spans="1:14">
      <c r="A1420" s="21" t="s">
        <v>1991</v>
      </c>
      <c r="B1420" s="21" t="s">
        <v>929</v>
      </c>
      <c r="C1420" s="21" t="s">
        <v>182</v>
      </c>
      <c r="D1420" s="21" t="s">
        <v>921</v>
      </c>
      <c r="E1420" s="21">
        <v>3</v>
      </c>
      <c r="F1420" s="22">
        <v>45327.5881597222</v>
      </c>
      <c r="G1420" s="22"/>
      <c r="H1420" s="23">
        <v>39.9</v>
      </c>
      <c r="I1420" s="23">
        <v>13.3</v>
      </c>
      <c r="J1420" s="24">
        <v>39.9</v>
      </c>
      <c r="K1420" s="21">
        <v>0</v>
      </c>
      <c r="L1420" s="21">
        <v>0</v>
      </c>
      <c r="M1420" s="21">
        <f>COUNTIF($A$2:$A$5481,A1420)</f>
        <v>1</v>
      </c>
      <c r="N1420" s="24">
        <f t="shared" si="22"/>
        <v>39.900142</v>
      </c>
    </row>
    <row r="1421" spans="1:14">
      <c r="A1421" s="21" t="s">
        <v>1992</v>
      </c>
      <c r="B1421" s="21" t="s">
        <v>929</v>
      </c>
      <c r="C1421" s="21" t="s">
        <v>414</v>
      </c>
      <c r="D1421" s="21" t="s">
        <v>921</v>
      </c>
      <c r="E1421" s="21">
        <v>7</v>
      </c>
      <c r="F1421" s="22">
        <v>45327.5637268519</v>
      </c>
      <c r="G1421" s="22"/>
      <c r="H1421" s="23">
        <v>55.3</v>
      </c>
      <c r="I1421" s="23">
        <v>7.9</v>
      </c>
      <c r="J1421" s="24">
        <v>55.3</v>
      </c>
      <c r="K1421" s="21">
        <v>0</v>
      </c>
      <c r="L1421" s="21">
        <v>0</v>
      </c>
      <c r="M1421" s="21">
        <f>COUNTIF($A$2:$A$5481,A1421)</f>
        <v>2</v>
      </c>
      <c r="N1421" s="24">
        <f t="shared" si="22"/>
        <v>55.3001421</v>
      </c>
    </row>
    <row r="1422" spans="1:14">
      <c r="A1422" s="21" t="s">
        <v>1992</v>
      </c>
      <c r="B1422" s="21" t="s">
        <v>929</v>
      </c>
      <c r="C1422" s="21" t="s">
        <v>26</v>
      </c>
      <c r="D1422" s="21" t="s">
        <v>921</v>
      </c>
      <c r="E1422" s="21">
        <v>6</v>
      </c>
      <c r="F1422" s="22">
        <v>45345.4228240741</v>
      </c>
      <c r="G1422" s="22">
        <v>45890.3912731482</v>
      </c>
      <c r="H1422" s="23">
        <v>55.3</v>
      </c>
      <c r="I1422" s="23">
        <v>7.9</v>
      </c>
      <c r="J1422" s="24">
        <v>47.4</v>
      </c>
      <c r="K1422" s="21">
        <v>0</v>
      </c>
      <c r="L1422" s="21">
        <v>0</v>
      </c>
      <c r="M1422" s="21">
        <f>COUNTIF($A$2:$A$5481,A1422)</f>
        <v>2</v>
      </c>
      <c r="N1422" s="24">
        <f t="shared" si="22"/>
        <v>47.4001422</v>
      </c>
    </row>
    <row r="1423" spans="1:14">
      <c r="A1423" s="21" t="s">
        <v>1993</v>
      </c>
      <c r="B1423" s="21" t="s">
        <v>1352</v>
      </c>
      <c r="C1423" s="21" t="s">
        <v>26</v>
      </c>
      <c r="D1423" s="21" t="s">
        <v>921</v>
      </c>
      <c r="E1423" s="21">
        <v>1</v>
      </c>
      <c r="F1423" s="22">
        <v>46126.4354166667</v>
      </c>
      <c r="G1423" s="22"/>
      <c r="H1423" s="23">
        <v>37</v>
      </c>
      <c r="I1423" s="23">
        <v>37</v>
      </c>
      <c r="J1423" s="24">
        <v>37</v>
      </c>
      <c r="K1423" s="21">
        <v>0</v>
      </c>
      <c r="L1423" s="21">
        <v>0</v>
      </c>
      <c r="M1423" s="21">
        <f>COUNTIF($A$2:$A$5481,A1423)</f>
        <v>1</v>
      </c>
      <c r="N1423" s="24">
        <f t="shared" si="22"/>
        <v>37.0001423</v>
      </c>
    </row>
    <row r="1424" spans="1:14">
      <c r="A1424" s="21" t="s">
        <v>1994</v>
      </c>
      <c r="B1424" s="21" t="s">
        <v>1352</v>
      </c>
      <c r="C1424" s="21" t="s">
        <v>26</v>
      </c>
      <c r="D1424" s="21" t="s">
        <v>921</v>
      </c>
      <c r="E1424" s="21">
        <v>1</v>
      </c>
      <c r="F1424" s="22">
        <v>46126.4354166667</v>
      </c>
      <c r="G1424" s="22"/>
      <c r="H1424" s="23">
        <v>37</v>
      </c>
      <c r="I1424" s="23">
        <v>37</v>
      </c>
      <c r="J1424" s="24">
        <v>37</v>
      </c>
      <c r="K1424" s="21">
        <v>0</v>
      </c>
      <c r="L1424" s="21">
        <v>0</v>
      </c>
      <c r="M1424" s="21">
        <f>COUNTIF($A$2:$A$5481,A1424)</f>
        <v>1</v>
      </c>
      <c r="N1424" s="24">
        <f t="shared" si="22"/>
        <v>37.0001424</v>
      </c>
    </row>
    <row r="1425" spans="1:14">
      <c r="A1425" s="21" t="s">
        <v>1995</v>
      </c>
      <c r="B1425" s="21" t="s">
        <v>929</v>
      </c>
      <c r="C1425" s="21" t="s">
        <v>414</v>
      </c>
      <c r="D1425" s="21" t="s">
        <v>921</v>
      </c>
      <c r="E1425" s="21">
        <v>1</v>
      </c>
      <c r="F1425" s="22">
        <v>45308.6041666667</v>
      </c>
      <c r="G1425" s="22"/>
      <c r="H1425" s="23">
        <v>40.3</v>
      </c>
      <c r="I1425" s="23">
        <v>40.3</v>
      </c>
      <c r="J1425" s="24">
        <v>40.3</v>
      </c>
      <c r="K1425" s="21">
        <v>0</v>
      </c>
      <c r="L1425" s="21">
        <v>0</v>
      </c>
      <c r="M1425" s="21">
        <f>COUNTIF($A$2:$A$5481,A1425)</f>
        <v>1</v>
      </c>
      <c r="N1425" s="24">
        <f t="shared" si="22"/>
        <v>40.3001425</v>
      </c>
    </row>
    <row r="1426" spans="1:14">
      <c r="A1426" s="21" t="s">
        <v>1996</v>
      </c>
      <c r="B1426" s="21" t="s">
        <v>929</v>
      </c>
      <c r="C1426" s="21" t="s">
        <v>26</v>
      </c>
      <c r="D1426" s="21" t="s">
        <v>921</v>
      </c>
      <c r="E1426" s="21">
        <v>16</v>
      </c>
      <c r="F1426" s="22">
        <v>46112.8795717593</v>
      </c>
      <c r="G1426" s="22"/>
      <c r="H1426" s="23">
        <v>64.98</v>
      </c>
      <c r="I1426" s="23">
        <v>10.605</v>
      </c>
      <c r="J1426" s="24">
        <v>169.76</v>
      </c>
      <c r="K1426" s="21">
        <v>0</v>
      </c>
      <c r="L1426" s="21">
        <v>0</v>
      </c>
      <c r="M1426" s="21">
        <f>COUNTIF($A$2:$A$5481,A1426)</f>
        <v>1</v>
      </c>
      <c r="N1426" s="24">
        <f t="shared" si="22"/>
        <v>169.7601426</v>
      </c>
    </row>
    <row r="1427" spans="1:14">
      <c r="A1427" s="21" t="s">
        <v>1997</v>
      </c>
      <c r="B1427" s="21" t="s">
        <v>26</v>
      </c>
      <c r="C1427" s="21" t="s">
        <v>26</v>
      </c>
      <c r="D1427" s="21" t="s">
        <v>921</v>
      </c>
      <c r="E1427" s="21">
        <v>2</v>
      </c>
      <c r="F1427" s="22">
        <v>45644.410162037</v>
      </c>
      <c r="G1427" s="22"/>
      <c r="H1427" s="23">
        <v>12</v>
      </c>
      <c r="I1427" s="23">
        <v>6</v>
      </c>
      <c r="J1427" s="24">
        <v>12</v>
      </c>
      <c r="K1427" s="21">
        <v>0</v>
      </c>
      <c r="L1427" s="21">
        <v>0</v>
      </c>
      <c r="M1427" s="21">
        <f>COUNTIF($A$2:$A$5481,A1427)</f>
        <v>1</v>
      </c>
      <c r="N1427" s="24">
        <f t="shared" si="22"/>
        <v>12.0001427</v>
      </c>
    </row>
    <row r="1428" spans="1:14">
      <c r="A1428" s="21" t="s">
        <v>1998</v>
      </c>
      <c r="B1428" s="21" t="s">
        <v>26</v>
      </c>
      <c r="C1428" s="21" t="s">
        <v>26</v>
      </c>
      <c r="D1428" s="21" t="s">
        <v>921</v>
      </c>
      <c r="E1428" s="21">
        <v>5</v>
      </c>
      <c r="F1428" s="22">
        <v>45644.410162037</v>
      </c>
      <c r="G1428" s="22"/>
      <c r="H1428" s="23">
        <v>5</v>
      </c>
      <c r="I1428" s="23">
        <v>1</v>
      </c>
      <c r="J1428" s="24">
        <v>5</v>
      </c>
      <c r="K1428" s="21">
        <v>0</v>
      </c>
      <c r="L1428" s="21">
        <v>0</v>
      </c>
      <c r="M1428" s="21">
        <f>COUNTIF($A$2:$A$5481,A1428)</f>
        <v>1</v>
      </c>
      <c r="N1428" s="24">
        <f t="shared" si="22"/>
        <v>5.0001428</v>
      </c>
    </row>
    <row r="1429" spans="1:14">
      <c r="A1429" s="21" t="s">
        <v>1999</v>
      </c>
      <c r="B1429" s="21" t="s">
        <v>920</v>
      </c>
      <c r="C1429" s="21" t="s">
        <v>35</v>
      </c>
      <c r="D1429" s="21" t="s">
        <v>931</v>
      </c>
      <c r="E1429" s="21">
        <v>0</v>
      </c>
      <c r="F1429" s="22">
        <v>45804.3716435185</v>
      </c>
      <c r="G1429" s="22">
        <v>45814.4984953704</v>
      </c>
      <c r="H1429" s="23">
        <v>1760</v>
      </c>
      <c r="I1429" s="23">
        <v>1760</v>
      </c>
      <c r="J1429" s="24">
        <v>0</v>
      </c>
      <c r="K1429" s="21">
        <v>0</v>
      </c>
      <c r="L1429" s="21">
        <v>0</v>
      </c>
      <c r="M1429" s="21">
        <f>COUNTIF($A$2:$A$5481,A1429)</f>
        <v>1</v>
      </c>
      <c r="N1429" s="24">
        <f t="shared" si="22"/>
        <v>0.0001429</v>
      </c>
    </row>
    <row r="1430" spans="1:14">
      <c r="A1430" s="21" t="s">
        <v>2000</v>
      </c>
      <c r="B1430" s="21" t="s">
        <v>26</v>
      </c>
      <c r="C1430" s="21" t="s">
        <v>26</v>
      </c>
      <c r="D1430" s="21" t="s">
        <v>921</v>
      </c>
      <c r="E1430" s="21">
        <v>9</v>
      </c>
      <c r="F1430" s="22">
        <v>45908.8011574074</v>
      </c>
      <c r="G1430" s="22"/>
      <c r="H1430" s="23">
        <v>296</v>
      </c>
      <c r="I1430" s="23">
        <v>77.8633333333</v>
      </c>
      <c r="J1430" s="24">
        <v>700.74</v>
      </c>
      <c r="K1430" s="21">
        <v>0</v>
      </c>
      <c r="L1430" s="21">
        <v>0</v>
      </c>
      <c r="M1430" s="21">
        <f>COUNTIF($A$2:$A$5481,A1430)</f>
        <v>1</v>
      </c>
      <c r="N1430" s="24">
        <f t="shared" si="22"/>
        <v>700.740143</v>
      </c>
    </row>
    <row r="1431" spans="1:14">
      <c r="A1431" s="21" t="s">
        <v>718</v>
      </c>
      <c r="B1431" s="21" t="s">
        <v>929</v>
      </c>
      <c r="C1431" s="21" t="s">
        <v>26</v>
      </c>
      <c r="D1431" s="21" t="s">
        <v>921</v>
      </c>
      <c r="E1431" s="21">
        <v>0</v>
      </c>
      <c r="F1431" s="22">
        <v>45923.3925347222</v>
      </c>
      <c r="G1431" s="22">
        <v>46252.5691666667</v>
      </c>
      <c r="H1431" s="23">
        <v>359.1</v>
      </c>
      <c r="I1431" s="23">
        <v>39.9</v>
      </c>
      <c r="J1431" s="24">
        <v>0</v>
      </c>
      <c r="K1431" s="21">
        <v>0</v>
      </c>
      <c r="L1431" s="21">
        <v>0</v>
      </c>
      <c r="M1431" s="21">
        <f>COUNTIF($A$2:$A$5481,A1431)</f>
        <v>1</v>
      </c>
      <c r="N1431" s="24">
        <f t="shared" si="22"/>
        <v>0.0001431</v>
      </c>
    </row>
    <row r="1432" spans="1:14">
      <c r="A1432" s="21" t="s">
        <v>2001</v>
      </c>
      <c r="B1432" s="21" t="s">
        <v>948</v>
      </c>
      <c r="C1432" s="21" t="s">
        <v>641</v>
      </c>
      <c r="D1432" s="21" t="s">
        <v>1584</v>
      </c>
      <c r="E1432" s="21">
        <v>0</v>
      </c>
      <c r="F1432" s="22">
        <v>45282.3854861111</v>
      </c>
      <c r="G1432" s="22">
        <v>45320.3993518519</v>
      </c>
      <c r="H1432" s="23">
        <v>53</v>
      </c>
      <c r="I1432" s="23">
        <v>26.5</v>
      </c>
      <c r="J1432" s="24">
        <v>0</v>
      </c>
      <c r="K1432" s="21">
        <v>0</v>
      </c>
      <c r="L1432" s="21">
        <v>0</v>
      </c>
      <c r="M1432" s="21">
        <f>COUNTIF($A$2:$A$5481,A1432)</f>
        <v>2</v>
      </c>
      <c r="N1432" s="24">
        <f t="shared" si="22"/>
        <v>0.0001432</v>
      </c>
    </row>
    <row r="1433" spans="1:14">
      <c r="A1433" s="21" t="s">
        <v>2001</v>
      </c>
      <c r="B1433" s="21" t="s">
        <v>948</v>
      </c>
      <c r="C1433" s="21" t="s">
        <v>182</v>
      </c>
      <c r="D1433" s="21" t="s">
        <v>1584</v>
      </c>
      <c r="E1433" s="21">
        <v>3</v>
      </c>
      <c r="F1433" s="22">
        <v>45364.46875</v>
      </c>
      <c r="G1433" s="22"/>
      <c r="H1433" s="23">
        <v>79.5</v>
      </c>
      <c r="I1433" s="23">
        <v>26.5</v>
      </c>
      <c r="J1433" s="24">
        <v>79.5</v>
      </c>
      <c r="K1433" s="21">
        <v>0</v>
      </c>
      <c r="L1433" s="21">
        <v>0</v>
      </c>
      <c r="M1433" s="21">
        <f>COUNTIF($A$2:$A$5481,A1433)</f>
        <v>2</v>
      </c>
      <c r="N1433" s="24">
        <f t="shared" si="22"/>
        <v>79.5001433</v>
      </c>
    </row>
    <row r="1434" spans="1:14">
      <c r="A1434" s="21" t="s">
        <v>2002</v>
      </c>
      <c r="B1434" s="21" t="s">
        <v>948</v>
      </c>
      <c r="C1434" s="21" t="s">
        <v>641</v>
      </c>
      <c r="D1434" s="21" t="s">
        <v>1584</v>
      </c>
      <c r="E1434" s="21">
        <v>0</v>
      </c>
      <c r="F1434" s="22">
        <v>45282.3854861111</v>
      </c>
      <c r="G1434" s="22">
        <v>45320.3993287037</v>
      </c>
      <c r="H1434" s="23">
        <v>53</v>
      </c>
      <c r="I1434" s="23">
        <v>26.5</v>
      </c>
      <c r="J1434" s="24">
        <v>0</v>
      </c>
      <c r="K1434" s="21">
        <v>0</v>
      </c>
      <c r="L1434" s="21">
        <v>0</v>
      </c>
      <c r="M1434" s="21">
        <f>COUNTIF($A$2:$A$5481,A1434)</f>
        <v>1</v>
      </c>
      <c r="N1434" s="24">
        <f t="shared" si="22"/>
        <v>0.0001434</v>
      </c>
    </row>
    <row r="1435" spans="1:14">
      <c r="A1435" s="21" t="s">
        <v>2003</v>
      </c>
      <c r="B1435" s="21" t="s">
        <v>948</v>
      </c>
      <c r="C1435" s="21" t="s">
        <v>641</v>
      </c>
      <c r="D1435" s="21" t="s">
        <v>1584</v>
      </c>
      <c r="E1435" s="21">
        <v>0</v>
      </c>
      <c r="F1435" s="22">
        <v>45315.3590277778</v>
      </c>
      <c r="G1435" s="22">
        <v>45320.3993055556</v>
      </c>
      <c r="H1435" s="23">
        <v>156</v>
      </c>
      <c r="I1435" s="23">
        <v>39</v>
      </c>
      <c r="J1435" s="24">
        <v>0</v>
      </c>
      <c r="K1435" s="21">
        <v>0</v>
      </c>
      <c r="L1435" s="21">
        <v>0</v>
      </c>
      <c r="M1435" s="21">
        <f>COUNTIF($A$2:$A$5481,A1435)</f>
        <v>1</v>
      </c>
      <c r="N1435" s="24">
        <f t="shared" si="22"/>
        <v>0.0001435</v>
      </c>
    </row>
    <row r="1436" spans="1:14">
      <c r="A1436" s="21" t="s">
        <v>2004</v>
      </c>
      <c r="B1436" s="21" t="s">
        <v>948</v>
      </c>
      <c r="C1436" s="21" t="s">
        <v>641</v>
      </c>
      <c r="D1436" s="21" t="s">
        <v>921</v>
      </c>
      <c r="E1436" s="21">
        <v>0</v>
      </c>
      <c r="F1436" s="22">
        <v>45315.3590277778</v>
      </c>
      <c r="G1436" s="22">
        <v>45320.3993171296</v>
      </c>
      <c r="H1436" s="23">
        <v>45</v>
      </c>
      <c r="I1436" s="23">
        <v>15</v>
      </c>
      <c r="J1436" s="24">
        <v>0</v>
      </c>
      <c r="K1436" s="21">
        <v>0</v>
      </c>
      <c r="L1436" s="21">
        <v>0</v>
      </c>
      <c r="M1436" s="21">
        <f>COUNTIF($A$2:$A$5481,A1436)</f>
        <v>1</v>
      </c>
      <c r="N1436" s="24">
        <f t="shared" si="22"/>
        <v>0.0001436</v>
      </c>
    </row>
    <row r="1437" spans="1:14">
      <c r="A1437" s="21" t="s">
        <v>2005</v>
      </c>
      <c r="B1437" s="21" t="s">
        <v>948</v>
      </c>
      <c r="C1437" s="21" t="s">
        <v>182</v>
      </c>
      <c r="D1437" s="21" t="s">
        <v>1584</v>
      </c>
      <c r="E1437" s="21">
        <v>2</v>
      </c>
      <c r="F1437" s="22">
        <v>45364.46875</v>
      </c>
      <c r="G1437" s="22"/>
      <c r="H1437" s="23">
        <v>53</v>
      </c>
      <c r="I1437" s="23">
        <v>26.5</v>
      </c>
      <c r="J1437" s="24">
        <v>53</v>
      </c>
      <c r="K1437" s="21">
        <v>0</v>
      </c>
      <c r="L1437" s="21">
        <v>0</v>
      </c>
      <c r="M1437" s="21">
        <f>COUNTIF($A$2:$A$5481,A1437)</f>
        <v>3</v>
      </c>
      <c r="N1437" s="24">
        <f t="shared" si="22"/>
        <v>53.0001437</v>
      </c>
    </row>
    <row r="1438" spans="1:14">
      <c r="A1438" s="21" t="s">
        <v>2005</v>
      </c>
      <c r="B1438" s="21" t="s">
        <v>948</v>
      </c>
      <c r="C1438" s="21" t="s">
        <v>641</v>
      </c>
      <c r="D1438" s="21" t="s">
        <v>1584</v>
      </c>
      <c r="E1438" s="21">
        <v>2</v>
      </c>
      <c r="F1438" s="22">
        <v>45441.4573611111</v>
      </c>
      <c r="G1438" s="22">
        <v>45320.3992939815</v>
      </c>
      <c r="H1438" s="23">
        <v>53</v>
      </c>
      <c r="I1438" s="23">
        <v>26.5</v>
      </c>
      <c r="J1438" s="24">
        <v>53</v>
      </c>
      <c r="K1438" s="21">
        <v>0</v>
      </c>
      <c r="L1438" s="21">
        <v>0</v>
      </c>
      <c r="M1438" s="21">
        <f>COUNTIF($A$2:$A$5481,A1438)</f>
        <v>3</v>
      </c>
      <c r="N1438" s="24">
        <f t="shared" si="22"/>
        <v>53.0001438</v>
      </c>
    </row>
    <row r="1439" spans="1:14">
      <c r="A1439" s="21" t="s">
        <v>2005</v>
      </c>
      <c r="B1439" s="21" t="s">
        <v>948</v>
      </c>
      <c r="C1439" s="21" t="s">
        <v>26</v>
      </c>
      <c r="D1439" s="21" t="s">
        <v>1584</v>
      </c>
      <c r="E1439" s="21">
        <v>7</v>
      </c>
      <c r="F1439" s="22">
        <v>46134.6002546296</v>
      </c>
      <c r="G1439" s="22"/>
      <c r="H1439" s="23">
        <v>140</v>
      </c>
      <c r="I1439" s="23">
        <v>27.5714285714</v>
      </c>
      <c r="J1439" s="24">
        <v>192.99</v>
      </c>
      <c r="K1439" s="21">
        <v>0</v>
      </c>
      <c r="L1439" s="21">
        <v>0</v>
      </c>
      <c r="M1439" s="21">
        <f>COUNTIF($A$2:$A$5481,A1439)</f>
        <v>3</v>
      </c>
      <c r="N1439" s="24">
        <f t="shared" si="22"/>
        <v>192.9901439</v>
      </c>
    </row>
    <row r="1440" spans="1:14">
      <c r="A1440" s="21" t="s">
        <v>2006</v>
      </c>
      <c r="B1440" s="21" t="s">
        <v>948</v>
      </c>
      <c r="C1440" s="21" t="s">
        <v>641</v>
      </c>
      <c r="D1440" s="21" t="s">
        <v>1584</v>
      </c>
      <c r="E1440" s="21">
        <v>5</v>
      </c>
      <c r="F1440" s="22">
        <v>45383.5685532407</v>
      </c>
      <c r="G1440" s="22">
        <v>45320.3992824074</v>
      </c>
      <c r="H1440" s="23">
        <v>95</v>
      </c>
      <c r="I1440" s="23">
        <v>47.5</v>
      </c>
      <c r="J1440" s="24">
        <v>237.5</v>
      </c>
      <c r="K1440" s="21">
        <v>0</v>
      </c>
      <c r="L1440" s="21">
        <v>0</v>
      </c>
      <c r="M1440" s="21">
        <f>COUNTIF($A$2:$A$5481,A1440)</f>
        <v>2</v>
      </c>
      <c r="N1440" s="24">
        <f t="shared" si="22"/>
        <v>237.500144</v>
      </c>
    </row>
    <row r="1441" spans="1:14">
      <c r="A1441" s="21" t="s">
        <v>2006</v>
      </c>
      <c r="B1441" s="21" t="s">
        <v>948</v>
      </c>
      <c r="C1441" s="21" t="s">
        <v>26</v>
      </c>
      <c r="D1441" s="21" t="s">
        <v>1584</v>
      </c>
      <c r="E1441" s="21">
        <v>2</v>
      </c>
      <c r="F1441" s="22">
        <v>45677.77375</v>
      </c>
      <c r="G1441" s="22"/>
      <c r="H1441" s="23">
        <v>80</v>
      </c>
      <c r="I1441" s="23">
        <v>40</v>
      </c>
      <c r="J1441" s="24">
        <v>80</v>
      </c>
      <c r="K1441" s="21">
        <v>0</v>
      </c>
      <c r="L1441" s="21">
        <v>0</v>
      </c>
      <c r="M1441" s="21">
        <f>COUNTIF($A$2:$A$5481,A1441)</f>
        <v>2</v>
      </c>
      <c r="N1441" s="24">
        <f t="shared" si="22"/>
        <v>80.0001441</v>
      </c>
    </row>
    <row r="1442" spans="1:14">
      <c r="A1442" s="21" t="s">
        <v>2007</v>
      </c>
      <c r="B1442" s="21" t="s">
        <v>948</v>
      </c>
      <c r="C1442" s="21" t="s">
        <v>182</v>
      </c>
      <c r="D1442" s="21" t="s">
        <v>921</v>
      </c>
      <c r="E1442" s="21">
        <v>4</v>
      </c>
      <c r="F1442" s="22">
        <v>45364.46875</v>
      </c>
      <c r="G1442" s="22"/>
      <c r="H1442" s="23">
        <v>60</v>
      </c>
      <c r="I1442" s="23">
        <v>15</v>
      </c>
      <c r="J1442" s="24">
        <v>60</v>
      </c>
      <c r="K1442" s="21">
        <v>0</v>
      </c>
      <c r="L1442" s="21">
        <v>0</v>
      </c>
      <c r="M1442" s="21">
        <f>COUNTIF($A$2:$A$5481,A1442)</f>
        <v>1</v>
      </c>
      <c r="N1442" s="24">
        <f t="shared" si="22"/>
        <v>60.0001442</v>
      </c>
    </row>
    <row r="1443" spans="1:14">
      <c r="A1443" s="21" t="s">
        <v>2008</v>
      </c>
      <c r="B1443" s="21" t="s">
        <v>948</v>
      </c>
      <c r="C1443" s="21" t="s">
        <v>182</v>
      </c>
      <c r="D1443" s="21" t="s">
        <v>921</v>
      </c>
      <c r="E1443" s="21">
        <v>1</v>
      </c>
      <c r="F1443" s="22">
        <v>45364.46875</v>
      </c>
      <c r="G1443" s="22"/>
      <c r="H1443" s="23">
        <v>20</v>
      </c>
      <c r="I1443" s="23">
        <v>20</v>
      </c>
      <c r="J1443" s="24">
        <v>20</v>
      </c>
      <c r="K1443" s="21">
        <v>0</v>
      </c>
      <c r="L1443" s="21">
        <v>0</v>
      </c>
      <c r="M1443" s="21">
        <f>COUNTIF($A$2:$A$5481,A1443)</f>
        <v>2</v>
      </c>
      <c r="N1443" s="24">
        <f t="shared" si="22"/>
        <v>20.0001443</v>
      </c>
    </row>
    <row r="1444" spans="1:14">
      <c r="A1444" s="21" t="s">
        <v>2008</v>
      </c>
      <c r="B1444" s="21" t="s">
        <v>948</v>
      </c>
      <c r="C1444" s="21" t="s">
        <v>26</v>
      </c>
      <c r="D1444" s="21" t="s">
        <v>921</v>
      </c>
      <c r="E1444" s="21">
        <v>5</v>
      </c>
      <c r="F1444" s="22">
        <v>46134.6002546296</v>
      </c>
      <c r="G1444" s="22"/>
      <c r="H1444" s="23">
        <v>72</v>
      </c>
      <c r="I1444" s="23">
        <v>21.6</v>
      </c>
      <c r="J1444" s="24">
        <v>108</v>
      </c>
      <c r="K1444" s="21">
        <v>0</v>
      </c>
      <c r="L1444" s="21">
        <v>0</v>
      </c>
      <c r="M1444" s="21">
        <f>COUNTIF($A$2:$A$5481,A1444)</f>
        <v>2</v>
      </c>
      <c r="N1444" s="24">
        <f t="shared" si="22"/>
        <v>108.0001444</v>
      </c>
    </row>
    <row r="1445" spans="1:14">
      <c r="A1445" s="21" t="s">
        <v>2009</v>
      </c>
      <c r="B1445" s="21" t="s">
        <v>26</v>
      </c>
      <c r="C1445" s="21" t="s">
        <v>26</v>
      </c>
      <c r="D1445" s="21" t="s">
        <v>921</v>
      </c>
      <c r="E1445" s="21">
        <v>1</v>
      </c>
      <c r="F1445" s="22">
        <v>46104.5575925926</v>
      </c>
      <c r="G1445" s="22"/>
      <c r="H1445" s="23">
        <v>265</v>
      </c>
      <c r="I1445" s="23">
        <v>265</v>
      </c>
      <c r="J1445" s="24">
        <v>265</v>
      </c>
      <c r="K1445" s="21">
        <v>0</v>
      </c>
      <c r="L1445" s="21">
        <v>0</v>
      </c>
      <c r="M1445" s="21">
        <f>COUNTIF($A$2:$A$5481,A1445)</f>
        <v>1</v>
      </c>
      <c r="N1445" s="24">
        <f t="shared" si="22"/>
        <v>265.0001445</v>
      </c>
    </row>
    <row r="1446" spans="1:14">
      <c r="A1446" s="21" t="s">
        <v>2010</v>
      </c>
      <c r="B1446" s="21" t="s">
        <v>929</v>
      </c>
      <c r="C1446" s="21" t="s">
        <v>26</v>
      </c>
      <c r="D1446" s="21" t="s">
        <v>921</v>
      </c>
      <c r="E1446" s="21">
        <v>3</v>
      </c>
      <c r="F1446" s="22">
        <v>45889.7944097222</v>
      </c>
      <c r="G1446" s="22"/>
      <c r="H1446" s="23">
        <v>20.82</v>
      </c>
      <c r="I1446" s="23">
        <v>6.94</v>
      </c>
      <c r="J1446" s="24">
        <v>20.82</v>
      </c>
      <c r="K1446" s="21">
        <v>0</v>
      </c>
      <c r="L1446" s="21">
        <v>0</v>
      </c>
      <c r="M1446" s="21">
        <f>COUNTIF($A$2:$A$5481,A1446)</f>
        <v>1</v>
      </c>
      <c r="N1446" s="24">
        <f t="shared" si="22"/>
        <v>20.8201446</v>
      </c>
    </row>
    <row r="1447" spans="1:14">
      <c r="A1447" s="21" t="s">
        <v>773</v>
      </c>
      <c r="B1447" s="21" t="s">
        <v>1175</v>
      </c>
      <c r="C1447" s="21" t="s">
        <v>26</v>
      </c>
      <c r="D1447" s="21" t="s">
        <v>921</v>
      </c>
      <c r="E1447" s="21">
        <v>0</v>
      </c>
      <c r="F1447" s="22">
        <v>46252.5504050926</v>
      </c>
      <c r="G1447" s="22">
        <v>46252.6700694444</v>
      </c>
      <c r="H1447" s="23">
        <v>58</v>
      </c>
      <c r="I1447" s="23">
        <v>58</v>
      </c>
      <c r="J1447" s="24">
        <v>0</v>
      </c>
      <c r="K1447" s="21">
        <v>0</v>
      </c>
      <c r="L1447" s="21">
        <v>0</v>
      </c>
      <c r="M1447" s="21">
        <f>COUNTIF($A$2:$A$5481,A1447)</f>
        <v>1</v>
      </c>
      <c r="N1447" s="24">
        <f t="shared" si="22"/>
        <v>0.0001447</v>
      </c>
    </row>
    <row r="1448" spans="1:14">
      <c r="A1448" s="21" t="s">
        <v>2011</v>
      </c>
      <c r="B1448" s="21" t="s">
        <v>26</v>
      </c>
      <c r="C1448" s="21" t="s">
        <v>26</v>
      </c>
      <c r="D1448" s="21" t="s">
        <v>921</v>
      </c>
      <c r="E1448" s="21">
        <v>2</v>
      </c>
      <c r="F1448" s="22">
        <v>45517.3831828704</v>
      </c>
      <c r="G1448" s="22"/>
      <c r="H1448" s="23">
        <v>7.8</v>
      </c>
      <c r="I1448" s="23">
        <v>3.9</v>
      </c>
      <c r="J1448" s="24">
        <v>7.8</v>
      </c>
      <c r="K1448" s="21">
        <v>0</v>
      </c>
      <c r="L1448" s="21">
        <v>0</v>
      </c>
      <c r="M1448" s="21">
        <f>COUNTIF($A$2:$A$5481,A1448)</f>
        <v>1</v>
      </c>
      <c r="N1448" s="24">
        <f t="shared" si="22"/>
        <v>7.8001448</v>
      </c>
    </row>
    <row r="1449" spans="1:14">
      <c r="A1449" s="21" t="s">
        <v>2012</v>
      </c>
      <c r="B1449" s="21" t="s">
        <v>26</v>
      </c>
      <c r="C1449" s="21" t="s">
        <v>26</v>
      </c>
      <c r="D1449" s="21" t="s">
        <v>921</v>
      </c>
      <c r="E1449" s="21">
        <v>3</v>
      </c>
      <c r="F1449" s="22">
        <v>45909.6520601852</v>
      </c>
      <c r="G1449" s="22"/>
      <c r="H1449" s="23">
        <v>4.29</v>
      </c>
      <c r="I1449" s="23">
        <v>4.1566666667</v>
      </c>
      <c r="J1449" s="24">
        <v>12.48</v>
      </c>
      <c r="K1449" s="21">
        <v>0</v>
      </c>
      <c r="L1449" s="21">
        <v>0</v>
      </c>
      <c r="M1449" s="21">
        <f>COUNTIF($A$2:$A$5481,A1449)</f>
        <v>1</v>
      </c>
      <c r="N1449" s="24">
        <f t="shared" si="22"/>
        <v>12.4801449</v>
      </c>
    </row>
    <row r="1450" spans="1:14">
      <c r="A1450" s="21" t="s">
        <v>673</v>
      </c>
      <c r="B1450" s="21" t="s">
        <v>1175</v>
      </c>
      <c r="C1450" s="21" t="s">
        <v>26</v>
      </c>
      <c r="D1450" s="21" t="s">
        <v>921</v>
      </c>
      <c r="E1450" s="21">
        <v>0</v>
      </c>
      <c r="F1450" s="22">
        <v>46205.6479166667</v>
      </c>
      <c r="G1450" s="22">
        <v>46252.5530439815</v>
      </c>
      <c r="H1450" s="23">
        <v>689</v>
      </c>
      <c r="I1450" s="23">
        <v>689</v>
      </c>
      <c r="J1450" s="24">
        <v>0</v>
      </c>
      <c r="K1450" s="21">
        <v>0</v>
      </c>
      <c r="L1450" s="21">
        <v>0</v>
      </c>
      <c r="M1450" s="21">
        <f>COUNTIF($A$2:$A$5481,A1450)</f>
        <v>1</v>
      </c>
      <c r="N1450" s="24">
        <f t="shared" si="22"/>
        <v>0.000145</v>
      </c>
    </row>
    <row r="1451" spans="1:14">
      <c r="A1451" s="21" t="s">
        <v>672</v>
      </c>
      <c r="B1451" s="21" t="s">
        <v>1175</v>
      </c>
      <c r="C1451" s="21" t="s">
        <v>26</v>
      </c>
      <c r="D1451" s="21" t="s">
        <v>921</v>
      </c>
      <c r="E1451" s="21">
        <v>0</v>
      </c>
      <c r="F1451" s="22">
        <v>45761.4607986111</v>
      </c>
      <c r="G1451" s="22">
        <v>46252.5530324074</v>
      </c>
      <c r="H1451" s="23">
        <v>800</v>
      </c>
      <c r="I1451" s="23">
        <v>660</v>
      </c>
      <c r="J1451" s="24">
        <v>0</v>
      </c>
      <c r="K1451" s="21">
        <v>0</v>
      </c>
      <c r="L1451" s="21">
        <v>0</v>
      </c>
      <c r="M1451" s="21">
        <f>COUNTIF($A$2:$A$5481,A1451)</f>
        <v>1</v>
      </c>
      <c r="N1451" s="24">
        <f t="shared" si="22"/>
        <v>0.0001451</v>
      </c>
    </row>
    <row r="1452" spans="1:14">
      <c r="A1452" s="21" t="s">
        <v>2013</v>
      </c>
      <c r="B1452" s="21" t="s">
        <v>1175</v>
      </c>
      <c r="C1452" s="21" t="s">
        <v>182</v>
      </c>
      <c r="D1452" s="21" t="s">
        <v>921</v>
      </c>
      <c r="E1452" s="21">
        <v>0</v>
      </c>
      <c r="F1452" s="22">
        <v>45267.4574652778</v>
      </c>
      <c r="G1452" s="22">
        <v>45282.3635416667</v>
      </c>
      <c r="H1452" s="23">
        <v>42</v>
      </c>
      <c r="I1452" s="23">
        <v>42</v>
      </c>
      <c r="J1452" s="24">
        <v>0</v>
      </c>
      <c r="K1452" s="21">
        <v>0</v>
      </c>
      <c r="L1452" s="21">
        <v>0</v>
      </c>
      <c r="M1452" s="21">
        <f>COUNTIF($A$2:$A$5481,A1452)</f>
        <v>1</v>
      </c>
      <c r="N1452" s="24">
        <f t="shared" si="22"/>
        <v>0.0001452</v>
      </c>
    </row>
    <row r="1453" spans="1:14">
      <c r="A1453" s="21" t="s">
        <v>2014</v>
      </c>
      <c r="B1453" s="21" t="s">
        <v>920</v>
      </c>
      <c r="C1453" s="21" t="s">
        <v>26</v>
      </c>
      <c r="D1453" s="21" t="s">
        <v>921</v>
      </c>
      <c r="E1453" s="21">
        <v>4</v>
      </c>
      <c r="F1453" s="22">
        <v>45895.5767824074</v>
      </c>
      <c r="G1453" s="22"/>
      <c r="H1453" s="23">
        <v>140</v>
      </c>
      <c r="I1453" s="23">
        <v>35</v>
      </c>
      <c r="J1453" s="24">
        <v>140</v>
      </c>
      <c r="K1453" s="21">
        <v>0</v>
      </c>
      <c r="L1453" s="21">
        <v>0</v>
      </c>
      <c r="M1453" s="21">
        <f>COUNTIF($A$2:$A$5481,A1453)</f>
        <v>1</v>
      </c>
      <c r="N1453" s="24">
        <f t="shared" si="22"/>
        <v>140.0001453</v>
      </c>
    </row>
    <row r="1454" spans="1:14">
      <c r="A1454" s="21" t="s">
        <v>2015</v>
      </c>
      <c r="B1454" s="21" t="s">
        <v>920</v>
      </c>
      <c r="C1454" s="21" t="s">
        <v>26</v>
      </c>
      <c r="D1454" s="21" t="s">
        <v>921</v>
      </c>
      <c r="E1454" s="21">
        <v>2</v>
      </c>
      <c r="F1454" s="22">
        <v>45904.5503587963</v>
      </c>
      <c r="G1454" s="22"/>
      <c r="H1454" s="23">
        <v>45.8</v>
      </c>
      <c r="I1454" s="23">
        <v>22.9</v>
      </c>
      <c r="J1454" s="24">
        <v>45.8</v>
      </c>
      <c r="K1454" s="21">
        <v>0</v>
      </c>
      <c r="L1454" s="21">
        <v>0</v>
      </c>
      <c r="M1454" s="21">
        <f>COUNTIF($A$2:$A$5481,A1454)</f>
        <v>1</v>
      </c>
      <c r="N1454" s="24">
        <f t="shared" si="22"/>
        <v>45.8001454</v>
      </c>
    </row>
    <row r="1455" spans="1:14">
      <c r="A1455" s="21" t="s">
        <v>2016</v>
      </c>
      <c r="B1455" s="21" t="s">
        <v>920</v>
      </c>
      <c r="C1455" s="21" t="s">
        <v>26</v>
      </c>
      <c r="D1455" s="21" t="s">
        <v>921</v>
      </c>
      <c r="E1455" s="21">
        <v>1</v>
      </c>
      <c r="F1455" s="22">
        <v>45463.8025694444</v>
      </c>
      <c r="G1455" s="22"/>
      <c r="H1455" s="23">
        <v>206.11</v>
      </c>
      <c r="I1455" s="23">
        <v>206.11</v>
      </c>
      <c r="J1455" s="24">
        <v>206.11</v>
      </c>
      <c r="K1455" s="21">
        <v>0</v>
      </c>
      <c r="L1455" s="21">
        <v>0</v>
      </c>
      <c r="M1455" s="21">
        <f>COUNTIF($A$2:$A$5481,A1455)</f>
        <v>1</v>
      </c>
      <c r="N1455" s="24">
        <f t="shared" si="22"/>
        <v>206.1101455</v>
      </c>
    </row>
    <row r="1456" spans="1:14">
      <c r="A1456" s="21" t="s">
        <v>2017</v>
      </c>
      <c r="B1456" s="21" t="s">
        <v>929</v>
      </c>
      <c r="C1456" s="21" t="s">
        <v>182</v>
      </c>
      <c r="D1456" s="21" t="s">
        <v>921</v>
      </c>
      <c r="E1456" s="21">
        <v>1</v>
      </c>
      <c r="F1456" s="22">
        <v>45303.7939351852</v>
      </c>
      <c r="G1456" s="22"/>
      <c r="H1456" s="23">
        <v>102.43</v>
      </c>
      <c r="I1456" s="23">
        <v>102.43</v>
      </c>
      <c r="J1456" s="24">
        <v>102.43</v>
      </c>
      <c r="K1456" s="21">
        <v>0</v>
      </c>
      <c r="L1456" s="21">
        <v>5</v>
      </c>
      <c r="M1456" s="21">
        <f>COUNTIF($A$2:$A$5481,A1456)</f>
        <v>3</v>
      </c>
      <c r="N1456" s="24">
        <f t="shared" si="22"/>
        <v>102.4301456</v>
      </c>
    </row>
    <row r="1457" spans="1:14">
      <c r="A1457" s="21" t="s">
        <v>2017</v>
      </c>
      <c r="B1457" s="21" t="s">
        <v>929</v>
      </c>
      <c r="C1457" s="21" t="s">
        <v>35</v>
      </c>
      <c r="D1457" s="21" t="s">
        <v>921</v>
      </c>
      <c r="E1457" s="21">
        <v>2</v>
      </c>
      <c r="F1457" s="22">
        <v>45434.3576388889</v>
      </c>
      <c r="G1457" s="22"/>
      <c r="H1457" s="23">
        <v>146.08</v>
      </c>
      <c r="I1457" s="23">
        <v>73.04</v>
      </c>
      <c r="J1457" s="24">
        <v>146.08</v>
      </c>
      <c r="K1457" s="21">
        <v>0</v>
      </c>
      <c r="L1457" s="21">
        <v>5</v>
      </c>
      <c r="M1457" s="21">
        <f>COUNTIF($A$2:$A$5481,A1457)</f>
        <v>3</v>
      </c>
      <c r="N1457" s="24">
        <f t="shared" si="22"/>
        <v>146.0801457</v>
      </c>
    </row>
    <row r="1458" spans="1:14">
      <c r="A1458" s="21" t="s">
        <v>2017</v>
      </c>
      <c r="B1458" s="21" t="s">
        <v>929</v>
      </c>
      <c r="C1458" s="21" t="s">
        <v>26</v>
      </c>
      <c r="D1458" s="21" t="s">
        <v>921</v>
      </c>
      <c r="E1458" s="21">
        <v>2</v>
      </c>
      <c r="F1458" s="22">
        <v>45699.5486342593</v>
      </c>
      <c r="G1458" s="22"/>
      <c r="H1458" s="23">
        <v>108.4</v>
      </c>
      <c r="I1458" s="23">
        <v>54.2</v>
      </c>
      <c r="J1458" s="24">
        <v>108.4</v>
      </c>
      <c r="K1458" s="21">
        <v>0</v>
      </c>
      <c r="L1458" s="21">
        <v>5</v>
      </c>
      <c r="M1458" s="21">
        <f>COUNTIF($A$2:$A$5481,A1458)</f>
        <v>3</v>
      </c>
      <c r="N1458" s="24">
        <f t="shared" si="22"/>
        <v>108.4001458</v>
      </c>
    </row>
    <row r="1459" spans="1:14">
      <c r="A1459" s="21" t="s">
        <v>2018</v>
      </c>
      <c r="B1459" s="21" t="s">
        <v>26</v>
      </c>
      <c r="C1459" s="21" t="s">
        <v>26</v>
      </c>
      <c r="D1459" s="21" t="s">
        <v>921</v>
      </c>
      <c r="E1459" s="21">
        <v>1</v>
      </c>
      <c r="F1459" s="22">
        <v>45835.725150463</v>
      </c>
      <c r="G1459" s="22"/>
      <c r="H1459" s="23">
        <v>185</v>
      </c>
      <c r="I1459" s="23">
        <v>185</v>
      </c>
      <c r="J1459" s="24">
        <v>185</v>
      </c>
      <c r="K1459" s="21">
        <v>0</v>
      </c>
      <c r="L1459" s="21">
        <v>0</v>
      </c>
      <c r="M1459" s="21">
        <f>COUNTIF($A$2:$A$5481,A1459)</f>
        <v>1</v>
      </c>
      <c r="N1459" s="24">
        <f t="shared" si="22"/>
        <v>185.0001459</v>
      </c>
    </row>
    <row r="1460" spans="1:14">
      <c r="A1460" s="21" t="s">
        <v>2019</v>
      </c>
      <c r="B1460" s="21" t="s">
        <v>920</v>
      </c>
      <c r="C1460" s="21" t="s">
        <v>35</v>
      </c>
      <c r="D1460" s="21" t="s">
        <v>931</v>
      </c>
      <c r="E1460" s="21">
        <v>4</v>
      </c>
      <c r="F1460" s="22">
        <v>45628.5380208333</v>
      </c>
      <c r="G1460" s="22"/>
      <c r="H1460" s="23">
        <v>1584</v>
      </c>
      <c r="I1460" s="23">
        <v>396</v>
      </c>
      <c r="J1460" s="24">
        <v>1584</v>
      </c>
      <c r="K1460" s="21">
        <v>0</v>
      </c>
      <c r="L1460" s="21">
        <v>0</v>
      </c>
      <c r="M1460" s="21">
        <f>COUNTIF($A$2:$A$5481,A1460)</f>
        <v>1</v>
      </c>
      <c r="N1460" s="24">
        <f t="shared" si="22"/>
        <v>1584.000146</v>
      </c>
    </row>
    <row r="1461" spans="1:14">
      <c r="A1461" s="21" t="s">
        <v>599</v>
      </c>
      <c r="B1461" s="21" t="s">
        <v>920</v>
      </c>
      <c r="C1461" s="21" t="s">
        <v>26</v>
      </c>
      <c r="D1461" s="21" t="s">
        <v>921</v>
      </c>
      <c r="E1461" s="21">
        <v>1</v>
      </c>
      <c r="F1461" s="22">
        <v>46090.6141435185</v>
      </c>
      <c r="G1461" s="22">
        <v>46252.3669907407</v>
      </c>
      <c r="H1461" s="23">
        <v>595</v>
      </c>
      <c r="I1461" s="23">
        <v>71.0222222222</v>
      </c>
      <c r="J1461" s="24">
        <v>71.02</v>
      </c>
      <c r="K1461" s="21">
        <v>0</v>
      </c>
      <c r="L1461" s="21">
        <v>0</v>
      </c>
      <c r="M1461" s="21">
        <f>COUNTIF($A$2:$A$5481,A1461)</f>
        <v>1</v>
      </c>
      <c r="N1461" s="24">
        <f t="shared" si="22"/>
        <v>71.0201461</v>
      </c>
    </row>
    <row r="1462" spans="1:14">
      <c r="A1462" s="21" t="s">
        <v>2020</v>
      </c>
      <c r="B1462" s="21" t="s">
        <v>920</v>
      </c>
      <c r="C1462" s="21" t="s">
        <v>26</v>
      </c>
      <c r="D1462" s="21" t="s">
        <v>921</v>
      </c>
      <c r="E1462" s="21">
        <v>3</v>
      </c>
      <c r="F1462" s="22">
        <v>45548.5770833333</v>
      </c>
      <c r="G1462" s="22"/>
      <c r="H1462" s="23">
        <v>749.97</v>
      </c>
      <c r="I1462" s="23">
        <v>249.99</v>
      </c>
      <c r="J1462" s="24">
        <v>749.97</v>
      </c>
      <c r="K1462" s="21">
        <v>0</v>
      </c>
      <c r="L1462" s="21">
        <v>0</v>
      </c>
      <c r="M1462" s="21">
        <f>COUNTIF($A$2:$A$5481,A1462)</f>
        <v>1</v>
      </c>
      <c r="N1462" s="24">
        <f t="shared" si="22"/>
        <v>749.9701462</v>
      </c>
    </row>
    <row r="1463" spans="1:14">
      <c r="A1463" s="21" t="s">
        <v>193</v>
      </c>
      <c r="B1463" s="21" t="s">
        <v>920</v>
      </c>
      <c r="C1463" s="21" t="s">
        <v>26</v>
      </c>
      <c r="D1463" s="21" t="s">
        <v>921</v>
      </c>
      <c r="E1463" s="21">
        <v>2</v>
      </c>
      <c r="F1463" s="22">
        <v>46065.590150463</v>
      </c>
      <c r="G1463" s="22">
        <v>46266.7204398148</v>
      </c>
      <c r="H1463" s="23">
        <v>538</v>
      </c>
      <c r="I1463" s="23">
        <v>134.5</v>
      </c>
      <c r="J1463" s="24">
        <v>269</v>
      </c>
      <c r="K1463" s="21">
        <v>0</v>
      </c>
      <c r="L1463" s="21">
        <v>0</v>
      </c>
      <c r="M1463" s="21">
        <f>COUNTIF($A$2:$A$5481,A1463)</f>
        <v>1</v>
      </c>
      <c r="N1463" s="24">
        <f t="shared" si="22"/>
        <v>269.0001463</v>
      </c>
    </row>
    <row r="1464" spans="1:14">
      <c r="A1464" s="21" t="s">
        <v>2021</v>
      </c>
      <c r="B1464" s="21" t="s">
        <v>26</v>
      </c>
      <c r="C1464" s="21" t="s">
        <v>26</v>
      </c>
      <c r="D1464" s="21" t="s">
        <v>921</v>
      </c>
      <c r="E1464" s="21">
        <v>1</v>
      </c>
      <c r="F1464" s="22">
        <v>45572.7187847222</v>
      </c>
      <c r="G1464" s="22"/>
      <c r="H1464" s="23">
        <v>6</v>
      </c>
      <c r="I1464" s="23">
        <v>6</v>
      </c>
      <c r="J1464" s="24">
        <v>6</v>
      </c>
      <c r="K1464" s="21">
        <v>0</v>
      </c>
      <c r="L1464" s="21">
        <v>0</v>
      </c>
      <c r="M1464" s="21">
        <f>COUNTIF($A$2:$A$5481,A1464)</f>
        <v>1</v>
      </c>
      <c r="N1464" s="24">
        <f t="shared" si="22"/>
        <v>6.0001464</v>
      </c>
    </row>
    <row r="1465" spans="1:14">
      <c r="A1465" s="21" t="s">
        <v>2022</v>
      </c>
      <c r="B1465" s="21" t="s">
        <v>26</v>
      </c>
      <c r="C1465" s="21" t="s">
        <v>26</v>
      </c>
      <c r="D1465" s="21" t="s">
        <v>921</v>
      </c>
      <c r="E1465" s="21">
        <v>8</v>
      </c>
      <c r="F1465" s="22">
        <v>46038.5884722222</v>
      </c>
      <c r="G1465" s="22"/>
      <c r="H1465" s="23">
        <v>17.13</v>
      </c>
      <c r="I1465" s="23">
        <v>5.62875</v>
      </c>
      <c r="J1465" s="24">
        <v>45.04</v>
      </c>
      <c r="K1465" s="21">
        <v>0</v>
      </c>
      <c r="L1465" s="21">
        <v>0</v>
      </c>
      <c r="M1465" s="21">
        <f>COUNTIF($A$2:$A$5481,A1465)</f>
        <v>1</v>
      </c>
      <c r="N1465" s="24">
        <f t="shared" si="22"/>
        <v>45.0401465</v>
      </c>
    </row>
    <row r="1466" spans="1:14">
      <c r="A1466" s="21" t="s">
        <v>2023</v>
      </c>
      <c r="B1466" s="21" t="s">
        <v>26</v>
      </c>
      <c r="C1466" s="21" t="s">
        <v>26</v>
      </c>
      <c r="D1466" s="21" t="s">
        <v>921</v>
      </c>
      <c r="E1466" s="21">
        <v>13</v>
      </c>
      <c r="F1466" s="22">
        <v>46169.5954976852</v>
      </c>
      <c r="G1466" s="22"/>
      <c r="H1466" s="23">
        <v>12.5</v>
      </c>
      <c r="I1466" s="23">
        <v>4.0492307692</v>
      </c>
      <c r="J1466" s="24">
        <v>52.65</v>
      </c>
      <c r="K1466" s="21">
        <v>0</v>
      </c>
      <c r="L1466" s="21">
        <v>0</v>
      </c>
      <c r="M1466" s="21">
        <f>COUNTIF($A$2:$A$5481,A1466)</f>
        <v>1</v>
      </c>
      <c r="N1466" s="24">
        <f t="shared" si="22"/>
        <v>52.6501466</v>
      </c>
    </row>
    <row r="1467" spans="1:14">
      <c r="A1467" s="21" t="s">
        <v>2024</v>
      </c>
      <c r="B1467" s="21" t="s">
        <v>920</v>
      </c>
      <c r="C1467" s="21" t="s">
        <v>35</v>
      </c>
      <c r="D1467" s="21" t="s">
        <v>921</v>
      </c>
      <c r="E1467" s="21">
        <v>1</v>
      </c>
      <c r="F1467" s="22">
        <v>46021.5372685185</v>
      </c>
      <c r="G1467" s="22"/>
      <c r="H1467" s="23">
        <v>2.49</v>
      </c>
      <c r="I1467" s="23">
        <v>2.49</v>
      </c>
      <c r="J1467" s="24">
        <v>2.49</v>
      </c>
      <c r="K1467" s="21">
        <v>0</v>
      </c>
      <c r="L1467" s="21">
        <v>0</v>
      </c>
      <c r="M1467" s="21">
        <f>COUNTIF($A$2:$A$5481,A1467)</f>
        <v>1</v>
      </c>
      <c r="N1467" s="24">
        <f t="shared" si="22"/>
        <v>2.4901467</v>
      </c>
    </row>
    <row r="1468" spans="1:14">
      <c r="A1468" s="21" t="s">
        <v>2025</v>
      </c>
      <c r="B1468" s="21" t="s">
        <v>929</v>
      </c>
      <c r="C1468" s="21" t="s">
        <v>26</v>
      </c>
      <c r="D1468" s="21" t="s">
        <v>931</v>
      </c>
      <c r="E1468" s="21">
        <v>10</v>
      </c>
      <c r="F1468" s="22">
        <v>45460.3506944445</v>
      </c>
      <c r="G1468" s="22"/>
      <c r="H1468" s="23">
        <v>89</v>
      </c>
      <c r="I1468" s="23">
        <v>8.9</v>
      </c>
      <c r="J1468" s="24">
        <v>89</v>
      </c>
      <c r="K1468" s="21">
        <v>0</v>
      </c>
      <c r="L1468" s="21">
        <v>0</v>
      </c>
      <c r="M1468" s="21">
        <f>COUNTIF($A$2:$A$5481,A1468)</f>
        <v>1</v>
      </c>
      <c r="N1468" s="24">
        <f t="shared" si="22"/>
        <v>89.0001468</v>
      </c>
    </row>
    <row r="1469" spans="1:14">
      <c r="A1469" s="21" t="s">
        <v>2026</v>
      </c>
      <c r="B1469" s="21" t="s">
        <v>929</v>
      </c>
      <c r="C1469" s="21" t="s">
        <v>26</v>
      </c>
      <c r="D1469" s="21" t="s">
        <v>921</v>
      </c>
      <c r="E1469" s="21">
        <v>10</v>
      </c>
      <c r="F1469" s="22">
        <v>45460.3506944445</v>
      </c>
      <c r="G1469" s="22"/>
      <c r="H1469" s="23">
        <v>50</v>
      </c>
      <c r="I1469" s="23">
        <v>5</v>
      </c>
      <c r="J1469" s="24">
        <v>50</v>
      </c>
      <c r="K1469" s="21">
        <v>0</v>
      </c>
      <c r="L1469" s="21">
        <v>0</v>
      </c>
      <c r="M1469" s="21">
        <f>COUNTIF($A$2:$A$5481,A1469)</f>
        <v>1</v>
      </c>
      <c r="N1469" s="24">
        <f t="shared" si="22"/>
        <v>50.0001469</v>
      </c>
    </row>
    <row r="1470" spans="1:14">
      <c r="A1470" s="21" t="s">
        <v>2027</v>
      </c>
      <c r="B1470" s="21" t="s">
        <v>920</v>
      </c>
      <c r="C1470" s="21" t="s">
        <v>26</v>
      </c>
      <c r="D1470" s="21" t="s">
        <v>921</v>
      </c>
      <c r="E1470" s="21">
        <v>1</v>
      </c>
      <c r="F1470" s="22">
        <v>45985.6866203704</v>
      </c>
      <c r="G1470" s="22"/>
      <c r="H1470" s="23">
        <v>43</v>
      </c>
      <c r="I1470" s="23">
        <v>43</v>
      </c>
      <c r="J1470" s="24">
        <v>43</v>
      </c>
      <c r="K1470" s="21">
        <v>0</v>
      </c>
      <c r="L1470" s="21">
        <v>0</v>
      </c>
      <c r="M1470" s="21">
        <f>COUNTIF($A$2:$A$5481,A1470)</f>
        <v>1</v>
      </c>
      <c r="N1470" s="24">
        <f t="shared" si="22"/>
        <v>43.000147</v>
      </c>
    </row>
    <row r="1471" spans="1:14">
      <c r="A1471" s="21" t="s">
        <v>2028</v>
      </c>
      <c r="B1471" s="21" t="s">
        <v>920</v>
      </c>
      <c r="C1471" s="21" t="s">
        <v>26</v>
      </c>
      <c r="D1471" s="21" t="s">
        <v>921</v>
      </c>
      <c r="E1471" s="21">
        <v>13</v>
      </c>
      <c r="F1471" s="22">
        <v>45345.4338888889</v>
      </c>
      <c r="G1471" s="22"/>
      <c r="H1471" s="23">
        <v>42</v>
      </c>
      <c r="I1471" s="23">
        <v>6.46154</v>
      </c>
      <c r="J1471" s="24">
        <v>83.98</v>
      </c>
      <c r="K1471" s="21">
        <v>0</v>
      </c>
      <c r="L1471" s="21">
        <v>0</v>
      </c>
      <c r="M1471" s="21">
        <f>COUNTIF($A$2:$A$5481,A1471)</f>
        <v>1</v>
      </c>
      <c r="N1471" s="24">
        <f t="shared" si="22"/>
        <v>83.9801471</v>
      </c>
    </row>
    <row r="1472" spans="1:14">
      <c r="A1472" s="21" t="s">
        <v>2029</v>
      </c>
      <c r="B1472" s="21" t="s">
        <v>920</v>
      </c>
      <c r="C1472" s="21" t="s">
        <v>414</v>
      </c>
      <c r="D1472" s="21" t="s">
        <v>921</v>
      </c>
      <c r="E1472" s="21">
        <v>8</v>
      </c>
      <c r="F1472" s="22">
        <v>46147.668900463</v>
      </c>
      <c r="G1472" s="22"/>
      <c r="H1472" s="23">
        <v>80</v>
      </c>
      <c r="I1472" s="23">
        <v>10</v>
      </c>
      <c r="J1472" s="24">
        <v>80</v>
      </c>
      <c r="K1472" s="21">
        <v>0</v>
      </c>
      <c r="L1472" s="21">
        <v>0</v>
      </c>
      <c r="M1472" s="21">
        <f>COUNTIF($A$2:$A$5481,A1472)</f>
        <v>1</v>
      </c>
      <c r="N1472" s="24">
        <f t="shared" si="22"/>
        <v>80.0001472</v>
      </c>
    </row>
    <row r="1473" spans="1:14">
      <c r="A1473" s="21" t="s">
        <v>2030</v>
      </c>
      <c r="B1473" s="21" t="s">
        <v>26</v>
      </c>
      <c r="C1473" s="21" t="s">
        <v>26</v>
      </c>
      <c r="D1473" s="21" t="s">
        <v>921</v>
      </c>
      <c r="E1473" s="21">
        <v>3</v>
      </c>
      <c r="F1473" s="22">
        <v>45728.8266550926</v>
      </c>
      <c r="G1473" s="22"/>
      <c r="H1473" s="23">
        <v>31.17</v>
      </c>
      <c r="I1473" s="23">
        <v>10.39</v>
      </c>
      <c r="J1473" s="24">
        <v>31.17</v>
      </c>
      <c r="K1473" s="21">
        <v>0</v>
      </c>
      <c r="L1473" s="21">
        <v>0</v>
      </c>
      <c r="M1473" s="21">
        <f>COUNTIF($A$2:$A$5481,A1473)</f>
        <v>1</v>
      </c>
      <c r="N1473" s="24">
        <f t="shared" si="22"/>
        <v>31.1701473</v>
      </c>
    </row>
    <row r="1474" spans="1:14">
      <c r="A1474" s="21" t="s">
        <v>2031</v>
      </c>
      <c r="B1474" s="21" t="s">
        <v>920</v>
      </c>
      <c r="C1474" s="21" t="s">
        <v>26</v>
      </c>
      <c r="D1474" s="21" t="s">
        <v>931</v>
      </c>
      <c r="E1474" s="21">
        <v>2</v>
      </c>
      <c r="F1474" s="22">
        <v>45791.3490509259</v>
      </c>
      <c r="G1474" s="22"/>
      <c r="H1474" s="23">
        <v>9.68</v>
      </c>
      <c r="I1474" s="23">
        <v>4.84</v>
      </c>
      <c r="J1474" s="24">
        <v>9.68</v>
      </c>
      <c r="K1474" s="21">
        <v>0</v>
      </c>
      <c r="L1474" s="21">
        <v>0</v>
      </c>
      <c r="M1474" s="21">
        <f>COUNTIF($A$2:$A$5481,A1474)</f>
        <v>1</v>
      </c>
      <c r="N1474" s="24">
        <f t="shared" ref="N1474:N1537" si="23">J1474+ROW()/10000000</f>
        <v>9.6801474</v>
      </c>
    </row>
    <row r="1475" spans="1:14">
      <c r="A1475" s="21" t="s">
        <v>2032</v>
      </c>
      <c r="B1475" s="21" t="s">
        <v>929</v>
      </c>
      <c r="C1475" s="21" t="s">
        <v>26</v>
      </c>
      <c r="D1475" s="21" t="s">
        <v>921</v>
      </c>
      <c r="E1475" s="21">
        <v>6</v>
      </c>
      <c r="F1475" s="22">
        <v>45903.38875</v>
      </c>
      <c r="G1475" s="22"/>
      <c r="H1475" s="23">
        <v>27</v>
      </c>
      <c r="I1475" s="23">
        <v>4.5</v>
      </c>
      <c r="J1475" s="24">
        <v>27</v>
      </c>
      <c r="K1475" s="21">
        <v>0</v>
      </c>
      <c r="L1475" s="21">
        <v>0</v>
      </c>
      <c r="M1475" s="21">
        <f>COUNTIF($A$2:$A$5481,A1475)</f>
        <v>1</v>
      </c>
      <c r="N1475" s="24">
        <f t="shared" si="23"/>
        <v>27.0001475</v>
      </c>
    </row>
    <row r="1476" spans="1:14">
      <c r="A1476" s="21" t="s">
        <v>2033</v>
      </c>
      <c r="B1476" s="21" t="s">
        <v>929</v>
      </c>
      <c r="C1476" s="21" t="s">
        <v>26</v>
      </c>
      <c r="D1476" s="21" t="s">
        <v>921</v>
      </c>
      <c r="E1476" s="21">
        <v>3</v>
      </c>
      <c r="F1476" s="22">
        <v>45903.38875</v>
      </c>
      <c r="G1476" s="22"/>
      <c r="H1476" s="23">
        <v>16.5</v>
      </c>
      <c r="I1476" s="23">
        <v>5.5</v>
      </c>
      <c r="J1476" s="24">
        <v>16.5</v>
      </c>
      <c r="K1476" s="21">
        <v>0</v>
      </c>
      <c r="L1476" s="21">
        <v>0</v>
      </c>
      <c r="M1476" s="21">
        <f>COUNTIF($A$2:$A$5481,A1476)</f>
        <v>1</v>
      </c>
      <c r="N1476" s="24">
        <f t="shared" si="23"/>
        <v>16.5001476</v>
      </c>
    </row>
    <row r="1477" spans="1:14">
      <c r="A1477" s="21" t="s">
        <v>2034</v>
      </c>
      <c r="B1477" s="21" t="s">
        <v>920</v>
      </c>
      <c r="C1477" s="21" t="s">
        <v>26</v>
      </c>
      <c r="D1477" s="21" t="s">
        <v>931</v>
      </c>
      <c r="E1477" s="21">
        <v>1</v>
      </c>
      <c r="F1477" s="22">
        <v>45789.4220138889</v>
      </c>
      <c r="G1477" s="22"/>
      <c r="H1477" s="23">
        <v>3.7</v>
      </c>
      <c r="I1477" s="23">
        <v>3.7</v>
      </c>
      <c r="J1477" s="24">
        <v>3.7</v>
      </c>
      <c r="K1477" s="21">
        <v>0</v>
      </c>
      <c r="L1477" s="21">
        <v>0</v>
      </c>
      <c r="M1477" s="21">
        <f>COUNTIF($A$2:$A$5481,A1477)</f>
        <v>1</v>
      </c>
      <c r="N1477" s="24">
        <f t="shared" si="23"/>
        <v>3.7001477</v>
      </c>
    </row>
    <row r="1478" spans="1:14">
      <c r="A1478" s="21" t="s">
        <v>2035</v>
      </c>
      <c r="B1478" s="21" t="s">
        <v>920</v>
      </c>
      <c r="C1478" s="21" t="s">
        <v>26</v>
      </c>
      <c r="D1478" s="21" t="s">
        <v>921</v>
      </c>
      <c r="E1478" s="21">
        <v>1</v>
      </c>
      <c r="F1478" s="22">
        <v>45344.4641087963</v>
      </c>
      <c r="G1478" s="22"/>
      <c r="H1478" s="23">
        <v>46.91</v>
      </c>
      <c r="I1478" s="23">
        <v>46.91</v>
      </c>
      <c r="J1478" s="24">
        <v>46.91</v>
      </c>
      <c r="K1478" s="21">
        <v>0</v>
      </c>
      <c r="L1478" s="21">
        <v>0</v>
      </c>
      <c r="M1478" s="21">
        <f>COUNTIF($A$2:$A$5481,A1478)</f>
        <v>1</v>
      </c>
      <c r="N1478" s="24">
        <f t="shared" si="23"/>
        <v>46.9101478</v>
      </c>
    </row>
    <row r="1479" spans="1:14">
      <c r="A1479" s="21" t="s">
        <v>2036</v>
      </c>
      <c r="B1479" s="21" t="s">
        <v>929</v>
      </c>
      <c r="C1479" s="21" t="s">
        <v>26</v>
      </c>
      <c r="D1479" s="21" t="s">
        <v>921</v>
      </c>
      <c r="E1479" s="21">
        <v>1</v>
      </c>
      <c r="F1479" s="22">
        <v>45329.6645833333</v>
      </c>
      <c r="G1479" s="22"/>
      <c r="H1479" s="23">
        <v>6.37</v>
      </c>
      <c r="I1479" s="23">
        <v>6.37</v>
      </c>
      <c r="J1479" s="24">
        <v>6.37</v>
      </c>
      <c r="K1479" s="21">
        <v>0</v>
      </c>
      <c r="L1479" s="21">
        <v>0</v>
      </c>
      <c r="M1479" s="21">
        <f>COUNTIF($A$2:$A$5481,A1479)</f>
        <v>1</v>
      </c>
      <c r="N1479" s="24">
        <f t="shared" si="23"/>
        <v>6.3701479</v>
      </c>
    </row>
    <row r="1480" spans="1:14">
      <c r="A1480" s="21" t="s">
        <v>2037</v>
      </c>
      <c r="B1480" s="21" t="s">
        <v>929</v>
      </c>
      <c r="C1480" s="21" t="s">
        <v>26</v>
      </c>
      <c r="D1480" s="21" t="s">
        <v>921</v>
      </c>
      <c r="E1480" s="21">
        <v>1</v>
      </c>
      <c r="F1480" s="22">
        <v>45329.6645833333</v>
      </c>
      <c r="G1480" s="22"/>
      <c r="H1480" s="23">
        <v>7.99</v>
      </c>
      <c r="I1480" s="23">
        <v>7.99</v>
      </c>
      <c r="J1480" s="24">
        <v>7.99</v>
      </c>
      <c r="K1480" s="21">
        <v>0</v>
      </c>
      <c r="L1480" s="21">
        <v>0</v>
      </c>
      <c r="M1480" s="21">
        <f>COUNTIF($A$2:$A$5481,A1480)</f>
        <v>1</v>
      </c>
      <c r="N1480" s="24">
        <f t="shared" si="23"/>
        <v>7.990148</v>
      </c>
    </row>
    <row r="1481" spans="1:14">
      <c r="A1481" s="21" t="s">
        <v>456</v>
      </c>
      <c r="B1481" s="21" t="s">
        <v>929</v>
      </c>
      <c r="C1481" s="21" t="s">
        <v>26</v>
      </c>
      <c r="D1481" s="21" t="s">
        <v>921</v>
      </c>
      <c r="E1481" s="21">
        <v>0</v>
      </c>
      <c r="F1481" s="22">
        <v>45329.6645833333</v>
      </c>
      <c r="G1481" s="22">
        <v>46209.7833449074</v>
      </c>
      <c r="H1481" s="23">
        <v>6.95</v>
      </c>
      <c r="I1481" s="23">
        <v>6.95</v>
      </c>
      <c r="J1481" s="24">
        <v>0</v>
      </c>
      <c r="K1481" s="21">
        <v>0</v>
      </c>
      <c r="L1481" s="21">
        <v>0</v>
      </c>
      <c r="M1481" s="21">
        <f>COUNTIF($A$2:$A$5481,A1481)</f>
        <v>1</v>
      </c>
      <c r="N1481" s="24">
        <f t="shared" si="23"/>
        <v>0.0001481</v>
      </c>
    </row>
    <row r="1482" spans="1:14">
      <c r="A1482" s="21" t="s">
        <v>2038</v>
      </c>
      <c r="B1482" s="21" t="s">
        <v>949</v>
      </c>
      <c r="C1482" s="21" t="s">
        <v>182</v>
      </c>
      <c r="D1482" s="21" t="s">
        <v>921</v>
      </c>
      <c r="E1482" s="21">
        <v>0</v>
      </c>
      <c r="F1482" s="22">
        <v>45307.3745601852</v>
      </c>
      <c r="G1482" s="22">
        <v>45310.4239583333</v>
      </c>
      <c r="H1482" s="23">
        <v>36.081</v>
      </c>
      <c r="I1482" s="23">
        <v>18.99</v>
      </c>
      <c r="J1482" s="24">
        <v>0</v>
      </c>
      <c r="K1482" s="21">
        <v>0</v>
      </c>
      <c r="L1482" s="21">
        <v>0</v>
      </c>
      <c r="M1482" s="21">
        <f>COUNTIF($A$2:$A$5481,A1482)</f>
        <v>2</v>
      </c>
      <c r="N1482" s="24">
        <f t="shared" si="23"/>
        <v>0.0001482</v>
      </c>
    </row>
    <row r="1483" spans="1:14">
      <c r="A1483" s="21" t="s">
        <v>2038</v>
      </c>
      <c r="B1483" s="21" t="s">
        <v>949</v>
      </c>
      <c r="C1483" s="21" t="s">
        <v>26</v>
      </c>
      <c r="D1483" s="21" t="s">
        <v>921</v>
      </c>
      <c r="E1483" s="21">
        <v>1.1</v>
      </c>
      <c r="F1483" s="22">
        <v>45338.3729166667</v>
      </c>
      <c r="G1483" s="22">
        <v>45324.4905439815</v>
      </c>
      <c r="H1483" s="23">
        <v>16.324</v>
      </c>
      <c r="I1483" s="23">
        <v>14.84</v>
      </c>
      <c r="J1483" s="24">
        <v>16.324</v>
      </c>
      <c r="K1483" s="21">
        <v>0</v>
      </c>
      <c r="L1483" s="21">
        <v>0</v>
      </c>
      <c r="M1483" s="21">
        <f>COUNTIF($A$2:$A$5481,A1483)</f>
        <v>2</v>
      </c>
      <c r="N1483" s="24">
        <f t="shared" si="23"/>
        <v>16.3241483</v>
      </c>
    </row>
    <row r="1484" spans="1:14">
      <c r="A1484" s="21" t="s">
        <v>2039</v>
      </c>
      <c r="B1484" s="21" t="s">
        <v>949</v>
      </c>
      <c r="C1484" s="21" t="s">
        <v>182</v>
      </c>
      <c r="D1484" s="21" t="s">
        <v>921</v>
      </c>
      <c r="E1484" s="21">
        <v>0</v>
      </c>
      <c r="F1484" s="22">
        <v>45307.3745601852</v>
      </c>
      <c r="G1484" s="22">
        <v>45310.4237152778</v>
      </c>
      <c r="H1484" s="23">
        <v>25.164</v>
      </c>
      <c r="I1484" s="23">
        <v>6.99</v>
      </c>
      <c r="J1484" s="24">
        <v>0</v>
      </c>
      <c r="K1484" s="21">
        <v>0</v>
      </c>
      <c r="L1484" s="21">
        <v>0</v>
      </c>
      <c r="M1484" s="21">
        <f>COUNTIF($A$2:$A$5481,A1484)</f>
        <v>2</v>
      </c>
      <c r="N1484" s="24">
        <f t="shared" si="23"/>
        <v>0.0001484</v>
      </c>
    </row>
    <row r="1485" spans="1:14">
      <c r="A1485" s="21" t="s">
        <v>2039</v>
      </c>
      <c r="B1485" s="21" t="s">
        <v>949</v>
      </c>
      <c r="C1485" s="21" t="s">
        <v>26</v>
      </c>
      <c r="D1485" s="21" t="s">
        <v>921</v>
      </c>
      <c r="E1485" s="21">
        <v>7.55</v>
      </c>
      <c r="F1485" s="22">
        <v>45338.3729166667</v>
      </c>
      <c r="G1485" s="22"/>
      <c r="H1485" s="23">
        <v>48.87</v>
      </c>
      <c r="I1485" s="23">
        <v>8.46338</v>
      </c>
      <c r="J1485" s="24">
        <v>63.873</v>
      </c>
      <c r="K1485" s="21">
        <v>0</v>
      </c>
      <c r="L1485" s="21">
        <v>0</v>
      </c>
      <c r="M1485" s="21">
        <f>COUNTIF($A$2:$A$5481,A1485)</f>
        <v>2</v>
      </c>
      <c r="N1485" s="24">
        <f t="shared" si="23"/>
        <v>63.8731485</v>
      </c>
    </row>
    <row r="1486" spans="1:14">
      <c r="A1486" s="21" t="s">
        <v>2040</v>
      </c>
      <c r="B1486" s="21" t="s">
        <v>949</v>
      </c>
      <c r="C1486" s="21" t="s">
        <v>182</v>
      </c>
      <c r="D1486" s="21" t="s">
        <v>921</v>
      </c>
      <c r="E1486" s="21">
        <v>0.35</v>
      </c>
      <c r="F1486" s="22">
        <v>45307.3745601852</v>
      </c>
      <c r="G1486" s="22">
        <v>45310.4237384259</v>
      </c>
      <c r="H1486" s="23">
        <v>44.6265</v>
      </c>
      <c r="I1486" s="23">
        <v>18.99</v>
      </c>
      <c r="J1486" s="24">
        <v>6.6465</v>
      </c>
      <c r="K1486" s="21">
        <v>0</v>
      </c>
      <c r="L1486" s="21">
        <v>0</v>
      </c>
      <c r="M1486" s="21">
        <f>COUNTIF($A$2:$A$5481,A1486)</f>
        <v>2</v>
      </c>
      <c r="N1486" s="24">
        <f t="shared" si="23"/>
        <v>6.6466486</v>
      </c>
    </row>
    <row r="1487" spans="1:14">
      <c r="A1487" s="21" t="s">
        <v>2040</v>
      </c>
      <c r="B1487" s="21" t="s">
        <v>949</v>
      </c>
      <c r="C1487" s="21" t="s">
        <v>26</v>
      </c>
      <c r="D1487" s="21" t="s">
        <v>921</v>
      </c>
      <c r="E1487" s="21">
        <v>1.05</v>
      </c>
      <c r="F1487" s="22">
        <v>45338.3729166667</v>
      </c>
      <c r="G1487" s="22"/>
      <c r="H1487" s="23">
        <v>14.868</v>
      </c>
      <c r="I1487" s="23">
        <v>14.16</v>
      </c>
      <c r="J1487" s="24">
        <v>14.868</v>
      </c>
      <c r="K1487" s="21">
        <v>0</v>
      </c>
      <c r="L1487" s="21">
        <v>0</v>
      </c>
      <c r="M1487" s="21">
        <f>COUNTIF($A$2:$A$5481,A1487)</f>
        <v>2</v>
      </c>
      <c r="N1487" s="24">
        <f t="shared" si="23"/>
        <v>14.8681487</v>
      </c>
    </row>
    <row r="1488" spans="1:14">
      <c r="A1488" s="21" t="s">
        <v>2041</v>
      </c>
      <c r="B1488" s="21" t="s">
        <v>26</v>
      </c>
      <c r="C1488" s="21" t="s">
        <v>26</v>
      </c>
      <c r="D1488" s="21" t="s">
        <v>921</v>
      </c>
      <c r="E1488" s="21">
        <v>1</v>
      </c>
      <c r="F1488" s="22">
        <v>45496.3627314815</v>
      </c>
      <c r="G1488" s="22"/>
      <c r="H1488" s="23">
        <v>40.3</v>
      </c>
      <c r="I1488" s="23">
        <v>40.3</v>
      </c>
      <c r="J1488" s="24">
        <v>40.3</v>
      </c>
      <c r="K1488" s="21">
        <v>0</v>
      </c>
      <c r="L1488" s="21">
        <v>0</v>
      </c>
      <c r="M1488" s="21">
        <f>COUNTIF($A$2:$A$5481,A1488)</f>
        <v>1</v>
      </c>
      <c r="N1488" s="24">
        <f t="shared" si="23"/>
        <v>40.3001488</v>
      </c>
    </row>
    <row r="1489" spans="1:14">
      <c r="A1489" s="21" t="s">
        <v>2042</v>
      </c>
      <c r="B1489" s="21" t="s">
        <v>26</v>
      </c>
      <c r="C1489" s="21" t="s">
        <v>26</v>
      </c>
      <c r="D1489" s="21" t="s">
        <v>921</v>
      </c>
      <c r="E1489" s="21">
        <v>4</v>
      </c>
      <c r="F1489" s="22">
        <v>45540.4891435185</v>
      </c>
      <c r="G1489" s="22"/>
      <c r="H1489" s="23">
        <v>56.7</v>
      </c>
      <c r="I1489" s="23">
        <v>24.25</v>
      </c>
      <c r="J1489" s="24">
        <v>97</v>
      </c>
      <c r="K1489" s="21">
        <v>0</v>
      </c>
      <c r="L1489" s="21">
        <v>0</v>
      </c>
      <c r="M1489" s="21">
        <f>COUNTIF($A$2:$A$5481,A1489)</f>
        <v>1</v>
      </c>
      <c r="N1489" s="24">
        <f t="shared" si="23"/>
        <v>97.0001489</v>
      </c>
    </row>
    <row r="1490" spans="1:14">
      <c r="A1490" s="21" t="s">
        <v>2043</v>
      </c>
      <c r="B1490" s="21" t="s">
        <v>26</v>
      </c>
      <c r="C1490" s="21" t="s">
        <v>182</v>
      </c>
      <c r="D1490" s="21" t="s">
        <v>921</v>
      </c>
      <c r="E1490" s="21">
        <v>7</v>
      </c>
      <c r="F1490" s="22">
        <v>45306.8359606482</v>
      </c>
      <c r="G1490" s="22"/>
      <c r="H1490" s="23">
        <v>65.31</v>
      </c>
      <c r="I1490" s="23">
        <v>9.33</v>
      </c>
      <c r="J1490" s="24">
        <v>65.31</v>
      </c>
      <c r="K1490" s="21">
        <v>1</v>
      </c>
      <c r="L1490" s="21">
        <v>50</v>
      </c>
      <c r="M1490" s="21">
        <f>COUNTIF($A$2:$A$5481,A1490)</f>
        <v>1</v>
      </c>
      <c r="N1490" s="24">
        <f t="shared" si="23"/>
        <v>65.310149</v>
      </c>
    </row>
    <row r="1491" spans="1:14">
      <c r="A1491" s="21" t="s">
        <v>2044</v>
      </c>
      <c r="B1491" s="21" t="s">
        <v>26</v>
      </c>
      <c r="C1491" s="21" t="s">
        <v>26</v>
      </c>
      <c r="D1491" s="21" t="s">
        <v>921</v>
      </c>
      <c r="E1491" s="21">
        <v>3</v>
      </c>
      <c r="F1491" s="22">
        <v>45824.8059375</v>
      </c>
      <c r="G1491" s="22">
        <v>45615.415625</v>
      </c>
      <c r="H1491" s="23">
        <v>51.68</v>
      </c>
      <c r="I1491" s="23">
        <v>22.22333</v>
      </c>
      <c r="J1491" s="24">
        <v>66.66</v>
      </c>
      <c r="K1491" s="21">
        <v>0</v>
      </c>
      <c r="L1491" s="21">
        <v>0</v>
      </c>
      <c r="M1491" s="21">
        <f>COUNTIF($A$2:$A$5481,A1491)</f>
        <v>2</v>
      </c>
      <c r="N1491" s="24">
        <f t="shared" si="23"/>
        <v>66.6601491</v>
      </c>
    </row>
    <row r="1492" spans="1:14">
      <c r="A1492" s="21" t="s">
        <v>2044</v>
      </c>
      <c r="B1492" s="21" t="s">
        <v>26</v>
      </c>
      <c r="C1492" s="21" t="s">
        <v>182</v>
      </c>
      <c r="D1492" s="21" t="s">
        <v>921</v>
      </c>
      <c r="E1492" s="21">
        <v>18</v>
      </c>
      <c r="F1492" s="22">
        <v>45882.354837963</v>
      </c>
      <c r="G1492" s="22"/>
      <c r="H1492" s="23">
        <v>90.16</v>
      </c>
      <c r="I1492" s="23">
        <v>10.5533333333</v>
      </c>
      <c r="J1492" s="24">
        <v>189.9</v>
      </c>
      <c r="K1492" s="21">
        <v>0</v>
      </c>
      <c r="L1492" s="21">
        <v>0</v>
      </c>
      <c r="M1492" s="21">
        <f>COUNTIF($A$2:$A$5481,A1492)</f>
        <v>2</v>
      </c>
      <c r="N1492" s="24">
        <f t="shared" si="23"/>
        <v>189.9001492</v>
      </c>
    </row>
    <row r="1493" spans="1:14">
      <c r="A1493" s="21" t="s">
        <v>896</v>
      </c>
      <c r="B1493" s="21" t="s">
        <v>26</v>
      </c>
      <c r="C1493" s="21" t="s">
        <v>51</v>
      </c>
      <c r="D1493" s="21" t="s">
        <v>921</v>
      </c>
      <c r="E1493" s="21">
        <v>1</v>
      </c>
      <c r="F1493" s="22">
        <v>45601.4220601852</v>
      </c>
      <c r="G1493" s="22"/>
      <c r="H1493" s="23">
        <v>37.56</v>
      </c>
      <c r="I1493" s="23">
        <v>37.56</v>
      </c>
      <c r="J1493" s="24">
        <v>37.56</v>
      </c>
      <c r="K1493" s="21">
        <v>0</v>
      </c>
      <c r="L1493" s="21">
        <v>0</v>
      </c>
      <c r="M1493" s="21">
        <f>COUNTIF($A$2:$A$5481,A1493)</f>
        <v>3</v>
      </c>
      <c r="N1493" s="24">
        <f t="shared" si="23"/>
        <v>37.5601493</v>
      </c>
    </row>
    <row r="1494" spans="1:14">
      <c r="A1494" s="21" t="s">
        <v>896</v>
      </c>
      <c r="B1494" s="21" t="s">
        <v>26</v>
      </c>
      <c r="C1494" s="21" t="s">
        <v>26</v>
      </c>
      <c r="D1494" s="21" t="s">
        <v>921</v>
      </c>
      <c r="E1494" s="21">
        <v>83</v>
      </c>
      <c r="F1494" s="22">
        <v>46148.3930555556</v>
      </c>
      <c r="G1494" s="22">
        <v>46279.3726388889</v>
      </c>
      <c r="H1494" s="23">
        <v>75.7</v>
      </c>
      <c r="I1494" s="23">
        <v>7.9898352874</v>
      </c>
      <c r="J1494" s="24">
        <v>663.17</v>
      </c>
      <c r="K1494" s="21">
        <v>0</v>
      </c>
      <c r="L1494" s="21">
        <v>0</v>
      </c>
      <c r="M1494" s="21">
        <f>COUNTIF($A$2:$A$5481,A1494)</f>
        <v>3</v>
      </c>
      <c r="N1494" s="24">
        <f t="shared" si="23"/>
        <v>663.1701494</v>
      </c>
    </row>
    <row r="1495" spans="1:14">
      <c r="A1495" s="21" t="s">
        <v>896</v>
      </c>
      <c r="B1495" s="21" t="s">
        <v>26</v>
      </c>
      <c r="C1495" s="21" t="s">
        <v>182</v>
      </c>
      <c r="D1495" s="21" t="s">
        <v>921</v>
      </c>
      <c r="E1495" s="21">
        <v>124</v>
      </c>
      <c r="F1495" s="22">
        <v>46161.4354166667</v>
      </c>
      <c r="G1495" s="22">
        <v>45341.491712963</v>
      </c>
      <c r="H1495" s="23">
        <v>237.8</v>
      </c>
      <c r="I1495" s="23">
        <v>8.717468871</v>
      </c>
      <c r="J1495" s="24">
        <v>1081.28</v>
      </c>
      <c r="K1495" s="21">
        <v>0</v>
      </c>
      <c r="L1495" s="21">
        <v>0</v>
      </c>
      <c r="M1495" s="21">
        <f>COUNTIF($A$2:$A$5481,A1495)</f>
        <v>3</v>
      </c>
      <c r="N1495" s="24">
        <f t="shared" si="23"/>
        <v>1081.2801495</v>
      </c>
    </row>
    <row r="1496" spans="1:14">
      <c r="A1496" s="21" t="s">
        <v>907</v>
      </c>
      <c r="B1496" s="21" t="s">
        <v>26</v>
      </c>
      <c r="C1496" s="21" t="s">
        <v>51</v>
      </c>
      <c r="D1496" s="21" t="s">
        <v>921</v>
      </c>
      <c r="E1496" s="21">
        <v>0</v>
      </c>
      <c r="F1496" s="22">
        <v>45601.4220601852</v>
      </c>
      <c r="G1496" s="22">
        <v>45649.4089467593</v>
      </c>
      <c r="H1496" s="23">
        <v>43.2</v>
      </c>
      <c r="I1496" s="23">
        <v>43.2</v>
      </c>
      <c r="J1496" s="24">
        <v>0</v>
      </c>
      <c r="K1496" s="21">
        <v>0</v>
      </c>
      <c r="L1496" s="21">
        <v>0</v>
      </c>
      <c r="M1496" s="21">
        <f>COUNTIF($A$2:$A$5481,A1496)</f>
        <v>3</v>
      </c>
      <c r="N1496" s="24">
        <f t="shared" si="23"/>
        <v>0.0001496</v>
      </c>
    </row>
    <row r="1497" spans="1:14">
      <c r="A1497" s="21" t="s">
        <v>907</v>
      </c>
      <c r="B1497" s="21" t="s">
        <v>26</v>
      </c>
      <c r="C1497" s="21" t="s">
        <v>26</v>
      </c>
      <c r="D1497" s="21" t="s">
        <v>921</v>
      </c>
      <c r="E1497" s="21">
        <v>5</v>
      </c>
      <c r="F1497" s="22">
        <v>45824.8059375</v>
      </c>
      <c r="G1497" s="22">
        <v>46283.7835648148</v>
      </c>
      <c r="H1497" s="23">
        <v>21.6</v>
      </c>
      <c r="I1497" s="23">
        <v>9.53963</v>
      </c>
      <c r="J1497" s="24">
        <v>47.7</v>
      </c>
      <c r="K1497" s="21">
        <v>0</v>
      </c>
      <c r="L1497" s="21">
        <v>0</v>
      </c>
      <c r="M1497" s="21">
        <f>COUNTIF($A$2:$A$5481,A1497)</f>
        <v>3</v>
      </c>
      <c r="N1497" s="24">
        <f t="shared" si="23"/>
        <v>47.7001497</v>
      </c>
    </row>
    <row r="1498" spans="1:14">
      <c r="A1498" s="21" t="s">
        <v>907</v>
      </c>
      <c r="B1498" s="21" t="s">
        <v>26</v>
      </c>
      <c r="C1498" s="21" t="s">
        <v>182</v>
      </c>
      <c r="D1498" s="21" t="s">
        <v>921</v>
      </c>
      <c r="E1498" s="21">
        <v>89</v>
      </c>
      <c r="F1498" s="22">
        <v>46161.4354166667</v>
      </c>
      <c r="G1498" s="22">
        <v>45786.4776157407</v>
      </c>
      <c r="H1498" s="23">
        <v>237.8</v>
      </c>
      <c r="I1498" s="23">
        <v>7.4361193258</v>
      </c>
      <c r="J1498" s="24">
        <v>662.16</v>
      </c>
      <c r="K1498" s="21">
        <v>0</v>
      </c>
      <c r="L1498" s="21">
        <v>0</v>
      </c>
      <c r="M1498" s="21">
        <f>COUNTIF($A$2:$A$5481,A1498)</f>
        <v>3</v>
      </c>
      <c r="N1498" s="24">
        <f t="shared" si="23"/>
        <v>662.1601498</v>
      </c>
    </row>
    <row r="1499" spans="1:14">
      <c r="A1499" s="21" t="s">
        <v>2045</v>
      </c>
      <c r="B1499" s="21" t="s">
        <v>26</v>
      </c>
      <c r="C1499" s="21" t="s">
        <v>26</v>
      </c>
      <c r="D1499" s="21" t="s">
        <v>921</v>
      </c>
      <c r="E1499" s="21">
        <v>9</v>
      </c>
      <c r="F1499" s="22">
        <v>45840.828287037</v>
      </c>
      <c r="G1499" s="22"/>
      <c r="H1499" s="23">
        <v>27</v>
      </c>
      <c r="I1499" s="23">
        <v>7.44444</v>
      </c>
      <c r="J1499" s="24">
        <v>66.96</v>
      </c>
      <c r="K1499" s="21">
        <v>0</v>
      </c>
      <c r="L1499" s="21">
        <v>0</v>
      </c>
      <c r="M1499" s="21">
        <f>COUNTIF($A$2:$A$5481,A1499)</f>
        <v>1</v>
      </c>
      <c r="N1499" s="24">
        <f t="shared" si="23"/>
        <v>66.9601499</v>
      </c>
    </row>
    <row r="1500" spans="1:14">
      <c r="A1500" s="21" t="s">
        <v>2046</v>
      </c>
      <c r="B1500" s="21" t="s">
        <v>920</v>
      </c>
      <c r="C1500" s="21" t="s">
        <v>26</v>
      </c>
      <c r="D1500" s="21" t="s">
        <v>921</v>
      </c>
      <c r="E1500" s="21">
        <v>100</v>
      </c>
      <c r="F1500" s="22">
        <v>45526.4375810185</v>
      </c>
      <c r="G1500" s="22"/>
      <c r="H1500" s="23">
        <v>33</v>
      </c>
      <c r="I1500" s="23">
        <v>0.33</v>
      </c>
      <c r="J1500" s="24">
        <v>33</v>
      </c>
      <c r="K1500" s="21">
        <v>0</v>
      </c>
      <c r="L1500" s="21">
        <v>0</v>
      </c>
      <c r="M1500" s="21">
        <f>COUNTIF($A$2:$A$5481,A1500)</f>
        <v>1</v>
      </c>
      <c r="N1500" s="24">
        <f t="shared" si="23"/>
        <v>33.00015</v>
      </c>
    </row>
    <row r="1501" spans="1:14">
      <c r="A1501" s="21" t="s">
        <v>813</v>
      </c>
      <c r="B1501" s="21" t="s">
        <v>926</v>
      </c>
      <c r="C1501" s="21" t="s">
        <v>26</v>
      </c>
      <c r="D1501" s="21" t="s">
        <v>921</v>
      </c>
      <c r="E1501" s="21">
        <v>23</v>
      </c>
      <c r="F1501" s="22">
        <v>46247.4666666667</v>
      </c>
      <c r="G1501" s="22">
        <v>46260.4118287037</v>
      </c>
      <c r="H1501" s="23">
        <v>2796.96</v>
      </c>
      <c r="I1501" s="23">
        <v>174.81</v>
      </c>
      <c r="J1501" s="24">
        <v>4020.63</v>
      </c>
      <c r="K1501" s="21">
        <v>0</v>
      </c>
      <c r="L1501" s="21">
        <v>0</v>
      </c>
      <c r="M1501" s="21">
        <f>COUNTIF($A$2:$A$5481,A1501)</f>
        <v>1</v>
      </c>
      <c r="N1501" s="24">
        <f t="shared" si="23"/>
        <v>4020.6301501</v>
      </c>
    </row>
    <row r="1502" spans="1:14">
      <c r="A1502" s="21" t="s">
        <v>2047</v>
      </c>
      <c r="B1502" s="21" t="s">
        <v>1115</v>
      </c>
      <c r="C1502" s="21" t="s">
        <v>26</v>
      </c>
      <c r="D1502" s="21" t="s">
        <v>921</v>
      </c>
      <c r="E1502" s="21">
        <v>1</v>
      </c>
      <c r="F1502" s="22">
        <v>45713.4002546296</v>
      </c>
      <c r="G1502" s="22"/>
      <c r="H1502" s="23">
        <v>139.9</v>
      </c>
      <c r="I1502" s="23">
        <v>139.9</v>
      </c>
      <c r="J1502" s="24">
        <v>139.9</v>
      </c>
      <c r="K1502" s="21">
        <v>0</v>
      </c>
      <c r="L1502" s="21">
        <v>0</v>
      </c>
      <c r="M1502" s="21">
        <f>COUNTIF($A$2:$A$5481,A1502)</f>
        <v>1</v>
      </c>
      <c r="N1502" s="24">
        <f t="shared" si="23"/>
        <v>139.9001502</v>
      </c>
    </row>
    <row r="1503" spans="1:14">
      <c r="A1503" s="21" t="s">
        <v>2048</v>
      </c>
      <c r="B1503" s="21" t="s">
        <v>948</v>
      </c>
      <c r="C1503" s="21" t="s">
        <v>26</v>
      </c>
      <c r="D1503" s="21" t="s">
        <v>921</v>
      </c>
      <c r="E1503" s="21">
        <v>2</v>
      </c>
      <c r="F1503" s="22">
        <v>45856.4520601852</v>
      </c>
      <c r="G1503" s="22">
        <v>45863.4998148148</v>
      </c>
      <c r="H1503" s="23">
        <v>180</v>
      </c>
      <c r="I1503" s="23">
        <v>60</v>
      </c>
      <c r="J1503" s="24">
        <v>120</v>
      </c>
      <c r="K1503" s="21">
        <v>0</v>
      </c>
      <c r="L1503" s="21">
        <v>0</v>
      </c>
      <c r="M1503" s="21">
        <f>COUNTIF($A$2:$A$5481,A1503)</f>
        <v>1</v>
      </c>
      <c r="N1503" s="24">
        <f t="shared" si="23"/>
        <v>120.0001503</v>
      </c>
    </row>
    <row r="1504" spans="1:14">
      <c r="A1504" s="21" t="s">
        <v>2049</v>
      </c>
      <c r="B1504" s="21" t="s">
        <v>948</v>
      </c>
      <c r="C1504" s="21" t="s">
        <v>26</v>
      </c>
      <c r="D1504" s="21" t="s">
        <v>921</v>
      </c>
      <c r="E1504" s="21">
        <v>1</v>
      </c>
      <c r="F1504" s="22">
        <v>46134.6002546296</v>
      </c>
      <c r="G1504" s="22"/>
      <c r="H1504" s="23">
        <v>28</v>
      </c>
      <c r="I1504" s="23">
        <v>28</v>
      </c>
      <c r="J1504" s="24">
        <v>28</v>
      </c>
      <c r="K1504" s="21">
        <v>0</v>
      </c>
      <c r="L1504" s="21">
        <v>0</v>
      </c>
      <c r="M1504" s="21">
        <f>COUNTIF($A$2:$A$5481,A1504)</f>
        <v>1</v>
      </c>
      <c r="N1504" s="24">
        <f t="shared" si="23"/>
        <v>28.0001504</v>
      </c>
    </row>
    <row r="1505" spans="1:14">
      <c r="A1505" s="21" t="s">
        <v>2050</v>
      </c>
      <c r="B1505" s="21" t="s">
        <v>920</v>
      </c>
      <c r="C1505" s="21" t="s">
        <v>26</v>
      </c>
      <c r="D1505" s="21" t="s">
        <v>921</v>
      </c>
      <c r="E1505" s="21">
        <v>1</v>
      </c>
      <c r="F1505" s="22">
        <v>46038.5976157407</v>
      </c>
      <c r="G1505" s="22"/>
      <c r="H1505" s="23">
        <v>139.45</v>
      </c>
      <c r="I1505" s="23">
        <v>139.45</v>
      </c>
      <c r="J1505" s="24">
        <v>139.45</v>
      </c>
      <c r="K1505" s="21">
        <v>0</v>
      </c>
      <c r="L1505" s="21">
        <v>0</v>
      </c>
      <c r="M1505" s="21">
        <f>COUNTIF($A$2:$A$5481,A1505)</f>
        <v>1</v>
      </c>
      <c r="N1505" s="24">
        <f t="shared" si="23"/>
        <v>139.4501505</v>
      </c>
    </row>
    <row r="1506" spans="1:14">
      <c r="A1506" s="21" t="s">
        <v>2051</v>
      </c>
      <c r="B1506" s="21" t="s">
        <v>920</v>
      </c>
      <c r="C1506" s="21" t="s">
        <v>35</v>
      </c>
      <c r="D1506" s="21" t="s">
        <v>921</v>
      </c>
      <c r="E1506" s="21">
        <v>1</v>
      </c>
      <c r="F1506" s="22">
        <v>45555.6180555556</v>
      </c>
      <c r="G1506" s="22"/>
      <c r="H1506" s="23">
        <v>907.2</v>
      </c>
      <c r="I1506" s="23">
        <v>907.2</v>
      </c>
      <c r="J1506" s="24">
        <v>907.2</v>
      </c>
      <c r="K1506" s="21">
        <v>0</v>
      </c>
      <c r="L1506" s="21">
        <v>0</v>
      </c>
      <c r="M1506" s="21">
        <f>COUNTIF($A$2:$A$5481,A1506)</f>
        <v>1</v>
      </c>
      <c r="N1506" s="24">
        <f t="shared" si="23"/>
        <v>907.2001506</v>
      </c>
    </row>
    <row r="1507" spans="1:14">
      <c r="A1507" s="21" t="s">
        <v>343</v>
      </c>
      <c r="B1507" s="21" t="s">
        <v>920</v>
      </c>
      <c r="C1507" s="21" t="s">
        <v>35</v>
      </c>
      <c r="D1507" s="21" t="s">
        <v>921</v>
      </c>
      <c r="E1507" s="21">
        <v>0</v>
      </c>
      <c r="F1507" s="22">
        <v>46013.5532986111</v>
      </c>
      <c r="G1507" s="22">
        <v>46121.5356944444</v>
      </c>
      <c r="H1507" s="23">
        <v>90</v>
      </c>
      <c r="I1507" s="23">
        <v>45</v>
      </c>
      <c r="J1507" s="24">
        <v>0</v>
      </c>
      <c r="K1507" s="21">
        <v>0</v>
      </c>
      <c r="L1507" s="21">
        <v>0</v>
      </c>
      <c r="M1507" s="21">
        <f>COUNTIF($A$2:$A$5481,A1507)</f>
        <v>1</v>
      </c>
      <c r="N1507" s="24">
        <f t="shared" si="23"/>
        <v>0.0001507</v>
      </c>
    </row>
    <row r="1508" spans="1:14">
      <c r="A1508" s="21" t="s">
        <v>2052</v>
      </c>
      <c r="B1508" s="21" t="s">
        <v>920</v>
      </c>
      <c r="C1508" s="21" t="s">
        <v>26</v>
      </c>
      <c r="D1508" s="21" t="s">
        <v>931</v>
      </c>
      <c r="E1508" s="21">
        <v>11.4</v>
      </c>
      <c r="F1508" s="22">
        <v>46185.669525463</v>
      </c>
      <c r="G1508" s="22"/>
      <c r="H1508" s="23">
        <v>159.98</v>
      </c>
      <c r="I1508" s="23">
        <v>35.3666666667</v>
      </c>
      <c r="J1508" s="24">
        <v>403.218</v>
      </c>
      <c r="K1508" s="21">
        <v>0</v>
      </c>
      <c r="L1508" s="21">
        <v>0</v>
      </c>
      <c r="M1508" s="21">
        <f>COUNTIF($A$2:$A$5481,A1508)</f>
        <v>1</v>
      </c>
      <c r="N1508" s="24">
        <f t="shared" si="23"/>
        <v>403.2181508</v>
      </c>
    </row>
    <row r="1509" spans="1:14">
      <c r="A1509" s="21" t="s">
        <v>2053</v>
      </c>
      <c r="B1509" s="21" t="s">
        <v>929</v>
      </c>
      <c r="C1509" s="21" t="s">
        <v>26</v>
      </c>
      <c r="D1509" s="21" t="s">
        <v>921</v>
      </c>
      <c r="E1509" s="21">
        <v>1</v>
      </c>
      <c r="F1509" s="22">
        <v>45349.4881944444</v>
      </c>
      <c r="G1509" s="22"/>
      <c r="H1509" s="23">
        <v>27.01</v>
      </c>
      <c r="I1509" s="23">
        <v>27.01</v>
      </c>
      <c r="J1509" s="24">
        <v>27.01</v>
      </c>
      <c r="K1509" s="21">
        <v>0</v>
      </c>
      <c r="L1509" s="21">
        <v>0</v>
      </c>
      <c r="M1509" s="21">
        <f>COUNTIF($A$2:$A$5481,A1509)</f>
        <v>1</v>
      </c>
      <c r="N1509" s="24">
        <f t="shared" si="23"/>
        <v>27.0101509</v>
      </c>
    </row>
    <row r="1510" spans="1:14">
      <c r="A1510" s="21" t="s">
        <v>2054</v>
      </c>
      <c r="B1510" s="21" t="s">
        <v>920</v>
      </c>
      <c r="C1510" s="21" t="s">
        <v>35</v>
      </c>
      <c r="D1510" s="21" t="s">
        <v>921</v>
      </c>
      <c r="E1510" s="21">
        <v>0.33</v>
      </c>
      <c r="F1510" s="22">
        <v>45364.5104166667</v>
      </c>
      <c r="G1510" s="22"/>
      <c r="H1510" s="23">
        <v>15.8697</v>
      </c>
      <c r="I1510" s="23">
        <v>48.09</v>
      </c>
      <c r="J1510" s="24">
        <v>15.8697</v>
      </c>
      <c r="K1510" s="21">
        <v>0</v>
      </c>
      <c r="L1510" s="21">
        <v>0</v>
      </c>
      <c r="M1510" s="21">
        <f>COUNTIF($A$2:$A$5481,A1510)</f>
        <v>1</v>
      </c>
      <c r="N1510" s="24">
        <f t="shared" si="23"/>
        <v>15.869851</v>
      </c>
    </row>
    <row r="1511" spans="1:14">
      <c r="A1511" s="21" t="s">
        <v>2055</v>
      </c>
      <c r="B1511" s="21" t="s">
        <v>920</v>
      </c>
      <c r="C1511" s="21" t="s">
        <v>35</v>
      </c>
      <c r="D1511" s="21" t="s">
        <v>921</v>
      </c>
      <c r="E1511" s="21">
        <v>0.33</v>
      </c>
      <c r="F1511" s="22">
        <v>45364.5104166667</v>
      </c>
      <c r="G1511" s="22"/>
      <c r="H1511" s="23">
        <v>16.929</v>
      </c>
      <c r="I1511" s="23">
        <v>51.3</v>
      </c>
      <c r="J1511" s="24">
        <v>16.929</v>
      </c>
      <c r="K1511" s="21">
        <v>0</v>
      </c>
      <c r="L1511" s="21">
        <v>0</v>
      </c>
      <c r="M1511" s="21">
        <f>COUNTIF($A$2:$A$5481,A1511)</f>
        <v>1</v>
      </c>
      <c r="N1511" s="24">
        <f t="shared" si="23"/>
        <v>16.9291511</v>
      </c>
    </row>
    <row r="1512" spans="1:14">
      <c r="A1512" s="21" t="s">
        <v>2056</v>
      </c>
      <c r="B1512" s="21" t="s">
        <v>920</v>
      </c>
      <c r="C1512" s="21" t="s">
        <v>35</v>
      </c>
      <c r="D1512" s="21" t="s">
        <v>921</v>
      </c>
      <c r="E1512" s="21">
        <v>7.5</v>
      </c>
      <c r="F1512" s="22">
        <v>45364.5104166667</v>
      </c>
      <c r="G1512" s="22"/>
      <c r="H1512" s="23">
        <v>356.25</v>
      </c>
      <c r="I1512" s="23">
        <v>47.5</v>
      </c>
      <c r="J1512" s="24">
        <v>356.25</v>
      </c>
      <c r="K1512" s="21">
        <v>0</v>
      </c>
      <c r="L1512" s="21">
        <v>0</v>
      </c>
      <c r="M1512" s="21">
        <f>COUNTIF($A$2:$A$5481,A1512)</f>
        <v>1</v>
      </c>
      <c r="N1512" s="24">
        <f t="shared" si="23"/>
        <v>356.2501512</v>
      </c>
    </row>
    <row r="1513" spans="1:14">
      <c r="A1513" s="21" t="s">
        <v>2057</v>
      </c>
      <c r="B1513" s="21" t="s">
        <v>920</v>
      </c>
      <c r="C1513" s="21" t="s">
        <v>35</v>
      </c>
      <c r="D1513" s="21" t="s">
        <v>921</v>
      </c>
      <c r="E1513" s="21">
        <v>3</v>
      </c>
      <c r="F1513" s="22">
        <v>45981.3548148148</v>
      </c>
      <c r="G1513" s="22"/>
      <c r="H1513" s="23">
        <v>249.57</v>
      </c>
      <c r="I1513" s="23">
        <v>83.19</v>
      </c>
      <c r="J1513" s="24">
        <v>249.57</v>
      </c>
      <c r="K1513" s="21">
        <v>0</v>
      </c>
      <c r="L1513" s="21">
        <v>0</v>
      </c>
      <c r="M1513" s="21">
        <f>COUNTIF($A$2:$A$5481,A1513)</f>
        <v>1</v>
      </c>
      <c r="N1513" s="24">
        <f t="shared" si="23"/>
        <v>249.5701513</v>
      </c>
    </row>
    <row r="1514" spans="1:14">
      <c r="A1514" s="21" t="s">
        <v>2058</v>
      </c>
      <c r="B1514" s="21" t="s">
        <v>920</v>
      </c>
      <c r="C1514" s="21" t="s">
        <v>35</v>
      </c>
      <c r="D1514" s="21" t="s">
        <v>921</v>
      </c>
      <c r="E1514" s="21">
        <v>2</v>
      </c>
      <c r="F1514" s="22">
        <v>45981.3548148148</v>
      </c>
      <c r="G1514" s="22"/>
      <c r="H1514" s="23">
        <v>8.1</v>
      </c>
      <c r="I1514" s="23">
        <v>4.05</v>
      </c>
      <c r="J1514" s="24">
        <v>8.1</v>
      </c>
      <c r="K1514" s="21">
        <v>0</v>
      </c>
      <c r="L1514" s="21">
        <v>0</v>
      </c>
      <c r="M1514" s="21">
        <f>COUNTIF($A$2:$A$5481,A1514)</f>
        <v>1</v>
      </c>
      <c r="N1514" s="24">
        <f t="shared" si="23"/>
        <v>8.1001514</v>
      </c>
    </row>
    <row r="1515" spans="1:14">
      <c r="A1515" s="21" t="s">
        <v>2059</v>
      </c>
      <c r="B1515" s="21" t="s">
        <v>920</v>
      </c>
      <c r="C1515" s="21" t="s">
        <v>35</v>
      </c>
      <c r="D1515" s="21" t="s">
        <v>921</v>
      </c>
      <c r="E1515" s="21">
        <v>2</v>
      </c>
      <c r="F1515" s="22">
        <v>45981.3548148148</v>
      </c>
      <c r="G1515" s="22"/>
      <c r="H1515" s="23">
        <v>18.96</v>
      </c>
      <c r="I1515" s="23">
        <v>9.48</v>
      </c>
      <c r="J1515" s="24">
        <v>18.96</v>
      </c>
      <c r="K1515" s="21">
        <v>0</v>
      </c>
      <c r="L1515" s="21">
        <v>0</v>
      </c>
      <c r="M1515" s="21">
        <f>COUNTIF($A$2:$A$5481,A1515)</f>
        <v>1</v>
      </c>
      <c r="N1515" s="24">
        <f t="shared" si="23"/>
        <v>18.9601515</v>
      </c>
    </row>
    <row r="1516" spans="1:14">
      <c r="A1516" s="21" t="s">
        <v>478</v>
      </c>
      <c r="B1516" s="21" t="s">
        <v>926</v>
      </c>
      <c r="C1516" s="21" t="s">
        <v>26</v>
      </c>
      <c r="D1516" s="21" t="s">
        <v>921</v>
      </c>
      <c r="E1516" s="21">
        <v>1</v>
      </c>
      <c r="F1516" s="22">
        <v>45667.33125</v>
      </c>
      <c r="G1516" s="22">
        <v>46220.6052546296</v>
      </c>
      <c r="H1516" s="23">
        <v>251.8</v>
      </c>
      <c r="I1516" s="23">
        <v>125.9</v>
      </c>
      <c r="J1516" s="24">
        <v>125.9</v>
      </c>
      <c r="K1516" s="21">
        <v>0</v>
      </c>
      <c r="L1516" s="21">
        <v>0</v>
      </c>
      <c r="M1516" s="21">
        <f>COUNTIF($A$2:$A$5481,A1516)</f>
        <v>4</v>
      </c>
      <c r="N1516" s="24">
        <f t="shared" si="23"/>
        <v>125.9001516</v>
      </c>
    </row>
    <row r="1517" spans="1:14">
      <c r="A1517" s="21" t="s">
        <v>478</v>
      </c>
      <c r="B1517" s="21" t="s">
        <v>926</v>
      </c>
      <c r="C1517" s="21" t="s">
        <v>51</v>
      </c>
      <c r="D1517" s="21" t="s">
        <v>921</v>
      </c>
      <c r="E1517" s="21">
        <v>3</v>
      </c>
      <c r="F1517" s="22">
        <v>45762.3576967593</v>
      </c>
      <c r="G1517" s="22">
        <v>45832.3936805556</v>
      </c>
      <c r="H1517" s="23">
        <v>382.12</v>
      </c>
      <c r="I1517" s="23">
        <v>95.53</v>
      </c>
      <c r="J1517" s="24">
        <v>286.59</v>
      </c>
      <c r="K1517" s="21">
        <v>0</v>
      </c>
      <c r="L1517" s="21">
        <v>0</v>
      </c>
      <c r="M1517" s="21">
        <f>COUNTIF($A$2:$A$5481,A1517)</f>
        <v>4</v>
      </c>
      <c r="N1517" s="24">
        <f t="shared" si="23"/>
        <v>286.5901517</v>
      </c>
    </row>
    <row r="1518" spans="1:14">
      <c r="A1518" s="21" t="s">
        <v>478</v>
      </c>
      <c r="B1518" s="21" t="s">
        <v>926</v>
      </c>
      <c r="C1518" s="21" t="s">
        <v>182</v>
      </c>
      <c r="D1518" s="21" t="s">
        <v>921</v>
      </c>
      <c r="E1518" s="21">
        <v>2</v>
      </c>
      <c r="F1518" s="22">
        <v>46001.3949768519</v>
      </c>
      <c r="G1518" s="22"/>
      <c r="H1518" s="23">
        <v>199.66</v>
      </c>
      <c r="I1518" s="23">
        <v>99.83</v>
      </c>
      <c r="J1518" s="24">
        <v>199.66</v>
      </c>
      <c r="K1518" s="21">
        <v>0</v>
      </c>
      <c r="L1518" s="21">
        <v>0</v>
      </c>
      <c r="M1518" s="21">
        <f>COUNTIF($A$2:$A$5481,A1518)</f>
        <v>4</v>
      </c>
      <c r="N1518" s="24">
        <f t="shared" si="23"/>
        <v>199.6601518</v>
      </c>
    </row>
    <row r="1519" spans="1:14">
      <c r="A1519" s="21" t="s">
        <v>478</v>
      </c>
      <c r="B1519" s="21" t="s">
        <v>926</v>
      </c>
      <c r="C1519" s="21" t="s">
        <v>38</v>
      </c>
      <c r="D1519" s="21" t="s">
        <v>921</v>
      </c>
      <c r="E1519" s="21">
        <v>7</v>
      </c>
      <c r="F1519" s="22">
        <v>46092.5319444445</v>
      </c>
      <c r="G1519" s="22">
        <v>45898.4329398148</v>
      </c>
      <c r="H1519" s="23">
        <v>303.8</v>
      </c>
      <c r="I1519" s="23">
        <v>77.3314285714</v>
      </c>
      <c r="J1519" s="24">
        <v>541.31</v>
      </c>
      <c r="K1519" s="21">
        <v>0</v>
      </c>
      <c r="L1519" s="21">
        <v>0</v>
      </c>
      <c r="M1519" s="21">
        <f>COUNTIF($A$2:$A$5481,A1519)</f>
        <v>4</v>
      </c>
      <c r="N1519" s="24">
        <f t="shared" si="23"/>
        <v>541.3101519</v>
      </c>
    </row>
    <row r="1520" spans="1:14">
      <c r="A1520" s="21" t="s">
        <v>556</v>
      </c>
      <c r="B1520" s="21" t="s">
        <v>920</v>
      </c>
      <c r="C1520" s="21" t="s">
        <v>26</v>
      </c>
      <c r="D1520" s="21" t="s">
        <v>921</v>
      </c>
      <c r="E1520" s="21">
        <v>0</v>
      </c>
      <c r="F1520" s="22">
        <v>46181.8289814815</v>
      </c>
      <c r="G1520" s="22">
        <v>46251.7296412037</v>
      </c>
      <c r="H1520" s="23">
        <v>59.8</v>
      </c>
      <c r="I1520" s="23">
        <v>29.9</v>
      </c>
      <c r="J1520" s="24">
        <v>0</v>
      </c>
      <c r="K1520" s="21">
        <v>0</v>
      </c>
      <c r="L1520" s="21">
        <v>0</v>
      </c>
      <c r="M1520" s="21">
        <f>COUNTIF($A$2:$A$5481,A1520)</f>
        <v>1</v>
      </c>
      <c r="N1520" s="24">
        <f t="shared" si="23"/>
        <v>0.000152</v>
      </c>
    </row>
    <row r="1521" spans="1:14">
      <c r="A1521" s="21" t="s">
        <v>2060</v>
      </c>
      <c r="B1521" s="21" t="s">
        <v>949</v>
      </c>
      <c r="C1521" s="21" t="s">
        <v>182</v>
      </c>
      <c r="D1521" s="21" t="s">
        <v>921</v>
      </c>
      <c r="E1521" s="21">
        <v>0</v>
      </c>
      <c r="F1521" s="22">
        <v>45307.3745601852</v>
      </c>
      <c r="G1521" s="22">
        <v>45310.4239236111</v>
      </c>
      <c r="H1521" s="23">
        <v>7.98</v>
      </c>
      <c r="I1521" s="23">
        <v>3.99</v>
      </c>
      <c r="J1521" s="24">
        <v>0</v>
      </c>
      <c r="K1521" s="21">
        <v>0</v>
      </c>
      <c r="L1521" s="21">
        <v>0</v>
      </c>
      <c r="M1521" s="21">
        <f>COUNTIF($A$2:$A$5481,A1521)</f>
        <v>2</v>
      </c>
      <c r="N1521" s="24">
        <f t="shared" si="23"/>
        <v>0.0001521</v>
      </c>
    </row>
    <row r="1522" spans="1:14">
      <c r="A1522" s="21" t="s">
        <v>2060</v>
      </c>
      <c r="B1522" s="21" t="s">
        <v>949</v>
      </c>
      <c r="C1522" s="21" t="s">
        <v>26</v>
      </c>
      <c r="D1522" s="21" t="s">
        <v>921</v>
      </c>
      <c r="E1522" s="21">
        <v>7.2</v>
      </c>
      <c r="F1522" s="22">
        <v>45338.3729166667</v>
      </c>
      <c r="G1522" s="22">
        <v>45324.4905092593</v>
      </c>
      <c r="H1522" s="23">
        <v>31.104</v>
      </c>
      <c r="I1522" s="23">
        <v>4.32</v>
      </c>
      <c r="J1522" s="24">
        <v>31.104</v>
      </c>
      <c r="K1522" s="21">
        <v>0</v>
      </c>
      <c r="L1522" s="21">
        <v>0</v>
      </c>
      <c r="M1522" s="21">
        <f>COUNTIF($A$2:$A$5481,A1522)</f>
        <v>2</v>
      </c>
      <c r="N1522" s="24">
        <f t="shared" si="23"/>
        <v>31.1041522</v>
      </c>
    </row>
    <row r="1523" spans="1:14">
      <c r="A1523" s="21" t="s">
        <v>2061</v>
      </c>
      <c r="B1523" s="21" t="s">
        <v>929</v>
      </c>
      <c r="C1523" s="21" t="s">
        <v>414</v>
      </c>
      <c r="D1523" s="21" t="s">
        <v>921</v>
      </c>
      <c r="E1523" s="21">
        <v>2</v>
      </c>
      <c r="F1523" s="22">
        <v>45337.8144560185</v>
      </c>
      <c r="G1523" s="22"/>
      <c r="H1523" s="23">
        <v>90</v>
      </c>
      <c r="I1523" s="23">
        <v>45</v>
      </c>
      <c r="J1523" s="24">
        <v>90</v>
      </c>
      <c r="K1523" s="21">
        <v>0</v>
      </c>
      <c r="L1523" s="21">
        <v>0</v>
      </c>
      <c r="M1523" s="21">
        <f>COUNTIF($A$2:$A$5481,A1523)</f>
        <v>1</v>
      </c>
      <c r="N1523" s="24">
        <f t="shared" si="23"/>
        <v>90.0001523</v>
      </c>
    </row>
    <row r="1524" spans="1:14">
      <c r="A1524" s="21" t="s">
        <v>2062</v>
      </c>
      <c r="B1524" s="21" t="s">
        <v>929</v>
      </c>
      <c r="C1524" s="21" t="s">
        <v>26</v>
      </c>
      <c r="D1524" s="21" t="s">
        <v>921</v>
      </c>
      <c r="E1524" s="21">
        <v>2</v>
      </c>
      <c r="F1524" s="22">
        <v>45527.6671180556</v>
      </c>
      <c r="G1524" s="22"/>
      <c r="H1524" s="23">
        <v>233.9</v>
      </c>
      <c r="I1524" s="23">
        <v>233.9</v>
      </c>
      <c r="J1524" s="24">
        <v>467.8</v>
      </c>
      <c r="K1524" s="21">
        <v>0</v>
      </c>
      <c r="L1524" s="21">
        <v>0</v>
      </c>
      <c r="M1524" s="21">
        <f>COUNTIF($A$2:$A$5481,A1524)</f>
        <v>1</v>
      </c>
      <c r="N1524" s="24">
        <f t="shared" si="23"/>
        <v>467.8001524</v>
      </c>
    </row>
    <row r="1525" spans="1:14">
      <c r="A1525" s="21" t="s">
        <v>2063</v>
      </c>
      <c r="B1525" s="21" t="s">
        <v>929</v>
      </c>
      <c r="C1525" s="21" t="s">
        <v>414</v>
      </c>
      <c r="D1525" s="21" t="s">
        <v>921</v>
      </c>
      <c r="E1525" s="21">
        <v>1</v>
      </c>
      <c r="F1525" s="22">
        <v>45310.703125</v>
      </c>
      <c r="G1525" s="22"/>
      <c r="H1525" s="23">
        <v>29.07</v>
      </c>
      <c r="I1525" s="23">
        <v>29.07</v>
      </c>
      <c r="J1525" s="24">
        <v>29.07</v>
      </c>
      <c r="K1525" s="21">
        <v>0</v>
      </c>
      <c r="L1525" s="21">
        <v>0</v>
      </c>
      <c r="M1525" s="21">
        <f>COUNTIF($A$2:$A$5481,A1525)</f>
        <v>1</v>
      </c>
      <c r="N1525" s="24">
        <f t="shared" si="23"/>
        <v>29.0701525</v>
      </c>
    </row>
    <row r="1526" spans="1:14">
      <c r="A1526" s="21" t="s">
        <v>2064</v>
      </c>
      <c r="B1526" s="21" t="s">
        <v>26</v>
      </c>
      <c r="C1526" s="21" t="s">
        <v>26</v>
      </c>
      <c r="D1526" s="21" t="s">
        <v>921</v>
      </c>
      <c r="E1526" s="21">
        <v>0</v>
      </c>
      <c r="F1526" s="22">
        <v>45482.3593865741</v>
      </c>
      <c r="G1526" s="22">
        <v>45547.4833796296</v>
      </c>
      <c r="H1526" s="23">
        <v>51</v>
      </c>
      <c r="I1526" s="23">
        <v>51</v>
      </c>
      <c r="J1526" s="24">
        <v>0</v>
      </c>
      <c r="K1526" s="21">
        <v>0</v>
      </c>
      <c r="L1526" s="21">
        <v>0</v>
      </c>
      <c r="M1526" s="21">
        <f>COUNTIF($A$2:$A$5481,A1526)</f>
        <v>1</v>
      </c>
      <c r="N1526" s="24">
        <f t="shared" si="23"/>
        <v>0.0001526</v>
      </c>
    </row>
    <row r="1527" spans="1:14">
      <c r="A1527" s="21" t="s">
        <v>2065</v>
      </c>
      <c r="B1527" s="21" t="s">
        <v>920</v>
      </c>
      <c r="C1527" s="21" t="s">
        <v>35</v>
      </c>
      <c r="D1527" s="21" t="s">
        <v>921</v>
      </c>
      <c r="E1527" s="21">
        <v>10</v>
      </c>
      <c r="F1527" s="22">
        <v>45384.5604861111</v>
      </c>
      <c r="G1527" s="22"/>
      <c r="H1527" s="23">
        <v>120</v>
      </c>
      <c r="I1527" s="23">
        <v>12</v>
      </c>
      <c r="J1527" s="24">
        <v>120</v>
      </c>
      <c r="K1527" s="21">
        <v>0</v>
      </c>
      <c r="L1527" s="21">
        <v>0</v>
      </c>
      <c r="M1527" s="21">
        <f>COUNTIF($A$2:$A$5481,A1527)</f>
        <v>2</v>
      </c>
      <c r="N1527" s="24">
        <f t="shared" si="23"/>
        <v>120.0001527</v>
      </c>
    </row>
    <row r="1528" spans="1:14">
      <c r="A1528" s="21" t="s">
        <v>2065</v>
      </c>
      <c r="B1528" s="21" t="s">
        <v>920</v>
      </c>
      <c r="C1528" s="21" t="s">
        <v>26</v>
      </c>
      <c r="D1528" s="21" t="s">
        <v>921</v>
      </c>
      <c r="E1528" s="21">
        <v>20</v>
      </c>
      <c r="F1528" s="22">
        <v>45404.8201157407</v>
      </c>
      <c r="G1528" s="22"/>
      <c r="H1528" s="23">
        <v>120</v>
      </c>
      <c r="I1528" s="23">
        <v>12</v>
      </c>
      <c r="J1528" s="24">
        <v>240</v>
      </c>
      <c r="K1528" s="21">
        <v>0</v>
      </c>
      <c r="L1528" s="21">
        <v>0</v>
      </c>
      <c r="M1528" s="21">
        <f>COUNTIF($A$2:$A$5481,A1528)</f>
        <v>2</v>
      </c>
      <c r="N1528" s="24">
        <f t="shared" si="23"/>
        <v>240.0001528</v>
      </c>
    </row>
    <row r="1529" spans="1:14">
      <c r="A1529" s="21" t="s">
        <v>2066</v>
      </c>
      <c r="B1529" s="21" t="s">
        <v>929</v>
      </c>
      <c r="C1529" s="21" t="s">
        <v>26</v>
      </c>
      <c r="D1529" s="21" t="s">
        <v>931</v>
      </c>
      <c r="E1529" s="21">
        <v>23</v>
      </c>
      <c r="F1529" s="22">
        <v>45988.4012962963</v>
      </c>
      <c r="G1529" s="22">
        <v>45989.4453587963</v>
      </c>
      <c r="H1529" s="23">
        <v>540.8</v>
      </c>
      <c r="I1529" s="23">
        <v>64.2533333333</v>
      </c>
      <c r="J1529" s="24">
        <v>1477.75</v>
      </c>
      <c r="K1529" s="21">
        <v>0</v>
      </c>
      <c r="L1529" s="21">
        <v>0</v>
      </c>
      <c r="M1529" s="21">
        <f>COUNTIF($A$2:$A$5481,A1529)</f>
        <v>1</v>
      </c>
      <c r="N1529" s="24">
        <f t="shared" si="23"/>
        <v>1477.7501529</v>
      </c>
    </row>
    <row r="1530" spans="1:14">
      <c r="A1530" s="21" t="s">
        <v>2067</v>
      </c>
      <c r="B1530" s="21" t="s">
        <v>1175</v>
      </c>
      <c r="C1530" s="21" t="s">
        <v>26</v>
      </c>
      <c r="D1530" s="21" t="s">
        <v>921</v>
      </c>
      <c r="E1530" s="21">
        <v>1</v>
      </c>
      <c r="F1530" s="22">
        <v>46085.3736111111</v>
      </c>
      <c r="G1530" s="22"/>
      <c r="H1530" s="23">
        <v>29.99</v>
      </c>
      <c r="I1530" s="23">
        <v>29.99</v>
      </c>
      <c r="J1530" s="24">
        <v>29.99</v>
      </c>
      <c r="K1530" s="21">
        <v>0</v>
      </c>
      <c r="L1530" s="21">
        <v>0</v>
      </c>
      <c r="M1530" s="21">
        <f>COUNTIF($A$2:$A$5481,A1530)</f>
        <v>1</v>
      </c>
      <c r="N1530" s="24">
        <f t="shared" si="23"/>
        <v>29.990153</v>
      </c>
    </row>
    <row r="1531" spans="1:14">
      <c r="A1531" s="21" t="s">
        <v>745</v>
      </c>
      <c r="B1531" s="21" t="s">
        <v>26</v>
      </c>
      <c r="C1531" s="21" t="s">
        <v>26</v>
      </c>
      <c r="D1531" s="21" t="s">
        <v>921</v>
      </c>
      <c r="E1531" s="21">
        <v>0</v>
      </c>
      <c r="F1531" s="22">
        <v>45574.8472685185</v>
      </c>
      <c r="G1531" s="22">
        <v>46252.6094212963</v>
      </c>
      <c r="H1531" s="23">
        <v>50.9</v>
      </c>
      <c r="I1531" s="23">
        <v>50.9</v>
      </c>
      <c r="J1531" s="24">
        <v>0</v>
      </c>
      <c r="K1531" s="21">
        <v>0</v>
      </c>
      <c r="L1531" s="21">
        <v>0</v>
      </c>
      <c r="M1531" s="21">
        <f>COUNTIF($A$2:$A$5481,A1531)</f>
        <v>1</v>
      </c>
      <c r="N1531" s="24">
        <f t="shared" si="23"/>
        <v>0.0001531</v>
      </c>
    </row>
    <row r="1532" spans="1:14">
      <c r="A1532" s="21" t="s">
        <v>2068</v>
      </c>
      <c r="B1532" s="21" t="s">
        <v>1175</v>
      </c>
      <c r="C1532" s="21" t="s">
        <v>26</v>
      </c>
      <c r="D1532" s="21" t="s">
        <v>921</v>
      </c>
      <c r="E1532" s="21">
        <v>1</v>
      </c>
      <c r="F1532" s="22">
        <v>45776.3516319445</v>
      </c>
      <c r="G1532" s="22"/>
      <c r="H1532" s="23">
        <v>20</v>
      </c>
      <c r="I1532" s="23">
        <v>20</v>
      </c>
      <c r="J1532" s="24">
        <v>20</v>
      </c>
      <c r="K1532" s="21">
        <v>0</v>
      </c>
      <c r="L1532" s="21">
        <v>0</v>
      </c>
      <c r="M1532" s="21">
        <f>COUNTIF($A$2:$A$5481,A1532)</f>
        <v>1</v>
      </c>
      <c r="N1532" s="24">
        <f t="shared" si="23"/>
        <v>20.0001532</v>
      </c>
    </row>
    <row r="1533" spans="1:14">
      <c r="A1533" s="21" t="s">
        <v>2069</v>
      </c>
      <c r="B1533" s="21" t="s">
        <v>1175</v>
      </c>
      <c r="C1533" s="21" t="s">
        <v>26</v>
      </c>
      <c r="D1533" s="21" t="s">
        <v>921</v>
      </c>
      <c r="E1533" s="21">
        <v>2</v>
      </c>
      <c r="F1533" s="22">
        <v>45776.3516319445</v>
      </c>
      <c r="G1533" s="22"/>
      <c r="H1533" s="23">
        <v>40</v>
      </c>
      <c r="I1533" s="23">
        <v>20</v>
      </c>
      <c r="J1533" s="24">
        <v>40</v>
      </c>
      <c r="K1533" s="21">
        <v>0</v>
      </c>
      <c r="L1533" s="21">
        <v>0</v>
      </c>
      <c r="M1533" s="21">
        <f>COUNTIF($A$2:$A$5481,A1533)</f>
        <v>1</v>
      </c>
      <c r="N1533" s="24">
        <f t="shared" si="23"/>
        <v>40.0001533</v>
      </c>
    </row>
    <row r="1534" spans="1:14">
      <c r="A1534" s="21" t="s">
        <v>2070</v>
      </c>
      <c r="B1534" s="21" t="s">
        <v>949</v>
      </c>
      <c r="C1534" s="21" t="s">
        <v>26</v>
      </c>
      <c r="D1534" s="21" t="s">
        <v>921</v>
      </c>
      <c r="E1534" s="21">
        <v>1</v>
      </c>
      <c r="F1534" s="22">
        <v>45821.8122685185</v>
      </c>
      <c r="G1534" s="22"/>
      <c r="H1534" s="23">
        <v>30</v>
      </c>
      <c r="I1534" s="23">
        <v>30</v>
      </c>
      <c r="J1534" s="24">
        <v>30</v>
      </c>
      <c r="K1534" s="21">
        <v>0</v>
      </c>
      <c r="L1534" s="21">
        <v>0</v>
      </c>
      <c r="M1534" s="21">
        <f>COUNTIF($A$2:$A$5481,A1534)</f>
        <v>1</v>
      </c>
      <c r="N1534" s="24">
        <f t="shared" si="23"/>
        <v>30.0001534</v>
      </c>
    </row>
    <row r="1535" spans="1:14">
      <c r="A1535" s="21" t="s">
        <v>451</v>
      </c>
      <c r="B1535" s="21" t="s">
        <v>926</v>
      </c>
      <c r="C1535" s="21" t="s">
        <v>38</v>
      </c>
      <c r="D1535" s="21" t="s">
        <v>921</v>
      </c>
      <c r="E1535" s="21">
        <v>238</v>
      </c>
      <c r="F1535" s="22">
        <v>46161.4354166667</v>
      </c>
      <c r="G1535" s="22">
        <v>46227.7263888889</v>
      </c>
      <c r="H1535" s="23">
        <v>301.6</v>
      </c>
      <c r="I1535" s="23">
        <v>3.62</v>
      </c>
      <c r="J1535" s="24">
        <v>861.56</v>
      </c>
      <c r="K1535" s="21">
        <v>0</v>
      </c>
      <c r="L1535" s="21">
        <v>0</v>
      </c>
      <c r="M1535" s="21">
        <f>COUNTIF($A$2:$A$5481,A1535)</f>
        <v>1</v>
      </c>
      <c r="N1535" s="24">
        <f t="shared" si="23"/>
        <v>861.5601535</v>
      </c>
    </row>
    <row r="1536" spans="1:14">
      <c r="A1536" s="21" t="s">
        <v>2071</v>
      </c>
      <c r="B1536" s="21" t="s">
        <v>1346</v>
      </c>
      <c r="C1536" s="21" t="s">
        <v>390</v>
      </c>
      <c r="D1536" s="21" t="s">
        <v>931</v>
      </c>
      <c r="E1536" s="21">
        <v>7</v>
      </c>
      <c r="F1536" s="22">
        <v>45400.340150463</v>
      </c>
      <c r="G1536" s="22">
        <v>45643.566724537</v>
      </c>
      <c r="H1536" s="23">
        <v>390</v>
      </c>
      <c r="I1536" s="23">
        <v>39</v>
      </c>
      <c r="J1536" s="24">
        <v>273</v>
      </c>
      <c r="K1536" s="21">
        <v>0</v>
      </c>
      <c r="L1536" s="21">
        <v>0</v>
      </c>
      <c r="M1536" s="21">
        <f>COUNTIF($A$2:$A$5481,A1536)</f>
        <v>2</v>
      </c>
      <c r="N1536" s="24">
        <f t="shared" si="23"/>
        <v>273.0001536</v>
      </c>
    </row>
    <row r="1537" spans="1:14">
      <c r="A1537" s="21" t="s">
        <v>2071</v>
      </c>
      <c r="B1537" s="21" t="s">
        <v>1346</v>
      </c>
      <c r="C1537" s="21" t="s">
        <v>26</v>
      </c>
      <c r="D1537" s="21" t="s">
        <v>931</v>
      </c>
      <c r="E1537" s="21">
        <v>16</v>
      </c>
      <c r="F1537" s="22">
        <v>46049.577037037</v>
      </c>
      <c r="G1537" s="22">
        <v>45533.4559606482</v>
      </c>
      <c r="H1537" s="23">
        <v>84.48</v>
      </c>
      <c r="I1537" s="23">
        <v>40.255</v>
      </c>
      <c r="J1537" s="24">
        <v>644.16</v>
      </c>
      <c r="K1537" s="21">
        <v>0</v>
      </c>
      <c r="L1537" s="21">
        <v>0</v>
      </c>
      <c r="M1537" s="21">
        <f>COUNTIF($A$2:$A$5481,A1537)</f>
        <v>2</v>
      </c>
      <c r="N1537" s="24">
        <f t="shared" si="23"/>
        <v>644.1601537</v>
      </c>
    </row>
    <row r="1538" spans="1:14">
      <c r="A1538" s="21" t="s">
        <v>2072</v>
      </c>
      <c r="B1538" s="21" t="s">
        <v>1346</v>
      </c>
      <c r="C1538" s="21" t="s">
        <v>26</v>
      </c>
      <c r="D1538" s="21" t="s">
        <v>921</v>
      </c>
      <c r="E1538" s="21">
        <v>6</v>
      </c>
      <c r="F1538" s="22">
        <v>46049.3983449074</v>
      </c>
      <c r="G1538" s="22"/>
      <c r="H1538" s="23">
        <v>96</v>
      </c>
      <c r="I1538" s="23">
        <v>24.7266666667</v>
      </c>
      <c r="J1538" s="24">
        <v>148.38</v>
      </c>
      <c r="K1538" s="21">
        <v>0</v>
      </c>
      <c r="L1538" s="21">
        <v>0</v>
      </c>
      <c r="M1538" s="21">
        <f>COUNTIF($A$2:$A$5481,A1538)</f>
        <v>1</v>
      </c>
      <c r="N1538" s="24">
        <f t="shared" ref="N1538:N1601" si="24">J1538+ROW()/10000000</f>
        <v>148.3801538</v>
      </c>
    </row>
    <row r="1539" spans="1:14">
      <c r="A1539" s="21" t="s">
        <v>2073</v>
      </c>
      <c r="B1539" s="21" t="s">
        <v>948</v>
      </c>
      <c r="C1539" s="21" t="s">
        <v>26</v>
      </c>
      <c r="D1539" s="21" t="s">
        <v>921</v>
      </c>
      <c r="E1539" s="21">
        <v>2</v>
      </c>
      <c r="F1539" s="22">
        <v>45919.4195486111</v>
      </c>
      <c r="G1539" s="22"/>
      <c r="H1539" s="23">
        <v>48</v>
      </c>
      <c r="I1539" s="23">
        <v>24</v>
      </c>
      <c r="J1539" s="24">
        <v>48</v>
      </c>
      <c r="K1539" s="21">
        <v>0</v>
      </c>
      <c r="L1539" s="21">
        <v>0</v>
      </c>
      <c r="M1539" s="21">
        <f>COUNTIF($A$2:$A$5481,A1539)</f>
        <v>1</v>
      </c>
      <c r="N1539" s="24">
        <f t="shared" si="24"/>
        <v>48.0001539</v>
      </c>
    </row>
    <row r="1540" spans="1:14">
      <c r="A1540" s="21" t="s">
        <v>2074</v>
      </c>
      <c r="B1540" s="21" t="s">
        <v>26</v>
      </c>
      <c r="C1540" s="21" t="s">
        <v>26</v>
      </c>
      <c r="D1540" s="21" t="s">
        <v>921</v>
      </c>
      <c r="E1540" s="21">
        <v>4</v>
      </c>
      <c r="F1540" s="22">
        <v>45799.361087963</v>
      </c>
      <c r="G1540" s="22"/>
      <c r="H1540" s="23">
        <v>122.64</v>
      </c>
      <c r="I1540" s="23">
        <v>30.66</v>
      </c>
      <c r="J1540" s="24">
        <v>122.64</v>
      </c>
      <c r="K1540" s="21">
        <v>0</v>
      </c>
      <c r="L1540" s="21">
        <v>0</v>
      </c>
      <c r="M1540" s="21">
        <f>COUNTIF($A$2:$A$5481,A1540)</f>
        <v>1</v>
      </c>
      <c r="N1540" s="24">
        <f t="shared" si="24"/>
        <v>122.640154</v>
      </c>
    </row>
    <row r="1541" spans="1:14">
      <c r="A1541" s="21" t="s">
        <v>2075</v>
      </c>
      <c r="B1541" s="21" t="s">
        <v>948</v>
      </c>
      <c r="C1541" s="21" t="s">
        <v>26</v>
      </c>
      <c r="D1541" s="21" t="s">
        <v>921</v>
      </c>
      <c r="E1541" s="21">
        <v>1</v>
      </c>
      <c r="F1541" s="22">
        <v>46129.4166666667</v>
      </c>
      <c r="G1541" s="22"/>
      <c r="H1541" s="23">
        <v>24</v>
      </c>
      <c r="I1541" s="23">
        <v>24</v>
      </c>
      <c r="J1541" s="24">
        <v>24</v>
      </c>
      <c r="K1541" s="21">
        <v>0</v>
      </c>
      <c r="L1541" s="21">
        <v>0</v>
      </c>
      <c r="M1541" s="21">
        <f>COUNTIF($A$2:$A$5481,A1541)</f>
        <v>1</v>
      </c>
      <c r="N1541" s="24">
        <f t="shared" si="24"/>
        <v>24.0001541</v>
      </c>
    </row>
    <row r="1542" spans="1:14">
      <c r="A1542" s="21" t="s">
        <v>2076</v>
      </c>
      <c r="B1542" s="21" t="s">
        <v>920</v>
      </c>
      <c r="C1542" s="21" t="s">
        <v>26</v>
      </c>
      <c r="D1542" s="21" t="s">
        <v>921</v>
      </c>
      <c r="E1542" s="21">
        <v>7</v>
      </c>
      <c r="F1542" s="22">
        <v>45573.3513888889</v>
      </c>
      <c r="G1542" s="22"/>
      <c r="H1542" s="23">
        <v>86.7</v>
      </c>
      <c r="I1542" s="23">
        <v>18.04286</v>
      </c>
      <c r="J1542" s="24">
        <v>126.28</v>
      </c>
      <c r="K1542" s="21">
        <v>0</v>
      </c>
      <c r="L1542" s="21">
        <v>0</v>
      </c>
      <c r="M1542" s="21">
        <f>COUNTIF($A$2:$A$5481,A1542)</f>
        <v>1</v>
      </c>
      <c r="N1542" s="24">
        <f t="shared" si="24"/>
        <v>126.2801542</v>
      </c>
    </row>
    <row r="1543" spans="1:14">
      <c r="A1543" s="21" t="s">
        <v>678</v>
      </c>
      <c r="B1543" s="21" t="s">
        <v>1115</v>
      </c>
      <c r="C1543" s="21" t="s">
        <v>26</v>
      </c>
      <c r="D1543" s="21" t="s">
        <v>921</v>
      </c>
      <c r="E1543" s="21">
        <v>0</v>
      </c>
      <c r="F1543" s="22">
        <v>46232.7166666667</v>
      </c>
      <c r="G1543" s="22">
        <v>46252.5531134259</v>
      </c>
      <c r="H1543" s="23">
        <v>147.8</v>
      </c>
      <c r="I1543" s="23">
        <v>36.95</v>
      </c>
      <c r="J1543" s="24">
        <v>0</v>
      </c>
      <c r="K1543" s="21">
        <v>0</v>
      </c>
      <c r="L1543" s="21">
        <v>0</v>
      </c>
      <c r="M1543" s="21">
        <f>COUNTIF($A$2:$A$5481,A1543)</f>
        <v>1</v>
      </c>
      <c r="N1543" s="24">
        <f t="shared" si="24"/>
        <v>0.0001543</v>
      </c>
    </row>
    <row r="1544" spans="1:14">
      <c r="A1544" s="21" t="s">
        <v>2077</v>
      </c>
      <c r="B1544" s="21" t="s">
        <v>926</v>
      </c>
      <c r="C1544" s="21" t="s">
        <v>26</v>
      </c>
      <c r="D1544" s="21" t="s">
        <v>921</v>
      </c>
      <c r="E1544" s="21">
        <v>5</v>
      </c>
      <c r="F1544" s="22">
        <v>45810.3642939815</v>
      </c>
      <c r="G1544" s="22"/>
      <c r="H1544" s="23">
        <v>24.75</v>
      </c>
      <c r="I1544" s="23">
        <v>4.95</v>
      </c>
      <c r="J1544" s="24">
        <v>24.75</v>
      </c>
      <c r="K1544" s="21">
        <v>0</v>
      </c>
      <c r="L1544" s="21">
        <v>0</v>
      </c>
      <c r="M1544" s="21">
        <f>COUNTIF($A$2:$A$5481,A1544)</f>
        <v>1</v>
      </c>
      <c r="N1544" s="24">
        <f t="shared" si="24"/>
        <v>24.7501544</v>
      </c>
    </row>
    <row r="1545" spans="1:14">
      <c r="A1545" s="21" t="s">
        <v>2078</v>
      </c>
      <c r="B1545" s="21" t="s">
        <v>926</v>
      </c>
      <c r="C1545" s="21" t="s">
        <v>26</v>
      </c>
      <c r="D1545" s="21" t="s">
        <v>921</v>
      </c>
      <c r="E1545" s="21">
        <v>1</v>
      </c>
      <c r="F1545" s="22">
        <v>45810.3642939815</v>
      </c>
      <c r="G1545" s="22">
        <v>45881.3993402778</v>
      </c>
      <c r="H1545" s="23">
        <v>29.7</v>
      </c>
      <c r="I1545" s="23">
        <v>4.95</v>
      </c>
      <c r="J1545" s="24">
        <v>4.95</v>
      </c>
      <c r="K1545" s="21">
        <v>0</v>
      </c>
      <c r="L1545" s="21">
        <v>0</v>
      </c>
      <c r="M1545" s="21">
        <f>COUNTIF($A$2:$A$5481,A1545)</f>
        <v>2</v>
      </c>
      <c r="N1545" s="24">
        <f t="shared" si="24"/>
        <v>4.9501545</v>
      </c>
    </row>
    <row r="1546" spans="1:14">
      <c r="A1546" s="21" t="s">
        <v>2078</v>
      </c>
      <c r="B1546" s="21" t="s">
        <v>926</v>
      </c>
      <c r="C1546" s="21" t="s">
        <v>38</v>
      </c>
      <c r="D1546" s="21" t="s">
        <v>921</v>
      </c>
      <c r="E1546" s="21">
        <v>16</v>
      </c>
      <c r="F1546" s="22">
        <v>45979.4186921296</v>
      </c>
      <c r="G1546" s="22"/>
      <c r="H1546" s="23">
        <v>77.28</v>
      </c>
      <c r="I1546" s="23">
        <v>4.83</v>
      </c>
      <c r="J1546" s="24">
        <v>77.28</v>
      </c>
      <c r="K1546" s="21">
        <v>0</v>
      </c>
      <c r="L1546" s="21">
        <v>0</v>
      </c>
      <c r="M1546" s="21">
        <f>COUNTIF($A$2:$A$5481,A1546)</f>
        <v>2</v>
      </c>
      <c r="N1546" s="24">
        <f t="shared" si="24"/>
        <v>77.2801546</v>
      </c>
    </row>
    <row r="1547" spans="1:14">
      <c r="A1547" s="21" t="s">
        <v>2079</v>
      </c>
      <c r="B1547" s="21" t="s">
        <v>926</v>
      </c>
      <c r="C1547" s="21" t="s">
        <v>26</v>
      </c>
      <c r="D1547" s="21" t="s">
        <v>921</v>
      </c>
      <c r="E1547" s="21">
        <v>26</v>
      </c>
      <c r="F1547" s="22">
        <v>45847.8334837963</v>
      </c>
      <c r="G1547" s="22">
        <v>45877.417349537</v>
      </c>
      <c r="H1547" s="23">
        <v>119.76</v>
      </c>
      <c r="I1547" s="23">
        <v>5.4645714286</v>
      </c>
      <c r="J1547" s="24">
        <v>141.96</v>
      </c>
      <c r="K1547" s="21">
        <v>0</v>
      </c>
      <c r="L1547" s="21">
        <v>0</v>
      </c>
      <c r="M1547" s="21">
        <f>COUNTIF($A$2:$A$5481,A1547)</f>
        <v>1</v>
      </c>
      <c r="N1547" s="24">
        <f t="shared" si="24"/>
        <v>141.9601547</v>
      </c>
    </row>
    <row r="1548" spans="1:14">
      <c r="A1548" s="21" t="s">
        <v>64</v>
      </c>
      <c r="B1548" s="21" t="s">
        <v>926</v>
      </c>
      <c r="C1548" s="21" t="s">
        <v>38</v>
      </c>
      <c r="D1548" s="21" t="s">
        <v>921</v>
      </c>
      <c r="E1548" s="21">
        <v>129</v>
      </c>
      <c r="F1548" s="22">
        <v>45518.7333333333</v>
      </c>
      <c r="G1548" s="22">
        <v>45870.4147453704</v>
      </c>
      <c r="H1548" s="23">
        <v>113.04</v>
      </c>
      <c r="I1548" s="23">
        <v>6.3089</v>
      </c>
      <c r="J1548" s="24">
        <v>813.99</v>
      </c>
      <c r="K1548" s="21">
        <v>0</v>
      </c>
      <c r="L1548" s="21">
        <v>0</v>
      </c>
      <c r="M1548" s="21">
        <f>COUNTIF($A$2:$A$5481,A1548)</f>
        <v>2</v>
      </c>
      <c r="N1548" s="24">
        <f t="shared" si="24"/>
        <v>813.9901548</v>
      </c>
    </row>
    <row r="1549" spans="1:14">
      <c r="A1549" s="21" t="s">
        <v>64</v>
      </c>
      <c r="B1549" s="21" t="s">
        <v>926</v>
      </c>
      <c r="C1549" s="21" t="s">
        <v>26</v>
      </c>
      <c r="D1549" s="21" t="s">
        <v>921</v>
      </c>
      <c r="E1549" s="21">
        <v>83</v>
      </c>
      <c r="F1549" s="22">
        <v>45810.3642939815</v>
      </c>
      <c r="G1549" s="22">
        <v>46265.5863657407</v>
      </c>
      <c r="H1549" s="23">
        <v>7.9</v>
      </c>
      <c r="I1549" s="23">
        <v>5.91333</v>
      </c>
      <c r="J1549" s="24">
        <v>490.53</v>
      </c>
      <c r="K1549" s="21">
        <v>0</v>
      </c>
      <c r="L1549" s="21">
        <v>0</v>
      </c>
      <c r="M1549" s="21">
        <f>COUNTIF($A$2:$A$5481,A1549)</f>
        <v>2</v>
      </c>
      <c r="N1549" s="24">
        <f t="shared" si="24"/>
        <v>490.5301549</v>
      </c>
    </row>
    <row r="1550" spans="1:14">
      <c r="A1550" s="21" t="s">
        <v>2080</v>
      </c>
      <c r="B1550" s="21" t="s">
        <v>26</v>
      </c>
      <c r="C1550" s="21" t="s">
        <v>26</v>
      </c>
      <c r="D1550" s="21" t="s">
        <v>921</v>
      </c>
      <c r="E1550" s="21">
        <v>3</v>
      </c>
      <c r="F1550" s="22">
        <v>45573.3513888889</v>
      </c>
      <c r="G1550" s="22"/>
      <c r="H1550" s="23">
        <v>67.8</v>
      </c>
      <c r="I1550" s="23">
        <v>32.43333</v>
      </c>
      <c r="J1550" s="24">
        <v>97.29</v>
      </c>
      <c r="K1550" s="21">
        <v>0</v>
      </c>
      <c r="L1550" s="21">
        <v>0</v>
      </c>
      <c r="M1550" s="21">
        <f>COUNTIF($A$2:$A$5481,A1550)</f>
        <v>1</v>
      </c>
      <c r="N1550" s="24">
        <f t="shared" si="24"/>
        <v>97.290155</v>
      </c>
    </row>
    <row r="1551" spans="1:14">
      <c r="A1551" s="21" t="s">
        <v>2081</v>
      </c>
      <c r="B1551" s="21" t="s">
        <v>920</v>
      </c>
      <c r="C1551" s="21" t="s">
        <v>26</v>
      </c>
      <c r="D1551" s="21" t="s">
        <v>921</v>
      </c>
      <c r="E1551" s="21">
        <v>2</v>
      </c>
      <c r="F1551" s="22">
        <v>45789.4220138889</v>
      </c>
      <c r="G1551" s="22"/>
      <c r="H1551" s="23">
        <v>18.76</v>
      </c>
      <c r="I1551" s="23">
        <v>9.38</v>
      </c>
      <c r="J1551" s="24">
        <v>18.76</v>
      </c>
      <c r="K1551" s="21">
        <v>0</v>
      </c>
      <c r="L1551" s="21">
        <v>0</v>
      </c>
      <c r="M1551" s="21">
        <f>COUNTIF($A$2:$A$5481,A1551)</f>
        <v>1</v>
      </c>
      <c r="N1551" s="24">
        <f t="shared" si="24"/>
        <v>18.7601551</v>
      </c>
    </row>
    <row r="1552" spans="1:14">
      <c r="A1552" s="21" t="s">
        <v>2082</v>
      </c>
      <c r="B1552" s="21" t="s">
        <v>920</v>
      </c>
      <c r="C1552" s="21" t="s">
        <v>35</v>
      </c>
      <c r="D1552" s="21" t="s">
        <v>921</v>
      </c>
      <c r="E1552" s="21">
        <v>2</v>
      </c>
      <c r="F1552" s="22">
        <v>45267.5922106481</v>
      </c>
      <c r="G1552" s="22"/>
      <c r="H1552" s="23">
        <v>36</v>
      </c>
      <c r="I1552" s="23">
        <v>18</v>
      </c>
      <c r="J1552" s="24">
        <v>36</v>
      </c>
      <c r="K1552" s="21">
        <v>0</v>
      </c>
      <c r="L1552" s="21">
        <v>0</v>
      </c>
      <c r="M1552" s="21">
        <f>COUNTIF($A$2:$A$5481,A1552)</f>
        <v>1</v>
      </c>
      <c r="N1552" s="24">
        <f t="shared" si="24"/>
        <v>36.0001552</v>
      </c>
    </row>
    <row r="1553" spans="1:14">
      <c r="A1553" s="21" t="s">
        <v>734</v>
      </c>
      <c r="B1553" s="21" t="s">
        <v>1175</v>
      </c>
      <c r="C1553" s="21" t="s">
        <v>26</v>
      </c>
      <c r="D1553" s="21" t="s">
        <v>931</v>
      </c>
      <c r="E1553" s="21">
        <v>0</v>
      </c>
      <c r="F1553" s="22">
        <v>45755.4708333333</v>
      </c>
      <c r="G1553" s="22">
        <v>46252.5693518519</v>
      </c>
      <c r="H1553" s="23">
        <v>54.14</v>
      </c>
      <c r="I1553" s="23">
        <v>27.07</v>
      </c>
      <c r="J1553" s="24">
        <v>0</v>
      </c>
      <c r="K1553" s="21">
        <v>0</v>
      </c>
      <c r="L1553" s="21">
        <v>0</v>
      </c>
      <c r="M1553" s="21">
        <f>COUNTIF($A$2:$A$5481,A1553)</f>
        <v>1</v>
      </c>
      <c r="N1553" s="24">
        <f t="shared" si="24"/>
        <v>0.0001553</v>
      </c>
    </row>
    <row r="1554" spans="1:14">
      <c r="A1554" s="21" t="s">
        <v>2083</v>
      </c>
      <c r="B1554" s="21" t="s">
        <v>26</v>
      </c>
      <c r="C1554" s="21" t="s">
        <v>182</v>
      </c>
      <c r="D1554" s="21" t="s">
        <v>921</v>
      </c>
      <c r="E1554" s="21">
        <v>2</v>
      </c>
      <c r="F1554" s="22">
        <v>45299.6062847222</v>
      </c>
      <c r="G1554" s="22"/>
      <c r="H1554" s="23">
        <v>212.4</v>
      </c>
      <c r="I1554" s="23">
        <v>106.2</v>
      </c>
      <c r="J1554" s="24">
        <v>212.4</v>
      </c>
      <c r="K1554" s="21">
        <v>0</v>
      </c>
      <c r="L1554" s="21">
        <v>0</v>
      </c>
      <c r="M1554" s="21">
        <f>COUNTIF($A$2:$A$5481,A1554)</f>
        <v>3</v>
      </c>
      <c r="N1554" s="24">
        <f t="shared" si="24"/>
        <v>212.4001554</v>
      </c>
    </row>
    <row r="1555" spans="1:14">
      <c r="A1555" s="21" t="s">
        <v>2083</v>
      </c>
      <c r="B1555" s="21" t="s">
        <v>26</v>
      </c>
      <c r="C1555" s="21" t="s">
        <v>26</v>
      </c>
      <c r="D1555" s="21" t="s">
        <v>921</v>
      </c>
      <c r="E1555" s="21">
        <v>6</v>
      </c>
      <c r="F1555" s="22">
        <v>45856.6925925926</v>
      </c>
      <c r="G1555" s="22"/>
      <c r="H1555" s="23">
        <v>143.98</v>
      </c>
      <c r="I1555" s="23">
        <v>38.99667</v>
      </c>
      <c r="J1555" s="24">
        <v>234</v>
      </c>
      <c r="K1555" s="21">
        <v>0</v>
      </c>
      <c r="L1555" s="21">
        <v>0</v>
      </c>
      <c r="M1555" s="21">
        <f>COUNTIF($A$2:$A$5481,A1555)</f>
        <v>3</v>
      </c>
      <c r="N1555" s="24">
        <f t="shared" si="24"/>
        <v>234.0001555</v>
      </c>
    </row>
    <row r="1556" spans="1:14">
      <c r="A1556" s="21" t="s">
        <v>2083</v>
      </c>
      <c r="B1556" s="21" t="s">
        <v>26</v>
      </c>
      <c r="C1556" s="21" t="s">
        <v>628</v>
      </c>
      <c r="D1556" s="21" t="s">
        <v>921</v>
      </c>
      <c r="E1556" s="21">
        <v>1</v>
      </c>
      <c r="F1556" s="22">
        <v>46229.6583333333</v>
      </c>
      <c r="G1556" s="22"/>
      <c r="H1556" s="23">
        <v>96.2</v>
      </c>
      <c r="I1556" s="23">
        <v>96.2</v>
      </c>
      <c r="J1556" s="24">
        <v>96.2</v>
      </c>
      <c r="K1556" s="21">
        <v>0</v>
      </c>
      <c r="L1556" s="21">
        <v>0</v>
      </c>
      <c r="M1556" s="21">
        <f>COUNTIF($A$2:$A$5481,A1556)</f>
        <v>3</v>
      </c>
      <c r="N1556" s="24">
        <f t="shared" si="24"/>
        <v>96.2001556</v>
      </c>
    </row>
    <row r="1557" spans="1:14">
      <c r="A1557" s="21" t="s">
        <v>2084</v>
      </c>
      <c r="B1557" s="21" t="s">
        <v>926</v>
      </c>
      <c r="C1557" s="21" t="s">
        <v>26</v>
      </c>
      <c r="D1557" s="21" t="s">
        <v>921</v>
      </c>
      <c r="E1557" s="21">
        <v>2</v>
      </c>
      <c r="F1557" s="22">
        <v>45945.3633680556</v>
      </c>
      <c r="G1557" s="22"/>
      <c r="H1557" s="23">
        <v>6.9</v>
      </c>
      <c r="I1557" s="23">
        <v>6.575</v>
      </c>
      <c r="J1557" s="24">
        <v>13.16</v>
      </c>
      <c r="K1557" s="21">
        <v>0</v>
      </c>
      <c r="L1557" s="21">
        <v>0</v>
      </c>
      <c r="M1557" s="21">
        <f>COUNTIF($A$2:$A$5481,A1557)</f>
        <v>1</v>
      </c>
      <c r="N1557" s="24">
        <f t="shared" si="24"/>
        <v>13.1601557</v>
      </c>
    </row>
    <row r="1558" spans="1:14">
      <c r="A1558" s="21" t="s">
        <v>2085</v>
      </c>
      <c r="B1558" s="21" t="s">
        <v>1898</v>
      </c>
      <c r="C1558" s="21" t="s">
        <v>182</v>
      </c>
      <c r="D1558" s="21" t="s">
        <v>921</v>
      </c>
      <c r="E1558" s="21">
        <v>18</v>
      </c>
      <c r="F1558" s="22">
        <v>46064.4147453704</v>
      </c>
      <c r="G1558" s="22"/>
      <c r="H1558" s="23">
        <v>161.12</v>
      </c>
      <c r="I1558" s="23">
        <v>18.3511111111</v>
      </c>
      <c r="J1558" s="24">
        <v>330.3</v>
      </c>
      <c r="K1558" s="21">
        <v>0</v>
      </c>
      <c r="L1558" s="21">
        <v>0</v>
      </c>
      <c r="M1558" s="21">
        <f>COUNTIF($A$2:$A$5481,A1558)</f>
        <v>1</v>
      </c>
      <c r="N1558" s="24">
        <f t="shared" si="24"/>
        <v>330.3001558</v>
      </c>
    </row>
    <row r="1559" spans="1:14">
      <c r="A1559" s="21" t="s">
        <v>594</v>
      </c>
      <c r="B1559" s="21" t="s">
        <v>920</v>
      </c>
      <c r="C1559" s="21" t="s">
        <v>35</v>
      </c>
      <c r="D1559" s="21" t="s">
        <v>921</v>
      </c>
      <c r="E1559" s="21">
        <v>4</v>
      </c>
      <c r="F1559" s="22">
        <v>45313.7501157407</v>
      </c>
      <c r="G1559" s="22"/>
      <c r="H1559" s="23">
        <v>288.7168</v>
      </c>
      <c r="I1559" s="23">
        <v>72.1792</v>
      </c>
      <c r="J1559" s="24">
        <v>288.72</v>
      </c>
      <c r="K1559" s="21">
        <v>0</v>
      </c>
      <c r="L1559" s="21">
        <v>0</v>
      </c>
      <c r="M1559" s="21">
        <f>COUNTIF($A$2:$A$5481,A1559)</f>
        <v>3</v>
      </c>
      <c r="N1559" s="24">
        <f t="shared" si="24"/>
        <v>288.7201559</v>
      </c>
    </row>
    <row r="1560" spans="1:14">
      <c r="A1560" s="21" t="s">
        <v>594</v>
      </c>
      <c r="B1560" s="21" t="s">
        <v>920</v>
      </c>
      <c r="C1560" s="21" t="s">
        <v>390</v>
      </c>
      <c r="D1560" s="21" t="s">
        <v>921</v>
      </c>
      <c r="E1560" s="21">
        <v>1</v>
      </c>
      <c r="F1560" s="22">
        <v>45581.6279398148</v>
      </c>
      <c r="G1560" s="22"/>
      <c r="H1560" s="23">
        <v>125.7</v>
      </c>
      <c r="I1560" s="23">
        <v>125.7</v>
      </c>
      <c r="J1560" s="24">
        <v>125.7</v>
      </c>
      <c r="K1560" s="21">
        <v>0</v>
      </c>
      <c r="L1560" s="21">
        <v>0</v>
      </c>
      <c r="M1560" s="21">
        <f>COUNTIF($A$2:$A$5481,A1560)</f>
        <v>3</v>
      </c>
      <c r="N1560" s="24">
        <f t="shared" si="24"/>
        <v>125.700156</v>
      </c>
    </row>
    <row r="1561" spans="1:14">
      <c r="A1561" s="21" t="s">
        <v>594</v>
      </c>
      <c r="B1561" s="21" t="s">
        <v>920</v>
      </c>
      <c r="C1561" s="21" t="s">
        <v>26</v>
      </c>
      <c r="D1561" s="21" t="s">
        <v>921</v>
      </c>
      <c r="E1561" s="21">
        <v>5</v>
      </c>
      <c r="F1561" s="22">
        <v>46178.7129513889</v>
      </c>
      <c r="G1561" s="22">
        <v>46252.3558564815</v>
      </c>
      <c r="H1561" s="23">
        <v>399.32</v>
      </c>
      <c r="I1561" s="23">
        <v>88.712</v>
      </c>
      <c r="J1561" s="24">
        <v>443.55</v>
      </c>
      <c r="K1561" s="21">
        <v>0</v>
      </c>
      <c r="L1561" s="21">
        <v>0</v>
      </c>
      <c r="M1561" s="21">
        <f>COUNTIF($A$2:$A$5481,A1561)</f>
        <v>3</v>
      </c>
      <c r="N1561" s="24">
        <f t="shared" si="24"/>
        <v>443.5501561</v>
      </c>
    </row>
    <row r="1562" spans="1:14">
      <c r="A1562" s="21" t="s">
        <v>2086</v>
      </c>
      <c r="B1562" s="21" t="s">
        <v>26</v>
      </c>
      <c r="C1562" s="21" t="s">
        <v>26</v>
      </c>
      <c r="D1562" s="21" t="s">
        <v>921</v>
      </c>
      <c r="E1562" s="21">
        <v>10</v>
      </c>
      <c r="F1562" s="22">
        <v>46189.6163194445</v>
      </c>
      <c r="G1562" s="22"/>
      <c r="H1562" s="23">
        <v>85</v>
      </c>
      <c r="I1562" s="23">
        <v>8.5</v>
      </c>
      <c r="J1562" s="24">
        <v>85</v>
      </c>
      <c r="K1562" s="21">
        <v>0</v>
      </c>
      <c r="L1562" s="21">
        <v>0</v>
      </c>
      <c r="M1562" s="21">
        <f>COUNTIF($A$2:$A$5481,A1562)</f>
        <v>1</v>
      </c>
      <c r="N1562" s="24">
        <f t="shared" si="24"/>
        <v>85.0001562</v>
      </c>
    </row>
    <row r="1563" spans="1:14">
      <c r="A1563" s="21" t="s">
        <v>895</v>
      </c>
      <c r="B1563" s="21" t="s">
        <v>26</v>
      </c>
      <c r="C1563" s="21" t="s">
        <v>26</v>
      </c>
      <c r="D1563" s="21" t="s">
        <v>921</v>
      </c>
      <c r="E1563" s="21">
        <v>8</v>
      </c>
      <c r="F1563" s="22">
        <v>46189.6163194445</v>
      </c>
      <c r="G1563" s="22">
        <v>46279.3702083333</v>
      </c>
      <c r="H1563" s="23">
        <v>54</v>
      </c>
      <c r="I1563" s="23">
        <v>5.4</v>
      </c>
      <c r="J1563" s="24">
        <v>43.2</v>
      </c>
      <c r="K1563" s="21">
        <v>0</v>
      </c>
      <c r="L1563" s="21">
        <v>0</v>
      </c>
      <c r="M1563" s="21">
        <f>COUNTIF($A$2:$A$5481,A1563)</f>
        <v>1</v>
      </c>
      <c r="N1563" s="24">
        <f t="shared" si="24"/>
        <v>43.2001563</v>
      </c>
    </row>
    <row r="1564" spans="1:14">
      <c r="A1564" s="21" t="s">
        <v>2087</v>
      </c>
      <c r="B1564" s="21" t="s">
        <v>929</v>
      </c>
      <c r="C1564" s="21" t="s">
        <v>182</v>
      </c>
      <c r="D1564" s="21" t="s">
        <v>921</v>
      </c>
      <c r="E1564" s="21">
        <v>4</v>
      </c>
      <c r="F1564" s="22">
        <v>46064.4147453704</v>
      </c>
      <c r="G1564" s="22"/>
      <c r="H1564" s="23">
        <v>53.92</v>
      </c>
      <c r="I1564" s="23">
        <v>13.48</v>
      </c>
      <c r="J1564" s="24">
        <v>53.92</v>
      </c>
      <c r="K1564" s="21">
        <v>0</v>
      </c>
      <c r="L1564" s="21">
        <v>0</v>
      </c>
      <c r="M1564" s="21">
        <f>COUNTIF($A$2:$A$5481,A1564)</f>
        <v>2</v>
      </c>
      <c r="N1564" s="24">
        <f t="shared" si="24"/>
        <v>53.9201564</v>
      </c>
    </row>
    <row r="1565" spans="1:14">
      <c r="A1565" s="21" t="s">
        <v>2087</v>
      </c>
      <c r="B1565" s="21" t="s">
        <v>929</v>
      </c>
      <c r="C1565" s="21" t="s">
        <v>26</v>
      </c>
      <c r="D1565" s="21" t="s">
        <v>921</v>
      </c>
      <c r="E1565" s="21">
        <v>18</v>
      </c>
      <c r="F1565" s="22">
        <v>46189.6163194445</v>
      </c>
      <c r="G1565" s="22"/>
      <c r="H1565" s="23">
        <v>249</v>
      </c>
      <c r="I1565" s="23">
        <v>39.1622222222</v>
      </c>
      <c r="J1565" s="24">
        <v>704.88</v>
      </c>
      <c r="K1565" s="21">
        <v>0</v>
      </c>
      <c r="L1565" s="21">
        <v>0</v>
      </c>
      <c r="M1565" s="21">
        <f>COUNTIF($A$2:$A$5481,A1565)</f>
        <v>2</v>
      </c>
      <c r="N1565" s="24">
        <f t="shared" si="24"/>
        <v>704.8801565</v>
      </c>
    </row>
    <row r="1566" spans="1:14">
      <c r="A1566" s="21" t="s">
        <v>2088</v>
      </c>
      <c r="B1566" s="21" t="s">
        <v>26</v>
      </c>
      <c r="C1566" s="21" t="s">
        <v>51</v>
      </c>
      <c r="D1566" s="21" t="s">
        <v>921</v>
      </c>
      <c r="E1566" s="21">
        <v>2</v>
      </c>
      <c r="F1566" s="22">
        <v>45791.3891782407</v>
      </c>
      <c r="G1566" s="22">
        <v>45813.4400578704</v>
      </c>
      <c r="H1566" s="23">
        <v>18.72</v>
      </c>
      <c r="I1566" s="23">
        <v>4.68</v>
      </c>
      <c r="J1566" s="24">
        <v>9.36</v>
      </c>
      <c r="K1566" s="21">
        <v>0</v>
      </c>
      <c r="L1566" s="21">
        <v>0</v>
      </c>
      <c r="M1566" s="21">
        <f>COUNTIF($A$2:$A$5481,A1566)</f>
        <v>1</v>
      </c>
      <c r="N1566" s="24">
        <f t="shared" si="24"/>
        <v>9.3601566</v>
      </c>
    </row>
    <row r="1567" spans="1:14">
      <c r="A1567" s="21" t="s">
        <v>897</v>
      </c>
      <c r="B1567" s="21" t="s">
        <v>26</v>
      </c>
      <c r="C1567" s="21" t="s">
        <v>26</v>
      </c>
      <c r="D1567" s="21" t="s">
        <v>921</v>
      </c>
      <c r="E1567" s="21">
        <v>3</v>
      </c>
      <c r="F1567" s="22">
        <v>45779.397962963</v>
      </c>
      <c r="G1567" s="22">
        <v>46280.5743518519</v>
      </c>
      <c r="H1567" s="23">
        <v>41.94</v>
      </c>
      <c r="I1567" s="23">
        <v>6.99</v>
      </c>
      <c r="J1567" s="24">
        <v>20.97</v>
      </c>
      <c r="K1567" s="21">
        <v>0</v>
      </c>
      <c r="L1567" s="21">
        <v>0</v>
      </c>
      <c r="M1567" s="21">
        <f>COUNTIF($A$2:$A$5481,A1567)</f>
        <v>1</v>
      </c>
      <c r="N1567" s="24">
        <f t="shared" si="24"/>
        <v>20.9701567</v>
      </c>
    </row>
    <row r="1568" spans="1:14">
      <c r="A1568" s="21" t="s">
        <v>862</v>
      </c>
      <c r="B1568" s="21" t="s">
        <v>26</v>
      </c>
      <c r="C1568" s="21" t="s">
        <v>38</v>
      </c>
      <c r="D1568" s="21" t="s">
        <v>921</v>
      </c>
      <c r="E1568" s="21">
        <v>10</v>
      </c>
      <c r="F1568" s="22">
        <v>45518.7333333333</v>
      </c>
      <c r="G1568" s="22"/>
      <c r="H1568" s="23">
        <v>20.4</v>
      </c>
      <c r="I1568" s="23">
        <v>2.04</v>
      </c>
      <c r="J1568" s="24">
        <v>20.4</v>
      </c>
      <c r="K1568" s="21">
        <v>0</v>
      </c>
      <c r="L1568" s="21">
        <v>0</v>
      </c>
      <c r="M1568" s="21">
        <f>COUNTIF($A$2:$A$5481,A1568)</f>
        <v>4</v>
      </c>
      <c r="N1568" s="24">
        <f t="shared" si="24"/>
        <v>20.4001568</v>
      </c>
    </row>
    <row r="1569" spans="1:14">
      <c r="A1569" s="21" t="s">
        <v>862</v>
      </c>
      <c r="B1569" s="21" t="s">
        <v>26</v>
      </c>
      <c r="C1569" s="21" t="s">
        <v>26</v>
      </c>
      <c r="D1569" s="21" t="s">
        <v>921</v>
      </c>
      <c r="E1569" s="21">
        <v>6</v>
      </c>
      <c r="F1569" s="22">
        <v>45779.397962963</v>
      </c>
      <c r="G1569" s="22"/>
      <c r="H1569" s="23">
        <v>23.94</v>
      </c>
      <c r="I1569" s="23">
        <v>3.99</v>
      </c>
      <c r="J1569" s="24">
        <v>23.94</v>
      </c>
      <c r="K1569" s="21">
        <v>0</v>
      </c>
      <c r="L1569" s="21">
        <v>0</v>
      </c>
      <c r="M1569" s="21">
        <f>COUNTIF($A$2:$A$5481,A1569)</f>
        <v>4</v>
      </c>
      <c r="N1569" s="24">
        <f t="shared" si="24"/>
        <v>23.9401569</v>
      </c>
    </row>
    <row r="1570" spans="1:14">
      <c r="A1570" s="21" t="s">
        <v>862</v>
      </c>
      <c r="B1570" s="21" t="s">
        <v>26</v>
      </c>
      <c r="C1570" s="21" t="s">
        <v>51</v>
      </c>
      <c r="D1570" s="21" t="s">
        <v>921</v>
      </c>
      <c r="E1570" s="21">
        <v>4</v>
      </c>
      <c r="F1570" s="22">
        <v>45791.3891782407</v>
      </c>
      <c r="G1570" s="22"/>
      <c r="H1570" s="23">
        <v>9.04</v>
      </c>
      <c r="I1570" s="23">
        <v>2.26</v>
      </c>
      <c r="J1570" s="24">
        <v>9.04</v>
      </c>
      <c r="K1570" s="21">
        <v>0</v>
      </c>
      <c r="L1570" s="21">
        <v>0</v>
      </c>
      <c r="M1570" s="21">
        <f>COUNTIF($A$2:$A$5481,A1570)</f>
        <v>4</v>
      </c>
      <c r="N1570" s="24">
        <f t="shared" si="24"/>
        <v>9.040157</v>
      </c>
    </row>
    <row r="1571" spans="1:14">
      <c r="A1571" s="21" t="s">
        <v>862</v>
      </c>
      <c r="B1571" s="21" t="s">
        <v>26</v>
      </c>
      <c r="C1571" s="21" t="s">
        <v>182</v>
      </c>
      <c r="D1571" s="21" t="s">
        <v>921</v>
      </c>
      <c r="E1571" s="21">
        <v>9</v>
      </c>
      <c r="F1571" s="22">
        <v>46001.3949768519</v>
      </c>
      <c r="G1571" s="22">
        <v>46268.6033912037</v>
      </c>
      <c r="H1571" s="23">
        <v>46.2</v>
      </c>
      <c r="I1571" s="23">
        <v>4.62</v>
      </c>
      <c r="J1571" s="24">
        <v>41.58</v>
      </c>
      <c r="K1571" s="21">
        <v>0</v>
      </c>
      <c r="L1571" s="21">
        <v>0</v>
      </c>
      <c r="M1571" s="21">
        <f>COUNTIF($A$2:$A$5481,A1571)</f>
        <v>4</v>
      </c>
      <c r="N1571" s="24">
        <f t="shared" si="24"/>
        <v>41.5801571</v>
      </c>
    </row>
    <row r="1572" spans="1:14">
      <c r="A1572" s="21" t="s">
        <v>2089</v>
      </c>
      <c r="B1572" s="21" t="s">
        <v>920</v>
      </c>
      <c r="C1572" s="21" t="s">
        <v>35</v>
      </c>
      <c r="D1572" s="21" t="s">
        <v>931</v>
      </c>
      <c r="E1572" s="21">
        <v>10</v>
      </c>
      <c r="F1572" s="22">
        <v>45702.4605671296</v>
      </c>
      <c r="G1572" s="22"/>
      <c r="H1572" s="23">
        <v>400</v>
      </c>
      <c r="I1572" s="23">
        <v>40</v>
      </c>
      <c r="J1572" s="24">
        <v>400</v>
      </c>
      <c r="K1572" s="21">
        <v>0</v>
      </c>
      <c r="L1572" s="21">
        <v>0</v>
      </c>
      <c r="M1572" s="21">
        <f>COUNTIF($A$2:$A$5481,A1572)</f>
        <v>1</v>
      </c>
      <c r="N1572" s="24">
        <f t="shared" si="24"/>
        <v>400.0001572</v>
      </c>
    </row>
    <row r="1573" spans="1:14">
      <c r="A1573" s="21" t="s">
        <v>2090</v>
      </c>
      <c r="B1573" s="21" t="s">
        <v>26</v>
      </c>
      <c r="C1573" s="21" t="s">
        <v>35</v>
      </c>
      <c r="D1573" s="21" t="s">
        <v>931</v>
      </c>
      <c r="E1573" s="21">
        <v>0</v>
      </c>
      <c r="F1573" s="22">
        <v>45509.6122337963</v>
      </c>
      <c r="G1573" s="22">
        <v>45576.4440393519</v>
      </c>
      <c r="H1573" s="23">
        <v>692</v>
      </c>
      <c r="I1573" s="23">
        <v>692</v>
      </c>
      <c r="J1573" s="24">
        <v>0</v>
      </c>
      <c r="K1573" s="21">
        <v>0</v>
      </c>
      <c r="L1573" s="21">
        <v>0</v>
      </c>
      <c r="M1573" s="21">
        <f>COUNTIF($A$2:$A$5481,A1573)</f>
        <v>1</v>
      </c>
      <c r="N1573" s="24">
        <f t="shared" si="24"/>
        <v>0.0001573</v>
      </c>
    </row>
    <row r="1574" spans="1:14">
      <c r="A1574" s="21" t="s">
        <v>2091</v>
      </c>
      <c r="B1574" s="21" t="s">
        <v>920</v>
      </c>
      <c r="C1574" s="21" t="s">
        <v>26</v>
      </c>
      <c r="D1574" s="21" t="s">
        <v>921</v>
      </c>
      <c r="E1574" s="21">
        <v>0</v>
      </c>
      <c r="F1574" s="22">
        <v>45663.5960648148</v>
      </c>
      <c r="G1574" s="22">
        <v>45691.3935416667</v>
      </c>
      <c r="H1574" s="23">
        <v>319.98</v>
      </c>
      <c r="I1574" s="23">
        <v>0</v>
      </c>
      <c r="J1574" s="24">
        <v>0</v>
      </c>
      <c r="K1574" s="21">
        <v>0</v>
      </c>
      <c r="L1574" s="21">
        <v>0</v>
      </c>
      <c r="M1574" s="21">
        <f>COUNTIF($A$2:$A$5481,A1574)</f>
        <v>1</v>
      </c>
      <c r="N1574" s="24">
        <f t="shared" si="24"/>
        <v>0.0001574</v>
      </c>
    </row>
    <row r="1575" spans="1:14">
      <c r="A1575" s="21" t="s">
        <v>497</v>
      </c>
      <c r="B1575" s="21" t="s">
        <v>920</v>
      </c>
      <c r="C1575" s="21" t="s">
        <v>26</v>
      </c>
      <c r="D1575" s="21" t="s">
        <v>921</v>
      </c>
      <c r="E1575" s="21">
        <v>0</v>
      </c>
      <c r="F1575" s="22">
        <v>46231.3618055556</v>
      </c>
      <c r="G1575" s="22">
        <v>46232.4520833333</v>
      </c>
      <c r="H1575" s="23">
        <v>585.92</v>
      </c>
      <c r="I1575" s="23">
        <v>585.92</v>
      </c>
      <c r="J1575" s="24">
        <v>0</v>
      </c>
      <c r="K1575" s="21">
        <v>0</v>
      </c>
      <c r="L1575" s="21">
        <v>0</v>
      </c>
      <c r="M1575" s="21">
        <f>COUNTIF($A$2:$A$5481,A1575)</f>
        <v>1</v>
      </c>
      <c r="N1575" s="24">
        <f t="shared" si="24"/>
        <v>0.0001575</v>
      </c>
    </row>
    <row r="1576" spans="1:14">
      <c r="A1576" s="21" t="s">
        <v>498</v>
      </c>
      <c r="B1576" s="21" t="s">
        <v>920</v>
      </c>
      <c r="C1576" s="21" t="s">
        <v>26</v>
      </c>
      <c r="D1576" s="21" t="s">
        <v>921</v>
      </c>
      <c r="E1576" s="21">
        <v>0</v>
      </c>
      <c r="F1576" s="22">
        <v>46231.3618055556</v>
      </c>
      <c r="G1576" s="22">
        <v>46232.4590277778</v>
      </c>
      <c r="H1576" s="23">
        <v>585.92</v>
      </c>
      <c r="I1576" s="23">
        <v>585.92</v>
      </c>
      <c r="J1576" s="24">
        <v>0</v>
      </c>
      <c r="K1576" s="21">
        <v>0</v>
      </c>
      <c r="L1576" s="21">
        <v>0</v>
      </c>
      <c r="M1576" s="21">
        <f>COUNTIF($A$2:$A$5481,A1576)</f>
        <v>1</v>
      </c>
      <c r="N1576" s="24">
        <f t="shared" si="24"/>
        <v>0.0001576</v>
      </c>
    </row>
    <row r="1577" spans="1:14">
      <c r="A1577" s="21" t="s">
        <v>280</v>
      </c>
      <c r="B1577" s="21" t="s">
        <v>920</v>
      </c>
      <c r="C1577" s="21" t="s">
        <v>26</v>
      </c>
      <c r="D1577" s="21" t="s">
        <v>921</v>
      </c>
      <c r="E1577" s="21">
        <v>-1</v>
      </c>
      <c r="F1577" s="22">
        <v>46065.5929282407</v>
      </c>
      <c r="G1577" s="22">
        <v>46222.657662037</v>
      </c>
      <c r="H1577" s="23">
        <v>522</v>
      </c>
      <c r="I1577" s="23">
        <v>567.82</v>
      </c>
      <c r="J1577" s="24">
        <v>-567.82</v>
      </c>
      <c r="K1577" s="21">
        <v>0</v>
      </c>
      <c r="L1577" s="21">
        <v>0</v>
      </c>
      <c r="M1577" s="21">
        <f>COUNTIF($A$2:$A$5481,A1577)</f>
        <v>1</v>
      </c>
      <c r="N1577" s="24">
        <f t="shared" si="24"/>
        <v>-567.8198423</v>
      </c>
    </row>
    <row r="1578" spans="1:14">
      <c r="A1578" s="21" t="s">
        <v>2092</v>
      </c>
      <c r="B1578" s="21" t="s">
        <v>920</v>
      </c>
      <c r="C1578" s="21" t="s">
        <v>35</v>
      </c>
      <c r="D1578" s="21" t="s">
        <v>931</v>
      </c>
      <c r="E1578" s="21">
        <v>0</v>
      </c>
      <c r="F1578" s="22">
        <v>45791.6103703704</v>
      </c>
      <c r="G1578" s="22">
        <v>45814.4141435185</v>
      </c>
      <c r="H1578" s="23">
        <v>175</v>
      </c>
      <c r="I1578" s="23">
        <v>175</v>
      </c>
      <c r="J1578" s="24">
        <v>0</v>
      </c>
      <c r="K1578" s="21">
        <v>0</v>
      </c>
      <c r="L1578" s="21">
        <v>0</v>
      </c>
      <c r="M1578" s="21">
        <f>COUNTIF($A$2:$A$5481,A1578)</f>
        <v>1</v>
      </c>
      <c r="N1578" s="24">
        <f t="shared" si="24"/>
        <v>0.0001578</v>
      </c>
    </row>
    <row r="1579" spans="1:14">
      <c r="A1579" s="21" t="s">
        <v>2093</v>
      </c>
      <c r="B1579" s="21" t="s">
        <v>920</v>
      </c>
      <c r="C1579" s="21" t="s">
        <v>26</v>
      </c>
      <c r="D1579" s="21" t="s">
        <v>921</v>
      </c>
      <c r="E1579" s="21">
        <v>100</v>
      </c>
      <c r="F1579" s="22">
        <v>45715.8661458333</v>
      </c>
      <c r="G1579" s="22"/>
      <c r="H1579" s="23">
        <v>25</v>
      </c>
      <c r="I1579" s="23">
        <v>0.25</v>
      </c>
      <c r="J1579" s="24">
        <v>25</v>
      </c>
      <c r="K1579" s="21">
        <v>0</v>
      </c>
      <c r="L1579" s="21">
        <v>0</v>
      </c>
      <c r="M1579" s="21">
        <f>COUNTIF($A$2:$A$5481,A1579)</f>
        <v>1</v>
      </c>
      <c r="N1579" s="24">
        <f t="shared" si="24"/>
        <v>25.0001579</v>
      </c>
    </row>
    <row r="1580" spans="1:14">
      <c r="A1580" s="21" t="s">
        <v>2094</v>
      </c>
      <c r="B1580" s="21" t="s">
        <v>929</v>
      </c>
      <c r="C1580" s="21" t="s">
        <v>35</v>
      </c>
      <c r="D1580" s="21" t="s">
        <v>921</v>
      </c>
      <c r="E1580" s="21">
        <v>4</v>
      </c>
      <c r="F1580" s="22">
        <v>45321.5547453704</v>
      </c>
      <c r="G1580" s="22"/>
      <c r="H1580" s="23">
        <v>41</v>
      </c>
      <c r="I1580" s="23">
        <v>10.25</v>
      </c>
      <c r="J1580" s="24">
        <v>41</v>
      </c>
      <c r="K1580" s="21">
        <v>0</v>
      </c>
      <c r="L1580" s="21">
        <v>10000</v>
      </c>
      <c r="M1580" s="21">
        <f>COUNTIF($A$2:$A$5481,A1580)</f>
        <v>1</v>
      </c>
      <c r="N1580" s="24">
        <f t="shared" si="24"/>
        <v>41.000158</v>
      </c>
    </row>
    <row r="1581" spans="1:14">
      <c r="A1581" s="21" t="s">
        <v>2095</v>
      </c>
      <c r="B1581" s="21" t="s">
        <v>929</v>
      </c>
      <c r="C1581" s="21" t="s">
        <v>182</v>
      </c>
      <c r="D1581" s="21" t="s">
        <v>921</v>
      </c>
      <c r="E1581" s="21">
        <v>10</v>
      </c>
      <c r="F1581" s="22">
        <v>45341.8334722222</v>
      </c>
      <c r="G1581" s="22"/>
      <c r="H1581" s="23">
        <v>9</v>
      </c>
      <c r="I1581" s="23">
        <v>0.9</v>
      </c>
      <c r="J1581" s="24">
        <v>9</v>
      </c>
      <c r="K1581" s="21">
        <v>0</v>
      </c>
      <c r="L1581" s="21">
        <v>0</v>
      </c>
      <c r="M1581" s="21">
        <f>COUNTIF($A$2:$A$5481,A1581)</f>
        <v>2</v>
      </c>
      <c r="N1581" s="24">
        <f t="shared" si="24"/>
        <v>9.0001581</v>
      </c>
    </row>
    <row r="1582" spans="1:14">
      <c r="A1582" s="21" t="s">
        <v>2095</v>
      </c>
      <c r="B1582" s="21" t="s">
        <v>929</v>
      </c>
      <c r="C1582" s="21" t="s">
        <v>26</v>
      </c>
      <c r="D1582" s="21" t="s">
        <v>921</v>
      </c>
      <c r="E1582" s="21">
        <v>50</v>
      </c>
      <c r="F1582" s="22">
        <v>46064.6341898148</v>
      </c>
      <c r="G1582" s="22"/>
      <c r="H1582" s="23">
        <v>50.6</v>
      </c>
      <c r="I1582" s="23">
        <v>1.612</v>
      </c>
      <c r="J1582" s="24">
        <v>80.5</v>
      </c>
      <c r="K1582" s="21">
        <v>0</v>
      </c>
      <c r="L1582" s="21">
        <v>0</v>
      </c>
      <c r="M1582" s="21">
        <f>COUNTIF($A$2:$A$5481,A1582)</f>
        <v>2</v>
      </c>
      <c r="N1582" s="24">
        <f t="shared" si="24"/>
        <v>80.5001582</v>
      </c>
    </row>
    <row r="1583" spans="1:14">
      <c r="A1583" s="21" t="s">
        <v>2096</v>
      </c>
      <c r="B1583" s="21" t="s">
        <v>920</v>
      </c>
      <c r="C1583" s="21" t="s">
        <v>35</v>
      </c>
      <c r="D1583" s="21" t="s">
        <v>921</v>
      </c>
      <c r="E1583" s="21">
        <v>10</v>
      </c>
      <c r="F1583" s="22">
        <v>45310.6938657407</v>
      </c>
      <c r="G1583" s="22"/>
      <c r="H1583" s="23">
        <v>42</v>
      </c>
      <c r="I1583" s="23">
        <v>4.2</v>
      </c>
      <c r="J1583" s="24">
        <v>42</v>
      </c>
      <c r="K1583" s="21">
        <v>0</v>
      </c>
      <c r="L1583" s="21">
        <v>0</v>
      </c>
      <c r="M1583" s="21">
        <f>COUNTIF($A$2:$A$5481,A1583)</f>
        <v>1</v>
      </c>
      <c r="N1583" s="24">
        <f t="shared" si="24"/>
        <v>42.0001583</v>
      </c>
    </row>
    <row r="1584" spans="1:14">
      <c r="A1584" s="21" t="s">
        <v>2097</v>
      </c>
      <c r="B1584" s="21" t="s">
        <v>920</v>
      </c>
      <c r="C1584" s="21" t="s">
        <v>26</v>
      </c>
      <c r="D1584" s="21" t="s">
        <v>921</v>
      </c>
      <c r="E1584" s="21">
        <v>34</v>
      </c>
      <c r="F1584" s="22">
        <v>45540.8056365741</v>
      </c>
      <c r="G1584" s="22"/>
      <c r="H1584" s="23">
        <v>47.6</v>
      </c>
      <c r="I1584" s="23">
        <v>5.02118</v>
      </c>
      <c r="J1584" s="24">
        <v>170.68</v>
      </c>
      <c r="K1584" s="21">
        <v>0</v>
      </c>
      <c r="L1584" s="21">
        <v>0</v>
      </c>
      <c r="M1584" s="21">
        <f>COUNTIF($A$2:$A$5481,A1584)</f>
        <v>1</v>
      </c>
      <c r="N1584" s="24">
        <f t="shared" si="24"/>
        <v>170.6801584</v>
      </c>
    </row>
    <row r="1585" spans="1:14">
      <c r="A1585" s="21" t="s">
        <v>2098</v>
      </c>
      <c r="B1585" s="21" t="s">
        <v>26</v>
      </c>
      <c r="C1585" s="21" t="s">
        <v>26</v>
      </c>
      <c r="D1585" s="21" t="s">
        <v>921</v>
      </c>
      <c r="E1585" s="21">
        <v>80</v>
      </c>
      <c r="F1585" s="22">
        <v>45344.4641087963</v>
      </c>
      <c r="G1585" s="22"/>
      <c r="H1585" s="23">
        <v>198.4</v>
      </c>
      <c r="I1585" s="23">
        <v>2.48</v>
      </c>
      <c r="J1585" s="24">
        <v>198.4</v>
      </c>
      <c r="K1585" s="21">
        <v>0</v>
      </c>
      <c r="L1585" s="21">
        <v>0</v>
      </c>
      <c r="M1585" s="21">
        <f>COUNTIF($A$2:$A$5481,A1585)</f>
        <v>1</v>
      </c>
      <c r="N1585" s="24">
        <f t="shared" si="24"/>
        <v>198.4001585</v>
      </c>
    </row>
    <row r="1586" spans="1:14">
      <c r="A1586" s="21" t="s">
        <v>2099</v>
      </c>
      <c r="B1586" s="21" t="s">
        <v>929</v>
      </c>
      <c r="C1586" s="21" t="s">
        <v>182</v>
      </c>
      <c r="D1586" s="21" t="s">
        <v>921</v>
      </c>
      <c r="E1586" s="21">
        <v>10</v>
      </c>
      <c r="F1586" s="22">
        <v>45341.8315740741</v>
      </c>
      <c r="G1586" s="22"/>
      <c r="H1586" s="23">
        <v>17.8</v>
      </c>
      <c r="I1586" s="23">
        <v>1.78</v>
      </c>
      <c r="J1586" s="24">
        <v>17.8</v>
      </c>
      <c r="K1586" s="21">
        <v>0</v>
      </c>
      <c r="L1586" s="21">
        <v>0</v>
      </c>
      <c r="M1586" s="21">
        <f>COUNTIF($A$2:$A$5481,A1586)</f>
        <v>1</v>
      </c>
      <c r="N1586" s="24">
        <f t="shared" si="24"/>
        <v>17.8001586</v>
      </c>
    </row>
    <row r="1587" spans="1:14">
      <c r="A1587" s="21" t="s">
        <v>2100</v>
      </c>
      <c r="B1587" s="21" t="s">
        <v>920</v>
      </c>
      <c r="C1587" s="21" t="s">
        <v>26</v>
      </c>
      <c r="D1587" s="21" t="s">
        <v>921</v>
      </c>
      <c r="E1587" s="21">
        <v>6</v>
      </c>
      <c r="F1587" s="22">
        <v>45573.8057638889</v>
      </c>
      <c r="G1587" s="22"/>
      <c r="H1587" s="23">
        <v>66.3</v>
      </c>
      <c r="I1587" s="23">
        <v>11.05</v>
      </c>
      <c r="J1587" s="24">
        <v>66.3</v>
      </c>
      <c r="K1587" s="21">
        <v>0</v>
      </c>
      <c r="L1587" s="21">
        <v>0</v>
      </c>
      <c r="M1587" s="21">
        <f>COUNTIF($A$2:$A$5481,A1587)</f>
        <v>1</v>
      </c>
      <c r="N1587" s="24">
        <f t="shared" si="24"/>
        <v>66.3001587</v>
      </c>
    </row>
    <row r="1588" spans="1:14">
      <c r="A1588" s="21" t="s">
        <v>2101</v>
      </c>
      <c r="B1588" s="21" t="s">
        <v>920</v>
      </c>
      <c r="C1588" s="21" t="s">
        <v>26</v>
      </c>
      <c r="D1588" s="21" t="s">
        <v>921</v>
      </c>
      <c r="E1588" s="21">
        <v>10</v>
      </c>
      <c r="F1588" s="22">
        <v>45405.6769560185</v>
      </c>
      <c r="G1588" s="22"/>
      <c r="H1588" s="23">
        <v>22.9</v>
      </c>
      <c r="I1588" s="23">
        <v>2.29</v>
      </c>
      <c r="J1588" s="24">
        <v>22.9</v>
      </c>
      <c r="K1588" s="21">
        <v>0</v>
      </c>
      <c r="L1588" s="21">
        <v>0</v>
      </c>
      <c r="M1588" s="21">
        <f>COUNTIF($A$2:$A$5481,A1588)</f>
        <v>1</v>
      </c>
      <c r="N1588" s="24">
        <f t="shared" si="24"/>
        <v>22.9001588</v>
      </c>
    </row>
    <row r="1589" spans="1:14">
      <c r="A1589" s="21" t="s">
        <v>2102</v>
      </c>
      <c r="B1589" s="21" t="s">
        <v>920</v>
      </c>
      <c r="C1589" s="21" t="s">
        <v>26</v>
      </c>
      <c r="D1589" s="21" t="s">
        <v>921</v>
      </c>
      <c r="E1589" s="21">
        <v>10</v>
      </c>
      <c r="F1589" s="22">
        <v>45798.4529861111</v>
      </c>
      <c r="G1589" s="22"/>
      <c r="H1589" s="23">
        <v>25.2</v>
      </c>
      <c r="I1589" s="23">
        <v>2.52</v>
      </c>
      <c r="J1589" s="24">
        <v>25.2</v>
      </c>
      <c r="K1589" s="21">
        <v>0</v>
      </c>
      <c r="L1589" s="21">
        <v>0</v>
      </c>
      <c r="M1589" s="21">
        <f>COUNTIF($A$2:$A$5481,A1589)</f>
        <v>1</v>
      </c>
      <c r="N1589" s="24">
        <f t="shared" si="24"/>
        <v>25.2001589</v>
      </c>
    </row>
    <row r="1590" spans="1:14">
      <c r="A1590" s="21" t="s">
        <v>2103</v>
      </c>
      <c r="B1590" s="21" t="s">
        <v>920</v>
      </c>
      <c r="C1590" s="21" t="s">
        <v>35</v>
      </c>
      <c r="D1590" s="21" t="s">
        <v>921</v>
      </c>
      <c r="E1590" s="21">
        <v>8</v>
      </c>
      <c r="F1590" s="22">
        <v>45981.3548148148</v>
      </c>
      <c r="G1590" s="22"/>
      <c r="H1590" s="23">
        <v>2.72</v>
      </c>
      <c r="I1590" s="23">
        <v>0.34</v>
      </c>
      <c r="J1590" s="24">
        <v>2.72</v>
      </c>
      <c r="K1590" s="21">
        <v>0</v>
      </c>
      <c r="L1590" s="21">
        <v>0</v>
      </c>
      <c r="M1590" s="21">
        <f>COUNTIF($A$2:$A$5481,A1590)</f>
        <v>1</v>
      </c>
      <c r="N1590" s="24">
        <f t="shared" si="24"/>
        <v>2.720159</v>
      </c>
    </row>
    <row r="1591" spans="1:14">
      <c r="A1591" s="21" t="s">
        <v>2104</v>
      </c>
      <c r="B1591" s="21" t="s">
        <v>920</v>
      </c>
      <c r="C1591" s="21" t="s">
        <v>35</v>
      </c>
      <c r="D1591" s="21" t="s">
        <v>921</v>
      </c>
      <c r="E1591" s="21">
        <v>24</v>
      </c>
      <c r="F1591" s="22">
        <v>45981.3548148148</v>
      </c>
      <c r="G1591" s="22"/>
      <c r="H1591" s="23">
        <v>10.56</v>
      </c>
      <c r="I1591" s="23">
        <v>0.44</v>
      </c>
      <c r="J1591" s="24">
        <v>10.56</v>
      </c>
      <c r="K1591" s="21">
        <v>0</v>
      </c>
      <c r="L1591" s="21">
        <v>0</v>
      </c>
      <c r="M1591" s="21">
        <f>COUNTIF($A$2:$A$5481,A1591)</f>
        <v>1</v>
      </c>
      <c r="N1591" s="24">
        <f t="shared" si="24"/>
        <v>10.5601591</v>
      </c>
    </row>
    <row r="1592" spans="1:14">
      <c r="A1592" s="21" t="s">
        <v>2105</v>
      </c>
      <c r="B1592" s="21" t="s">
        <v>26</v>
      </c>
      <c r="C1592" s="21" t="s">
        <v>26</v>
      </c>
      <c r="D1592" s="21" t="s">
        <v>921</v>
      </c>
      <c r="E1592" s="21">
        <v>10</v>
      </c>
      <c r="F1592" s="22">
        <v>46073.3593402778</v>
      </c>
      <c r="G1592" s="22"/>
      <c r="H1592" s="23">
        <v>12.8</v>
      </c>
      <c r="I1592" s="23">
        <v>1.28</v>
      </c>
      <c r="J1592" s="24">
        <v>12.8</v>
      </c>
      <c r="K1592" s="21">
        <v>0</v>
      </c>
      <c r="L1592" s="21">
        <v>0</v>
      </c>
      <c r="M1592" s="21">
        <f>COUNTIF($A$2:$A$5481,A1592)</f>
        <v>1</v>
      </c>
      <c r="N1592" s="24">
        <f t="shared" si="24"/>
        <v>12.8001592</v>
      </c>
    </row>
    <row r="1593" spans="1:14">
      <c r="A1593" s="21" t="s">
        <v>2106</v>
      </c>
      <c r="B1593" s="21" t="s">
        <v>26</v>
      </c>
      <c r="C1593" s="21" t="s">
        <v>26</v>
      </c>
      <c r="D1593" s="21" t="s">
        <v>921</v>
      </c>
      <c r="E1593" s="21">
        <v>10</v>
      </c>
      <c r="F1593" s="22">
        <v>45561.4066782407</v>
      </c>
      <c r="G1593" s="22"/>
      <c r="H1593" s="23">
        <v>12.4</v>
      </c>
      <c r="I1593" s="23">
        <v>1.24</v>
      </c>
      <c r="J1593" s="24">
        <v>12.4</v>
      </c>
      <c r="K1593" s="21">
        <v>0</v>
      </c>
      <c r="L1593" s="21">
        <v>0</v>
      </c>
      <c r="M1593" s="21">
        <f>COUNTIF($A$2:$A$5481,A1593)</f>
        <v>1</v>
      </c>
      <c r="N1593" s="24">
        <f t="shared" si="24"/>
        <v>12.4001593</v>
      </c>
    </row>
    <row r="1594" spans="1:14">
      <c r="A1594" s="21" t="s">
        <v>2107</v>
      </c>
      <c r="B1594" s="21" t="s">
        <v>920</v>
      </c>
      <c r="C1594" s="21" t="s">
        <v>26</v>
      </c>
      <c r="D1594" s="21" t="s">
        <v>921</v>
      </c>
      <c r="E1594" s="21">
        <v>57</v>
      </c>
      <c r="F1594" s="22">
        <v>45796.823587963</v>
      </c>
      <c r="G1594" s="22"/>
      <c r="H1594" s="23">
        <v>104.8</v>
      </c>
      <c r="I1594" s="23">
        <v>5.03877</v>
      </c>
      <c r="J1594" s="24">
        <v>287.28</v>
      </c>
      <c r="K1594" s="21">
        <v>0</v>
      </c>
      <c r="L1594" s="21">
        <v>0</v>
      </c>
      <c r="M1594" s="21">
        <f>COUNTIF($A$2:$A$5481,A1594)</f>
        <v>1</v>
      </c>
      <c r="N1594" s="24">
        <f t="shared" si="24"/>
        <v>287.2801594</v>
      </c>
    </row>
    <row r="1595" spans="1:14">
      <c r="A1595" s="21" t="s">
        <v>2108</v>
      </c>
      <c r="B1595" s="21" t="s">
        <v>920</v>
      </c>
      <c r="C1595" s="21" t="s">
        <v>26</v>
      </c>
      <c r="D1595" s="21" t="s">
        <v>921</v>
      </c>
      <c r="E1595" s="21">
        <v>21</v>
      </c>
      <c r="F1595" s="22">
        <v>45939.5613078704</v>
      </c>
      <c r="G1595" s="22"/>
      <c r="H1595" s="23">
        <v>85</v>
      </c>
      <c r="I1595" s="23">
        <v>7.0176190476</v>
      </c>
      <c r="J1595" s="24">
        <v>147.42</v>
      </c>
      <c r="K1595" s="21">
        <v>0</v>
      </c>
      <c r="L1595" s="21">
        <v>0</v>
      </c>
      <c r="M1595" s="21">
        <f>COUNTIF($A$2:$A$5481,A1595)</f>
        <v>1</v>
      </c>
      <c r="N1595" s="24">
        <f t="shared" si="24"/>
        <v>147.4201595</v>
      </c>
    </row>
    <row r="1596" spans="1:14">
      <c r="A1596" s="21" t="s">
        <v>2109</v>
      </c>
      <c r="B1596" s="21" t="s">
        <v>920</v>
      </c>
      <c r="C1596" s="21" t="s">
        <v>26</v>
      </c>
      <c r="D1596" s="21" t="s">
        <v>921</v>
      </c>
      <c r="E1596" s="21">
        <v>4</v>
      </c>
      <c r="F1596" s="22">
        <v>45727.7069675926</v>
      </c>
      <c r="G1596" s="22"/>
      <c r="H1596" s="23">
        <v>21.16</v>
      </c>
      <c r="I1596" s="23">
        <v>5.29</v>
      </c>
      <c r="J1596" s="24">
        <v>21.16</v>
      </c>
      <c r="K1596" s="21">
        <v>0</v>
      </c>
      <c r="L1596" s="21">
        <v>0</v>
      </c>
      <c r="M1596" s="21">
        <f>COUNTIF($A$2:$A$5481,A1596)</f>
        <v>1</v>
      </c>
      <c r="N1596" s="24">
        <f t="shared" si="24"/>
        <v>21.1601596</v>
      </c>
    </row>
    <row r="1597" spans="1:14">
      <c r="A1597" s="21" t="s">
        <v>2110</v>
      </c>
      <c r="B1597" s="21" t="s">
        <v>920</v>
      </c>
      <c r="C1597" s="21" t="s">
        <v>26</v>
      </c>
      <c r="D1597" s="21" t="s">
        <v>921</v>
      </c>
      <c r="E1597" s="21">
        <v>4</v>
      </c>
      <c r="F1597" s="22">
        <v>45575.8308449074</v>
      </c>
      <c r="G1597" s="22"/>
      <c r="H1597" s="23">
        <v>7</v>
      </c>
      <c r="I1597" s="23">
        <v>1.75</v>
      </c>
      <c r="J1597" s="24">
        <v>7</v>
      </c>
      <c r="K1597" s="21">
        <v>0</v>
      </c>
      <c r="L1597" s="21">
        <v>0</v>
      </c>
      <c r="M1597" s="21">
        <f>COUNTIF($A$2:$A$5481,A1597)</f>
        <v>1</v>
      </c>
      <c r="N1597" s="24">
        <f t="shared" si="24"/>
        <v>7.0001597</v>
      </c>
    </row>
    <row r="1598" spans="1:14">
      <c r="A1598" s="21" t="s">
        <v>2111</v>
      </c>
      <c r="B1598" s="21" t="s">
        <v>26</v>
      </c>
      <c r="C1598" s="21" t="s">
        <v>26</v>
      </c>
      <c r="D1598" s="21" t="s">
        <v>921</v>
      </c>
      <c r="E1598" s="21">
        <v>50</v>
      </c>
      <c r="F1598" s="22">
        <v>45502.3696875</v>
      </c>
      <c r="G1598" s="22"/>
      <c r="H1598" s="23">
        <v>24</v>
      </c>
      <c r="I1598" s="23">
        <v>0.48</v>
      </c>
      <c r="J1598" s="24">
        <v>24</v>
      </c>
      <c r="K1598" s="21">
        <v>0</v>
      </c>
      <c r="L1598" s="21">
        <v>0</v>
      </c>
      <c r="M1598" s="21">
        <f>COUNTIF($A$2:$A$5481,A1598)</f>
        <v>1</v>
      </c>
      <c r="N1598" s="24">
        <f t="shared" si="24"/>
        <v>24.0001598</v>
      </c>
    </row>
    <row r="1599" spans="1:14">
      <c r="A1599" s="21" t="s">
        <v>2112</v>
      </c>
      <c r="B1599" s="21" t="s">
        <v>920</v>
      </c>
      <c r="C1599" s="21" t="s">
        <v>26</v>
      </c>
      <c r="D1599" s="21" t="s">
        <v>921</v>
      </c>
      <c r="E1599" s="21">
        <v>4</v>
      </c>
      <c r="F1599" s="22">
        <v>45964.5622916667</v>
      </c>
      <c r="G1599" s="22"/>
      <c r="H1599" s="23">
        <v>50.56</v>
      </c>
      <c r="I1599" s="23">
        <v>12.64</v>
      </c>
      <c r="J1599" s="24">
        <v>50.56</v>
      </c>
      <c r="K1599" s="21">
        <v>0</v>
      </c>
      <c r="L1599" s="21">
        <v>0</v>
      </c>
      <c r="M1599" s="21">
        <f>COUNTIF($A$2:$A$5481,A1599)</f>
        <v>1</v>
      </c>
      <c r="N1599" s="24">
        <f t="shared" si="24"/>
        <v>50.5601599</v>
      </c>
    </row>
    <row r="1600" spans="1:14">
      <c r="A1600" s="21" t="s">
        <v>2113</v>
      </c>
      <c r="B1600" s="21" t="s">
        <v>920</v>
      </c>
      <c r="C1600" s="21" t="s">
        <v>26</v>
      </c>
      <c r="D1600" s="21" t="s">
        <v>931</v>
      </c>
      <c r="E1600" s="21">
        <v>10</v>
      </c>
      <c r="F1600" s="22">
        <v>45755.3952314815</v>
      </c>
      <c r="G1600" s="22"/>
      <c r="H1600" s="23">
        <v>107.6</v>
      </c>
      <c r="I1600" s="23">
        <v>10.76</v>
      </c>
      <c r="J1600" s="24">
        <v>107.6</v>
      </c>
      <c r="K1600" s="21">
        <v>0</v>
      </c>
      <c r="L1600" s="21">
        <v>0</v>
      </c>
      <c r="M1600" s="21">
        <f>COUNTIF($A$2:$A$5481,A1600)</f>
        <v>1</v>
      </c>
      <c r="N1600" s="24">
        <f t="shared" si="24"/>
        <v>107.60016</v>
      </c>
    </row>
    <row r="1601" spans="1:14">
      <c r="A1601" s="21" t="s">
        <v>2114</v>
      </c>
      <c r="B1601" s="21" t="s">
        <v>920</v>
      </c>
      <c r="C1601" s="21" t="s">
        <v>26</v>
      </c>
      <c r="D1601" s="21" t="s">
        <v>921</v>
      </c>
      <c r="E1601" s="21">
        <v>20</v>
      </c>
      <c r="F1601" s="22">
        <v>46251.7298842593</v>
      </c>
      <c r="G1601" s="22"/>
      <c r="H1601" s="23">
        <v>99.3</v>
      </c>
      <c r="I1601" s="23">
        <v>10.515</v>
      </c>
      <c r="J1601" s="24">
        <v>210.4</v>
      </c>
      <c r="K1601" s="21">
        <v>0</v>
      </c>
      <c r="L1601" s="21">
        <v>0</v>
      </c>
      <c r="M1601" s="21">
        <f>COUNTIF($A$2:$A$5481,A1601)</f>
        <v>1</v>
      </c>
      <c r="N1601" s="24">
        <f t="shared" si="24"/>
        <v>210.4001601</v>
      </c>
    </row>
    <row r="1602" spans="1:14">
      <c r="A1602" s="21" t="s">
        <v>2115</v>
      </c>
      <c r="B1602" s="21" t="s">
        <v>920</v>
      </c>
      <c r="C1602" s="21" t="s">
        <v>26</v>
      </c>
      <c r="D1602" s="21" t="s">
        <v>921</v>
      </c>
      <c r="E1602" s="21">
        <v>15</v>
      </c>
      <c r="F1602" s="22">
        <v>45932.5607175926</v>
      </c>
      <c r="G1602" s="22"/>
      <c r="H1602" s="23">
        <v>39.7</v>
      </c>
      <c r="I1602" s="23">
        <v>4.6533333333</v>
      </c>
      <c r="J1602" s="24">
        <v>69.75</v>
      </c>
      <c r="K1602" s="21">
        <v>0</v>
      </c>
      <c r="L1602" s="21">
        <v>0</v>
      </c>
      <c r="M1602" s="21">
        <f>COUNTIF($A$2:$A$5481,A1602)</f>
        <v>1</v>
      </c>
      <c r="N1602" s="24">
        <f t="shared" ref="N1602:N1665" si="25">J1602+ROW()/10000000</f>
        <v>69.7501602</v>
      </c>
    </row>
    <row r="1603" spans="1:14">
      <c r="A1603" s="21" t="s">
        <v>2116</v>
      </c>
      <c r="B1603" s="21" t="s">
        <v>920</v>
      </c>
      <c r="C1603" s="21" t="s">
        <v>26</v>
      </c>
      <c r="D1603" s="21" t="s">
        <v>931</v>
      </c>
      <c r="E1603" s="21">
        <v>2</v>
      </c>
      <c r="F1603" s="22">
        <v>45791.3490509259</v>
      </c>
      <c r="G1603" s="22"/>
      <c r="H1603" s="23">
        <v>9.8</v>
      </c>
      <c r="I1603" s="23">
        <v>4.9</v>
      </c>
      <c r="J1603" s="24">
        <v>9.8</v>
      </c>
      <c r="K1603" s="21">
        <v>0</v>
      </c>
      <c r="L1603" s="21">
        <v>0</v>
      </c>
      <c r="M1603" s="21">
        <f>COUNTIF($A$2:$A$5481,A1603)</f>
        <v>1</v>
      </c>
      <c r="N1603" s="24">
        <f t="shared" si="25"/>
        <v>9.8001603</v>
      </c>
    </row>
    <row r="1604" spans="1:14">
      <c r="A1604" s="21" t="s">
        <v>2117</v>
      </c>
      <c r="B1604" s="21" t="s">
        <v>920</v>
      </c>
      <c r="C1604" s="21" t="s">
        <v>26</v>
      </c>
      <c r="D1604" s="21" t="s">
        <v>921</v>
      </c>
      <c r="E1604" s="21">
        <v>10</v>
      </c>
      <c r="F1604" s="22">
        <v>46084.5253009259</v>
      </c>
      <c r="G1604" s="22"/>
      <c r="H1604" s="23">
        <v>70</v>
      </c>
      <c r="I1604" s="23">
        <v>7</v>
      </c>
      <c r="J1604" s="24">
        <v>70</v>
      </c>
      <c r="K1604" s="21">
        <v>0</v>
      </c>
      <c r="L1604" s="21">
        <v>0</v>
      </c>
      <c r="M1604" s="21">
        <f>COUNTIF($A$2:$A$5481,A1604)</f>
        <v>1</v>
      </c>
      <c r="N1604" s="24">
        <f t="shared" si="25"/>
        <v>70.0001604</v>
      </c>
    </row>
    <row r="1605" spans="1:14">
      <c r="A1605" s="21" t="s">
        <v>2118</v>
      </c>
      <c r="B1605" s="21" t="s">
        <v>920</v>
      </c>
      <c r="C1605" s="21" t="s">
        <v>26</v>
      </c>
      <c r="D1605" s="21" t="s">
        <v>921</v>
      </c>
      <c r="E1605" s="21">
        <v>3</v>
      </c>
      <c r="F1605" s="22">
        <v>45727.7069675926</v>
      </c>
      <c r="G1605" s="22"/>
      <c r="H1605" s="23">
        <v>17.55</v>
      </c>
      <c r="I1605" s="23">
        <v>5.85</v>
      </c>
      <c r="J1605" s="24">
        <v>17.55</v>
      </c>
      <c r="K1605" s="21">
        <v>0</v>
      </c>
      <c r="L1605" s="21">
        <v>0</v>
      </c>
      <c r="M1605" s="21">
        <f>COUNTIF($A$2:$A$5481,A1605)</f>
        <v>1</v>
      </c>
      <c r="N1605" s="24">
        <f t="shared" si="25"/>
        <v>17.5501605</v>
      </c>
    </row>
    <row r="1606" spans="1:14">
      <c r="A1606" s="21" t="s">
        <v>2119</v>
      </c>
      <c r="B1606" s="21" t="s">
        <v>929</v>
      </c>
      <c r="C1606" s="21" t="s">
        <v>182</v>
      </c>
      <c r="D1606" s="21" t="s">
        <v>921</v>
      </c>
      <c r="E1606" s="21">
        <v>20</v>
      </c>
      <c r="F1606" s="22">
        <v>45341.8281018519</v>
      </c>
      <c r="G1606" s="22"/>
      <c r="H1606" s="23">
        <v>4.5</v>
      </c>
      <c r="I1606" s="23">
        <v>0.45</v>
      </c>
      <c r="J1606" s="24">
        <v>9</v>
      </c>
      <c r="K1606" s="21">
        <v>0</v>
      </c>
      <c r="L1606" s="21">
        <v>0</v>
      </c>
      <c r="M1606" s="21">
        <f>COUNTIF($A$2:$A$5481,A1606)</f>
        <v>2</v>
      </c>
      <c r="N1606" s="24">
        <f t="shared" si="25"/>
        <v>9.0001606</v>
      </c>
    </row>
    <row r="1607" spans="1:14">
      <c r="A1607" s="21" t="s">
        <v>2119</v>
      </c>
      <c r="B1607" s="21" t="s">
        <v>929</v>
      </c>
      <c r="C1607" s="21" t="s">
        <v>26</v>
      </c>
      <c r="D1607" s="21" t="s">
        <v>921</v>
      </c>
      <c r="E1607" s="21">
        <v>152</v>
      </c>
      <c r="F1607" s="22">
        <v>46105.6738194445</v>
      </c>
      <c r="G1607" s="22"/>
      <c r="H1607" s="23">
        <v>7.84</v>
      </c>
      <c r="I1607" s="23">
        <v>0.7206578947</v>
      </c>
      <c r="J1607" s="24">
        <v>109.44</v>
      </c>
      <c r="K1607" s="21">
        <v>0</v>
      </c>
      <c r="L1607" s="21">
        <v>0</v>
      </c>
      <c r="M1607" s="21">
        <f>COUNTIF($A$2:$A$5481,A1607)</f>
        <v>2</v>
      </c>
      <c r="N1607" s="24">
        <f t="shared" si="25"/>
        <v>109.4401607</v>
      </c>
    </row>
    <row r="1608" spans="1:14">
      <c r="A1608" s="21" t="s">
        <v>2120</v>
      </c>
      <c r="B1608" s="21" t="s">
        <v>920</v>
      </c>
      <c r="C1608" s="21" t="s">
        <v>26</v>
      </c>
      <c r="D1608" s="21" t="s">
        <v>921</v>
      </c>
      <c r="E1608" s="21">
        <v>50</v>
      </c>
      <c r="F1608" s="22">
        <v>45813.5938078704</v>
      </c>
      <c r="G1608" s="22"/>
      <c r="H1608" s="23">
        <v>57.4</v>
      </c>
      <c r="I1608" s="23">
        <v>2.732</v>
      </c>
      <c r="J1608" s="24">
        <v>136.5</v>
      </c>
      <c r="K1608" s="21">
        <v>0</v>
      </c>
      <c r="L1608" s="21">
        <v>0</v>
      </c>
      <c r="M1608" s="21">
        <f>COUNTIF($A$2:$A$5481,A1608)</f>
        <v>1</v>
      </c>
      <c r="N1608" s="24">
        <f t="shared" si="25"/>
        <v>136.5001608</v>
      </c>
    </row>
    <row r="1609" spans="1:14">
      <c r="A1609" s="21" t="s">
        <v>276</v>
      </c>
      <c r="B1609" s="21" t="s">
        <v>920</v>
      </c>
      <c r="C1609" s="21" t="s">
        <v>35</v>
      </c>
      <c r="D1609" s="21" t="s">
        <v>921</v>
      </c>
      <c r="E1609" s="21">
        <v>4</v>
      </c>
      <c r="F1609" s="22">
        <v>46050.6261689815</v>
      </c>
      <c r="G1609" s="22">
        <v>46073.4342361111</v>
      </c>
      <c r="H1609" s="23">
        <v>101.36</v>
      </c>
      <c r="I1609" s="23">
        <v>22.235</v>
      </c>
      <c r="J1609" s="24">
        <v>88.96</v>
      </c>
      <c r="K1609" s="21">
        <v>0</v>
      </c>
      <c r="L1609" s="21">
        <v>0</v>
      </c>
      <c r="M1609" s="21">
        <f>COUNTIF($A$2:$A$5481,A1609)</f>
        <v>1</v>
      </c>
      <c r="N1609" s="24">
        <f t="shared" si="25"/>
        <v>88.9601609</v>
      </c>
    </row>
    <row r="1610" spans="1:14">
      <c r="A1610" s="21" t="s">
        <v>2121</v>
      </c>
      <c r="B1610" s="21" t="s">
        <v>920</v>
      </c>
      <c r="C1610" s="21" t="s">
        <v>26</v>
      </c>
      <c r="D1610" s="21" t="s">
        <v>921</v>
      </c>
      <c r="E1610" s="21">
        <v>0</v>
      </c>
      <c r="F1610" s="22">
        <v>45609.4011805556</v>
      </c>
      <c r="G1610" s="22">
        <v>45617.4052430556</v>
      </c>
      <c r="H1610" s="23">
        <v>734.58</v>
      </c>
      <c r="I1610" s="23">
        <v>34.98</v>
      </c>
      <c r="J1610" s="24">
        <v>0</v>
      </c>
      <c r="K1610" s="21">
        <v>0</v>
      </c>
      <c r="L1610" s="21">
        <v>0</v>
      </c>
      <c r="M1610" s="21">
        <f>COUNTIF($A$2:$A$5481,A1610)</f>
        <v>1</v>
      </c>
      <c r="N1610" s="24">
        <f t="shared" si="25"/>
        <v>0.000161</v>
      </c>
    </row>
    <row r="1611" spans="1:14">
      <c r="A1611" s="21" t="s">
        <v>2122</v>
      </c>
      <c r="B1611" s="21" t="s">
        <v>920</v>
      </c>
      <c r="C1611" s="21" t="s">
        <v>26</v>
      </c>
      <c r="D1611" s="21" t="s">
        <v>921</v>
      </c>
      <c r="E1611" s="21">
        <v>0</v>
      </c>
      <c r="F1611" s="22">
        <v>45609.4011805556</v>
      </c>
      <c r="G1611" s="22">
        <v>45617.4052314815</v>
      </c>
      <c r="H1611" s="23">
        <v>144.69</v>
      </c>
      <c r="I1611" s="23">
        <v>48.23</v>
      </c>
      <c r="J1611" s="24">
        <v>0</v>
      </c>
      <c r="K1611" s="21">
        <v>0</v>
      </c>
      <c r="L1611" s="21">
        <v>0</v>
      </c>
      <c r="M1611" s="21">
        <f>COUNTIF($A$2:$A$5481,A1611)</f>
        <v>1</v>
      </c>
      <c r="N1611" s="24">
        <f t="shared" si="25"/>
        <v>0.0001611</v>
      </c>
    </row>
    <row r="1612" spans="1:14">
      <c r="A1612" s="21" t="s">
        <v>2123</v>
      </c>
      <c r="B1612" s="21" t="s">
        <v>920</v>
      </c>
      <c r="C1612" s="21" t="s">
        <v>26</v>
      </c>
      <c r="D1612" s="21" t="s">
        <v>921</v>
      </c>
      <c r="E1612" s="21">
        <v>40</v>
      </c>
      <c r="F1612" s="22">
        <v>45344.4641087963</v>
      </c>
      <c r="G1612" s="22"/>
      <c r="H1612" s="23">
        <v>35.6</v>
      </c>
      <c r="I1612" s="23">
        <v>0.89</v>
      </c>
      <c r="J1612" s="24">
        <v>35.6</v>
      </c>
      <c r="K1612" s="21">
        <v>0</v>
      </c>
      <c r="L1612" s="21">
        <v>0</v>
      </c>
      <c r="M1612" s="21">
        <f>COUNTIF($A$2:$A$5481,A1612)</f>
        <v>1</v>
      </c>
      <c r="N1612" s="24">
        <f t="shared" si="25"/>
        <v>35.6001612</v>
      </c>
    </row>
    <row r="1613" spans="1:14">
      <c r="A1613" s="21" t="s">
        <v>2124</v>
      </c>
      <c r="B1613" s="21" t="s">
        <v>920</v>
      </c>
      <c r="C1613" s="21" t="s">
        <v>26</v>
      </c>
      <c r="D1613" s="21" t="s">
        <v>931</v>
      </c>
      <c r="E1613" s="21">
        <v>10</v>
      </c>
      <c r="F1613" s="22">
        <v>45789.4070601852</v>
      </c>
      <c r="G1613" s="22"/>
      <c r="H1613" s="23">
        <v>5.6</v>
      </c>
      <c r="I1613" s="23">
        <v>0.56</v>
      </c>
      <c r="J1613" s="24">
        <v>5.6</v>
      </c>
      <c r="K1613" s="21">
        <v>0</v>
      </c>
      <c r="L1613" s="21">
        <v>0</v>
      </c>
      <c r="M1613" s="21">
        <f>COUNTIF($A$2:$A$5481,A1613)</f>
        <v>1</v>
      </c>
      <c r="N1613" s="24">
        <f t="shared" si="25"/>
        <v>5.6001613</v>
      </c>
    </row>
    <row r="1614" spans="1:14">
      <c r="A1614" s="21" t="s">
        <v>2125</v>
      </c>
      <c r="B1614" s="21" t="s">
        <v>920</v>
      </c>
      <c r="C1614" s="21" t="s">
        <v>26</v>
      </c>
      <c r="D1614" s="21" t="s">
        <v>931</v>
      </c>
      <c r="E1614" s="21">
        <v>8</v>
      </c>
      <c r="F1614" s="22">
        <v>45839.3625115741</v>
      </c>
      <c r="G1614" s="22"/>
      <c r="H1614" s="23">
        <v>130.08</v>
      </c>
      <c r="I1614" s="23">
        <v>16.26</v>
      </c>
      <c r="J1614" s="24">
        <v>130.08</v>
      </c>
      <c r="K1614" s="21">
        <v>0</v>
      </c>
      <c r="L1614" s="21">
        <v>0</v>
      </c>
      <c r="M1614" s="21">
        <f>COUNTIF($A$2:$A$5481,A1614)</f>
        <v>1</v>
      </c>
      <c r="N1614" s="24">
        <f t="shared" si="25"/>
        <v>130.0801614</v>
      </c>
    </row>
    <row r="1615" spans="1:14">
      <c r="A1615" s="21" t="s">
        <v>2126</v>
      </c>
      <c r="B1615" s="21" t="s">
        <v>26</v>
      </c>
      <c r="C1615" s="21" t="s">
        <v>26</v>
      </c>
      <c r="D1615" s="21" t="s">
        <v>921</v>
      </c>
      <c r="E1615" s="21">
        <v>150</v>
      </c>
      <c r="F1615" s="22">
        <v>46125.5427314815</v>
      </c>
      <c r="G1615" s="22"/>
      <c r="H1615" s="23">
        <v>16</v>
      </c>
      <c r="I1615" s="23">
        <v>0.2433333333</v>
      </c>
      <c r="J1615" s="24">
        <v>36</v>
      </c>
      <c r="K1615" s="21">
        <v>0</v>
      </c>
      <c r="L1615" s="21">
        <v>0</v>
      </c>
      <c r="M1615" s="21">
        <f>COUNTIF($A$2:$A$5481,A1615)</f>
        <v>1</v>
      </c>
      <c r="N1615" s="24">
        <f t="shared" si="25"/>
        <v>36.0001615</v>
      </c>
    </row>
    <row r="1616" spans="1:14">
      <c r="A1616" s="21" t="s">
        <v>480</v>
      </c>
      <c r="B1616" s="21" t="s">
        <v>920</v>
      </c>
      <c r="C1616" s="21" t="s">
        <v>26</v>
      </c>
      <c r="D1616" s="21" t="s">
        <v>921</v>
      </c>
      <c r="E1616" s="21">
        <v>9</v>
      </c>
      <c r="F1616" s="22">
        <v>46092.5388888889</v>
      </c>
      <c r="G1616" s="22">
        <v>46222.6576736111</v>
      </c>
      <c r="H1616" s="23">
        <v>30</v>
      </c>
      <c r="I1616" s="23">
        <v>3</v>
      </c>
      <c r="J1616" s="24">
        <v>27</v>
      </c>
      <c r="K1616" s="21">
        <v>0</v>
      </c>
      <c r="L1616" s="21">
        <v>0</v>
      </c>
      <c r="M1616" s="21">
        <f>COUNTIF($A$2:$A$5481,A1616)</f>
        <v>1</v>
      </c>
      <c r="N1616" s="24">
        <f t="shared" si="25"/>
        <v>27.0001616</v>
      </c>
    </row>
    <row r="1617" spans="1:14">
      <c r="A1617" s="21" t="s">
        <v>2127</v>
      </c>
      <c r="B1617" s="21" t="s">
        <v>920</v>
      </c>
      <c r="C1617" s="21" t="s">
        <v>35</v>
      </c>
      <c r="D1617" s="21" t="s">
        <v>921</v>
      </c>
      <c r="E1617" s="21">
        <v>50</v>
      </c>
      <c r="F1617" s="22">
        <v>45454.3669791667</v>
      </c>
      <c r="G1617" s="22"/>
      <c r="H1617" s="23">
        <v>58</v>
      </c>
      <c r="I1617" s="23">
        <v>1.16</v>
      </c>
      <c r="J1617" s="24">
        <v>58</v>
      </c>
      <c r="K1617" s="21">
        <v>0</v>
      </c>
      <c r="L1617" s="21">
        <v>0</v>
      </c>
      <c r="M1617" s="21">
        <f>COUNTIF($A$2:$A$5481,A1617)</f>
        <v>1</v>
      </c>
      <c r="N1617" s="24">
        <f t="shared" si="25"/>
        <v>58.0001617</v>
      </c>
    </row>
    <row r="1618" spans="1:14">
      <c r="A1618" s="21" t="s">
        <v>2128</v>
      </c>
      <c r="B1618" s="21" t="s">
        <v>929</v>
      </c>
      <c r="C1618" s="21" t="s">
        <v>26</v>
      </c>
      <c r="D1618" s="21" t="s">
        <v>921</v>
      </c>
      <c r="E1618" s="21">
        <v>4</v>
      </c>
      <c r="F1618" s="22">
        <v>45608.3607175926</v>
      </c>
      <c r="G1618" s="22"/>
      <c r="H1618" s="23">
        <v>32.4</v>
      </c>
      <c r="I1618" s="23">
        <v>8.1</v>
      </c>
      <c r="J1618" s="24">
        <v>32.4</v>
      </c>
      <c r="K1618" s="21">
        <v>0</v>
      </c>
      <c r="L1618" s="21">
        <v>0</v>
      </c>
      <c r="M1618" s="21">
        <f>COUNTIF($A$2:$A$5481,A1618)</f>
        <v>1</v>
      </c>
      <c r="N1618" s="24">
        <f t="shared" si="25"/>
        <v>32.4001618</v>
      </c>
    </row>
    <row r="1619" spans="1:14">
      <c r="A1619" s="21" t="s">
        <v>2129</v>
      </c>
      <c r="B1619" s="21" t="s">
        <v>929</v>
      </c>
      <c r="C1619" s="21" t="s">
        <v>26</v>
      </c>
      <c r="D1619" s="21" t="s">
        <v>921</v>
      </c>
      <c r="E1619" s="21">
        <v>22</v>
      </c>
      <c r="F1619" s="22">
        <v>45608.3607175926</v>
      </c>
      <c r="G1619" s="22"/>
      <c r="H1619" s="23">
        <v>251.9</v>
      </c>
      <c r="I1619" s="23">
        <v>11.45</v>
      </c>
      <c r="J1619" s="24">
        <v>251.9</v>
      </c>
      <c r="K1619" s="21">
        <v>0</v>
      </c>
      <c r="L1619" s="21">
        <v>0</v>
      </c>
      <c r="M1619" s="21">
        <f>COUNTIF($A$2:$A$5481,A1619)</f>
        <v>1</v>
      </c>
      <c r="N1619" s="24">
        <f t="shared" si="25"/>
        <v>251.9001619</v>
      </c>
    </row>
    <row r="1620" spans="1:14">
      <c r="A1620" s="21" t="s">
        <v>2130</v>
      </c>
      <c r="B1620" s="21" t="s">
        <v>920</v>
      </c>
      <c r="C1620" s="21" t="s">
        <v>35</v>
      </c>
      <c r="D1620" s="21" t="s">
        <v>2131</v>
      </c>
      <c r="E1620" s="21">
        <v>2</v>
      </c>
      <c r="F1620" s="22">
        <v>45428.5912037037</v>
      </c>
      <c r="G1620" s="22"/>
      <c r="H1620" s="23">
        <v>26</v>
      </c>
      <c r="I1620" s="23">
        <v>13</v>
      </c>
      <c r="J1620" s="24">
        <v>26</v>
      </c>
      <c r="K1620" s="21">
        <v>0</v>
      </c>
      <c r="L1620" s="21">
        <v>0</v>
      </c>
      <c r="M1620" s="21">
        <f>COUNTIF($A$2:$A$5481,A1620)</f>
        <v>1</v>
      </c>
      <c r="N1620" s="24">
        <f t="shared" si="25"/>
        <v>26.000162</v>
      </c>
    </row>
    <row r="1621" spans="1:14">
      <c r="A1621" s="21" t="s">
        <v>2132</v>
      </c>
      <c r="B1621" s="21" t="s">
        <v>920</v>
      </c>
      <c r="C1621" s="21" t="s">
        <v>26</v>
      </c>
      <c r="D1621" s="21" t="s">
        <v>921</v>
      </c>
      <c r="E1621" s="21">
        <v>6</v>
      </c>
      <c r="F1621" s="22">
        <v>45931.4694907407</v>
      </c>
      <c r="G1621" s="22"/>
      <c r="H1621" s="23">
        <v>90</v>
      </c>
      <c r="I1621" s="23">
        <v>15</v>
      </c>
      <c r="J1621" s="24">
        <v>90</v>
      </c>
      <c r="K1621" s="21">
        <v>0</v>
      </c>
      <c r="L1621" s="21">
        <v>0</v>
      </c>
      <c r="M1621" s="21">
        <f>COUNTIF($A$2:$A$5481,A1621)</f>
        <v>1</v>
      </c>
      <c r="N1621" s="24">
        <f t="shared" si="25"/>
        <v>90.0001621</v>
      </c>
    </row>
    <row r="1622" spans="1:14">
      <c r="A1622" s="21" t="s">
        <v>2133</v>
      </c>
      <c r="B1622" s="21" t="s">
        <v>920</v>
      </c>
      <c r="C1622" s="21" t="s">
        <v>26</v>
      </c>
      <c r="D1622" s="21" t="s">
        <v>921</v>
      </c>
      <c r="E1622" s="21">
        <v>6</v>
      </c>
      <c r="F1622" s="22">
        <v>45810.8436342593</v>
      </c>
      <c r="G1622" s="22"/>
      <c r="H1622" s="23">
        <v>41.4</v>
      </c>
      <c r="I1622" s="23">
        <v>6.9</v>
      </c>
      <c r="J1622" s="24">
        <v>41.4</v>
      </c>
      <c r="K1622" s="21">
        <v>0</v>
      </c>
      <c r="L1622" s="21">
        <v>0</v>
      </c>
      <c r="M1622" s="21">
        <f>COUNTIF($A$2:$A$5481,A1622)</f>
        <v>1</v>
      </c>
      <c r="N1622" s="24">
        <f t="shared" si="25"/>
        <v>41.4001622</v>
      </c>
    </row>
    <row r="1623" spans="1:14">
      <c r="A1623" s="21" t="s">
        <v>2134</v>
      </c>
      <c r="B1623" s="21" t="s">
        <v>920</v>
      </c>
      <c r="C1623" s="21" t="s">
        <v>26</v>
      </c>
      <c r="D1623" s="21" t="s">
        <v>931</v>
      </c>
      <c r="E1623" s="21">
        <v>7</v>
      </c>
      <c r="F1623" s="22">
        <v>45810.8436342593</v>
      </c>
      <c r="G1623" s="22"/>
      <c r="H1623" s="23">
        <v>57.6</v>
      </c>
      <c r="I1623" s="23">
        <v>10.37143</v>
      </c>
      <c r="J1623" s="24">
        <v>72.59</v>
      </c>
      <c r="K1623" s="21">
        <v>0</v>
      </c>
      <c r="L1623" s="21">
        <v>0</v>
      </c>
      <c r="M1623" s="21">
        <f>COUNTIF($A$2:$A$5481,A1623)</f>
        <v>1</v>
      </c>
      <c r="N1623" s="24">
        <f t="shared" si="25"/>
        <v>72.5901623</v>
      </c>
    </row>
    <row r="1624" spans="1:14">
      <c r="A1624" s="21" t="s">
        <v>2135</v>
      </c>
      <c r="B1624" s="21" t="s">
        <v>929</v>
      </c>
      <c r="C1624" s="21" t="s">
        <v>414</v>
      </c>
      <c r="D1624" s="21" t="s">
        <v>921</v>
      </c>
      <c r="E1624" s="21">
        <v>1.5</v>
      </c>
      <c r="F1624" s="22">
        <v>45309.782349537</v>
      </c>
      <c r="G1624" s="22"/>
      <c r="H1624" s="23">
        <v>18</v>
      </c>
      <c r="I1624" s="23">
        <v>12</v>
      </c>
      <c r="J1624" s="24">
        <v>18</v>
      </c>
      <c r="K1624" s="21">
        <v>0</v>
      </c>
      <c r="L1624" s="21">
        <v>200</v>
      </c>
      <c r="M1624" s="21">
        <f>COUNTIF($A$2:$A$5481,A1624)</f>
        <v>2</v>
      </c>
      <c r="N1624" s="24">
        <f t="shared" si="25"/>
        <v>18.0001624</v>
      </c>
    </row>
    <row r="1625" spans="1:14">
      <c r="A1625" s="21" t="s">
        <v>2135</v>
      </c>
      <c r="B1625" s="21" t="s">
        <v>929</v>
      </c>
      <c r="C1625" s="21" t="s">
        <v>26</v>
      </c>
      <c r="D1625" s="21" t="s">
        <v>921</v>
      </c>
      <c r="E1625" s="21">
        <v>153</v>
      </c>
      <c r="F1625" s="22">
        <v>46105.6738194445</v>
      </c>
      <c r="G1625" s="22"/>
      <c r="H1625" s="23">
        <v>16.86</v>
      </c>
      <c r="I1625" s="23">
        <v>0.3650980392</v>
      </c>
      <c r="J1625" s="24">
        <v>56.61</v>
      </c>
      <c r="K1625" s="21">
        <v>0</v>
      </c>
      <c r="L1625" s="21">
        <v>200</v>
      </c>
      <c r="M1625" s="21">
        <f>COUNTIF($A$2:$A$5481,A1625)</f>
        <v>2</v>
      </c>
      <c r="N1625" s="24">
        <f t="shared" si="25"/>
        <v>56.6101625</v>
      </c>
    </row>
    <row r="1626" spans="1:14">
      <c r="A1626" s="21" t="s">
        <v>2136</v>
      </c>
      <c r="B1626" s="21" t="s">
        <v>929</v>
      </c>
      <c r="C1626" s="21" t="s">
        <v>26</v>
      </c>
      <c r="D1626" s="21" t="s">
        <v>921</v>
      </c>
      <c r="E1626" s="21">
        <v>100</v>
      </c>
      <c r="F1626" s="22">
        <v>45411.8399884259</v>
      </c>
      <c r="G1626" s="22"/>
      <c r="H1626" s="23">
        <v>16</v>
      </c>
      <c r="I1626" s="23">
        <v>0.16</v>
      </c>
      <c r="J1626" s="24">
        <v>16</v>
      </c>
      <c r="K1626" s="21">
        <v>0</v>
      </c>
      <c r="L1626" s="21">
        <v>0</v>
      </c>
      <c r="M1626" s="21">
        <f>COUNTIF($A$2:$A$5481,A1626)</f>
        <v>1</v>
      </c>
      <c r="N1626" s="24">
        <f t="shared" si="25"/>
        <v>16.0001626</v>
      </c>
    </row>
    <row r="1627" spans="1:14">
      <c r="A1627" s="21" t="s">
        <v>2137</v>
      </c>
      <c r="B1627" s="21" t="s">
        <v>929</v>
      </c>
      <c r="C1627" s="21" t="s">
        <v>35</v>
      </c>
      <c r="D1627" s="21" t="s">
        <v>921</v>
      </c>
      <c r="E1627" s="21">
        <v>1</v>
      </c>
      <c r="F1627" s="22">
        <v>45314.6</v>
      </c>
      <c r="G1627" s="22"/>
      <c r="H1627" s="23">
        <v>6</v>
      </c>
      <c r="I1627" s="23">
        <v>6</v>
      </c>
      <c r="J1627" s="24">
        <v>6</v>
      </c>
      <c r="K1627" s="21">
        <v>0</v>
      </c>
      <c r="L1627" s="21">
        <v>0</v>
      </c>
      <c r="M1627" s="21">
        <f>COUNTIF($A$2:$A$5481,A1627)</f>
        <v>1</v>
      </c>
      <c r="N1627" s="24">
        <f t="shared" si="25"/>
        <v>6.0001627</v>
      </c>
    </row>
    <row r="1628" spans="1:14">
      <c r="A1628" s="21" t="s">
        <v>346</v>
      </c>
      <c r="B1628" s="21" t="s">
        <v>920</v>
      </c>
      <c r="C1628" s="21" t="s">
        <v>35</v>
      </c>
      <c r="D1628" s="21" t="s">
        <v>921</v>
      </c>
      <c r="E1628" s="21">
        <v>0</v>
      </c>
      <c r="F1628" s="22">
        <v>46013.5532986111</v>
      </c>
      <c r="G1628" s="22">
        <v>46121.5357291667</v>
      </c>
      <c r="H1628" s="23">
        <v>16</v>
      </c>
      <c r="I1628" s="23">
        <v>4</v>
      </c>
      <c r="J1628" s="24">
        <v>0</v>
      </c>
      <c r="K1628" s="21">
        <v>0</v>
      </c>
      <c r="L1628" s="21">
        <v>0</v>
      </c>
      <c r="M1628" s="21">
        <f>COUNTIF($A$2:$A$5481,A1628)</f>
        <v>1</v>
      </c>
      <c r="N1628" s="24">
        <f t="shared" si="25"/>
        <v>0.0001628</v>
      </c>
    </row>
    <row r="1629" spans="1:14">
      <c r="A1629" s="21" t="s">
        <v>2138</v>
      </c>
      <c r="B1629" s="21" t="s">
        <v>26</v>
      </c>
      <c r="C1629" s="21" t="s">
        <v>26</v>
      </c>
      <c r="D1629" s="21" t="s">
        <v>921</v>
      </c>
      <c r="E1629" s="21">
        <v>92</v>
      </c>
      <c r="F1629" s="22">
        <v>45756.3563773148</v>
      </c>
      <c r="G1629" s="22"/>
      <c r="H1629" s="23">
        <v>44</v>
      </c>
      <c r="I1629" s="23">
        <v>1.33478</v>
      </c>
      <c r="J1629" s="24">
        <v>122.36</v>
      </c>
      <c r="K1629" s="21">
        <v>0</v>
      </c>
      <c r="L1629" s="21">
        <v>0</v>
      </c>
      <c r="M1629" s="21">
        <f>COUNTIF($A$2:$A$5481,A1629)</f>
        <v>1</v>
      </c>
      <c r="N1629" s="24">
        <f t="shared" si="25"/>
        <v>122.3601629</v>
      </c>
    </row>
    <row r="1630" spans="1:14">
      <c r="A1630" s="21" t="s">
        <v>2139</v>
      </c>
      <c r="B1630" s="21" t="s">
        <v>929</v>
      </c>
      <c r="C1630" s="21" t="s">
        <v>414</v>
      </c>
      <c r="D1630" s="21" t="s">
        <v>921</v>
      </c>
      <c r="E1630" s="21">
        <v>20</v>
      </c>
      <c r="F1630" s="22">
        <v>45377.8479166667</v>
      </c>
      <c r="G1630" s="22"/>
      <c r="H1630" s="23">
        <v>15.6</v>
      </c>
      <c r="I1630" s="23">
        <v>0.78</v>
      </c>
      <c r="J1630" s="24">
        <v>15.6</v>
      </c>
      <c r="K1630" s="21">
        <v>0</v>
      </c>
      <c r="L1630" s="21">
        <v>0</v>
      </c>
      <c r="M1630" s="21">
        <f>COUNTIF($A$2:$A$5481,A1630)</f>
        <v>1</v>
      </c>
      <c r="N1630" s="24">
        <f t="shared" si="25"/>
        <v>15.600163</v>
      </c>
    </row>
    <row r="1631" spans="1:14">
      <c r="A1631" s="21" t="s">
        <v>2140</v>
      </c>
      <c r="B1631" s="21" t="s">
        <v>26</v>
      </c>
      <c r="C1631" s="21" t="s">
        <v>26</v>
      </c>
      <c r="D1631" s="21" t="s">
        <v>921</v>
      </c>
      <c r="E1631" s="21">
        <v>103</v>
      </c>
      <c r="F1631" s="22">
        <v>46050.3611111111</v>
      </c>
      <c r="G1631" s="22"/>
      <c r="H1631" s="23">
        <v>181.28</v>
      </c>
      <c r="I1631" s="23">
        <v>1.76</v>
      </c>
      <c r="J1631" s="24">
        <v>181.28</v>
      </c>
      <c r="K1631" s="21">
        <v>0</v>
      </c>
      <c r="L1631" s="21">
        <v>0</v>
      </c>
      <c r="M1631" s="21">
        <f>COUNTIF($A$2:$A$5481,A1631)</f>
        <v>1</v>
      </c>
      <c r="N1631" s="24">
        <f t="shared" si="25"/>
        <v>181.2801631</v>
      </c>
    </row>
    <row r="1632" spans="1:14">
      <c r="A1632" s="21" t="s">
        <v>2141</v>
      </c>
      <c r="B1632" s="21" t="s">
        <v>26</v>
      </c>
      <c r="C1632" s="21" t="s">
        <v>26</v>
      </c>
      <c r="D1632" s="21" t="s">
        <v>921</v>
      </c>
      <c r="E1632" s="21">
        <v>28</v>
      </c>
      <c r="F1632" s="22">
        <v>46050.3611111111</v>
      </c>
      <c r="G1632" s="22"/>
      <c r="H1632" s="23">
        <v>50.12</v>
      </c>
      <c r="I1632" s="23">
        <v>1.79</v>
      </c>
      <c r="J1632" s="24">
        <v>50.12</v>
      </c>
      <c r="K1632" s="21">
        <v>0</v>
      </c>
      <c r="L1632" s="21">
        <v>0</v>
      </c>
      <c r="M1632" s="21">
        <f>COUNTIF($A$2:$A$5481,A1632)</f>
        <v>1</v>
      </c>
      <c r="N1632" s="24">
        <f t="shared" si="25"/>
        <v>50.1201632</v>
      </c>
    </row>
    <row r="1633" spans="1:14">
      <c r="A1633" s="21" t="s">
        <v>2142</v>
      </c>
      <c r="B1633" s="21" t="s">
        <v>920</v>
      </c>
      <c r="C1633" s="21" t="s">
        <v>26</v>
      </c>
      <c r="D1633" s="21" t="s">
        <v>921</v>
      </c>
      <c r="E1633" s="21">
        <v>40</v>
      </c>
      <c r="F1633" s="22">
        <v>45604.8111111111</v>
      </c>
      <c r="G1633" s="22"/>
      <c r="H1633" s="23">
        <v>87.6</v>
      </c>
      <c r="I1633" s="23">
        <v>2.19</v>
      </c>
      <c r="J1633" s="24">
        <v>87.6</v>
      </c>
      <c r="K1633" s="21">
        <v>0</v>
      </c>
      <c r="L1633" s="21">
        <v>0</v>
      </c>
      <c r="M1633" s="21">
        <f>COUNTIF($A$2:$A$5481,A1633)</f>
        <v>1</v>
      </c>
      <c r="N1633" s="24">
        <f t="shared" si="25"/>
        <v>87.6001633</v>
      </c>
    </row>
    <row r="1634" spans="1:14">
      <c r="A1634" s="21" t="s">
        <v>2143</v>
      </c>
      <c r="B1634" s="21" t="s">
        <v>920</v>
      </c>
      <c r="C1634" s="21" t="s">
        <v>35</v>
      </c>
      <c r="D1634" s="21" t="s">
        <v>921</v>
      </c>
      <c r="E1634" s="21">
        <v>2</v>
      </c>
      <c r="F1634" s="22">
        <v>45363.5958333333</v>
      </c>
      <c r="G1634" s="22"/>
      <c r="H1634" s="23">
        <v>3.84</v>
      </c>
      <c r="I1634" s="23">
        <v>1.92</v>
      </c>
      <c r="J1634" s="24">
        <v>3.84</v>
      </c>
      <c r="K1634" s="21">
        <v>0</v>
      </c>
      <c r="L1634" s="21">
        <v>0</v>
      </c>
      <c r="M1634" s="21">
        <f>COUNTIF($A$2:$A$5481,A1634)</f>
        <v>1</v>
      </c>
      <c r="N1634" s="24">
        <f t="shared" si="25"/>
        <v>3.8401634</v>
      </c>
    </row>
    <row r="1635" spans="1:14">
      <c r="A1635" s="21" t="s">
        <v>2144</v>
      </c>
      <c r="B1635" s="21" t="s">
        <v>920</v>
      </c>
      <c r="C1635" s="21" t="s">
        <v>35</v>
      </c>
      <c r="D1635" s="21" t="s">
        <v>921</v>
      </c>
      <c r="E1635" s="21">
        <v>4</v>
      </c>
      <c r="F1635" s="22">
        <v>46050.6261689815</v>
      </c>
      <c r="G1635" s="22"/>
      <c r="H1635" s="23">
        <v>8.38</v>
      </c>
      <c r="I1635" s="23">
        <v>3.63</v>
      </c>
      <c r="J1635" s="24">
        <v>14.52</v>
      </c>
      <c r="K1635" s="21">
        <v>0</v>
      </c>
      <c r="L1635" s="21">
        <v>0</v>
      </c>
      <c r="M1635" s="21">
        <f>COUNTIF($A$2:$A$5481,A1635)</f>
        <v>1</v>
      </c>
      <c r="N1635" s="24">
        <f t="shared" si="25"/>
        <v>14.5201635</v>
      </c>
    </row>
    <row r="1636" spans="1:14">
      <c r="A1636" s="21" t="s">
        <v>2145</v>
      </c>
      <c r="B1636" s="21" t="s">
        <v>26</v>
      </c>
      <c r="C1636" s="21" t="s">
        <v>26</v>
      </c>
      <c r="D1636" s="21" t="s">
        <v>921</v>
      </c>
      <c r="E1636" s="21">
        <v>2</v>
      </c>
      <c r="F1636" s="22">
        <v>45994.6852430556</v>
      </c>
      <c r="G1636" s="22"/>
      <c r="H1636" s="23">
        <v>15.48</v>
      </c>
      <c r="I1636" s="23">
        <v>13.545</v>
      </c>
      <c r="J1636" s="24">
        <v>27.1</v>
      </c>
      <c r="K1636" s="21">
        <v>0</v>
      </c>
      <c r="L1636" s="21">
        <v>0</v>
      </c>
      <c r="M1636" s="21">
        <f>COUNTIF($A$2:$A$5481,A1636)</f>
        <v>1</v>
      </c>
      <c r="N1636" s="24">
        <f t="shared" si="25"/>
        <v>27.1001636</v>
      </c>
    </row>
    <row r="1637" spans="1:14">
      <c r="A1637" s="21" t="s">
        <v>2146</v>
      </c>
      <c r="B1637" s="21" t="s">
        <v>26</v>
      </c>
      <c r="C1637" s="21" t="s">
        <v>26</v>
      </c>
      <c r="D1637" s="21" t="s">
        <v>921</v>
      </c>
      <c r="E1637" s="21">
        <v>3</v>
      </c>
      <c r="F1637" s="22">
        <v>45715.8635416667</v>
      </c>
      <c r="G1637" s="22"/>
      <c r="H1637" s="23">
        <v>6.19</v>
      </c>
      <c r="I1637" s="23">
        <v>9.24</v>
      </c>
      <c r="J1637" s="24">
        <v>27.72</v>
      </c>
      <c r="K1637" s="21">
        <v>0</v>
      </c>
      <c r="L1637" s="21">
        <v>0</v>
      </c>
      <c r="M1637" s="21">
        <f>COUNTIF($A$2:$A$5481,A1637)</f>
        <v>1</v>
      </c>
      <c r="N1637" s="24">
        <f t="shared" si="25"/>
        <v>27.7201637</v>
      </c>
    </row>
    <row r="1638" spans="1:14">
      <c r="A1638" s="21" t="s">
        <v>2147</v>
      </c>
      <c r="B1638" s="21" t="s">
        <v>26</v>
      </c>
      <c r="C1638" s="21" t="s">
        <v>26</v>
      </c>
      <c r="D1638" s="21" t="s">
        <v>921</v>
      </c>
      <c r="E1638" s="21">
        <v>101</v>
      </c>
      <c r="F1638" s="22">
        <v>45715.8651736111</v>
      </c>
      <c r="G1638" s="22"/>
      <c r="H1638" s="23">
        <v>21</v>
      </c>
      <c r="I1638" s="23">
        <v>0.30208</v>
      </c>
      <c r="J1638" s="24">
        <v>30.3</v>
      </c>
      <c r="K1638" s="21">
        <v>0</v>
      </c>
      <c r="L1638" s="21">
        <v>0</v>
      </c>
      <c r="M1638" s="21">
        <f>COUNTIF($A$2:$A$5481,A1638)</f>
        <v>1</v>
      </c>
      <c r="N1638" s="24">
        <f t="shared" si="25"/>
        <v>30.3001638</v>
      </c>
    </row>
    <row r="1639" spans="1:14">
      <c r="A1639" s="21" t="s">
        <v>2148</v>
      </c>
      <c r="B1639" s="21" t="s">
        <v>920</v>
      </c>
      <c r="C1639" s="21" t="s">
        <v>414</v>
      </c>
      <c r="D1639" s="21" t="s">
        <v>921</v>
      </c>
      <c r="E1639" s="21">
        <v>50</v>
      </c>
      <c r="F1639" s="22">
        <v>45302.4691435185</v>
      </c>
      <c r="G1639" s="22"/>
      <c r="H1639" s="23">
        <v>13.5</v>
      </c>
      <c r="I1639" s="23">
        <v>0.27</v>
      </c>
      <c r="J1639" s="24">
        <v>13.5</v>
      </c>
      <c r="K1639" s="21">
        <v>0</v>
      </c>
      <c r="L1639" s="21">
        <v>0</v>
      </c>
      <c r="M1639" s="21">
        <f>COUNTIF($A$2:$A$5481,A1639)</f>
        <v>1</v>
      </c>
      <c r="N1639" s="24">
        <f t="shared" si="25"/>
        <v>13.5001639</v>
      </c>
    </row>
    <row r="1640" spans="1:14">
      <c r="A1640" s="21" t="s">
        <v>2149</v>
      </c>
      <c r="B1640" s="21" t="s">
        <v>920</v>
      </c>
      <c r="C1640" s="21" t="s">
        <v>414</v>
      </c>
      <c r="D1640" s="21" t="s">
        <v>921</v>
      </c>
      <c r="E1640" s="21">
        <v>50</v>
      </c>
      <c r="F1640" s="22">
        <v>45302.4691435185</v>
      </c>
      <c r="G1640" s="22"/>
      <c r="H1640" s="23">
        <v>10</v>
      </c>
      <c r="I1640" s="23">
        <v>0.2</v>
      </c>
      <c r="J1640" s="24">
        <v>10</v>
      </c>
      <c r="K1640" s="21">
        <v>0</v>
      </c>
      <c r="L1640" s="21">
        <v>0</v>
      </c>
      <c r="M1640" s="21">
        <f>COUNTIF($A$2:$A$5481,A1640)</f>
        <v>1</v>
      </c>
      <c r="N1640" s="24">
        <f t="shared" si="25"/>
        <v>10.000164</v>
      </c>
    </row>
    <row r="1641" spans="1:14">
      <c r="A1641" s="21" t="s">
        <v>2150</v>
      </c>
      <c r="B1641" s="21" t="s">
        <v>920</v>
      </c>
      <c r="C1641" s="21" t="s">
        <v>26</v>
      </c>
      <c r="D1641" s="21" t="s">
        <v>921</v>
      </c>
      <c r="E1641" s="21">
        <v>15</v>
      </c>
      <c r="F1641" s="22">
        <v>45757.4496064815</v>
      </c>
      <c r="G1641" s="22"/>
      <c r="H1641" s="23">
        <v>3.45</v>
      </c>
      <c r="I1641" s="23">
        <v>0.23</v>
      </c>
      <c r="J1641" s="24">
        <v>3.45</v>
      </c>
      <c r="K1641" s="21">
        <v>0</v>
      </c>
      <c r="L1641" s="21">
        <v>0</v>
      </c>
      <c r="M1641" s="21">
        <f>COUNTIF($A$2:$A$5481,A1641)</f>
        <v>1</v>
      </c>
      <c r="N1641" s="24">
        <f t="shared" si="25"/>
        <v>3.4501641</v>
      </c>
    </row>
    <row r="1642" spans="1:14">
      <c r="A1642" s="21" t="s">
        <v>2151</v>
      </c>
      <c r="B1642" s="21" t="s">
        <v>26</v>
      </c>
      <c r="C1642" s="21" t="s">
        <v>26</v>
      </c>
      <c r="D1642" s="21" t="s">
        <v>921</v>
      </c>
      <c r="E1642" s="21">
        <v>66</v>
      </c>
      <c r="F1642" s="22">
        <v>46084.7011921296</v>
      </c>
      <c r="G1642" s="22"/>
      <c r="H1642" s="23">
        <v>440</v>
      </c>
      <c r="I1642" s="23">
        <v>19.433030303</v>
      </c>
      <c r="J1642" s="24">
        <v>1282.38</v>
      </c>
      <c r="K1642" s="21">
        <v>0</v>
      </c>
      <c r="L1642" s="21">
        <v>0</v>
      </c>
      <c r="M1642" s="21">
        <f>COUNTIF($A$2:$A$5481,A1642)</f>
        <v>1</v>
      </c>
      <c r="N1642" s="24">
        <f t="shared" si="25"/>
        <v>1282.3801642</v>
      </c>
    </row>
    <row r="1643" spans="1:14">
      <c r="A1643" s="21" t="s">
        <v>2152</v>
      </c>
      <c r="B1643" s="21" t="s">
        <v>920</v>
      </c>
      <c r="C1643" s="21" t="s">
        <v>26</v>
      </c>
      <c r="D1643" s="21" t="s">
        <v>921</v>
      </c>
      <c r="E1643" s="21">
        <v>4</v>
      </c>
      <c r="F1643" s="22">
        <v>46212.569212963</v>
      </c>
      <c r="G1643" s="22"/>
      <c r="H1643" s="23">
        <v>80</v>
      </c>
      <c r="I1643" s="23">
        <v>20</v>
      </c>
      <c r="J1643" s="24">
        <v>80</v>
      </c>
      <c r="K1643" s="21">
        <v>0</v>
      </c>
      <c r="L1643" s="21">
        <v>0</v>
      </c>
      <c r="M1643" s="21">
        <f>COUNTIF($A$2:$A$5481,A1643)</f>
        <v>1</v>
      </c>
      <c r="N1643" s="24">
        <f t="shared" si="25"/>
        <v>80.0001643</v>
      </c>
    </row>
    <row r="1644" spans="1:14">
      <c r="A1644" s="21" t="s">
        <v>679</v>
      </c>
      <c r="B1644" s="21" t="s">
        <v>1898</v>
      </c>
      <c r="C1644" s="21" t="s">
        <v>26</v>
      </c>
      <c r="D1644" s="21" t="s">
        <v>921</v>
      </c>
      <c r="E1644" s="21">
        <v>0</v>
      </c>
      <c r="F1644" s="22">
        <v>46217.3923611111</v>
      </c>
      <c r="G1644" s="22">
        <v>46252.5686921296</v>
      </c>
      <c r="H1644" s="23">
        <v>52.85</v>
      </c>
      <c r="I1644" s="23">
        <v>52.85</v>
      </c>
      <c r="J1644" s="24">
        <v>0</v>
      </c>
      <c r="K1644" s="21">
        <v>0</v>
      </c>
      <c r="L1644" s="21">
        <v>0</v>
      </c>
      <c r="M1644" s="21">
        <f>COUNTIF($A$2:$A$5481,A1644)</f>
        <v>1</v>
      </c>
      <c r="N1644" s="24">
        <f t="shared" si="25"/>
        <v>0.0001644</v>
      </c>
    </row>
    <row r="1645" spans="1:14">
      <c r="A1645" s="21" t="s">
        <v>2153</v>
      </c>
      <c r="B1645" s="21" t="s">
        <v>948</v>
      </c>
      <c r="C1645" s="21" t="s">
        <v>26</v>
      </c>
      <c r="D1645" s="21" t="s">
        <v>921</v>
      </c>
      <c r="E1645" s="21">
        <v>2</v>
      </c>
      <c r="F1645" s="22">
        <v>46232.5770717593</v>
      </c>
      <c r="G1645" s="22"/>
      <c r="H1645" s="23">
        <v>18</v>
      </c>
      <c r="I1645" s="23">
        <v>18</v>
      </c>
      <c r="J1645" s="24">
        <v>36</v>
      </c>
      <c r="K1645" s="21">
        <v>0</v>
      </c>
      <c r="L1645" s="21">
        <v>0</v>
      </c>
      <c r="M1645" s="21">
        <f>COUNTIF($A$2:$A$5481,A1645)</f>
        <v>1</v>
      </c>
      <c r="N1645" s="24">
        <f t="shared" si="25"/>
        <v>36.0001645</v>
      </c>
    </row>
    <row r="1646" spans="1:14">
      <c r="A1646" s="21" t="s">
        <v>2154</v>
      </c>
      <c r="B1646" s="21" t="s">
        <v>920</v>
      </c>
      <c r="C1646" s="21" t="s">
        <v>26</v>
      </c>
      <c r="D1646" s="21" t="s">
        <v>921</v>
      </c>
      <c r="E1646" s="21">
        <v>4</v>
      </c>
      <c r="F1646" s="22">
        <v>46216.6901273148</v>
      </c>
      <c r="G1646" s="22"/>
      <c r="H1646" s="23">
        <v>80</v>
      </c>
      <c r="I1646" s="23">
        <v>20</v>
      </c>
      <c r="J1646" s="24">
        <v>80</v>
      </c>
      <c r="K1646" s="21">
        <v>0</v>
      </c>
      <c r="L1646" s="21">
        <v>0</v>
      </c>
      <c r="M1646" s="21">
        <f>COUNTIF($A$2:$A$5481,A1646)</f>
        <v>1</v>
      </c>
      <c r="N1646" s="24">
        <f t="shared" si="25"/>
        <v>80.0001646</v>
      </c>
    </row>
    <row r="1647" spans="1:14">
      <c r="A1647" s="21" t="s">
        <v>2155</v>
      </c>
      <c r="B1647" s="21" t="s">
        <v>26</v>
      </c>
      <c r="C1647" s="21" t="s">
        <v>26</v>
      </c>
      <c r="D1647" s="21" t="s">
        <v>921</v>
      </c>
      <c r="E1647" s="21">
        <v>24</v>
      </c>
      <c r="F1647" s="22">
        <v>46104.6860416667</v>
      </c>
      <c r="G1647" s="22">
        <v>45541.8514351852</v>
      </c>
      <c r="H1647" s="23">
        <v>78</v>
      </c>
      <c r="I1647" s="23">
        <v>4.25</v>
      </c>
      <c r="J1647" s="24">
        <v>102</v>
      </c>
      <c r="K1647" s="21">
        <v>0</v>
      </c>
      <c r="L1647" s="21">
        <v>0</v>
      </c>
      <c r="M1647" s="21">
        <f>COUNTIF($A$2:$A$5481,A1647)</f>
        <v>1</v>
      </c>
      <c r="N1647" s="24">
        <f t="shared" si="25"/>
        <v>102.0001647</v>
      </c>
    </row>
    <row r="1648" spans="1:14">
      <c r="A1648" s="21" t="s">
        <v>2156</v>
      </c>
      <c r="B1648" s="21" t="s">
        <v>920</v>
      </c>
      <c r="C1648" s="21" t="s">
        <v>35</v>
      </c>
      <c r="D1648" s="21" t="s">
        <v>921</v>
      </c>
      <c r="E1648" s="21">
        <v>1</v>
      </c>
      <c r="F1648" s="22">
        <v>45376.8048611111</v>
      </c>
      <c r="G1648" s="22"/>
      <c r="H1648" s="23">
        <v>4.85</v>
      </c>
      <c r="I1648" s="23">
        <v>4.85</v>
      </c>
      <c r="J1648" s="24">
        <v>4.85</v>
      </c>
      <c r="K1648" s="21">
        <v>0</v>
      </c>
      <c r="L1648" s="21">
        <v>0</v>
      </c>
      <c r="M1648" s="21">
        <f>COUNTIF($A$2:$A$5481,A1648)</f>
        <v>1</v>
      </c>
      <c r="N1648" s="24">
        <f t="shared" si="25"/>
        <v>4.8501648</v>
      </c>
    </row>
    <row r="1649" spans="1:14">
      <c r="A1649" s="21" t="s">
        <v>2157</v>
      </c>
      <c r="B1649" s="21" t="s">
        <v>26</v>
      </c>
      <c r="C1649" s="21" t="s">
        <v>26</v>
      </c>
      <c r="D1649" s="21" t="s">
        <v>921</v>
      </c>
      <c r="E1649" s="21">
        <v>3</v>
      </c>
      <c r="F1649" s="22">
        <v>45460.8456481482</v>
      </c>
      <c r="G1649" s="22"/>
      <c r="H1649" s="23">
        <v>7.71</v>
      </c>
      <c r="I1649" s="23">
        <v>2.57</v>
      </c>
      <c r="J1649" s="24">
        <v>7.71</v>
      </c>
      <c r="K1649" s="21">
        <v>0</v>
      </c>
      <c r="L1649" s="21">
        <v>0</v>
      </c>
      <c r="M1649" s="21">
        <f>COUNTIF($A$2:$A$5481,A1649)</f>
        <v>1</v>
      </c>
      <c r="N1649" s="24">
        <f t="shared" si="25"/>
        <v>7.7101649</v>
      </c>
    </row>
    <row r="1650" spans="1:14">
      <c r="A1650" s="21" t="s">
        <v>2158</v>
      </c>
      <c r="B1650" s="21" t="s">
        <v>920</v>
      </c>
      <c r="C1650" s="21" t="s">
        <v>26</v>
      </c>
      <c r="D1650" s="21" t="s">
        <v>921</v>
      </c>
      <c r="E1650" s="21">
        <v>4</v>
      </c>
      <c r="F1650" s="22">
        <v>46008.3387268519</v>
      </c>
      <c r="G1650" s="22"/>
      <c r="H1650" s="23">
        <v>31.6</v>
      </c>
      <c r="I1650" s="23">
        <v>7.9</v>
      </c>
      <c r="J1650" s="24">
        <v>31.6</v>
      </c>
      <c r="K1650" s="21">
        <v>0</v>
      </c>
      <c r="L1650" s="21">
        <v>0</v>
      </c>
      <c r="M1650" s="21">
        <f>COUNTIF($A$2:$A$5481,A1650)</f>
        <v>1</v>
      </c>
      <c r="N1650" s="24">
        <f t="shared" si="25"/>
        <v>31.600165</v>
      </c>
    </row>
    <row r="1651" spans="1:14">
      <c r="A1651" s="21" t="s">
        <v>2159</v>
      </c>
      <c r="B1651" s="21" t="s">
        <v>920</v>
      </c>
      <c r="C1651" s="21" t="s">
        <v>35</v>
      </c>
      <c r="D1651" s="21" t="s">
        <v>921</v>
      </c>
      <c r="E1651" s="21">
        <v>10</v>
      </c>
      <c r="F1651" s="22">
        <v>45376.8027777778</v>
      </c>
      <c r="G1651" s="22"/>
      <c r="H1651" s="23">
        <v>186.3</v>
      </c>
      <c r="I1651" s="23">
        <v>18.63</v>
      </c>
      <c r="J1651" s="24">
        <v>186.3</v>
      </c>
      <c r="K1651" s="21">
        <v>0</v>
      </c>
      <c r="L1651" s="21">
        <v>0</v>
      </c>
      <c r="M1651" s="21">
        <f>COUNTIF($A$2:$A$5481,A1651)</f>
        <v>1</v>
      </c>
      <c r="N1651" s="24">
        <f t="shared" si="25"/>
        <v>186.3001651</v>
      </c>
    </row>
    <row r="1652" spans="1:14">
      <c r="A1652" s="21" t="s">
        <v>2160</v>
      </c>
      <c r="B1652" s="21" t="s">
        <v>920</v>
      </c>
      <c r="C1652" s="21" t="s">
        <v>35</v>
      </c>
      <c r="D1652" s="21" t="s">
        <v>921</v>
      </c>
      <c r="E1652" s="21">
        <v>10</v>
      </c>
      <c r="F1652" s="22">
        <v>45282.7770601852</v>
      </c>
      <c r="G1652" s="22"/>
      <c r="H1652" s="23">
        <v>310</v>
      </c>
      <c r="I1652" s="23">
        <v>31</v>
      </c>
      <c r="J1652" s="24">
        <v>310</v>
      </c>
      <c r="K1652" s="21">
        <v>2</v>
      </c>
      <c r="L1652" s="21">
        <v>20</v>
      </c>
      <c r="M1652" s="21">
        <f>COUNTIF($A$2:$A$5481,A1652)</f>
        <v>2</v>
      </c>
      <c r="N1652" s="24">
        <f t="shared" si="25"/>
        <v>310.0001652</v>
      </c>
    </row>
    <row r="1653" spans="1:14">
      <c r="A1653" s="21" t="s">
        <v>2160</v>
      </c>
      <c r="B1653" s="21" t="s">
        <v>920</v>
      </c>
      <c r="C1653" s="21" t="s">
        <v>26</v>
      </c>
      <c r="D1653" s="21" t="s">
        <v>921</v>
      </c>
      <c r="E1653" s="21">
        <v>3</v>
      </c>
      <c r="F1653" s="22">
        <v>45580.3628587963</v>
      </c>
      <c r="G1653" s="22"/>
      <c r="H1653" s="23">
        <v>78</v>
      </c>
      <c r="I1653" s="23">
        <v>26</v>
      </c>
      <c r="J1653" s="24">
        <v>78</v>
      </c>
      <c r="K1653" s="21">
        <v>2</v>
      </c>
      <c r="L1653" s="21">
        <v>20</v>
      </c>
      <c r="M1653" s="21">
        <f>COUNTIF($A$2:$A$5481,A1653)</f>
        <v>2</v>
      </c>
      <c r="N1653" s="24">
        <f t="shared" si="25"/>
        <v>78.0001653</v>
      </c>
    </row>
    <row r="1654" spans="1:14">
      <c r="A1654" s="21" t="s">
        <v>2161</v>
      </c>
      <c r="B1654" s="21" t="s">
        <v>920</v>
      </c>
      <c r="C1654" s="21" t="s">
        <v>26</v>
      </c>
      <c r="D1654" s="21" t="s">
        <v>921</v>
      </c>
      <c r="E1654" s="21">
        <v>3</v>
      </c>
      <c r="F1654" s="22">
        <v>46205.7207986111</v>
      </c>
      <c r="G1654" s="22"/>
      <c r="H1654" s="23">
        <v>45</v>
      </c>
      <c r="I1654" s="23">
        <v>15</v>
      </c>
      <c r="J1654" s="24">
        <v>45</v>
      </c>
      <c r="K1654" s="21">
        <v>0</v>
      </c>
      <c r="L1654" s="21">
        <v>0</v>
      </c>
      <c r="M1654" s="21">
        <f>COUNTIF($A$2:$A$5481,A1654)</f>
        <v>1</v>
      </c>
      <c r="N1654" s="24">
        <f t="shared" si="25"/>
        <v>45.0001654</v>
      </c>
    </row>
    <row r="1655" spans="1:14">
      <c r="A1655" s="21" t="s">
        <v>2162</v>
      </c>
      <c r="B1655" s="21" t="s">
        <v>26</v>
      </c>
      <c r="C1655" s="21" t="s">
        <v>26</v>
      </c>
      <c r="D1655" s="21" t="s">
        <v>921</v>
      </c>
      <c r="E1655" s="21">
        <v>100</v>
      </c>
      <c r="F1655" s="22">
        <v>46111.3875</v>
      </c>
      <c r="G1655" s="22"/>
      <c r="H1655" s="23">
        <v>28</v>
      </c>
      <c r="I1655" s="23">
        <v>0.28</v>
      </c>
      <c r="J1655" s="24">
        <v>28</v>
      </c>
      <c r="K1655" s="21">
        <v>0</v>
      </c>
      <c r="L1655" s="21">
        <v>0</v>
      </c>
      <c r="M1655" s="21">
        <f>COUNTIF($A$2:$A$5481,A1655)</f>
        <v>1</v>
      </c>
      <c r="N1655" s="24">
        <f t="shared" si="25"/>
        <v>28.0001655</v>
      </c>
    </row>
    <row r="1656" spans="1:14">
      <c r="A1656" s="21" t="s">
        <v>2163</v>
      </c>
      <c r="B1656" s="21" t="s">
        <v>26</v>
      </c>
      <c r="C1656" s="21" t="s">
        <v>26</v>
      </c>
      <c r="D1656" s="21" t="s">
        <v>921</v>
      </c>
      <c r="E1656" s="21">
        <v>101</v>
      </c>
      <c r="F1656" s="22">
        <v>46174.5658680556</v>
      </c>
      <c r="G1656" s="22"/>
      <c r="H1656" s="23">
        <v>51</v>
      </c>
      <c r="I1656" s="23">
        <v>0.9306930693</v>
      </c>
      <c r="J1656" s="24">
        <v>93.93</v>
      </c>
      <c r="K1656" s="21">
        <v>0</v>
      </c>
      <c r="L1656" s="21">
        <v>0</v>
      </c>
      <c r="M1656" s="21">
        <f>COUNTIF($A$2:$A$5481,A1656)</f>
        <v>1</v>
      </c>
      <c r="N1656" s="24">
        <f t="shared" si="25"/>
        <v>93.9301656</v>
      </c>
    </row>
    <row r="1657" spans="1:14">
      <c r="A1657" s="21" t="s">
        <v>2164</v>
      </c>
      <c r="B1657" s="21" t="s">
        <v>26</v>
      </c>
      <c r="C1657" s="21" t="s">
        <v>26</v>
      </c>
      <c r="D1657" s="21" t="s">
        <v>921</v>
      </c>
      <c r="E1657" s="21">
        <v>275</v>
      </c>
      <c r="F1657" s="22">
        <v>46136.5707060185</v>
      </c>
      <c r="G1657" s="22"/>
      <c r="H1657" s="23">
        <v>12</v>
      </c>
      <c r="I1657" s="23">
        <v>0.2027272727</v>
      </c>
      <c r="J1657" s="24">
        <v>55</v>
      </c>
      <c r="K1657" s="21">
        <v>0</v>
      </c>
      <c r="L1657" s="21">
        <v>0</v>
      </c>
      <c r="M1657" s="21">
        <f>COUNTIF($A$2:$A$5481,A1657)</f>
        <v>1</v>
      </c>
      <c r="N1657" s="24">
        <f t="shared" si="25"/>
        <v>55.0001657</v>
      </c>
    </row>
    <row r="1658" spans="1:14">
      <c r="A1658" s="21" t="s">
        <v>2165</v>
      </c>
      <c r="B1658" s="21" t="s">
        <v>26</v>
      </c>
      <c r="C1658" s="21" t="s">
        <v>26</v>
      </c>
      <c r="D1658" s="21" t="s">
        <v>921</v>
      </c>
      <c r="E1658" s="21">
        <v>100</v>
      </c>
      <c r="F1658" s="22">
        <v>46136.5707060185</v>
      </c>
      <c r="G1658" s="22"/>
      <c r="H1658" s="23">
        <v>21</v>
      </c>
      <c r="I1658" s="23">
        <v>0.21</v>
      </c>
      <c r="J1658" s="24">
        <v>21</v>
      </c>
      <c r="K1658" s="21">
        <v>0</v>
      </c>
      <c r="L1658" s="21">
        <v>0</v>
      </c>
      <c r="M1658" s="21">
        <f>COUNTIF($A$2:$A$5481,A1658)</f>
        <v>1</v>
      </c>
      <c r="N1658" s="24">
        <f t="shared" si="25"/>
        <v>21.0001658</v>
      </c>
    </row>
    <row r="1659" spans="1:14">
      <c r="A1659" s="21" t="s">
        <v>2166</v>
      </c>
      <c r="B1659" s="21" t="s">
        <v>920</v>
      </c>
      <c r="C1659" s="21" t="s">
        <v>26</v>
      </c>
      <c r="D1659" s="21" t="s">
        <v>921</v>
      </c>
      <c r="E1659" s="21">
        <v>1.6</v>
      </c>
      <c r="F1659" s="22">
        <v>45343.6740162037</v>
      </c>
      <c r="G1659" s="22"/>
      <c r="H1659" s="23">
        <v>117.392</v>
      </c>
      <c r="I1659" s="23">
        <v>73.37</v>
      </c>
      <c r="J1659" s="24">
        <v>117.392</v>
      </c>
      <c r="K1659" s="21">
        <v>0</v>
      </c>
      <c r="L1659" s="21">
        <v>0</v>
      </c>
      <c r="M1659" s="21">
        <f>COUNTIF($A$2:$A$5481,A1659)</f>
        <v>1</v>
      </c>
      <c r="N1659" s="24">
        <f t="shared" si="25"/>
        <v>117.3921659</v>
      </c>
    </row>
    <row r="1660" spans="1:14">
      <c r="A1660" s="21" t="s">
        <v>2167</v>
      </c>
      <c r="B1660" s="21" t="s">
        <v>920</v>
      </c>
      <c r="C1660" s="21" t="s">
        <v>414</v>
      </c>
      <c r="D1660" s="21" t="s">
        <v>921</v>
      </c>
      <c r="E1660" s="21">
        <v>50</v>
      </c>
      <c r="F1660" s="22">
        <v>45302.4691435185</v>
      </c>
      <c r="G1660" s="22"/>
      <c r="H1660" s="23">
        <v>43</v>
      </c>
      <c r="I1660" s="23">
        <v>0.86</v>
      </c>
      <c r="J1660" s="24">
        <v>43</v>
      </c>
      <c r="K1660" s="21">
        <v>0</v>
      </c>
      <c r="L1660" s="21">
        <v>0</v>
      </c>
      <c r="M1660" s="21">
        <f>COUNTIF($A$2:$A$5481,A1660)</f>
        <v>2</v>
      </c>
      <c r="N1660" s="24">
        <f t="shared" si="25"/>
        <v>43.000166</v>
      </c>
    </row>
    <row r="1661" spans="1:14">
      <c r="A1661" s="21" t="s">
        <v>2167</v>
      </c>
      <c r="B1661" s="21" t="s">
        <v>920</v>
      </c>
      <c r="C1661" s="21" t="s">
        <v>26</v>
      </c>
      <c r="D1661" s="21" t="s">
        <v>921</v>
      </c>
      <c r="E1661" s="21">
        <v>50</v>
      </c>
      <c r="F1661" s="22">
        <v>45912.3699537037</v>
      </c>
      <c r="G1661" s="22"/>
      <c r="H1661" s="23">
        <v>39.5</v>
      </c>
      <c r="I1661" s="23">
        <v>0.79</v>
      </c>
      <c r="J1661" s="24">
        <v>39.5</v>
      </c>
      <c r="K1661" s="21">
        <v>0</v>
      </c>
      <c r="L1661" s="21">
        <v>0</v>
      </c>
      <c r="M1661" s="21">
        <f>COUNTIF($A$2:$A$5481,A1661)</f>
        <v>2</v>
      </c>
      <c r="N1661" s="24">
        <f t="shared" si="25"/>
        <v>39.5001661</v>
      </c>
    </row>
    <row r="1662" spans="1:14">
      <c r="A1662" s="21" t="s">
        <v>2168</v>
      </c>
      <c r="B1662" s="21" t="s">
        <v>26</v>
      </c>
      <c r="C1662" s="21" t="s">
        <v>26</v>
      </c>
      <c r="D1662" s="21" t="s">
        <v>921</v>
      </c>
      <c r="E1662" s="21">
        <v>100</v>
      </c>
      <c r="F1662" s="22">
        <v>45575.8308449074</v>
      </c>
      <c r="G1662" s="22"/>
      <c r="H1662" s="23">
        <v>109</v>
      </c>
      <c r="I1662" s="23">
        <v>1.09</v>
      </c>
      <c r="J1662" s="24">
        <v>109</v>
      </c>
      <c r="K1662" s="21">
        <v>0</v>
      </c>
      <c r="L1662" s="21">
        <v>0</v>
      </c>
      <c r="M1662" s="21">
        <f>COUNTIF($A$2:$A$5481,A1662)</f>
        <v>1</v>
      </c>
      <c r="N1662" s="24">
        <f t="shared" si="25"/>
        <v>109.0001662</v>
      </c>
    </row>
    <row r="1663" spans="1:14">
      <c r="A1663" s="21" t="s">
        <v>2169</v>
      </c>
      <c r="B1663" s="21" t="s">
        <v>26</v>
      </c>
      <c r="C1663" s="21" t="s">
        <v>26</v>
      </c>
      <c r="D1663" s="21" t="s">
        <v>921</v>
      </c>
      <c r="E1663" s="21">
        <v>201</v>
      </c>
      <c r="F1663" s="22">
        <v>46111.3875</v>
      </c>
      <c r="G1663" s="22"/>
      <c r="H1663" s="23">
        <v>41</v>
      </c>
      <c r="I1663" s="23">
        <v>0.9004975124</v>
      </c>
      <c r="J1663" s="24">
        <v>180.9</v>
      </c>
      <c r="K1663" s="21">
        <v>0</v>
      </c>
      <c r="L1663" s="21">
        <v>0</v>
      </c>
      <c r="M1663" s="21">
        <f>COUNTIF($A$2:$A$5481,A1663)</f>
        <v>1</v>
      </c>
      <c r="N1663" s="24">
        <f t="shared" si="25"/>
        <v>180.9001663</v>
      </c>
    </row>
    <row r="1664" spans="1:14">
      <c r="A1664" s="21" t="s">
        <v>2170</v>
      </c>
      <c r="B1664" s="21" t="s">
        <v>920</v>
      </c>
      <c r="C1664" s="21" t="s">
        <v>26</v>
      </c>
      <c r="D1664" s="21" t="s">
        <v>921</v>
      </c>
      <c r="E1664" s="21">
        <v>203</v>
      </c>
      <c r="F1664" s="22">
        <v>45707.8349074074</v>
      </c>
      <c r="G1664" s="22"/>
      <c r="H1664" s="23">
        <v>46.89</v>
      </c>
      <c r="I1664" s="23">
        <v>1.17532</v>
      </c>
      <c r="J1664" s="24">
        <v>239.54</v>
      </c>
      <c r="K1664" s="21">
        <v>0</v>
      </c>
      <c r="L1664" s="21">
        <v>0</v>
      </c>
      <c r="M1664" s="21">
        <f>COUNTIF($A$2:$A$5481,A1664)</f>
        <v>1</v>
      </c>
      <c r="N1664" s="24">
        <f t="shared" si="25"/>
        <v>239.5401664</v>
      </c>
    </row>
    <row r="1665" spans="1:14">
      <c r="A1665" s="21" t="s">
        <v>2171</v>
      </c>
      <c r="B1665" s="21" t="s">
        <v>26</v>
      </c>
      <c r="C1665" s="21" t="s">
        <v>26</v>
      </c>
      <c r="D1665" s="21" t="s">
        <v>1217</v>
      </c>
      <c r="E1665" s="21">
        <v>1</v>
      </c>
      <c r="F1665" s="22">
        <v>45707.8349074074</v>
      </c>
      <c r="G1665" s="22"/>
      <c r="H1665" s="23">
        <v>42.51</v>
      </c>
      <c r="I1665" s="23">
        <v>42.51</v>
      </c>
      <c r="J1665" s="24">
        <v>42.51</v>
      </c>
      <c r="K1665" s="21">
        <v>0</v>
      </c>
      <c r="L1665" s="21">
        <v>0</v>
      </c>
      <c r="M1665" s="21">
        <f>COUNTIF($A$2:$A$5481,A1665)</f>
        <v>1</v>
      </c>
      <c r="N1665" s="24">
        <f t="shared" si="25"/>
        <v>42.5101665</v>
      </c>
    </row>
    <row r="1666" spans="1:14">
      <c r="A1666" s="21" t="s">
        <v>2172</v>
      </c>
      <c r="B1666" s="21" t="s">
        <v>929</v>
      </c>
      <c r="C1666" s="21" t="s">
        <v>26</v>
      </c>
      <c r="D1666" s="21" t="s">
        <v>921</v>
      </c>
      <c r="E1666" s="21">
        <v>1</v>
      </c>
      <c r="F1666" s="22">
        <v>45357.4243055556</v>
      </c>
      <c r="G1666" s="22"/>
      <c r="H1666" s="23">
        <v>18.89</v>
      </c>
      <c r="I1666" s="23">
        <v>18.89</v>
      </c>
      <c r="J1666" s="24">
        <v>18.89</v>
      </c>
      <c r="K1666" s="21">
        <v>0</v>
      </c>
      <c r="L1666" s="21">
        <v>0</v>
      </c>
      <c r="M1666" s="21">
        <f>COUNTIF($A$2:$A$5481,A1666)</f>
        <v>1</v>
      </c>
      <c r="N1666" s="24">
        <f t="shared" ref="N1666:N1729" si="26">J1666+ROW()/10000000</f>
        <v>18.8901666</v>
      </c>
    </row>
    <row r="1667" spans="1:14">
      <c r="A1667" s="21" t="s">
        <v>304</v>
      </c>
      <c r="B1667" s="21" t="s">
        <v>920</v>
      </c>
      <c r="C1667" s="21" t="s">
        <v>35</v>
      </c>
      <c r="D1667" s="21" t="s">
        <v>921</v>
      </c>
      <c r="E1667" s="21">
        <v>0</v>
      </c>
      <c r="F1667" s="22">
        <v>46085.4340277778</v>
      </c>
      <c r="G1667" s="22">
        <v>46090.5750694444</v>
      </c>
      <c r="H1667" s="23">
        <v>56</v>
      </c>
      <c r="I1667" s="23">
        <v>28</v>
      </c>
      <c r="J1667" s="24">
        <v>0</v>
      </c>
      <c r="K1667" s="21">
        <v>0</v>
      </c>
      <c r="L1667" s="21">
        <v>0</v>
      </c>
      <c r="M1667" s="21">
        <f>COUNTIF($A$2:$A$5481,A1667)</f>
        <v>1</v>
      </c>
      <c r="N1667" s="24">
        <f t="shared" si="26"/>
        <v>0.0001667</v>
      </c>
    </row>
    <row r="1668" spans="1:14">
      <c r="A1668" s="21" t="s">
        <v>2173</v>
      </c>
      <c r="B1668" s="21" t="s">
        <v>26</v>
      </c>
      <c r="C1668" s="21" t="s">
        <v>26</v>
      </c>
      <c r="D1668" s="21" t="s">
        <v>921</v>
      </c>
      <c r="E1668" s="21">
        <v>10</v>
      </c>
      <c r="F1668" s="22">
        <v>46087.3930555556</v>
      </c>
      <c r="G1668" s="22"/>
      <c r="H1668" s="23">
        <v>16.2</v>
      </c>
      <c r="I1668" s="23">
        <v>3.92</v>
      </c>
      <c r="J1668" s="24">
        <v>39.2</v>
      </c>
      <c r="K1668" s="21">
        <v>0</v>
      </c>
      <c r="L1668" s="21">
        <v>0</v>
      </c>
      <c r="M1668" s="21">
        <f>COUNTIF($A$2:$A$5481,A1668)</f>
        <v>1</v>
      </c>
      <c r="N1668" s="24">
        <f t="shared" si="26"/>
        <v>39.2001668</v>
      </c>
    </row>
    <row r="1669" spans="1:14">
      <c r="A1669" s="21" t="s">
        <v>2174</v>
      </c>
      <c r="B1669" s="21" t="s">
        <v>26</v>
      </c>
      <c r="C1669" s="21" t="s">
        <v>26</v>
      </c>
      <c r="D1669" s="21" t="s">
        <v>921</v>
      </c>
      <c r="E1669" s="21">
        <v>10</v>
      </c>
      <c r="F1669" s="22">
        <v>45646.3734375</v>
      </c>
      <c r="G1669" s="22"/>
      <c r="H1669" s="23">
        <v>13.2</v>
      </c>
      <c r="I1669" s="23">
        <v>1.32</v>
      </c>
      <c r="J1669" s="24">
        <v>13.2</v>
      </c>
      <c r="K1669" s="21">
        <v>0</v>
      </c>
      <c r="L1669" s="21">
        <v>0</v>
      </c>
      <c r="M1669" s="21">
        <f>COUNTIF($A$2:$A$5481,A1669)</f>
        <v>1</v>
      </c>
      <c r="N1669" s="24">
        <f t="shared" si="26"/>
        <v>13.2001669</v>
      </c>
    </row>
    <row r="1670" spans="1:14">
      <c r="A1670" s="21" t="s">
        <v>2175</v>
      </c>
      <c r="B1670" s="21" t="s">
        <v>920</v>
      </c>
      <c r="C1670" s="21" t="s">
        <v>26</v>
      </c>
      <c r="D1670" s="21" t="s">
        <v>921</v>
      </c>
      <c r="E1670" s="21">
        <v>1</v>
      </c>
      <c r="F1670" s="22">
        <v>45882.8106944444</v>
      </c>
      <c r="G1670" s="22"/>
      <c r="H1670" s="23">
        <v>2.75</v>
      </c>
      <c r="I1670" s="23">
        <v>2.75</v>
      </c>
      <c r="J1670" s="24">
        <v>2.75</v>
      </c>
      <c r="K1670" s="21">
        <v>0</v>
      </c>
      <c r="L1670" s="21">
        <v>0</v>
      </c>
      <c r="M1670" s="21">
        <f>COUNTIF($A$2:$A$5481,A1670)</f>
        <v>1</v>
      </c>
      <c r="N1670" s="24">
        <f t="shared" si="26"/>
        <v>2.750167</v>
      </c>
    </row>
    <row r="1671" spans="1:14">
      <c r="A1671" s="21" t="s">
        <v>2176</v>
      </c>
      <c r="B1671" s="21" t="s">
        <v>920</v>
      </c>
      <c r="C1671" s="21" t="s">
        <v>35</v>
      </c>
      <c r="D1671" s="21" t="s">
        <v>921</v>
      </c>
      <c r="E1671" s="21">
        <v>30</v>
      </c>
      <c r="F1671" s="22">
        <v>45287.8003587963</v>
      </c>
      <c r="G1671" s="22"/>
      <c r="H1671" s="23">
        <v>37.5</v>
      </c>
      <c r="I1671" s="23">
        <v>1.25</v>
      </c>
      <c r="J1671" s="24">
        <v>37.5</v>
      </c>
      <c r="K1671" s="21">
        <v>0</v>
      </c>
      <c r="L1671" s="21">
        <v>0</v>
      </c>
      <c r="M1671" s="21">
        <f>COUNTIF($A$2:$A$5481,A1671)</f>
        <v>2</v>
      </c>
      <c r="N1671" s="24">
        <f t="shared" si="26"/>
        <v>37.5001671</v>
      </c>
    </row>
    <row r="1672" spans="1:14">
      <c r="A1672" s="21" t="s">
        <v>2176</v>
      </c>
      <c r="B1672" s="21" t="s">
        <v>920</v>
      </c>
      <c r="C1672" s="21" t="s">
        <v>26</v>
      </c>
      <c r="D1672" s="21" t="s">
        <v>921</v>
      </c>
      <c r="E1672" s="21">
        <v>13</v>
      </c>
      <c r="F1672" s="22">
        <v>45940.5615856482</v>
      </c>
      <c r="G1672" s="22"/>
      <c r="H1672" s="23">
        <v>57.46</v>
      </c>
      <c r="I1672" s="23">
        <v>4.42</v>
      </c>
      <c r="J1672" s="24">
        <v>57.46</v>
      </c>
      <c r="K1672" s="21">
        <v>0</v>
      </c>
      <c r="L1672" s="21">
        <v>0</v>
      </c>
      <c r="M1672" s="21">
        <f>COUNTIF($A$2:$A$5481,A1672)</f>
        <v>2</v>
      </c>
      <c r="N1672" s="24">
        <f t="shared" si="26"/>
        <v>57.4601672</v>
      </c>
    </row>
    <row r="1673" spans="1:14">
      <c r="A1673" s="21" t="s">
        <v>2177</v>
      </c>
      <c r="B1673" s="21" t="s">
        <v>920</v>
      </c>
      <c r="C1673" s="21" t="s">
        <v>26</v>
      </c>
      <c r="D1673" s="21" t="s">
        <v>921</v>
      </c>
      <c r="E1673" s="21">
        <v>12</v>
      </c>
      <c r="F1673" s="22">
        <v>46225.6426273148</v>
      </c>
      <c r="G1673" s="22"/>
      <c r="H1673" s="23">
        <v>27.2</v>
      </c>
      <c r="I1673" s="23">
        <v>6.8733333333</v>
      </c>
      <c r="J1673" s="24">
        <v>82.44</v>
      </c>
      <c r="K1673" s="21">
        <v>0</v>
      </c>
      <c r="L1673" s="21">
        <v>0</v>
      </c>
      <c r="M1673" s="21">
        <f>COUNTIF($A$2:$A$5481,A1673)</f>
        <v>1</v>
      </c>
      <c r="N1673" s="24">
        <f t="shared" si="26"/>
        <v>82.4401673</v>
      </c>
    </row>
    <row r="1674" spans="1:14">
      <c r="A1674" s="21" t="s">
        <v>2178</v>
      </c>
      <c r="B1674" s="21" t="s">
        <v>920</v>
      </c>
      <c r="C1674" s="21" t="s">
        <v>26</v>
      </c>
      <c r="D1674" s="21" t="s">
        <v>921</v>
      </c>
      <c r="E1674" s="21">
        <v>8</v>
      </c>
      <c r="F1674" s="22">
        <v>45365.4555555556</v>
      </c>
      <c r="G1674" s="22"/>
      <c r="H1674" s="23">
        <v>91.6</v>
      </c>
      <c r="I1674" s="23">
        <v>11.45</v>
      </c>
      <c r="J1674" s="24">
        <v>91.6</v>
      </c>
      <c r="K1674" s="21">
        <v>0</v>
      </c>
      <c r="L1674" s="21">
        <v>0</v>
      </c>
      <c r="M1674" s="21">
        <f>COUNTIF($A$2:$A$5481,A1674)</f>
        <v>1</v>
      </c>
      <c r="N1674" s="24">
        <f t="shared" si="26"/>
        <v>91.6001674</v>
      </c>
    </row>
    <row r="1675" spans="1:14">
      <c r="A1675" s="21" t="s">
        <v>2179</v>
      </c>
      <c r="B1675" s="21" t="s">
        <v>920</v>
      </c>
      <c r="C1675" s="21" t="s">
        <v>26</v>
      </c>
      <c r="D1675" s="21" t="s">
        <v>921</v>
      </c>
      <c r="E1675" s="21">
        <v>58</v>
      </c>
      <c r="F1675" s="22">
        <v>46064.6341898148</v>
      </c>
      <c r="G1675" s="22"/>
      <c r="H1675" s="23">
        <v>76</v>
      </c>
      <c r="I1675" s="23">
        <v>4.9396551724</v>
      </c>
      <c r="J1675" s="24">
        <v>286.52</v>
      </c>
      <c r="K1675" s="21">
        <v>0</v>
      </c>
      <c r="L1675" s="21">
        <v>0</v>
      </c>
      <c r="M1675" s="21">
        <f>COUNTIF($A$2:$A$5481,A1675)</f>
        <v>1</v>
      </c>
      <c r="N1675" s="24">
        <f t="shared" si="26"/>
        <v>286.5201675</v>
      </c>
    </row>
    <row r="1676" spans="1:14">
      <c r="A1676" s="21" t="s">
        <v>2180</v>
      </c>
      <c r="B1676" s="21" t="s">
        <v>26</v>
      </c>
      <c r="C1676" s="21" t="s">
        <v>26</v>
      </c>
      <c r="D1676" s="21" t="s">
        <v>921</v>
      </c>
      <c r="E1676" s="21">
        <v>30</v>
      </c>
      <c r="F1676" s="22">
        <v>45919.4027777778</v>
      </c>
      <c r="G1676" s="22"/>
      <c r="H1676" s="23">
        <v>33.75</v>
      </c>
      <c r="I1676" s="23">
        <v>3.1583333333</v>
      </c>
      <c r="J1676" s="24">
        <v>94.8</v>
      </c>
      <c r="K1676" s="21">
        <v>0</v>
      </c>
      <c r="L1676" s="21">
        <v>0</v>
      </c>
      <c r="M1676" s="21">
        <f>COUNTIF($A$2:$A$5481,A1676)</f>
        <v>1</v>
      </c>
      <c r="N1676" s="24">
        <f t="shared" si="26"/>
        <v>94.8001676</v>
      </c>
    </row>
    <row r="1677" spans="1:14">
      <c r="A1677" s="21" t="s">
        <v>2181</v>
      </c>
      <c r="B1677" s="21" t="s">
        <v>26</v>
      </c>
      <c r="C1677" s="21" t="s">
        <v>26</v>
      </c>
      <c r="D1677" s="21" t="s">
        <v>921</v>
      </c>
      <c r="E1677" s="21">
        <v>12</v>
      </c>
      <c r="F1677" s="22">
        <v>45863.5680208333</v>
      </c>
      <c r="G1677" s="22"/>
      <c r="H1677" s="23">
        <v>1.84</v>
      </c>
      <c r="I1677" s="23">
        <v>0.92</v>
      </c>
      <c r="J1677" s="24">
        <v>11.04</v>
      </c>
      <c r="K1677" s="21">
        <v>0</v>
      </c>
      <c r="L1677" s="21">
        <v>0</v>
      </c>
      <c r="M1677" s="21">
        <f>COUNTIF($A$2:$A$5481,A1677)</f>
        <v>1</v>
      </c>
      <c r="N1677" s="24">
        <f t="shared" si="26"/>
        <v>11.0401677</v>
      </c>
    </row>
    <row r="1678" spans="1:14">
      <c r="A1678" s="21" t="s">
        <v>2182</v>
      </c>
      <c r="B1678" s="21" t="s">
        <v>26</v>
      </c>
      <c r="C1678" s="21" t="s">
        <v>26</v>
      </c>
      <c r="D1678" s="21" t="s">
        <v>921</v>
      </c>
      <c r="E1678" s="21">
        <v>10</v>
      </c>
      <c r="F1678" s="22">
        <v>45572.7187847222</v>
      </c>
      <c r="G1678" s="22"/>
      <c r="H1678" s="23">
        <v>20.8</v>
      </c>
      <c r="I1678" s="23">
        <v>2.08</v>
      </c>
      <c r="J1678" s="24">
        <v>20.8</v>
      </c>
      <c r="K1678" s="21">
        <v>0</v>
      </c>
      <c r="L1678" s="21">
        <v>0</v>
      </c>
      <c r="M1678" s="21">
        <f>COUNTIF($A$2:$A$5481,A1678)</f>
        <v>1</v>
      </c>
      <c r="N1678" s="24">
        <f t="shared" si="26"/>
        <v>20.8001678</v>
      </c>
    </row>
    <row r="1679" spans="1:14">
      <c r="A1679" s="21" t="s">
        <v>2183</v>
      </c>
      <c r="B1679" s="21" t="s">
        <v>920</v>
      </c>
      <c r="C1679" s="21" t="s">
        <v>26</v>
      </c>
      <c r="D1679" s="21" t="s">
        <v>921</v>
      </c>
      <c r="E1679" s="21">
        <v>2</v>
      </c>
      <c r="F1679" s="22">
        <v>45407.7394444444</v>
      </c>
      <c r="G1679" s="22"/>
      <c r="H1679" s="23">
        <v>10</v>
      </c>
      <c r="I1679" s="23">
        <v>5</v>
      </c>
      <c r="J1679" s="24">
        <v>10</v>
      </c>
      <c r="K1679" s="21">
        <v>0</v>
      </c>
      <c r="L1679" s="21">
        <v>0</v>
      </c>
      <c r="M1679" s="21">
        <f>COUNTIF($A$2:$A$5481,A1679)</f>
        <v>1</v>
      </c>
      <c r="N1679" s="24">
        <f t="shared" si="26"/>
        <v>10.0001679</v>
      </c>
    </row>
    <row r="1680" spans="1:14">
      <c r="A1680" s="21" t="s">
        <v>2184</v>
      </c>
      <c r="B1680" s="21" t="s">
        <v>929</v>
      </c>
      <c r="C1680" s="21" t="s">
        <v>26</v>
      </c>
      <c r="D1680" s="21" t="s">
        <v>921</v>
      </c>
      <c r="E1680" s="21">
        <v>101</v>
      </c>
      <c r="F1680" s="22">
        <v>45714.4301736111</v>
      </c>
      <c r="G1680" s="22"/>
      <c r="H1680" s="23">
        <v>54</v>
      </c>
      <c r="I1680" s="23">
        <v>0.77228</v>
      </c>
      <c r="J1680" s="24">
        <v>77.77</v>
      </c>
      <c r="K1680" s="21">
        <v>0</v>
      </c>
      <c r="L1680" s="21">
        <v>0</v>
      </c>
      <c r="M1680" s="21">
        <f>COUNTIF($A$2:$A$5481,A1680)</f>
        <v>1</v>
      </c>
      <c r="N1680" s="24">
        <f t="shared" si="26"/>
        <v>77.770168</v>
      </c>
    </row>
    <row r="1681" spans="1:14">
      <c r="A1681" s="21" t="s">
        <v>347</v>
      </c>
      <c r="B1681" s="21" t="s">
        <v>920</v>
      </c>
      <c r="C1681" s="21" t="s">
        <v>35</v>
      </c>
      <c r="D1681" s="21" t="s">
        <v>921</v>
      </c>
      <c r="E1681" s="21">
        <v>0</v>
      </c>
      <c r="F1681" s="22">
        <v>46013.5532986111</v>
      </c>
      <c r="G1681" s="22">
        <v>46121.5357407407</v>
      </c>
      <c r="H1681" s="23">
        <v>770</v>
      </c>
      <c r="I1681" s="23">
        <v>55</v>
      </c>
      <c r="J1681" s="24">
        <v>0</v>
      </c>
      <c r="K1681" s="21">
        <v>0</v>
      </c>
      <c r="L1681" s="21">
        <v>0</v>
      </c>
      <c r="M1681" s="21">
        <f>COUNTIF($A$2:$A$5481,A1681)</f>
        <v>1</v>
      </c>
      <c r="N1681" s="24">
        <f t="shared" si="26"/>
        <v>0.0001681</v>
      </c>
    </row>
    <row r="1682" spans="1:14">
      <c r="A1682" s="21" t="s">
        <v>2185</v>
      </c>
      <c r="B1682" s="21" t="s">
        <v>26</v>
      </c>
      <c r="C1682" s="21" t="s">
        <v>26</v>
      </c>
      <c r="D1682" s="21" t="s">
        <v>921</v>
      </c>
      <c r="E1682" s="21">
        <v>23</v>
      </c>
      <c r="F1682" s="22">
        <v>45700.3750810185</v>
      </c>
      <c r="G1682" s="22"/>
      <c r="H1682" s="23">
        <v>47.4</v>
      </c>
      <c r="I1682" s="23">
        <v>2.17826</v>
      </c>
      <c r="J1682" s="24">
        <v>50.14</v>
      </c>
      <c r="K1682" s="21">
        <v>0</v>
      </c>
      <c r="L1682" s="21">
        <v>0</v>
      </c>
      <c r="M1682" s="21">
        <f>COUNTIF($A$2:$A$5481,A1682)</f>
        <v>1</v>
      </c>
      <c r="N1682" s="24">
        <f t="shared" si="26"/>
        <v>50.1401682</v>
      </c>
    </row>
    <row r="1683" spans="1:14">
      <c r="A1683" s="21" t="s">
        <v>2186</v>
      </c>
      <c r="B1683" s="21" t="s">
        <v>920</v>
      </c>
      <c r="C1683" s="21" t="s">
        <v>35</v>
      </c>
      <c r="D1683" s="21" t="s">
        <v>921</v>
      </c>
      <c r="E1683" s="21">
        <v>10</v>
      </c>
      <c r="F1683" s="22">
        <v>45446.3498032407</v>
      </c>
      <c r="G1683" s="22"/>
      <c r="H1683" s="23">
        <v>26.1</v>
      </c>
      <c r="I1683" s="23">
        <v>2.61</v>
      </c>
      <c r="J1683" s="24">
        <v>26.1</v>
      </c>
      <c r="K1683" s="21">
        <v>0</v>
      </c>
      <c r="L1683" s="21">
        <v>0</v>
      </c>
      <c r="M1683" s="21">
        <f>COUNTIF($A$2:$A$5481,A1683)</f>
        <v>1</v>
      </c>
      <c r="N1683" s="24">
        <f t="shared" si="26"/>
        <v>26.1001683</v>
      </c>
    </row>
    <row r="1684" spans="1:14">
      <c r="A1684" s="21" t="s">
        <v>2187</v>
      </c>
      <c r="B1684" s="21" t="s">
        <v>920</v>
      </c>
      <c r="C1684" s="21" t="s">
        <v>26</v>
      </c>
      <c r="D1684" s="21" t="s">
        <v>921</v>
      </c>
      <c r="E1684" s="21">
        <v>5</v>
      </c>
      <c r="F1684" s="22">
        <v>45414.8034722222</v>
      </c>
      <c r="G1684" s="22"/>
      <c r="H1684" s="23">
        <v>42.85</v>
      </c>
      <c r="I1684" s="23">
        <v>8.57</v>
      </c>
      <c r="J1684" s="24">
        <v>42.85</v>
      </c>
      <c r="K1684" s="21">
        <v>0</v>
      </c>
      <c r="L1684" s="21">
        <v>0</v>
      </c>
      <c r="M1684" s="21">
        <f>COUNTIF($A$2:$A$5481,A1684)</f>
        <v>1</v>
      </c>
      <c r="N1684" s="24">
        <f t="shared" si="26"/>
        <v>42.8501684</v>
      </c>
    </row>
    <row r="1685" spans="1:14">
      <c r="A1685" s="21" t="s">
        <v>595</v>
      </c>
      <c r="B1685" s="21" t="s">
        <v>920</v>
      </c>
      <c r="C1685" s="21" t="s">
        <v>26</v>
      </c>
      <c r="D1685" s="21" t="s">
        <v>921</v>
      </c>
      <c r="E1685" s="21">
        <v>0</v>
      </c>
      <c r="F1685" s="22">
        <v>45414.8034722222</v>
      </c>
      <c r="G1685" s="22">
        <v>46252.362962963</v>
      </c>
      <c r="H1685" s="23">
        <v>28.8</v>
      </c>
      <c r="I1685" s="23">
        <v>7.2</v>
      </c>
      <c r="J1685" s="24">
        <v>0</v>
      </c>
      <c r="K1685" s="21">
        <v>0</v>
      </c>
      <c r="L1685" s="21">
        <v>0</v>
      </c>
      <c r="M1685" s="21">
        <f>COUNTIF($A$2:$A$5481,A1685)</f>
        <v>1</v>
      </c>
      <c r="N1685" s="24">
        <f t="shared" si="26"/>
        <v>0.0001685</v>
      </c>
    </row>
    <row r="1686" spans="1:14">
      <c r="A1686" s="21" t="s">
        <v>2188</v>
      </c>
      <c r="B1686" s="21" t="s">
        <v>920</v>
      </c>
      <c r="C1686" s="21" t="s">
        <v>26</v>
      </c>
      <c r="D1686" s="21" t="s">
        <v>921</v>
      </c>
      <c r="E1686" s="21">
        <v>2</v>
      </c>
      <c r="F1686" s="22">
        <v>45446.5541898148</v>
      </c>
      <c r="G1686" s="22"/>
      <c r="H1686" s="23">
        <v>30</v>
      </c>
      <c r="I1686" s="23">
        <v>15</v>
      </c>
      <c r="J1686" s="24">
        <v>30</v>
      </c>
      <c r="K1686" s="21">
        <v>0</v>
      </c>
      <c r="L1686" s="21">
        <v>0</v>
      </c>
      <c r="M1686" s="21">
        <f>COUNTIF($A$2:$A$5481,A1686)</f>
        <v>1</v>
      </c>
      <c r="N1686" s="24">
        <f t="shared" si="26"/>
        <v>30.0001686</v>
      </c>
    </row>
    <row r="1687" spans="1:14">
      <c r="A1687" s="21" t="s">
        <v>2189</v>
      </c>
      <c r="B1687" s="21" t="s">
        <v>26</v>
      </c>
      <c r="C1687" s="21" t="s">
        <v>26</v>
      </c>
      <c r="D1687" s="21" t="s">
        <v>921</v>
      </c>
      <c r="E1687" s="21">
        <v>10</v>
      </c>
      <c r="F1687" s="22">
        <v>45674.3553587963</v>
      </c>
      <c r="G1687" s="22"/>
      <c r="H1687" s="23">
        <v>125</v>
      </c>
      <c r="I1687" s="23">
        <v>13.38</v>
      </c>
      <c r="J1687" s="24">
        <v>133.8</v>
      </c>
      <c r="K1687" s="21">
        <v>0</v>
      </c>
      <c r="L1687" s="21">
        <v>0</v>
      </c>
      <c r="M1687" s="21">
        <f>COUNTIF($A$2:$A$5481,A1687)</f>
        <v>1</v>
      </c>
      <c r="N1687" s="24">
        <f t="shared" si="26"/>
        <v>133.8001687</v>
      </c>
    </row>
    <row r="1688" spans="1:14">
      <c r="A1688" s="21" t="s">
        <v>2190</v>
      </c>
      <c r="B1688" s="21" t="s">
        <v>920</v>
      </c>
      <c r="C1688" s="21" t="s">
        <v>26</v>
      </c>
      <c r="D1688" s="21" t="s">
        <v>921</v>
      </c>
      <c r="E1688" s="21">
        <v>1</v>
      </c>
      <c r="F1688" s="22">
        <v>46156.3881944444</v>
      </c>
      <c r="G1688" s="22"/>
      <c r="H1688" s="23">
        <v>7</v>
      </c>
      <c r="I1688" s="23">
        <v>7</v>
      </c>
      <c r="J1688" s="24">
        <v>7</v>
      </c>
      <c r="K1688" s="21">
        <v>0</v>
      </c>
      <c r="L1688" s="21">
        <v>0</v>
      </c>
      <c r="M1688" s="21">
        <f>COUNTIF($A$2:$A$5481,A1688)</f>
        <v>1</v>
      </c>
      <c r="N1688" s="24">
        <f t="shared" si="26"/>
        <v>7.0001688</v>
      </c>
    </row>
    <row r="1689" spans="1:14">
      <c r="A1689" s="21" t="s">
        <v>2191</v>
      </c>
      <c r="B1689" s="21" t="s">
        <v>920</v>
      </c>
      <c r="C1689" s="21" t="s">
        <v>26</v>
      </c>
      <c r="D1689" s="21" t="s">
        <v>921</v>
      </c>
      <c r="E1689" s="21">
        <v>10</v>
      </c>
      <c r="F1689" s="22">
        <v>45701.3558680556</v>
      </c>
      <c r="G1689" s="22"/>
      <c r="H1689" s="23">
        <v>28.7</v>
      </c>
      <c r="I1689" s="23">
        <v>2.87</v>
      </c>
      <c r="J1689" s="24">
        <v>28.7</v>
      </c>
      <c r="K1689" s="21">
        <v>0</v>
      </c>
      <c r="L1689" s="21">
        <v>0</v>
      </c>
      <c r="M1689" s="21">
        <f>COUNTIF($A$2:$A$5481,A1689)</f>
        <v>1</v>
      </c>
      <c r="N1689" s="24">
        <f t="shared" si="26"/>
        <v>28.7001689</v>
      </c>
    </row>
    <row r="1690" spans="1:14">
      <c r="A1690" s="21" t="s">
        <v>2192</v>
      </c>
      <c r="B1690" s="21" t="s">
        <v>920</v>
      </c>
      <c r="C1690" s="21" t="s">
        <v>26</v>
      </c>
      <c r="D1690" s="21" t="s">
        <v>921</v>
      </c>
      <c r="E1690" s="21">
        <v>10</v>
      </c>
      <c r="F1690" s="22">
        <v>45902.6649074074</v>
      </c>
      <c r="G1690" s="22"/>
      <c r="H1690" s="23">
        <v>95</v>
      </c>
      <c r="I1690" s="23">
        <v>9.5</v>
      </c>
      <c r="J1690" s="24">
        <v>95</v>
      </c>
      <c r="K1690" s="21">
        <v>0</v>
      </c>
      <c r="L1690" s="21">
        <v>0</v>
      </c>
      <c r="M1690" s="21">
        <f>COUNTIF($A$2:$A$5481,A1690)</f>
        <v>1</v>
      </c>
      <c r="N1690" s="24">
        <f t="shared" si="26"/>
        <v>95.000169</v>
      </c>
    </row>
    <row r="1691" spans="1:14">
      <c r="A1691" s="21" t="s">
        <v>2193</v>
      </c>
      <c r="B1691" s="21" t="s">
        <v>26</v>
      </c>
      <c r="C1691" s="21" t="s">
        <v>26</v>
      </c>
      <c r="D1691" s="21" t="s">
        <v>921</v>
      </c>
      <c r="E1691" s="21">
        <v>20</v>
      </c>
      <c r="F1691" s="22">
        <v>45639.6478703704</v>
      </c>
      <c r="G1691" s="22"/>
      <c r="H1691" s="23">
        <v>150</v>
      </c>
      <c r="I1691" s="23">
        <v>13</v>
      </c>
      <c r="J1691" s="24">
        <v>260</v>
      </c>
      <c r="K1691" s="21">
        <v>0</v>
      </c>
      <c r="L1691" s="21">
        <v>0</v>
      </c>
      <c r="M1691" s="21">
        <f>COUNTIF($A$2:$A$5481,A1691)</f>
        <v>1</v>
      </c>
      <c r="N1691" s="24">
        <f t="shared" si="26"/>
        <v>260.0001691</v>
      </c>
    </row>
    <row r="1692" spans="1:14">
      <c r="A1692" s="21" t="s">
        <v>2194</v>
      </c>
      <c r="B1692" s="21" t="s">
        <v>920</v>
      </c>
      <c r="C1692" s="21" t="s">
        <v>35</v>
      </c>
      <c r="D1692" s="21" t="s">
        <v>921</v>
      </c>
      <c r="E1692" s="21">
        <v>10</v>
      </c>
      <c r="F1692" s="22">
        <v>45310.6832638889</v>
      </c>
      <c r="G1692" s="22"/>
      <c r="H1692" s="23">
        <v>55</v>
      </c>
      <c r="I1692" s="23">
        <v>5.5</v>
      </c>
      <c r="J1692" s="24">
        <v>55</v>
      </c>
      <c r="K1692" s="21">
        <v>1</v>
      </c>
      <c r="L1692" s="21">
        <v>50</v>
      </c>
      <c r="M1692" s="21">
        <f>COUNTIF($A$2:$A$5481,A1692)</f>
        <v>2</v>
      </c>
      <c r="N1692" s="24">
        <f t="shared" si="26"/>
        <v>55.0001692</v>
      </c>
    </row>
    <row r="1693" spans="1:14">
      <c r="A1693" s="21" t="s">
        <v>2194</v>
      </c>
      <c r="B1693" s="21" t="s">
        <v>920</v>
      </c>
      <c r="C1693" s="21" t="s">
        <v>26</v>
      </c>
      <c r="D1693" s="21" t="s">
        <v>921</v>
      </c>
      <c r="E1693" s="21">
        <v>45</v>
      </c>
      <c r="F1693" s="22">
        <v>46218.703900463</v>
      </c>
      <c r="G1693" s="22"/>
      <c r="H1693" s="23">
        <v>28</v>
      </c>
      <c r="I1693" s="23">
        <v>4.7111111111</v>
      </c>
      <c r="J1693" s="24">
        <v>211.95</v>
      </c>
      <c r="K1693" s="21">
        <v>1</v>
      </c>
      <c r="L1693" s="21">
        <v>50</v>
      </c>
      <c r="M1693" s="21">
        <f>COUNTIF($A$2:$A$5481,A1693)</f>
        <v>2</v>
      </c>
      <c r="N1693" s="24">
        <f t="shared" si="26"/>
        <v>211.9501693</v>
      </c>
    </row>
    <row r="1694" spans="1:14">
      <c r="A1694" s="21" t="s">
        <v>2195</v>
      </c>
      <c r="B1694" s="21" t="s">
        <v>26</v>
      </c>
      <c r="C1694" s="21" t="s">
        <v>26</v>
      </c>
      <c r="D1694" s="21" t="s">
        <v>921</v>
      </c>
      <c r="E1694" s="21">
        <v>10</v>
      </c>
      <c r="F1694" s="22">
        <v>45546.3717939815</v>
      </c>
      <c r="G1694" s="22"/>
      <c r="H1694" s="23">
        <v>65</v>
      </c>
      <c r="I1694" s="23">
        <v>6.5</v>
      </c>
      <c r="J1694" s="24">
        <v>65</v>
      </c>
      <c r="K1694" s="21">
        <v>0</v>
      </c>
      <c r="L1694" s="21">
        <v>0</v>
      </c>
      <c r="M1694" s="21">
        <f>COUNTIF($A$2:$A$5481,A1694)</f>
        <v>1</v>
      </c>
      <c r="N1694" s="24">
        <f t="shared" si="26"/>
        <v>65.0001694</v>
      </c>
    </row>
    <row r="1695" spans="1:14">
      <c r="A1695" s="21" t="s">
        <v>2196</v>
      </c>
      <c r="B1695" s="21" t="s">
        <v>920</v>
      </c>
      <c r="C1695" s="21" t="s">
        <v>35</v>
      </c>
      <c r="D1695" s="21" t="s">
        <v>921</v>
      </c>
      <c r="E1695" s="21">
        <v>0</v>
      </c>
      <c r="F1695" s="22">
        <v>45608.3634259259</v>
      </c>
      <c r="G1695" s="22">
        <v>45691.5561921296</v>
      </c>
      <c r="H1695" s="23">
        <v>3500</v>
      </c>
      <c r="I1695" s="23">
        <v>3300.1575</v>
      </c>
      <c r="J1695" s="24">
        <v>0</v>
      </c>
      <c r="K1695" s="21">
        <v>0</v>
      </c>
      <c r="L1695" s="21">
        <v>0</v>
      </c>
      <c r="M1695" s="21">
        <f>COUNTIF($A$2:$A$5481,A1695)</f>
        <v>1</v>
      </c>
      <c r="N1695" s="24">
        <f t="shared" si="26"/>
        <v>0.0001695</v>
      </c>
    </row>
    <row r="1696" spans="1:14">
      <c r="A1696" s="21" t="s">
        <v>2197</v>
      </c>
      <c r="B1696" s="21" t="s">
        <v>920</v>
      </c>
      <c r="C1696" s="21" t="s">
        <v>26</v>
      </c>
      <c r="D1696" s="21" t="s">
        <v>931</v>
      </c>
      <c r="E1696" s="21">
        <v>1</v>
      </c>
      <c r="F1696" s="22">
        <v>45792.4055439815</v>
      </c>
      <c r="G1696" s="22"/>
      <c r="H1696" s="23">
        <v>1850</v>
      </c>
      <c r="I1696" s="23">
        <v>1850</v>
      </c>
      <c r="J1696" s="24">
        <v>1850</v>
      </c>
      <c r="K1696" s="21">
        <v>0</v>
      </c>
      <c r="L1696" s="21">
        <v>0</v>
      </c>
      <c r="M1696" s="21">
        <f>COUNTIF($A$2:$A$5481,A1696)</f>
        <v>1</v>
      </c>
      <c r="N1696" s="24">
        <f t="shared" si="26"/>
        <v>1850.0001696</v>
      </c>
    </row>
    <row r="1697" spans="1:14">
      <c r="A1697" s="21" t="s">
        <v>2198</v>
      </c>
      <c r="B1697" s="21" t="s">
        <v>920</v>
      </c>
      <c r="C1697" s="21" t="s">
        <v>26</v>
      </c>
      <c r="D1697" s="21" t="s">
        <v>931</v>
      </c>
      <c r="E1697" s="21">
        <v>1</v>
      </c>
      <c r="F1697" s="22">
        <v>45464.3953009259</v>
      </c>
      <c r="G1697" s="22"/>
      <c r="H1697" s="23">
        <v>998.9</v>
      </c>
      <c r="I1697" s="23">
        <v>998.9</v>
      </c>
      <c r="J1697" s="24">
        <v>998.9</v>
      </c>
      <c r="K1697" s="21">
        <v>0</v>
      </c>
      <c r="L1697" s="21">
        <v>0</v>
      </c>
      <c r="M1697" s="21">
        <f>COUNTIF($A$2:$A$5481,A1697)</f>
        <v>1</v>
      </c>
      <c r="N1697" s="24">
        <f t="shared" si="26"/>
        <v>998.9001697</v>
      </c>
    </row>
    <row r="1698" spans="1:14">
      <c r="A1698" s="21" t="s">
        <v>2199</v>
      </c>
      <c r="B1698" s="21" t="s">
        <v>920</v>
      </c>
      <c r="C1698" s="21" t="s">
        <v>35</v>
      </c>
      <c r="D1698" s="21" t="s">
        <v>921</v>
      </c>
      <c r="E1698" s="21">
        <v>1</v>
      </c>
      <c r="F1698" s="22">
        <v>45296.5955208333</v>
      </c>
      <c r="G1698" s="22"/>
      <c r="H1698" s="23">
        <v>467.81</v>
      </c>
      <c r="I1698" s="23">
        <v>467.81</v>
      </c>
      <c r="J1698" s="24">
        <v>467.81</v>
      </c>
      <c r="K1698" s="21">
        <v>0</v>
      </c>
      <c r="L1698" s="21">
        <v>0</v>
      </c>
      <c r="M1698" s="21">
        <f>COUNTIF($A$2:$A$5481,A1698)</f>
        <v>1</v>
      </c>
      <c r="N1698" s="24">
        <f t="shared" si="26"/>
        <v>467.8101698</v>
      </c>
    </row>
    <row r="1699" spans="1:14">
      <c r="A1699" s="21" t="s">
        <v>528</v>
      </c>
      <c r="B1699" s="21" t="s">
        <v>920</v>
      </c>
      <c r="C1699" s="21" t="s">
        <v>26</v>
      </c>
      <c r="D1699" s="21" t="s">
        <v>921</v>
      </c>
      <c r="E1699" s="21">
        <v>0</v>
      </c>
      <c r="F1699" s="22">
        <v>46150.5833333333</v>
      </c>
      <c r="G1699" s="22">
        <v>46245.6638888889</v>
      </c>
      <c r="H1699" s="23">
        <v>651.52</v>
      </c>
      <c r="I1699" s="23">
        <v>651.52</v>
      </c>
      <c r="J1699" s="24">
        <v>0</v>
      </c>
      <c r="K1699" s="21">
        <v>0</v>
      </c>
      <c r="L1699" s="21">
        <v>0</v>
      </c>
      <c r="M1699" s="21">
        <f>COUNTIF($A$2:$A$5481,A1699)</f>
        <v>1</v>
      </c>
      <c r="N1699" s="24">
        <f t="shared" si="26"/>
        <v>0.0001699</v>
      </c>
    </row>
    <row r="1700" spans="1:14">
      <c r="A1700" s="21" t="s">
        <v>2200</v>
      </c>
      <c r="B1700" s="21" t="s">
        <v>920</v>
      </c>
      <c r="C1700" s="21" t="s">
        <v>35</v>
      </c>
      <c r="D1700" s="21" t="s">
        <v>931</v>
      </c>
      <c r="E1700" s="21">
        <v>0</v>
      </c>
      <c r="F1700" s="22">
        <v>45621.3785300926</v>
      </c>
      <c r="G1700" s="22">
        <v>45715.8708101852</v>
      </c>
      <c r="H1700" s="23">
        <v>2480</v>
      </c>
      <c r="I1700" s="23">
        <v>2573.5</v>
      </c>
      <c r="J1700" s="24">
        <v>0</v>
      </c>
      <c r="K1700" s="21">
        <v>0</v>
      </c>
      <c r="L1700" s="21">
        <v>0</v>
      </c>
      <c r="M1700" s="21">
        <f>COUNTIF($A$2:$A$5481,A1700)</f>
        <v>1</v>
      </c>
      <c r="N1700" s="24">
        <f t="shared" si="26"/>
        <v>0.00017</v>
      </c>
    </row>
    <row r="1701" spans="1:14">
      <c r="A1701" s="21" t="s">
        <v>2201</v>
      </c>
      <c r="B1701" s="21" t="s">
        <v>920</v>
      </c>
      <c r="C1701" s="21" t="s">
        <v>35</v>
      </c>
      <c r="D1701" s="21" t="s">
        <v>931</v>
      </c>
      <c r="E1701" s="21">
        <v>1</v>
      </c>
      <c r="F1701" s="22">
        <v>46007.5423263889</v>
      </c>
      <c r="G1701" s="22">
        <v>45918.4572916667</v>
      </c>
      <c r="H1701" s="23">
        <v>1216</v>
      </c>
      <c r="I1701" s="23">
        <v>1216</v>
      </c>
      <c r="J1701" s="24">
        <v>1216</v>
      </c>
      <c r="K1701" s="21">
        <v>0</v>
      </c>
      <c r="L1701" s="21">
        <v>0</v>
      </c>
      <c r="M1701" s="21">
        <f>COUNTIF($A$2:$A$5481,A1701)</f>
        <v>1</v>
      </c>
      <c r="N1701" s="24">
        <f t="shared" si="26"/>
        <v>1216.0001701</v>
      </c>
    </row>
    <row r="1702" spans="1:14">
      <c r="A1702" s="21" t="s">
        <v>2202</v>
      </c>
      <c r="B1702" s="21" t="s">
        <v>26</v>
      </c>
      <c r="C1702" s="21" t="s">
        <v>51</v>
      </c>
      <c r="D1702" s="21" t="s">
        <v>921</v>
      </c>
      <c r="E1702" s="21">
        <v>3</v>
      </c>
      <c r="F1702" s="22">
        <v>45427.4479166667</v>
      </c>
      <c r="G1702" s="22"/>
      <c r="H1702" s="23">
        <v>67.35</v>
      </c>
      <c r="I1702" s="23">
        <v>22.45</v>
      </c>
      <c r="J1702" s="24">
        <v>67.35</v>
      </c>
      <c r="K1702" s="21">
        <v>0</v>
      </c>
      <c r="L1702" s="21">
        <v>0</v>
      </c>
      <c r="M1702" s="21">
        <f>COUNTIF($A$2:$A$5481,A1702)</f>
        <v>1</v>
      </c>
      <c r="N1702" s="24">
        <f t="shared" si="26"/>
        <v>67.3501702</v>
      </c>
    </row>
    <row r="1703" spans="1:14">
      <c r="A1703" s="21" t="s">
        <v>2203</v>
      </c>
      <c r="B1703" s="21" t="s">
        <v>929</v>
      </c>
      <c r="C1703" s="21" t="s">
        <v>26</v>
      </c>
      <c r="D1703" s="21" t="s">
        <v>921</v>
      </c>
      <c r="E1703" s="21">
        <v>6</v>
      </c>
      <c r="F1703" s="22">
        <v>45345.4243055556</v>
      </c>
      <c r="G1703" s="22"/>
      <c r="H1703" s="23">
        <v>19.14</v>
      </c>
      <c r="I1703" s="23">
        <v>3.19</v>
      </c>
      <c r="J1703" s="24">
        <v>19.14</v>
      </c>
      <c r="K1703" s="21">
        <v>0</v>
      </c>
      <c r="L1703" s="21">
        <v>0</v>
      </c>
      <c r="M1703" s="21">
        <f>COUNTIF($A$2:$A$5481,A1703)</f>
        <v>1</v>
      </c>
      <c r="N1703" s="24">
        <f t="shared" si="26"/>
        <v>19.1401703</v>
      </c>
    </row>
    <row r="1704" spans="1:14">
      <c r="A1704" s="21" t="s">
        <v>2204</v>
      </c>
      <c r="B1704" s="21" t="s">
        <v>920</v>
      </c>
      <c r="C1704" s="21" t="s">
        <v>35</v>
      </c>
      <c r="D1704" s="21" t="s">
        <v>921</v>
      </c>
      <c r="E1704" s="21">
        <v>1</v>
      </c>
      <c r="F1704" s="22">
        <v>45287.3769328704</v>
      </c>
      <c r="G1704" s="22"/>
      <c r="H1704" s="23">
        <v>59.01</v>
      </c>
      <c r="I1704" s="23">
        <v>59.01</v>
      </c>
      <c r="J1704" s="24">
        <v>59.01</v>
      </c>
      <c r="K1704" s="21">
        <v>0</v>
      </c>
      <c r="L1704" s="21">
        <v>0</v>
      </c>
      <c r="M1704" s="21">
        <f>COUNTIF($A$2:$A$5481,A1704)</f>
        <v>1</v>
      </c>
      <c r="N1704" s="24">
        <f t="shared" si="26"/>
        <v>59.0101704</v>
      </c>
    </row>
    <row r="1705" spans="1:14">
      <c r="A1705" s="21" t="s">
        <v>2205</v>
      </c>
      <c r="B1705" s="21" t="s">
        <v>920</v>
      </c>
      <c r="C1705" s="21" t="s">
        <v>35</v>
      </c>
      <c r="D1705" s="21" t="s">
        <v>921</v>
      </c>
      <c r="E1705" s="21">
        <v>1</v>
      </c>
      <c r="F1705" s="22">
        <v>45287.3769328704</v>
      </c>
      <c r="G1705" s="22"/>
      <c r="H1705" s="23">
        <v>59.01</v>
      </c>
      <c r="I1705" s="23">
        <v>59.01</v>
      </c>
      <c r="J1705" s="24">
        <v>59.01</v>
      </c>
      <c r="K1705" s="21">
        <v>0</v>
      </c>
      <c r="L1705" s="21">
        <v>0</v>
      </c>
      <c r="M1705" s="21">
        <f>COUNTIF($A$2:$A$5481,A1705)</f>
        <v>1</v>
      </c>
      <c r="N1705" s="24">
        <f t="shared" si="26"/>
        <v>59.0101705</v>
      </c>
    </row>
    <row r="1706" spans="1:14">
      <c r="A1706" s="21" t="s">
        <v>337</v>
      </c>
      <c r="B1706" s="21" t="s">
        <v>920</v>
      </c>
      <c r="C1706" s="21" t="s">
        <v>35</v>
      </c>
      <c r="D1706" s="21" t="s">
        <v>921</v>
      </c>
      <c r="E1706" s="21">
        <v>0</v>
      </c>
      <c r="F1706" s="22">
        <v>46013.5532986111</v>
      </c>
      <c r="G1706" s="22">
        <v>46121.535625</v>
      </c>
      <c r="H1706" s="23">
        <v>850</v>
      </c>
      <c r="I1706" s="23">
        <v>850</v>
      </c>
      <c r="J1706" s="24">
        <v>0</v>
      </c>
      <c r="K1706" s="21">
        <v>0</v>
      </c>
      <c r="L1706" s="21">
        <v>0</v>
      </c>
      <c r="M1706" s="21">
        <f>COUNTIF($A$2:$A$5481,A1706)</f>
        <v>1</v>
      </c>
      <c r="N1706" s="24">
        <f t="shared" si="26"/>
        <v>0.0001706</v>
      </c>
    </row>
    <row r="1707" spans="1:14">
      <c r="A1707" s="21" t="s">
        <v>336</v>
      </c>
      <c r="B1707" s="21" t="s">
        <v>920</v>
      </c>
      <c r="C1707" s="21" t="s">
        <v>35</v>
      </c>
      <c r="D1707" s="21" t="s">
        <v>921</v>
      </c>
      <c r="E1707" s="21">
        <v>0</v>
      </c>
      <c r="F1707" s="22">
        <v>46013.5532986111</v>
      </c>
      <c r="G1707" s="22">
        <v>46121.5356134259</v>
      </c>
      <c r="H1707" s="23">
        <v>850</v>
      </c>
      <c r="I1707" s="23">
        <v>850</v>
      </c>
      <c r="J1707" s="24">
        <v>0</v>
      </c>
      <c r="K1707" s="21">
        <v>0</v>
      </c>
      <c r="L1707" s="21">
        <v>0</v>
      </c>
      <c r="M1707" s="21">
        <f>COUNTIF($A$2:$A$5481,A1707)</f>
        <v>1</v>
      </c>
      <c r="N1707" s="24">
        <f t="shared" si="26"/>
        <v>0.0001707</v>
      </c>
    </row>
    <row r="1708" spans="1:14">
      <c r="A1708" s="21" t="s">
        <v>2206</v>
      </c>
      <c r="B1708" s="21" t="s">
        <v>920</v>
      </c>
      <c r="C1708" s="21" t="s">
        <v>26</v>
      </c>
      <c r="D1708" s="21" t="s">
        <v>931</v>
      </c>
      <c r="E1708" s="21">
        <v>1</v>
      </c>
      <c r="F1708" s="22">
        <v>45377.3730787037</v>
      </c>
      <c r="G1708" s="22"/>
      <c r="H1708" s="23">
        <v>643.41</v>
      </c>
      <c r="I1708" s="23">
        <v>643.41</v>
      </c>
      <c r="J1708" s="24">
        <v>643.41</v>
      </c>
      <c r="K1708" s="21">
        <v>0</v>
      </c>
      <c r="L1708" s="21">
        <v>0</v>
      </c>
      <c r="M1708" s="21">
        <f>COUNTIF($A$2:$A$5481,A1708)</f>
        <v>1</v>
      </c>
      <c r="N1708" s="24">
        <f t="shared" si="26"/>
        <v>643.4101708</v>
      </c>
    </row>
    <row r="1709" spans="1:14">
      <c r="A1709" s="21" t="s">
        <v>340</v>
      </c>
      <c r="B1709" s="21" t="s">
        <v>920</v>
      </c>
      <c r="C1709" s="21" t="s">
        <v>35</v>
      </c>
      <c r="D1709" s="21" t="s">
        <v>921</v>
      </c>
      <c r="E1709" s="21">
        <v>0</v>
      </c>
      <c r="F1709" s="22">
        <v>46013.5532986111</v>
      </c>
      <c r="G1709" s="22">
        <v>46121.5356597222</v>
      </c>
      <c r="H1709" s="23">
        <v>320</v>
      </c>
      <c r="I1709" s="23">
        <v>320</v>
      </c>
      <c r="J1709" s="24">
        <v>0</v>
      </c>
      <c r="K1709" s="21">
        <v>0</v>
      </c>
      <c r="L1709" s="21">
        <v>0</v>
      </c>
      <c r="M1709" s="21">
        <f>COUNTIF($A$2:$A$5481,A1709)</f>
        <v>1</v>
      </c>
      <c r="N1709" s="24">
        <f t="shared" si="26"/>
        <v>0.0001709</v>
      </c>
    </row>
    <row r="1710" spans="1:14">
      <c r="A1710" s="21" t="s">
        <v>339</v>
      </c>
      <c r="B1710" s="21" t="s">
        <v>920</v>
      </c>
      <c r="C1710" s="21" t="s">
        <v>35</v>
      </c>
      <c r="D1710" s="21" t="s">
        <v>921</v>
      </c>
      <c r="E1710" s="21">
        <v>0</v>
      </c>
      <c r="F1710" s="22">
        <v>46013.5532986111</v>
      </c>
      <c r="G1710" s="22">
        <v>46121.5356481482</v>
      </c>
      <c r="H1710" s="23">
        <v>300</v>
      </c>
      <c r="I1710" s="23">
        <v>300</v>
      </c>
      <c r="J1710" s="24">
        <v>0</v>
      </c>
      <c r="K1710" s="21">
        <v>0</v>
      </c>
      <c r="L1710" s="21">
        <v>0</v>
      </c>
      <c r="M1710" s="21">
        <f>COUNTIF($A$2:$A$5481,A1710)</f>
        <v>1</v>
      </c>
      <c r="N1710" s="24">
        <f t="shared" si="26"/>
        <v>0.000171</v>
      </c>
    </row>
    <row r="1711" spans="1:14">
      <c r="A1711" s="21" t="s">
        <v>2207</v>
      </c>
      <c r="B1711" s="21" t="s">
        <v>920</v>
      </c>
      <c r="C1711" s="21" t="s">
        <v>26</v>
      </c>
      <c r="D1711" s="21" t="s">
        <v>921</v>
      </c>
      <c r="E1711" s="21">
        <v>3</v>
      </c>
      <c r="F1711" s="22">
        <v>46231.6898263889</v>
      </c>
      <c r="G1711" s="22"/>
      <c r="H1711" s="23">
        <v>360</v>
      </c>
      <c r="I1711" s="23">
        <v>120</v>
      </c>
      <c r="J1711" s="24">
        <v>360</v>
      </c>
      <c r="K1711" s="21">
        <v>0</v>
      </c>
      <c r="L1711" s="21">
        <v>0</v>
      </c>
      <c r="M1711" s="21">
        <f>COUNTIF($A$2:$A$5481,A1711)</f>
        <v>1</v>
      </c>
      <c r="N1711" s="24">
        <f t="shared" si="26"/>
        <v>360.0001711</v>
      </c>
    </row>
    <row r="1712" spans="1:14">
      <c r="A1712" s="21" t="s">
        <v>2208</v>
      </c>
      <c r="B1712" s="21" t="s">
        <v>920</v>
      </c>
      <c r="C1712" s="21" t="s">
        <v>35</v>
      </c>
      <c r="D1712" s="21" t="s">
        <v>921</v>
      </c>
      <c r="E1712" s="21">
        <v>0</v>
      </c>
      <c r="F1712" s="22">
        <v>45317.6298611111</v>
      </c>
      <c r="G1712" s="22">
        <v>45411.8633680556</v>
      </c>
      <c r="H1712" s="23">
        <v>2854</v>
      </c>
      <c r="I1712" s="23">
        <v>1427</v>
      </c>
      <c r="J1712" s="24">
        <v>0</v>
      </c>
      <c r="K1712" s="21">
        <v>0</v>
      </c>
      <c r="L1712" s="21">
        <v>0</v>
      </c>
      <c r="M1712" s="21">
        <f>COUNTIF($A$2:$A$5481,A1712)</f>
        <v>1</v>
      </c>
      <c r="N1712" s="24">
        <f t="shared" si="26"/>
        <v>0.0001712</v>
      </c>
    </row>
    <row r="1713" spans="1:14">
      <c r="A1713" s="21" t="s">
        <v>2209</v>
      </c>
      <c r="B1713" s="21" t="s">
        <v>920</v>
      </c>
      <c r="C1713" s="21" t="s">
        <v>35</v>
      </c>
      <c r="D1713" s="21" t="s">
        <v>921</v>
      </c>
      <c r="E1713" s="21">
        <v>1</v>
      </c>
      <c r="F1713" s="22">
        <v>45317.6298611111</v>
      </c>
      <c r="G1713" s="22">
        <v>45583.4873032407</v>
      </c>
      <c r="H1713" s="23">
        <v>5996</v>
      </c>
      <c r="I1713" s="23">
        <v>2998</v>
      </c>
      <c r="J1713" s="24">
        <v>2998</v>
      </c>
      <c r="K1713" s="21">
        <v>0</v>
      </c>
      <c r="L1713" s="21">
        <v>0</v>
      </c>
      <c r="M1713" s="21">
        <f>COUNTIF($A$2:$A$5481,A1713)</f>
        <v>1</v>
      </c>
      <c r="N1713" s="24">
        <f t="shared" si="26"/>
        <v>2998.0001713</v>
      </c>
    </row>
    <row r="1714" spans="1:14">
      <c r="A1714" s="21" t="s">
        <v>349</v>
      </c>
      <c r="B1714" s="21" t="s">
        <v>920</v>
      </c>
      <c r="C1714" s="21" t="s">
        <v>35</v>
      </c>
      <c r="D1714" s="21" t="s">
        <v>921</v>
      </c>
      <c r="E1714" s="21">
        <v>0</v>
      </c>
      <c r="F1714" s="22">
        <v>46013.5532986111</v>
      </c>
      <c r="G1714" s="22">
        <v>46121.5357638889</v>
      </c>
      <c r="H1714" s="23">
        <v>6</v>
      </c>
      <c r="I1714" s="23">
        <v>6</v>
      </c>
      <c r="J1714" s="24">
        <v>0</v>
      </c>
      <c r="K1714" s="21">
        <v>0</v>
      </c>
      <c r="L1714" s="21">
        <v>0</v>
      </c>
      <c r="M1714" s="21">
        <f>COUNTIF($A$2:$A$5481,A1714)</f>
        <v>1</v>
      </c>
      <c r="N1714" s="24">
        <f t="shared" si="26"/>
        <v>0.0001714</v>
      </c>
    </row>
    <row r="1715" spans="1:14">
      <c r="A1715" s="21" t="s">
        <v>2210</v>
      </c>
      <c r="B1715" s="21" t="s">
        <v>929</v>
      </c>
      <c r="C1715" s="21" t="s">
        <v>414</v>
      </c>
      <c r="D1715" s="21" t="s">
        <v>921</v>
      </c>
      <c r="E1715" s="21">
        <v>3</v>
      </c>
      <c r="F1715" s="22">
        <v>46138.5798611111</v>
      </c>
      <c r="G1715" s="22"/>
      <c r="H1715" s="23">
        <v>1093.41</v>
      </c>
      <c r="I1715" s="23">
        <v>364.47</v>
      </c>
      <c r="J1715" s="24">
        <v>1093.41</v>
      </c>
      <c r="K1715" s="21">
        <v>0</v>
      </c>
      <c r="L1715" s="21">
        <v>0</v>
      </c>
      <c r="M1715" s="21">
        <f>COUNTIF($A$2:$A$5481,A1715)</f>
        <v>1</v>
      </c>
      <c r="N1715" s="24">
        <f t="shared" si="26"/>
        <v>1093.4101715</v>
      </c>
    </row>
    <row r="1716" spans="1:14">
      <c r="A1716" s="21" t="s">
        <v>630</v>
      </c>
      <c r="B1716" s="21" t="s">
        <v>26</v>
      </c>
      <c r="C1716" s="21" t="s">
        <v>182</v>
      </c>
      <c r="D1716" s="21" t="s">
        <v>921</v>
      </c>
      <c r="E1716" s="21">
        <v>115</v>
      </c>
      <c r="F1716" s="22">
        <v>46029.5292592593</v>
      </c>
      <c r="G1716" s="22">
        <v>46259.6050810185</v>
      </c>
      <c r="H1716" s="23">
        <v>170.6</v>
      </c>
      <c r="I1716" s="23">
        <v>7.8354166667</v>
      </c>
      <c r="J1716" s="24">
        <v>901.6</v>
      </c>
      <c r="K1716" s="21">
        <v>0</v>
      </c>
      <c r="L1716" s="21">
        <v>0</v>
      </c>
      <c r="M1716" s="21">
        <f>COUNTIF($A$2:$A$5481,A1716)</f>
        <v>2</v>
      </c>
      <c r="N1716" s="24">
        <f t="shared" si="26"/>
        <v>901.6001716</v>
      </c>
    </row>
    <row r="1717" spans="1:14">
      <c r="A1717" s="21" t="s">
        <v>630</v>
      </c>
      <c r="B1717" s="21" t="s">
        <v>26</v>
      </c>
      <c r="C1717" s="21" t="s">
        <v>26</v>
      </c>
      <c r="D1717" s="21" t="s">
        <v>921</v>
      </c>
      <c r="E1717" s="21">
        <v>10</v>
      </c>
      <c r="F1717" s="22">
        <v>46202.680787037</v>
      </c>
      <c r="G1717" s="22">
        <v>46252.4698611111</v>
      </c>
      <c r="H1717" s="23">
        <v>76.9</v>
      </c>
      <c r="I1717" s="23">
        <v>10.722</v>
      </c>
      <c r="J1717" s="24">
        <v>107.2</v>
      </c>
      <c r="K1717" s="21">
        <v>0</v>
      </c>
      <c r="L1717" s="21">
        <v>0</v>
      </c>
      <c r="M1717" s="21">
        <f>COUNTIF($A$2:$A$5481,A1717)</f>
        <v>2</v>
      </c>
      <c r="N1717" s="24">
        <f t="shared" si="26"/>
        <v>107.2001717</v>
      </c>
    </row>
    <row r="1718" spans="1:14">
      <c r="A1718" s="21" t="s">
        <v>2211</v>
      </c>
      <c r="B1718" s="21" t="s">
        <v>929</v>
      </c>
      <c r="C1718" s="21" t="s">
        <v>414</v>
      </c>
      <c r="D1718" s="21" t="s">
        <v>921</v>
      </c>
      <c r="E1718" s="21">
        <v>0</v>
      </c>
      <c r="F1718" s="22">
        <v>45803.4424305556</v>
      </c>
      <c r="G1718" s="22">
        <v>45819.4616666667</v>
      </c>
      <c r="H1718" s="23">
        <v>196.99</v>
      </c>
      <c r="I1718" s="23">
        <v>196.99</v>
      </c>
      <c r="J1718" s="24">
        <v>0</v>
      </c>
      <c r="K1718" s="21">
        <v>0</v>
      </c>
      <c r="L1718" s="21">
        <v>0</v>
      </c>
      <c r="M1718" s="21">
        <f>COUNTIF($A$2:$A$5481,A1718)</f>
        <v>1</v>
      </c>
      <c r="N1718" s="24">
        <f t="shared" si="26"/>
        <v>0.0001718</v>
      </c>
    </row>
    <row r="1719" spans="1:14">
      <c r="A1719" s="21" t="s">
        <v>265</v>
      </c>
      <c r="B1719" s="21" t="s">
        <v>926</v>
      </c>
      <c r="C1719" s="21" t="s">
        <v>38</v>
      </c>
      <c r="D1719" s="21" t="s">
        <v>921</v>
      </c>
      <c r="E1719" s="21">
        <v>412</v>
      </c>
      <c r="F1719" s="22">
        <v>45999.3758912037</v>
      </c>
      <c r="G1719" s="22">
        <v>46072.4365740741</v>
      </c>
      <c r="H1719" s="23">
        <v>1414.4</v>
      </c>
      <c r="I1719" s="23">
        <v>22.9590966178</v>
      </c>
      <c r="J1719" s="24">
        <v>9459.52</v>
      </c>
      <c r="K1719" s="21">
        <v>0</v>
      </c>
      <c r="L1719" s="21">
        <v>0</v>
      </c>
      <c r="M1719" s="21">
        <f>COUNTIF($A$2:$A$5481,A1719)</f>
        <v>2</v>
      </c>
      <c r="N1719" s="24">
        <f t="shared" si="26"/>
        <v>9459.5201719</v>
      </c>
    </row>
    <row r="1720" spans="1:14">
      <c r="A1720" s="21" t="s">
        <v>265</v>
      </c>
      <c r="B1720" s="21" t="s">
        <v>926</v>
      </c>
      <c r="C1720" s="21" t="s">
        <v>26</v>
      </c>
      <c r="D1720" s="21" t="s">
        <v>921</v>
      </c>
      <c r="E1720" s="21">
        <v>168</v>
      </c>
      <c r="F1720" s="22">
        <v>46245.6462384259</v>
      </c>
      <c r="G1720" s="22">
        <v>46268.63125</v>
      </c>
      <c r="H1720" s="23">
        <v>897.6</v>
      </c>
      <c r="I1720" s="23">
        <v>13.7418878249</v>
      </c>
      <c r="J1720" s="24">
        <v>2308.32</v>
      </c>
      <c r="K1720" s="21">
        <v>0</v>
      </c>
      <c r="L1720" s="21">
        <v>0</v>
      </c>
      <c r="M1720" s="21">
        <f>COUNTIF($A$2:$A$5481,A1720)</f>
        <v>2</v>
      </c>
      <c r="N1720" s="24">
        <f t="shared" si="26"/>
        <v>2308.320172</v>
      </c>
    </row>
    <row r="1721" spans="1:14">
      <c r="A1721" s="21" t="s">
        <v>824</v>
      </c>
      <c r="B1721" s="21" t="s">
        <v>926</v>
      </c>
      <c r="C1721" s="21" t="s">
        <v>26</v>
      </c>
      <c r="D1721" s="21" t="s">
        <v>921</v>
      </c>
      <c r="E1721" s="21">
        <v>62</v>
      </c>
      <c r="F1721" s="22">
        <v>46245.6462384259</v>
      </c>
      <c r="G1721" s="22">
        <v>46275.6243055556</v>
      </c>
      <c r="H1721" s="23">
        <v>2672.4</v>
      </c>
      <c r="I1721" s="23">
        <v>86.6743243243</v>
      </c>
      <c r="J1721" s="24">
        <v>5373.54</v>
      </c>
      <c r="K1721" s="21">
        <v>0</v>
      </c>
      <c r="L1721" s="21">
        <v>0</v>
      </c>
      <c r="M1721" s="21">
        <f>COUNTIF($A$2:$A$5481,A1721)</f>
        <v>1</v>
      </c>
      <c r="N1721" s="24">
        <f t="shared" si="26"/>
        <v>5373.5401721</v>
      </c>
    </row>
    <row r="1722" spans="1:14">
      <c r="A1722" s="21" t="s">
        <v>471</v>
      </c>
      <c r="B1722" s="21" t="s">
        <v>926</v>
      </c>
      <c r="C1722" s="21" t="s">
        <v>26</v>
      </c>
      <c r="D1722" s="21" t="s">
        <v>921</v>
      </c>
      <c r="E1722" s="21">
        <v>11</v>
      </c>
      <c r="F1722" s="22">
        <v>46181.7496064815</v>
      </c>
      <c r="G1722" s="22">
        <v>46267.3978240741</v>
      </c>
      <c r="H1722" s="23">
        <v>1560</v>
      </c>
      <c r="I1722" s="23">
        <v>78</v>
      </c>
      <c r="J1722" s="24">
        <v>858</v>
      </c>
      <c r="K1722" s="21">
        <v>0</v>
      </c>
      <c r="L1722" s="21">
        <v>0</v>
      </c>
      <c r="M1722" s="21">
        <f>COUNTIF($A$2:$A$5481,A1722)</f>
        <v>1</v>
      </c>
      <c r="N1722" s="24">
        <f t="shared" si="26"/>
        <v>858.0001722</v>
      </c>
    </row>
    <row r="1723" spans="1:14">
      <c r="A1723" s="21" t="s">
        <v>260</v>
      </c>
      <c r="B1723" s="21" t="s">
        <v>926</v>
      </c>
      <c r="C1723" s="21" t="s">
        <v>38</v>
      </c>
      <c r="D1723" s="21" t="s">
        <v>921</v>
      </c>
      <c r="E1723" s="21">
        <v>1044</v>
      </c>
      <c r="F1723" s="22">
        <v>46106.425</v>
      </c>
      <c r="G1723" s="22">
        <v>46262.6319675926</v>
      </c>
      <c r="H1723" s="23">
        <v>1492.2</v>
      </c>
      <c r="I1723" s="23">
        <v>28.5065798981</v>
      </c>
      <c r="J1723" s="24">
        <v>29764.44</v>
      </c>
      <c r="K1723" s="21">
        <v>0</v>
      </c>
      <c r="L1723" s="21">
        <v>0</v>
      </c>
      <c r="M1723" s="21">
        <f>COUNTIF($A$2:$A$5481,A1723)</f>
        <v>2</v>
      </c>
      <c r="N1723" s="24">
        <f t="shared" si="26"/>
        <v>29764.4401723</v>
      </c>
    </row>
    <row r="1724" spans="1:14">
      <c r="A1724" s="21" t="s">
        <v>260</v>
      </c>
      <c r="B1724" s="21" t="s">
        <v>926</v>
      </c>
      <c r="C1724" s="21" t="s">
        <v>26</v>
      </c>
      <c r="D1724" s="21" t="s">
        <v>921</v>
      </c>
      <c r="E1724" s="21">
        <v>4</v>
      </c>
      <c r="F1724" s="22">
        <v>46129.3618055556</v>
      </c>
      <c r="G1724" s="22">
        <v>46267.3909837963</v>
      </c>
      <c r="H1724" s="23">
        <v>468</v>
      </c>
      <c r="I1724" s="23">
        <v>77.9999916667</v>
      </c>
      <c r="J1724" s="24">
        <v>312</v>
      </c>
      <c r="K1724" s="21">
        <v>0</v>
      </c>
      <c r="L1724" s="21">
        <v>0</v>
      </c>
      <c r="M1724" s="21">
        <f>COUNTIF($A$2:$A$5481,A1724)</f>
        <v>2</v>
      </c>
      <c r="N1724" s="24">
        <f t="shared" si="26"/>
        <v>312.0001724</v>
      </c>
    </row>
    <row r="1725" spans="1:14">
      <c r="A1725" s="21" t="s">
        <v>2212</v>
      </c>
      <c r="B1725" s="21" t="s">
        <v>26</v>
      </c>
      <c r="C1725" s="21" t="s">
        <v>26</v>
      </c>
      <c r="D1725" s="21" t="s">
        <v>921</v>
      </c>
      <c r="E1725" s="21">
        <v>2</v>
      </c>
      <c r="F1725" s="22">
        <v>45727.7038773148</v>
      </c>
      <c r="G1725" s="22"/>
      <c r="H1725" s="23">
        <v>36</v>
      </c>
      <c r="I1725" s="23">
        <v>18</v>
      </c>
      <c r="J1725" s="24">
        <v>36</v>
      </c>
      <c r="K1725" s="21">
        <v>0</v>
      </c>
      <c r="L1725" s="21">
        <v>0</v>
      </c>
      <c r="M1725" s="21">
        <f>COUNTIF($A$2:$A$5481,A1725)</f>
        <v>2</v>
      </c>
      <c r="N1725" s="24">
        <f t="shared" si="26"/>
        <v>36.0001725</v>
      </c>
    </row>
    <row r="1726" spans="1:14">
      <c r="A1726" s="21" t="s">
        <v>2212</v>
      </c>
      <c r="B1726" s="21" t="s">
        <v>26</v>
      </c>
      <c r="C1726" s="21" t="s">
        <v>182</v>
      </c>
      <c r="D1726" s="21" t="s">
        <v>921</v>
      </c>
      <c r="E1726" s="21">
        <v>4</v>
      </c>
      <c r="F1726" s="22">
        <v>46029.5292592593</v>
      </c>
      <c r="G1726" s="22"/>
      <c r="H1726" s="23">
        <v>74.04</v>
      </c>
      <c r="I1726" s="23">
        <v>18.51</v>
      </c>
      <c r="J1726" s="24">
        <v>74.04</v>
      </c>
      <c r="K1726" s="21">
        <v>0</v>
      </c>
      <c r="L1726" s="21">
        <v>0</v>
      </c>
      <c r="M1726" s="21">
        <f>COUNTIF($A$2:$A$5481,A1726)</f>
        <v>2</v>
      </c>
      <c r="N1726" s="24">
        <f t="shared" si="26"/>
        <v>74.0401726</v>
      </c>
    </row>
    <row r="1727" spans="1:14">
      <c r="A1727" s="21" t="s">
        <v>2213</v>
      </c>
      <c r="B1727" s="21" t="s">
        <v>920</v>
      </c>
      <c r="C1727" s="21" t="s">
        <v>26</v>
      </c>
      <c r="D1727" s="21" t="s">
        <v>921</v>
      </c>
      <c r="E1727" s="21">
        <v>4</v>
      </c>
      <c r="F1727" s="22">
        <v>45902.6624189815</v>
      </c>
      <c r="G1727" s="22"/>
      <c r="H1727" s="23">
        <v>53.8</v>
      </c>
      <c r="I1727" s="23">
        <v>33.42</v>
      </c>
      <c r="J1727" s="24">
        <v>133.68</v>
      </c>
      <c r="K1727" s="21">
        <v>0</v>
      </c>
      <c r="L1727" s="21">
        <v>0</v>
      </c>
      <c r="M1727" s="21">
        <f>COUNTIF($A$2:$A$5481,A1727)</f>
        <v>1</v>
      </c>
      <c r="N1727" s="24">
        <f t="shared" si="26"/>
        <v>133.6801727</v>
      </c>
    </row>
    <row r="1728" spans="1:14">
      <c r="A1728" s="21" t="s">
        <v>2214</v>
      </c>
      <c r="B1728" s="21" t="s">
        <v>920</v>
      </c>
      <c r="C1728" s="21" t="s">
        <v>26</v>
      </c>
      <c r="D1728" s="21" t="s">
        <v>921</v>
      </c>
      <c r="E1728" s="21">
        <v>4</v>
      </c>
      <c r="F1728" s="22">
        <v>45923.6801388889</v>
      </c>
      <c r="G1728" s="22"/>
      <c r="H1728" s="23">
        <v>41.4</v>
      </c>
      <c r="I1728" s="23">
        <v>20.89</v>
      </c>
      <c r="J1728" s="24">
        <v>83.56</v>
      </c>
      <c r="K1728" s="21">
        <v>0</v>
      </c>
      <c r="L1728" s="21">
        <v>0</v>
      </c>
      <c r="M1728" s="21">
        <f>COUNTIF($A$2:$A$5481,A1728)</f>
        <v>1</v>
      </c>
      <c r="N1728" s="24">
        <f t="shared" si="26"/>
        <v>83.5601728</v>
      </c>
    </row>
    <row r="1729" spans="1:14">
      <c r="A1729" s="21" t="s">
        <v>37</v>
      </c>
      <c r="B1729" s="21" t="s">
        <v>926</v>
      </c>
      <c r="C1729" s="21" t="s">
        <v>38</v>
      </c>
      <c r="D1729" s="21" t="s">
        <v>921</v>
      </c>
      <c r="E1729" s="21">
        <v>794</v>
      </c>
      <c r="F1729" s="22">
        <v>46106.425</v>
      </c>
      <c r="G1729" s="22">
        <v>46275.6242939815</v>
      </c>
      <c r="H1729" s="23">
        <v>898.4</v>
      </c>
      <c r="I1729" s="23">
        <v>13.5098934524</v>
      </c>
      <c r="J1729" s="24">
        <v>10726.94</v>
      </c>
      <c r="K1729" s="21">
        <v>0</v>
      </c>
      <c r="L1729" s="21">
        <v>0</v>
      </c>
      <c r="M1729" s="21">
        <f>COUNTIF($A$2:$A$5481,A1729)</f>
        <v>2</v>
      </c>
      <c r="N1729" s="24">
        <f t="shared" si="26"/>
        <v>10726.9401729</v>
      </c>
    </row>
    <row r="1730" spans="1:14">
      <c r="A1730" s="21" t="s">
        <v>37</v>
      </c>
      <c r="B1730" s="21" t="s">
        <v>926</v>
      </c>
      <c r="C1730" s="21" t="s">
        <v>26</v>
      </c>
      <c r="D1730" s="21" t="s">
        <v>921</v>
      </c>
      <c r="E1730" s="21">
        <v>72</v>
      </c>
      <c r="F1730" s="22">
        <v>46282.5833333333</v>
      </c>
      <c r="G1730" s="22">
        <v>46273.606412037</v>
      </c>
      <c r="H1730" s="23">
        <v>412.8</v>
      </c>
      <c r="I1730" s="23">
        <v>10.32</v>
      </c>
      <c r="J1730" s="24">
        <v>743.04</v>
      </c>
      <c r="K1730" s="21">
        <v>0</v>
      </c>
      <c r="L1730" s="21">
        <v>0</v>
      </c>
      <c r="M1730" s="21">
        <f>COUNTIF($A$2:$A$5481,A1730)</f>
        <v>2</v>
      </c>
      <c r="N1730" s="24">
        <f t="shared" ref="N1730:N1793" si="27">J1730+ROW()/10000000</f>
        <v>743.040173</v>
      </c>
    </row>
    <row r="1731" spans="1:14">
      <c r="A1731" s="21" t="s">
        <v>818</v>
      </c>
      <c r="B1731" s="21" t="s">
        <v>926</v>
      </c>
      <c r="C1731" s="21" t="s">
        <v>26</v>
      </c>
      <c r="D1731" s="21" t="s">
        <v>921</v>
      </c>
      <c r="E1731" s="21">
        <v>119</v>
      </c>
      <c r="F1731" s="22">
        <v>46245.6462384259</v>
      </c>
      <c r="G1731" s="22">
        <v>46261.6673842593</v>
      </c>
      <c r="H1731" s="23">
        <v>2152.8</v>
      </c>
      <c r="I1731" s="23">
        <v>21.1757377049</v>
      </c>
      <c r="J1731" s="24">
        <v>2520.42</v>
      </c>
      <c r="K1731" s="21">
        <v>0</v>
      </c>
      <c r="L1731" s="21">
        <v>0</v>
      </c>
      <c r="M1731" s="21">
        <f>COUNTIF($A$2:$A$5481,A1731)</f>
        <v>1</v>
      </c>
      <c r="N1731" s="24">
        <f t="shared" si="27"/>
        <v>2520.4201731</v>
      </c>
    </row>
    <row r="1732" spans="1:14">
      <c r="A1732" s="21" t="s">
        <v>2215</v>
      </c>
      <c r="B1732" s="21" t="s">
        <v>26</v>
      </c>
      <c r="C1732" s="21" t="s">
        <v>182</v>
      </c>
      <c r="D1732" s="21" t="s">
        <v>921</v>
      </c>
      <c r="E1732" s="21">
        <v>29</v>
      </c>
      <c r="F1732" s="22">
        <v>45476.8338773148</v>
      </c>
      <c r="G1732" s="22"/>
      <c r="H1732" s="23">
        <v>164.85</v>
      </c>
      <c r="I1732" s="23">
        <v>10.99</v>
      </c>
      <c r="J1732" s="24">
        <v>318.71</v>
      </c>
      <c r="K1732" s="21">
        <v>2</v>
      </c>
      <c r="L1732" s="21">
        <v>20</v>
      </c>
      <c r="M1732" s="21">
        <f>COUNTIF($A$2:$A$5481,A1732)</f>
        <v>1</v>
      </c>
      <c r="N1732" s="24">
        <f t="shared" si="27"/>
        <v>318.7101732</v>
      </c>
    </row>
    <row r="1733" spans="1:14">
      <c r="A1733" s="21" t="s">
        <v>2216</v>
      </c>
      <c r="B1733" s="21" t="s">
        <v>26</v>
      </c>
      <c r="C1733" s="21" t="s">
        <v>26</v>
      </c>
      <c r="D1733" s="21" t="s">
        <v>921</v>
      </c>
      <c r="E1733" s="21">
        <v>22</v>
      </c>
      <c r="F1733" s="22">
        <v>45966.5627430556</v>
      </c>
      <c r="G1733" s="22"/>
      <c r="H1733" s="23">
        <v>155.94</v>
      </c>
      <c r="I1733" s="23">
        <v>27.8513636364</v>
      </c>
      <c r="J1733" s="24">
        <v>612.7</v>
      </c>
      <c r="K1733" s="21">
        <v>0</v>
      </c>
      <c r="L1733" s="21">
        <v>0</v>
      </c>
      <c r="M1733" s="21">
        <f>COUNTIF($A$2:$A$5481,A1733)</f>
        <v>2</v>
      </c>
      <c r="N1733" s="24">
        <f t="shared" si="27"/>
        <v>612.7001733</v>
      </c>
    </row>
    <row r="1734" spans="1:14">
      <c r="A1734" s="21" t="s">
        <v>2216</v>
      </c>
      <c r="B1734" s="21" t="s">
        <v>26</v>
      </c>
      <c r="C1734" s="21" t="s">
        <v>182</v>
      </c>
      <c r="D1734" s="21" t="s">
        <v>921</v>
      </c>
      <c r="E1734" s="21">
        <v>35</v>
      </c>
      <c r="F1734" s="22">
        <v>46161.4354166667</v>
      </c>
      <c r="G1734" s="22"/>
      <c r="H1734" s="23">
        <v>370.8</v>
      </c>
      <c r="I1734" s="23">
        <v>20.1757142857</v>
      </c>
      <c r="J1734" s="24">
        <v>706.3</v>
      </c>
      <c r="K1734" s="21">
        <v>0</v>
      </c>
      <c r="L1734" s="21">
        <v>0</v>
      </c>
      <c r="M1734" s="21">
        <f>COUNTIF($A$2:$A$5481,A1734)</f>
        <v>2</v>
      </c>
      <c r="N1734" s="24">
        <f t="shared" si="27"/>
        <v>706.3001734</v>
      </c>
    </row>
    <row r="1735" spans="1:14">
      <c r="A1735" s="21" t="s">
        <v>2217</v>
      </c>
      <c r="B1735" s="21" t="s">
        <v>26</v>
      </c>
      <c r="C1735" s="21" t="s">
        <v>26</v>
      </c>
      <c r="D1735" s="21" t="s">
        <v>921</v>
      </c>
      <c r="E1735" s="21">
        <v>2</v>
      </c>
      <c r="F1735" s="22">
        <v>46161.4104166667</v>
      </c>
      <c r="G1735" s="22"/>
      <c r="H1735" s="23">
        <v>59.98</v>
      </c>
      <c r="I1735" s="23">
        <v>29.99</v>
      </c>
      <c r="J1735" s="24">
        <v>59.98</v>
      </c>
      <c r="K1735" s="21">
        <v>0</v>
      </c>
      <c r="L1735" s="21">
        <v>0</v>
      </c>
      <c r="M1735" s="21">
        <f>COUNTIF($A$2:$A$5481,A1735)</f>
        <v>1</v>
      </c>
      <c r="N1735" s="24">
        <f t="shared" si="27"/>
        <v>59.9801735</v>
      </c>
    </row>
    <row r="1736" spans="1:14">
      <c r="A1736" s="21" t="s">
        <v>382</v>
      </c>
      <c r="B1736" s="21" t="s">
        <v>26</v>
      </c>
      <c r="C1736" s="21" t="s">
        <v>51</v>
      </c>
      <c r="D1736" s="21" t="s">
        <v>921</v>
      </c>
      <c r="E1736" s="21">
        <v>40</v>
      </c>
      <c r="F1736" s="22">
        <v>45562.4842013889</v>
      </c>
      <c r="G1736" s="22">
        <v>45964.5899189815</v>
      </c>
      <c r="H1736" s="23">
        <v>269</v>
      </c>
      <c r="I1736" s="23">
        <v>5.38</v>
      </c>
      <c r="J1736" s="24">
        <v>215.2</v>
      </c>
      <c r="K1736" s="21">
        <v>0</v>
      </c>
      <c r="L1736" s="21">
        <v>0</v>
      </c>
      <c r="M1736" s="21">
        <f>COUNTIF($A$2:$A$5481,A1736)</f>
        <v>2</v>
      </c>
      <c r="N1736" s="24">
        <f t="shared" si="27"/>
        <v>215.2001736</v>
      </c>
    </row>
    <row r="1737" spans="1:14">
      <c r="A1737" s="21" t="s">
        <v>382</v>
      </c>
      <c r="B1737" s="21" t="s">
        <v>26</v>
      </c>
      <c r="C1737" s="21" t="s">
        <v>182</v>
      </c>
      <c r="D1737" s="21" t="s">
        <v>921</v>
      </c>
      <c r="E1737" s="21">
        <v>0</v>
      </c>
      <c r="F1737" s="22">
        <v>46064.4147453704</v>
      </c>
      <c r="G1737" s="22">
        <v>46252.4197453704</v>
      </c>
      <c r="H1737" s="23">
        <v>2409</v>
      </c>
      <c r="I1737" s="23">
        <v>24.09</v>
      </c>
      <c r="J1737" s="24">
        <v>0</v>
      </c>
      <c r="K1737" s="21">
        <v>0</v>
      </c>
      <c r="L1737" s="21">
        <v>0</v>
      </c>
      <c r="M1737" s="21">
        <f>COUNTIF($A$2:$A$5481,A1737)</f>
        <v>2</v>
      </c>
      <c r="N1737" s="24">
        <f t="shared" si="27"/>
        <v>0.0001737</v>
      </c>
    </row>
    <row r="1738" spans="1:14">
      <c r="A1738" s="21" t="s">
        <v>2218</v>
      </c>
      <c r="B1738" s="21" t="s">
        <v>929</v>
      </c>
      <c r="C1738" s="21" t="s">
        <v>414</v>
      </c>
      <c r="D1738" s="21" t="s">
        <v>921</v>
      </c>
      <c r="E1738" s="21">
        <v>1</v>
      </c>
      <c r="F1738" s="22">
        <v>45293.3591898148</v>
      </c>
      <c r="G1738" s="22"/>
      <c r="H1738" s="23">
        <v>55.2</v>
      </c>
      <c r="I1738" s="23">
        <v>55.2</v>
      </c>
      <c r="J1738" s="24">
        <v>55.2</v>
      </c>
      <c r="K1738" s="21">
        <v>0</v>
      </c>
      <c r="L1738" s="21">
        <v>0</v>
      </c>
      <c r="M1738" s="21">
        <f>COUNTIF($A$2:$A$5481,A1738)</f>
        <v>3</v>
      </c>
      <c r="N1738" s="24">
        <f t="shared" si="27"/>
        <v>55.2001738</v>
      </c>
    </row>
    <row r="1739" spans="1:14">
      <c r="A1739" s="21" t="s">
        <v>2218</v>
      </c>
      <c r="B1739" s="21" t="s">
        <v>929</v>
      </c>
      <c r="C1739" s="21" t="s">
        <v>35</v>
      </c>
      <c r="D1739" s="21" t="s">
        <v>921</v>
      </c>
      <c r="E1739" s="21">
        <v>1</v>
      </c>
      <c r="F1739" s="22">
        <v>45329.4507175926</v>
      </c>
      <c r="G1739" s="22"/>
      <c r="H1739" s="23">
        <v>55.22</v>
      </c>
      <c r="I1739" s="23">
        <v>55.22</v>
      </c>
      <c r="J1739" s="24">
        <v>55.22</v>
      </c>
      <c r="K1739" s="21">
        <v>0</v>
      </c>
      <c r="L1739" s="21">
        <v>0</v>
      </c>
      <c r="M1739" s="21">
        <f>COUNTIF($A$2:$A$5481,A1739)</f>
        <v>3</v>
      </c>
      <c r="N1739" s="24">
        <f t="shared" si="27"/>
        <v>55.2201739</v>
      </c>
    </row>
    <row r="1740" spans="1:14">
      <c r="A1740" s="21" t="s">
        <v>2218</v>
      </c>
      <c r="B1740" s="21" t="s">
        <v>929</v>
      </c>
      <c r="C1740" s="21" t="s">
        <v>38</v>
      </c>
      <c r="D1740" s="21" t="s">
        <v>921</v>
      </c>
      <c r="E1740" s="21">
        <v>40</v>
      </c>
      <c r="F1740" s="22">
        <v>45902.6042476852</v>
      </c>
      <c r="G1740" s="22"/>
      <c r="H1740" s="23">
        <v>565.6</v>
      </c>
      <c r="I1740" s="23">
        <v>14.14</v>
      </c>
      <c r="J1740" s="24">
        <v>565.6</v>
      </c>
      <c r="K1740" s="21">
        <v>0</v>
      </c>
      <c r="L1740" s="21">
        <v>0</v>
      </c>
      <c r="M1740" s="21">
        <f>COUNTIF($A$2:$A$5481,A1740)</f>
        <v>3</v>
      </c>
      <c r="N1740" s="24">
        <f t="shared" si="27"/>
        <v>565.600174</v>
      </c>
    </row>
    <row r="1741" spans="1:14">
      <c r="A1741" s="21" t="s">
        <v>2219</v>
      </c>
      <c r="B1741" s="21" t="s">
        <v>920</v>
      </c>
      <c r="C1741" s="21" t="s">
        <v>26</v>
      </c>
      <c r="D1741" s="21" t="s">
        <v>921</v>
      </c>
      <c r="E1741" s="21">
        <v>9</v>
      </c>
      <c r="F1741" s="22">
        <v>46108.5424074074</v>
      </c>
      <c r="G1741" s="22">
        <v>45798.3677083333</v>
      </c>
      <c r="H1741" s="23">
        <v>20.8</v>
      </c>
      <c r="I1741" s="23">
        <v>12.8111111111</v>
      </c>
      <c r="J1741" s="24">
        <v>115.29</v>
      </c>
      <c r="K1741" s="21">
        <v>0</v>
      </c>
      <c r="L1741" s="21">
        <v>0</v>
      </c>
      <c r="M1741" s="21">
        <f>COUNTIF($A$2:$A$5481,A1741)</f>
        <v>1</v>
      </c>
      <c r="N1741" s="24">
        <f t="shared" si="27"/>
        <v>115.2901741</v>
      </c>
    </row>
    <row r="1742" spans="1:14">
      <c r="A1742" s="21" t="s">
        <v>612</v>
      </c>
      <c r="B1742" s="21" t="s">
        <v>926</v>
      </c>
      <c r="C1742" s="21" t="s">
        <v>26</v>
      </c>
      <c r="D1742" s="21" t="s">
        <v>921</v>
      </c>
      <c r="E1742" s="21">
        <v>0</v>
      </c>
      <c r="F1742" s="22">
        <v>45701.5819907407</v>
      </c>
      <c r="G1742" s="22">
        <v>46252.4373842593</v>
      </c>
      <c r="H1742" s="23">
        <v>79</v>
      </c>
      <c r="I1742" s="23">
        <v>5.3283333333</v>
      </c>
      <c r="J1742" s="24">
        <v>0</v>
      </c>
      <c r="K1742" s="21">
        <v>0</v>
      </c>
      <c r="L1742" s="21">
        <v>0</v>
      </c>
      <c r="M1742" s="21">
        <f>COUNTIF($A$2:$A$5481,A1742)</f>
        <v>1</v>
      </c>
      <c r="N1742" s="24">
        <f t="shared" si="27"/>
        <v>0.0001742</v>
      </c>
    </row>
    <row r="1743" spans="1:14">
      <c r="A1743" s="21" t="s">
        <v>627</v>
      </c>
      <c r="B1743" s="21" t="s">
        <v>949</v>
      </c>
      <c r="C1743" s="21" t="s">
        <v>38</v>
      </c>
      <c r="D1743" s="21" t="s">
        <v>921</v>
      </c>
      <c r="E1743" s="21">
        <v>7</v>
      </c>
      <c r="F1743" s="22">
        <v>45336.5875</v>
      </c>
      <c r="G1743" s="22">
        <v>45903.3863194444</v>
      </c>
      <c r="H1743" s="23">
        <v>57.2</v>
      </c>
      <c r="I1743" s="23">
        <v>5.2</v>
      </c>
      <c r="J1743" s="24">
        <v>36.4</v>
      </c>
      <c r="K1743" s="21">
        <v>0</v>
      </c>
      <c r="L1743" s="21">
        <v>0</v>
      </c>
      <c r="M1743" s="21">
        <f>COUNTIF($A$2:$A$5481,A1743)</f>
        <v>2</v>
      </c>
      <c r="N1743" s="24">
        <f t="shared" si="27"/>
        <v>36.4001743</v>
      </c>
    </row>
    <row r="1744" spans="1:14">
      <c r="A1744" s="21" t="s">
        <v>627</v>
      </c>
      <c r="B1744" s="21" t="s">
        <v>949</v>
      </c>
      <c r="C1744" s="21" t="s">
        <v>26</v>
      </c>
      <c r="D1744" s="21" t="s">
        <v>921</v>
      </c>
      <c r="E1744" s="21">
        <v>0</v>
      </c>
      <c r="F1744" s="22">
        <v>45757.4521759259</v>
      </c>
      <c r="G1744" s="22">
        <v>46252.4639583333</v>
      </c>
      <c r="H1744" s="23">
        <v>73.8</v>
      </c>
      <c r="I1744" s="23">
        <v>3.455</v>
      </c>
      <c r="J1744" s="24">
        <v>0</v>
      </c>
      <c r="K1744" s="21">
        <v>0</v>
      </c>
      <c r="L1744" s="21">
        <v>0</v>
      </c>
      <c r="M1744" s="21">
        <f>COUNTIF($A$2:$A$5481,A1744)</f>
        <v>2</v>
      </c>
      <c r="N1744" s="24">
        <f t="shared" si="27"/>
        <v>0.0001744</v>
      </c>
    </row>
    <row r="1745" spans="1:14">
      <c r="A1745" s="21" t="s">
        <v>626</v>
      </c>
      <c r="B1745" s="21" t="s">
        <v>949</v>
      </c>
      <c r="C1745" s="21" t="s">
        <v>26</v>
      </c>
      <c r="D1745" s="21" t="s">
        <v>921</v>
      </c>
      <c r="E1745" s="21">
        <v>20</v>
      </c>
      <c r="F1745" s="22">
        <v>45701.5819907407</v>
      </c>
      <c r="G1745" s="22">
        <v>46252.4639467593</v>
      </c>
      <c r="H1745" s="23">
        <v>35</v>
      </c>
      <c r="I1745" s="23">
        <v>4.1669230769</v>
      </c>
      <c r="J1745" s="24">
        <v>83.4</v>
      </c>
      <c r="K1745" s="21">
        <v>0</v>
      </c>
      <c r="L1745" s="21">
        <v>0</v>
      </c>
      <c r="M1745" s="21">
        <f>COUNTIF($A$2:$A$5481,A1745)</f>
        <v>3</v>
      </c>
      <c r="N1745" s="24">
        <f t="shared" si="27"/>
        <v>83.4001745</v>
      </c>
    </row>
    <row r="1746" spans="1:14">
      <c r="A1746" s="21" t="s">
        <v>626</v>
      </c>
      <c r="B1746" s="21" t="s">
        <v>949</v>
      </c>
      <c r="C1746" s="21" t="s">
        <v>51</v>
      </c>
      <c r="D1746" s="21" t="s">
        <v>921</v>
      </c>
      <c r="E1746" s="21">
        <v>40</v>
      </c>
      <c r="F1746" s="22">
        <v>45762.3576967593</v>
      </c>
      <c r="G1746" s="22"/>
      <c r="H1746" s="23">
        <v>102</v>
      </c>
      <c r="I1746" s="23">
        <v>2.55</v>
      </c>
      <c r="J1746" s="24">
        <v>102</v>
      </c>
      <c r="K1746" s="21">
        <v>0</v>
      </c>
      <c r="L1746" s="21">
        <v>0</v>
      </c>
      <c r="M1746" s="21">
        <f>COUNTIF($A$2:$A$5481,A1746)</f>
        <v>3</v>
      </c>
      <c r="N1746" s="24">
        <f t="shared" si="27"/>
        <v>102.0001746</v>
      </c>
    </row>
    <row r="1747" spans="1:14">
      <c r="A1747" s="21" t="s">
        <v>626</v>
      </c>
      <c r="B1747" s="21" t="s">
        <v>949</v>
      </c>
      <c r="C1747" s="21" t="s">
        <v>38</v>
      </c>
      <c r="D1747" s="21" t="s">
        <v>921</v>
      </c>
      <c r="E1747" s="21">
        <v>100</v>
      </c>
      <c r="F1747" s="22">
        <v>46001.3949768519</v>
      </c>
      <c r="G1747" s="22"/>
      <c r="H1747" s="23">
        <v>228</v>
      </c>
      <c r="I1747" s="23">
        <v>2.28</v>
      </c>
      <c r="J1747" s="24">
        <v>228</v>
      </c>
      <c r="K1747" s="21">
        <v>0</v>
      </c>
      <c r="L1747" s="21">
        <v>0</v>
      </c>
      <c r="M1747" s="21">
        <f>COUNTIF($A$2:$A$5481,A1747)</f>
        <v>3</v>
      </c>
      <c r="N1747" s="24">
        <f t="shared" si="27"/>
        <v>228.0001747</v>
      </c>
    </row>
    <row r="1748" spans="1:14">
      <c r="A1748" s="21" t="s">
        <v>425</v>
      </c>
      <c r="B1748" s="21" t="s">
        <v>926</v>
      </c>
      <c r="C1748" s="21" t="s">
        <v>51</v>
      </c>
      <c r="D1748" s="21" t="s">
        <v>921</v>
      </c>
      <c r="E1748" s="21">
        <v>80</v>
      </c>
      <c r="F1748" s="22">
        <v>45812.429224537</v>
      </c>
      <c r="G1748" s="22"/>
      <c r="H1748" s="23">
        <v>1195.6</v>
      </c>
      <c r="I1748" s="23">
        <v>16.435</v>
      </c>
      <c r="J1748" s="24">
        <v>1315.2</v>
      </c>
      <c r="K1748" s="21">
        <v>0</v>
      </c>
      <c r="L1748" s="21">
        <v>0</v>
      </c>
      <c r="M1748" s="21">
        <f>COUNTIF($A$2:$A$5481,A1748)</f>
        <v>4</v>
      </c>
      <c r="N1748" s="24">
        <f t="shared" si="27"/>
        <v>1315.2001748</v>
      </c>
    </row>
    <row r="1749" spans="1:14">
      <c r="A1749" s="21" t="s">
        <v>425</v>
      </c>
      <c r="B1749" s="21" t="s">
        <v>926</v>
      </c>
      <c r="C1749" s="21" t="s">
        <v>38</v>
      </c>
      <c r="D1749" s="21" t="s">
        <v>921</v>
      </c>
      <c r="E1749" s="21">
        <v>666</v>
      </c>
      <c r="F1749" s="22">
        <v>46161.4354166667</v>
      </c>
      <c r="G1749" s="22">
        <v>46279.6662847222</v>
      </c>
      <c r="H1749" s="23">
        <v>181.2</v>
      </c>
      <c r="I1749" s="23">
        <v>4.563560852</v>
      </c>
      <c r="J1749" s="24">
        <v>3036.96</v>
      </c>
      <c r="K1749" s="21">
        <v>0</v>
      </c>
      <c r="L1749" s="21">
        <v>0</v>
      </c>
      <c r="M1749" s="21">
        <f>COUNTIF($A$2:$A$5481,A1749)</f>
        <v>4</v>
      </c>
      <c r="N1749" s="24">
        <f t="shared" si="27"/>
        <v>3036.9601749</v>
      </c>
    </row>
    <row r="1750" spans="1:14">
      <c r="A1750" s="21" t="s">
        <v>425</v>
      </c>
      <c r="B1750" s="21" t="s">
        <v>926</v>
      </c>
      <c r="C1750" s="21" t="s">
        <v>26</v>
      </c>
      <c r="D1750" s="21" t="s">
        <v>921</v>
      </c>
      <c r="E1750" s="21">
        <v>98</v>
      </c>
      <c r="F1750" s="22">
        <v>46196.708275463</v>
      </c>
      <c r="G1750" s="22">
        <v>46279.656712963</v>
      </c>
      <c r="H1750" s="23">
        <v>93.1</v>
      </c>
      <c r="I1750" s="23">
        <v>4.9551348333</v>
      </c>
      <c r="J1750" s="24">
        <v>486.08</v>
      </c>
      <c r="K1750" s="21">
        <v>0</v>
      </c>
      <c r="L1750" s="21">
        <v>0</v>
      </c>
      <c r="M1750" s="21">
        <f>COUNTIF($A$2:$A$5481,A1750)</f>
        <v>4</v>
      </c>
      <c r="N1750" s="24">
        <f t="shared" si="27"/>
        <v>486.080175</v>
      </c>
    </row>
    <row r="1751" spans="1:14">
      <c r="A1751" s="21" t="s">
        <v>425</v>
      </c>
      <c r="B1751" s="21" t="s">
        <v>926</v>
      </c>
      <c r="C1751" s="21" t="s">
        <v>182</v>
      </c>
      <c r="D1751" s="21" t="s">
        <v>921</v>
      </c>
      <c r="E1751" s="21">
        <v>190</v>
      </c>
      <c r="F1751" s="22">
        <v>46251.5368055556</v>
      </c>
      <c r="G1751" s="22"/>
      <c r="H1751" s="23">
        <v>308</v>
      </c>
      <c r="I1751" s="23">
        <v>3.3405263158</v>
      </c>
      <c r="J1751" s="24">
        <v>634.6</v>
      </c>
      <c r="K1751" s="21">
        <v>0</v>
      </c>
      <c r="L1751" s="21">
        <v>0</v>
      </c>
      <c r="M1751" s="21">
        <f>COUNTIF($A$2:$A$5481,A1751)</f>
        <v>4</v>
      </c>
      <c r="N1751" s="24">
        <f t="shared" si="27"/>
        <v>634.6001751</v>
      </c>
    </row>
    <row r="1752" spans="1:14">
      <c r="A1752" s="21" t="s">
        <v>2220</v>
      </c>
      <c r="B1752" s="21" t="s">
        <v>949</v>
      </c>
      <c r="C1752" s="21" t="s">
        <v>26</v>
      </c>
      <c r="D1752" s="21" t="s">
        <v>921</v>
      </c>
      <c r="E1752" s="21">
        <v>1</v>
      </c>
      <c r="F1752" s="22">
        <v>45469.8374189815</v>
      </c>
      <c r="G1752" s="22"/>
      <c r="H1752" s="23">
        <v>47.5</v>
      </c>
      <c r="I1752" s="23">
        <v>47.5</v>
      </c>
      <c r="J1752" s="24">
        <v>47.5</v>
      </c>
      <c r="K1752" s="21">
        <v>0</v>
      </c>
      <c r="L1752" s="21">
        <v>0</v>
      </c>
      <c r="M1752" s="21">
        <f>COUNTIF($A$2:$A$5481,A1752)</f>
        <v>1</v>
      </c>
      <c r="N1752" s="24">
        <f t="shared" si="27"/>
        <v>47.5001752</v>
      </c>
    </row>
    <row r="1753" spans="1:14">
      <c r="A1753" s="21" t="s">
        <v>2221</v>
      </c>
      <c r="B1753" s="21" t="s">
        <v>26</v>
      </c>
      <c r="C1753" s="21" t="s">
        <v>26</v>
      </c>
      <c r="D1753" s="21" t="s">
        <v>921</v>
      </c>
      <c r="E1753" s="21">
        <v>1</v>
      </c>
      <c r="F1753" s="22">
        <v>45649.3610648148</v>
      </c>
      <c r="G1753" s="22"/>
      <c r="H1753" s="23">
        <v>20.4</v>
      </c>
      <c r="I1753" s="23">
        <v>20.4</v>
      </c>
      <c r="J1753" s="24">
        <v>20.4</v>
      </c>
      <c r="K1753" s="21">
        <v>0</v>
      </c>
      <c r="L1753" s="21">
        <v>0</v>
      </c>
      <c r="M1753" s="21">
        <f>COUNTIF($A$2:$A$5481,A1753)</f>
        <v>1</v>
      </c>
      <c r="N1753" s="24">
        <f t="shared" si="27"/>
        <v>20.4001753</v>
      </c>
    </row>
    <row r="1754" spans="1:14">
      <c r="A1754" s="21" t="s">
        <v>2222</v>
      </c>
      <c r="B1754" s="21" t="s">
        <v>1115</v>
      </c>
      <c r="C1754" s="21" t="s">
        <v>51</v>
      </c>
      <c r="D1754" s="21" t="s">
        <v>921</v>
      </c>
      <c r="E1754" s="21">
        <v>200</v>
      </c>
      <c r="F1754" s="22">
        <v>45301.8120717593</v>
      </c>
      <c r="G1754" s="22"/>
      <c r="H1754" s="23">
        <v>5000</v>
      </c>
      <c r="I1754" s="23">
        <v>25</v>
      </c>
      <c r="J1754" s="24">
        <v>5000</v>
      </c>
      <c r="K1754" s="21">
        <v>0</v>
      </c>
      <c r="L1754" s="21">
        <v>0</v>
      </c>
      <c r="M1754" s="21">
        <f>COUNTIF($A$2:$A$5481,A1754)</f>
        <v>1</v>
      </c>
      <c r="N1754" s="24">
        <f t="shared" si="27"/>
        <v>5000.0001754</v>
      </c>
    </row>
    <row r="1755" spans="1:14">
      <c r="A1755" s="21" t="s">
        <v>2223</v>
      </c>
      <c r="B1755" s="21" t="s">
        <v>26</v>
      </c>
      <c r="C1755" s="21" t="s">
        <v>26</v>
      </c>
      <c r="D1755" s="21" t="s">
        <v>921</v>
      </c>
      <c r="E1755" s="21">
        <v>1</v>
      </c>
      <c r="F1755" s="22">
        <v>45538.3476388889</v>
      </c>
      <c r="G1755" s="22"/>
      <c r="H1755" s="23">
        <v>10.47</v>
      </c>
      <c r="I1755" s="23">
        <v>10.47</v>
      </c>
      <c r="J1755" s="24">
        <v>10.47</v>
      </c>
      <c r="K1755" s="21">
        <v>0</v>
      </c>
      <c r="L1755" s="21">
        <v>0</v>
      </c>
      <c r="M1755" s="21">
        <f>COUNTIF($A$2:$A$5481,A1755)</f>
        <v>1</v>
      </c>
      <c r="N1755" s="24">
        <f t="shared" si="27"/>
        <v>10.4701755</v>
      </c>
    </row>
    <row r="1756" spans="1:14">
      <c r="A1756" s="21" t="s">
        <v>2224</v>
      </c>
      <c r="B1756" s="21" t="s">
        <v>949</v>
      </c>
      <c r="C1756" s="21" t="s">
        <v>182</v>
      </c>
      <c r="D1756" s="21" t="s">
        <v>1584</v>
      </c>
      <c r="E1756" s="21">
        <v>2</v>
      </c>
      <c r="F1756" s="22">
        <v>45293.671400463</v>
      </c>
      <c r="G1756" s="22"/>
      <c r="H1756" s="23">
        <v>41.9</v>
      </c>
      <c r="I1756" s="23">
        <v>20.95</v>
      </c>
      <c r="J1756" s="24">
        <v>41.9</v>
      </c>
      <c r="K1756" s="21">
        <v>0</v>
      </c>
      <c r="L1756" s="21">
        <v>0</v>
      </c>
      <c r="M1756" s="21">
        <f>COUNTIF($A$2:$A$5481,A1756)</f>
        <v>2</v>
      </c>
      <c r="N1756" s="24">
        <f t="shared" si="27"/>
        <v>41.9001756</v>
      </c>
    </row>
    <row r="1757" spans="1:14">
      <c r="A1757" s="21" t="s">
        <v>2224</v>
      </c>
      <c r="B1757" s="21" t="s">
        <v>949</v>
      </c>
      <c r="C1757" s="21" t="s">
        <v>26</v>
      </c>
      <c r="D1757" s="21" t="s">
        <v>1584</v>
      </c>
      <c r="E1757" s="21">
        <v>4</v>
      </c>
      <c r="F1757" s="22">
        <v>45484.7950462963</v>
      </c>
      <c r="G1757" s="22"/>
      <c r="H1757" s="23">
        <v>31.9</v>
      </c>
      <c r="I1757" s="23">
        <v>22.1</v>
      </c>
      <c r="J1757" s="24">
        <v>88.4</v>
      </c>
      <c r="K1757" s="21">
        <v>0</v>
      </c>
      <c r="L1757" s="21">
        <v>0</v>
      </c>
      <c r="M1757" s="21">
        <f>COUNTIF($A$2:$A$5481,A1757)</f>
        <v>2</v>
      </c>
      <c r="N1757" s="24">
        <f t="shared" si="27"/>
        <v>88.4001757</v>
      </c>
    </row>
    <row r="1758" spans="1:14">
      <c r="A1758" s="21" t="s">
        <v>2225</v>
      </c>
      <c r="B1758" s="21" t="s">
        <v>949</v>
      </c>
      <c r="C1758" s="21" t="s">
        <v>26</v>
      </c>
      <c r="D1758" s="21" t="s">
        <v>921</v>
      </c>
      <c r="E1758" s="21">
        <v>1</v>
      </c>
      <c r="F1758" s="22">
        <v>45391.832650463</v>
      </c>
      <c r="G1758" s="22"/>
      <c r="H1758" s="23">
        <v>13.99</v>
      </c>
      <c r="I1758" s="23">
        <v>13.99</v>
      </c>
      <c r="J1758" s="24">
        <v>13.99</v>
      </c>
      <c r="K1758" s="21">
        <v>0</v>
      </c>
      <c r="L1758" s="21">
        <v>0</v>
      </c>
      <c r="M1758" s="21">
        <f>COUNTIF($A$2:$A$5481,A1758)</f>
        <v>1</v>
      </c>
      <c r="N1758" s="24">
        <f t="shared" si="27"/>
        <v>13.9901758</v>
      </c>
    </row>
    <row r="1759" spans="1:14">
      <c r="A1759" s="21" t="s">
        <v>797</v>
      </c>
      <c r="B1759" s="21" t="s">
        <v>26</v>
      </c>
      <c r="C1759" s="21" t="s">
        <v>26</v>
      </c>
      <c r="D1759" s="21" t="s">
        <v>921</v>
      </c>
      <c r="E1759" s="21">
        <v>3</v>
      </c>
      <c r="F1759" s="22">
        <v>45782.3542824074</v>
      </c>
      <c r="G1759" s="22">
        <v>46254.6593055556</v>
      </c>
      <c r="H1759" s="23">
        <v>597.6</v>
      </c>
      <c r="I1759" s="23">
        <v>49.8</v>
      </c>
      <c r="J1759" s="24">
        <v>149.4</v>
      </c>
      <c r="K1759" s="21">
        <v>0</v>
      </c>
      <c r="L1759" s="21">
        <v>0</v>
      </c>
      <c r="M1759" s="21">
        <f>COUNTIF($A$2:$A$5481,A1759)</f>
        <v>1</v>
      </c>
      <c r="N1759" s="24">
        <f t="shared" si="27"/>
        <v>149.4001759</v>
      </c>
    </row>
    <row r="1760" spans="1:14">
      <c r="A1760" s="21" t="s">
        <v>2226</v>
      </c>
      <c r="B1760" s="21" t="s">
        <v>920</v>
      </c>
      <c r="C1760" s="21" t="s">
        <v>26</v>
      </c>
      <c r="D1760" s="21" t="s">
        <v>921</v>
      </c>
      <c r="E1760" s="21">
        <v>0</v>
      </c>
      <c r="F1760" s="22">
        <v>45555.8139467593</v>
      </c>
      <c r="G1760" s="22">
        <v>45555.8153240741</v>
      </c>
      <c r="H1760" s="23">
        <v>60</v>
      </c>
      <c r="I1760" s="23">
        <v>60</v>
      </c>
      <c r="J1760" s="24">
        <v>0</v>
      </c>
      <c r="K1760" s="21">
        <v>0</v>
      </c>
      <c r="L1760" s="21">
        <v>0</v>
      </c>
      <c r="M1760" s="21">
        <f>COUNTIF($A$2:$A$5481,A1760)</f>
        <v>1</v>
      </c>
      <c r="N1760" s="24">
        <f t="shared" si="27"/>
        <v>0.000176</v>
      </c>
    </row>
    <row r="1761" spans="1:14">
      <c r="A1761" s="21" t="s">
        <v>2227</v>
      </c>
      <c r="B1761" s="21" t="s">
        <v>920</v>
      </c>
      <c r="C1761" s="21" t="s">
        <v>35</v>
      </c>
      <c r="D1761" s="21" t="s">
        <v>921</v>
      </c>
      <c r="E1761" s="21">
        <v>0</v>
      </c>
      <c r="F1761" s="22">
        <v>45369.6116087963</v>
      </c>
      <c r="G1761" s="22">
        <v>45541.8468518519</v>
      </c>
      <c r="H1761" s="23">
        <v>294</v>
      </c>
      <c r="I1761" s="23">
        <v>59.72</v>
      </c>
      <c r="J1761" s="24">
        <v>0</v>
      </c>
      <c r="K1761" s="21">
        <v>2</v>
      </c>
      <c r="L1761" s="21">
        <v>20</v>
      </c>
      <c r="M1761" s="21">
        <f>COUNTIF($A$2:$A$5481,A1761)</f>
        <v>2</v>
      </c>
      <c r="N1761" s="24">
        <f t="shared" si="27"/>
        <v>0.0001761</v>
      </c>
    </row>
    <row r="1762" spans="1:14">
      <c r="A1762" s="21" t="s">
        <v>2227</v>
      </c>
      <c r="B1762" s="21" t="s">
        <v>920</v>
      </c>
      <c r="C1762" s="21" t="s">
        <v>26</v>
      </c>
      <c r="D1762" s="21" t="s">
        <v>921</v>
      </c>
      <c r="E1762" s="21">
        <v>0</v>
      </c>
      <c r="F1762" s="22">
        <v>45580.3628587963</v>
      </c>
      <c r="G1762" s="22">
        <v>45692.6081481482</v>
      </c>
      <c r="H1762" s="23">
        <v>294</v>
      </c>
      <c r="I1762" s="23">
        <v>49</v>
      </c>
      <c r="J1762" s="24">
        <v>0</v>
      </c>
      <c r="K1762" s="21">
        <v>2</v>
      </c>
      <c r="L1762" s="21">
        <v>20</v>
      </c>
      <c r="M1762" s="21">
        <f>COUNTIF($A$2:$A$5481,A1762)</f>
        <v>2</v>
      </c>
      <c r="N1762" s="24">
        <f t="shared" si="27"/>
        <v>0.0001762</v>
      </c>
    </row>
    <row r="1763" spans="1:14">
      <c r="A1763" s="21" t="s">
        <v>311</v>
      </c>
      <c r="B1763" s="21" t="s">
        <v>920</v>
      </c>
      <c r="C1763" s="21" t="s">
        <v>26</v>
      </c>
      <c r="D1763" s="21" t="s">
        <v>921</v>
      </c>
      <c r="E1763" s="21">
        <v>0</v>
      </c>
      <c r="F1763" s="22">
        <v>45876.549849537</v>
      </c>
      <c r="G1763" s="22">
        <v>46097.4589467593</v>
      </c>
      <c r="H1763" s="23">
        <v>90</v>
      </c>
      <c r="I1763" s="23">
        <v>45</v>
      </c>
      <c r="J1763" s="24">
        <v>0</v>
      </c>
      <c r="K1763" s="21">
        <v>0</v>
      </c>
      <c r="L1763" s="21">
        <v>0</v>
      </c>
      <c r="M1763" s="21">
        <f>COUNTIF($A$2:$A$5481,A1763)</f>
        <v>1</v>
      </c>
      <c r="N1763" s="24">
        <f t="shared" si="27"/>
        <v>0.0001763</v>
      </c>
    </row>
    <row r="1764" spans="1:14">
      <c r="A1764" s="21" t="s">
        <v>227</v>
      </c>
      <c r="B1764" s="21" t="s">
        <v>920</v>
      </c>
      <c r="C1764" s="21" t="s">
        <v>35</v>
      </c>
      <c r="D1764" s="21" t="s">
        <v>921</v>
      </c>
      <c r="E1764" s="21">
        <v>0</v>
      </c>
      <c r="F1764" s="22">
        <v>45369.6141319444</v>
      </c>
      <c r="G1764" s="22">
        <v>45381.8222222222</v>
      </c>
      <c r="H1764" s="23">
        <v>78</v>
      </c>
      <c r="I1764" s="23">
        <v>39</v>
      </c>
      <c r="J1764" s="24">
        <v>0</v>
      </c>
      <c r="K1764" s="21">
        <v>1</v>
      </c>
      <c r="L1764" s="21">
        <v>20</v>
      </c>
      <c r="M1764" s="21">
        <f>COUNTIF($A$2:$A$5481,A1764)</f>
        <v>2</v>
      </c>
      <c r="N1764" s="24">
        <f t="shared" si="27"/>
        <v>0.0001764</v>
      </c>
    </row>
    <row r="1765" spans="1:14">
      <c r="A1765" s="21" t="s">
        <v>227</v>
      </c>
      <c r="B1765" s="21" t="s">
        <v>920</v>
      </c>
      <c r="C1765" s="21" t="s">
        <v>26</v>
      </c>
      <c r="D1765" s="21" t="s">
        <v>921</v>
      </c>
      <c r="E1765" s="21">
        <v>11</v>
      </c>
      <c r="F1765" s="22">
        <v>46251.7095138889</v>
      </c>
      <c r="G1765" s="22">
        <v>46231.3866550926</v>
      </c>
      <c r="H1765" s="23">
        <v>104</v>
      </c>
      <c r="I1765" s="23">
        <v>58.3818181818</v>
      </c>
      <c r="J1765" s="24">
        <v>642.18</v>
      </c>
      <c r="K1765" s="21">
        <v>1</v>
      </c>
      <c r="L1765" s="21">
        <v>20</v>
      </c>
      <c r="M1765" s="21">
        <f>COUNTIF($A$2:$A$5481,A1765)</f>
        <v>2</v>
      </c>
      <c r="N1765" s="24">
        <f t="shared" si="27"/>
        <v>642.1801765</v>
      </c>
    </row>
    <row r="1766" spans="1:14">
      <c r="A1766" s="21" t="s">
        <v>155</v>
      </c>
      <c r="B1766" s="21" t="s">
        <v>920</v>
      </c>
      <c r="C1766" s="21" t="s">
        <v>35</v>
      </c>
      <c r="D1766" s="21" t="s">
        <v>921</v>
      </c>
      <c r="E1766" s="21">
        <v>1</v>
      </c>
      <c r="F1766" s="22">
        <v>45369.610625</v>
      </c>
      <c r="G1766" s="22">
        <v>45576.4577314815</v>
      </c>
      <c r="H1766" s="23">
        <v>354</v>
      </c>
      <c r="I1766" s="23">
        <v>59</v>
      </c>
      <c r="J1766" s="24">
        <v>59</v>
      </c>
      <c r="K1766" s="21">
        <v>0</v>
      </c>
      <c r="L1766" s="21">
        <v>0</v>
      </c>
      <c r="M1766" s="21">
        <f>COUNTIF($A$2:$A$5481,A1766)</f>
        <v>2</v>
      </c>
      <c r="N1766" s="24">
        <f t="shared" si="27"/>
        <v>59.0001766</v>
      </c>
    </row>
    <row r="1767" spans="1:14">
      <c r="A1767" s="21" t="s">
        <v>155</v>
      </c>
      <c r="B1767" s="21" t="s">
        <v>920</v>
      </c>
      <c r="C1767" s="21" t="s">
        <v>26</v>
      </c>
      <c r="D1767" s="21" t="s">
        <v>921</v>
      </c>
      <c r="E1767" s="21">
        <v>16</v>
      </c>
      <c r="F1767" s="22">
        <v>46118.7167708333</v>
      </c>
      <c r="G1767" s="22">
        <v>46265.5740856482</v>
      </c>
      <c r="H1767" s="23">
        <v>450</v>
      </c>
      <c r="I1767" s="23">
        <v>55.4282608696</v>
      </c>
      <c r="J1767" s="24">
        <v>886.88</v>
      </c>
      <c r="K1767" s="21">
        <v>0</v>
      </c>
      <c r="L1767" s="21">
        <v>0</v>
      </c>
      <c r="M1767" s="21">
        <f>COUNTIF($A$2:$A$5481,A1767)</f>
        <v>2</v>
      </c>
      <c r="N1767" s="24">
        <f t="shared" si="27"/>
        <v>886.8801767</v>
      </c>
    </row>
    <row r="1768" spans="1:14">
      <c r="A1768" s="21" t="s">
        <v>2228</v>
      </c>
      <c r="B1768" s="21" t="s">
        <v>929</v>
      </c>
      <c r="C1768" s="21" t="s">
        <v>26</v>
      </c>
      <c r="D1768" s="21" t="s">
        <v>921</v>
      </c>
      <c r="E1768" s="21">
        <v>7</v>
      </c>
      <c r="F1768" s="22">
        <v>45842.4031481482</v>
      </c>
      <c r="G1768" s="22"/>
      <c r="H1768" s="23">
        <v>103.3</v>
      </c>
      <c r="I1768" s="23">
        <v>46.77286</v>
      </c>
      <c r="J1768" s="24">
        <v>327.39</v>
      </c>
      <c r="K1768" s="21">
        <v>0</v>
      </c>
      <c r="L1768" s="21">
        <v>0</v>
      </c>
      <c r="M1768" s="21">
        <f>COUNTIF($A$2:$A$5481,A1768)</f>
        <v>1</v>
      </c>
      <c r="N1768" s="24">
        <f t="shared" si="27"/>
        <v>327.3901768</v>
      </c>
    </row>
    <row r="1769" spans="1:14">
      <c r="A1769" s="21" t="s">
        <v>2229</v>
      </c>
      <c r="B1769" s="21" t="s">
        <v>920</v>
      </c>
      <c r="C1769" s="21" t="s">
        <v>26</v>
      </c>
      <c r="D1769" s="21" t="s">
        <v>921</v>
      </c>
      <c r="E1769" s="21">
        <v>0</v>
      </c>
      <c r="F1769" s="22">
        <v>45790.352974537</v>
      </c>
      <c r="G1769" s="22">
        <v>45793.4892476852</v>
      </c>
      <c r="H1769" s="23">
        <v>480</v>
      </c>
      <c r="I1769" s="23">
        <v>480</v>
      </c>
      <c r="J1769" s="24">
        <v>0</v>
      </c>
      <c r="K1769" s="21">
        <v>0</v>
      </c>
      <c r="L1769" s="21">
        <v>0</v>
      </c>
      <c r="M1769" s="21">
        <f>COUNTIF($A$2:$A$5481,A1769)</f>
        <v>1</v>
      </c>
      <c r="N1769" s="24">
        <f t="shared" si="27"/>
        <v>0.0001769</v>
      </c>
    </row>
    <row r="1770" spans="1:14">
      <c r="A1770" s="21" t="s">
        <v>2230</v>
      </c>
      <c r="B1770" s="21" t="s">
        <v>929</v>
      </c>
      <c r="C1770" s="21" t="s">
        <v>414</v>
      </c>
      <c r="D1770" s="21" t="s">
        <v>1217</v>
      </c>
      <c r="E1770" s="21">
        <v>1</v>
      </c>
      <c r="F1770" s="22">
        <v>45372.8080092593</v>
      </c>
      <c r="G1770" s="22">
        <v>45517.8349884259</v>
      </c>
      <c r="H1770" s="23">
        <v>89.95</v>
      </c>
      <c r="I1770" s="23">
        <v>17.99</v>
      </c>
      <c r="J1770" s="24">
        <v>17.99</v>
      </c>
      <c r="K1770" s="21">
        <v>0</v>
      </c>
      <c r="L1770" s="21">
        <v>0</v>
      </c>
      <c r="M1770" s="21">
        <f>COUNTIF($A$2:$A$5481,A1770)</f>
        <v>2</v>
      </c>
      <c r="N1770" s="24">
        <f t="shared" si="27"/>
        <v>17.990177</v>
      </c>
    </row>
    <row r="1771" spans="1:14">
      <c r="A1771" s="21" t="s">
        <v>2230</v>
      </c>
      <c r="B1771" s="21" t="s">
        <v>929</v>
      </c>
      <c r="C1771" s="21" t="s">
        <v>26</v>
      </c>
      <c r="D1771" s="21" t="s">
        <v>1217</v>
      </c>
      <c r="E1771" s="21">
        <v>9</v>
      </c>
      <c r="F1771" s="22">
        <v>45842.4031481482</v>
      </c>
      <c r="G1771" s="22">
        <v>45912.4046180556</v>
      </c>
      <c r="H1771" s="23">
        <v>131.28</v>
      </c>
      <c r="I1771" s="23">
        <v>29.7624</v>
      </c>
      <c r="J1771" s="24">
        <v>267.84</v>
      </c>
      <c r="K1771" s="21">
        <v>0</v>
      </c>
      <c r="L1771" s="21">
        <v>0</v>
      </c>
      <c r="M1771" s="21">
        <f>COUNTIF($A$2:$A$5481,A1771)</f>
        <v>2</v>
      </c>
      <c r="N1771" s="24">
        <f t="shared" si="27"/>
        <v>267.8401771</v>
      </c>
    </row>
    <row r="1772" spans="1:14">
      <c r="A1772" s="21" t="s">
        <v>2231</v>
      </c>
      <c r="B1772" s="21" t="s">
        <v>929</v>
      </c>
      <c r="C1772" s="21" t="s">
        <v>414</v>
      </c>
      <c r="D1772" s="21" t="s">
        <v>921</v>
      </c>
      <c r="E1772" s="21">
        <v>5</v>
      </c>
      <c r="F1772" s="22">
        <v>45372.8255324074</v>
      </c>
      <c r="G1772" s="22"/>
      <c r="H1772" s="23">
        <v>89.95</v>
      </c>
      <c r="I1772" s="23">
        <v>17.99</v>
      </c>
      <c r="J1772" s="24">
        <v>89.95</v>
      </c>
      <c r="K1772" s="21">
        <v>0</v>
      </c>
      <c r="L1772" s="21">
        <v>0</v>
      </c>
      <c r="M1772" s="21">
        <f>COUNTIF($A$2:$A$5481,A1772)</f>
        <v>3</v>
      </c>
      <c r="N1772" s="24">
        <f t="shared" si="27"/>
        <v>89.9501772</v>
      </c>
    </row>
    <row r="1773" spans="1:14">
      <c r="A1773" s="21" t="s">
        <v>2231</v>
      </c>
      <c r="B1773" s="21" t="s">
        <v>929</v>
      </c>
      <c r="C1773" s="21" t="s">
        <v>26</v>
      </c>
      <c r="D1773" s="21" t="s">
        <v>921</v>
      </c>
      <c r="E1773" s="21">
        <v>1</v>
      </c>
      <c r="F1773" s="22">
        <v>45701.5561805556</v>
      </c>
      <c r="G1773" s="22">
        <v>45804.3788078704</v>
      </c>
      <c r="H1773" s="23">
        <v>106.73</v>
      </c>
      <c r="I1773" s="23">
        <v>52.79</v>
      </c>
      <c r="J1773" s="24">
        <v>52.79</v>
      </c>
      <c r="K1773" s="21">
        <v>0</v>
      </c>
      <c r="L1773" s="21">
        <v>0</v>
      </c>
      <c r="M1773" s="21">
        <f>COUNTIF($A$2:$A$5481,A1773)</f>
        <v>3</v>
      </c>
      <c r="N1773" s="24">
        <f t="shared" si="27"/>
        <v>52.7901773</v>
      </c>
    </row>
    <row r="1774" spans="1:14">
      <c r="A1774" s="21" t="s">
        <v>2231</v>
      </c>
      <c r="B1774" s="21" t="s">
        <v>929</v>
      </c>
      <c r="C1774" s="21" t="s">
        <v>182</v>
      </c>
      <c r="D1774" s="21" t="s">
        <v>921</v>
      </c>
      <c r="E1774" s="21">
        <v>9</v>
      </c>
      <c r="F1774" s="22">
        <v>45881.4931134259</v>
      </c>
      <c r="G1774" s="22"/>
      <c r="H1774" s="23">
        <v>232.38</v>
      </c>
      <c r="I1774" s="23">
        <v>25.82</v>
      </c>
      <c r="J1774" s="24">
        <v>232.38</v>
      </c>
      <c r="K1774" s="21">
        <v>0</v>
      </c>
      <c r="L1774" s="21">
        <v>0</v>
      </c>
      <c r="M1774" s="21">
        <f>COUNTIF($A$2:$A$5481,A1774)</f>
        <v>3</v>
      </c>
      <c r="N1774" s="24">
        <f t="shared" si="27"/>
        <v>232.3801774</v>
      </c>
    </row>
    <row r="1775" spans="1:14">
      <c r="A1775" s="21" t="s">
        <v>431</v>
      </c>
      <c r="B1775" s="21" t="s">
        <v>26</v>
      </c>
      <c r="C1775" s="21" t="s">
        <v>414</v>
      </c>
      <c r="D1775" s="21" t="s">
        <v>921</v>
      </c>
      <c r="E1775" s="21">
        <v>300</v>
      </c>
      <c r="F1775" s="22">
        <v>45447.417662037</v>
      </c>
      <c r="G1775" s="22"/>
      <c r="H1775" s="23">
        <v>4980</v>
      </c>
      <c r="I1775" s="23">
        <v>24.9</v>
      </c>
      <c r="J1775" s="24">
        <v>7470</v>
      </c>
      <c r="K1775" s="21">
        <v>0</v>
      </c>
      <c r="L1775" s="21">
        <v>0</v>
      </c>
      <c r="M1775" s="21">
        <f>COUNTIF($A$2:$A$5481,A1775)</f>
        <v>4</v>
      </c>
      <c r="N1775" s="24">
        <f t="shared" si="27"/>
        <v>7470.0001775</v>
      </c>
    </row>
    <row r="1776" spans="1:14">
      <c r="A1776" s="21" t="s">
        <v>431</v>
      </c>
      <c r="B1776" s="21" t="s">
        <v>26</v>
      </c>
      <c r="C1776" s="21" t="s">
        <v>26</v>
      </c>
      <c r="D1776" s="21" t="s">
        <v>921</v>
      </c>
      <c r="E1776" s="21">
        <v>189</v>
      </c>
      <c r="F1776" s="22">
        <v>45692.357962963</v>
      </c>
      <c r="G1776" s="22">
        <v>46269.6200231482</v>
      </c>
      <c r="H1776" s="23">
        <v>2478</v>
      </c>
      <c r="I1776" s="23">
        <v>30.34553</v>
      </c>
      <c r="J1776" s="24">
        <v>5736.15</v>
      </c>
      <c r="K1776" s="21">
        <v>0</v>
      </c>
      <c r="L1776" s="21">
        <v>0</v>
      </c>
      <c r="M1776" s="21">
        <f>COUNTIF($A$2:$A$5481,A1776)</f>
        <v>4</v>
      </c>
      <c r="N1776" s="24">
        <f t="shared" si="27"/>
        <v>5736.1501776</v>
      </c>
    </row>
    <row r="1777" spans="1:14">
      <c r="A1777" s="21" t="s">
        <v>431</v>
      </c>
      <c r="B1777" s="21" t="s">
        <v>26</v>
      </c>
      <c r="C1777" s="21" t="s">
        <v>51</v>
      </c>
      <c r="D1777" s="21" t="s">
        <v>921</v>
      </c>
      <c r="E1777" s="21">
        <v>1132</v>
      </c>
      <c r="F1777" s="22">
        <v>45882.354837963</v>
      </c>
      <c r="G1777" s="22">
        <v>46009.3413541667</v>
      </c>
      <c r="H1777" s="23">
        <v>1445.4</v>
      </c>
      <c r="I1777" s="23">
        <v>14.8459715146</v>
      </c>
      <c r="J1777" s="24">
        <v>16810.2</v>
      </c>
      <c r="K1777" s="21">
        <v>0</v>
      </c>
      <c r="L1777" s="21">
        <v>0</v>
      </c>
      <c r="M1777" s="21">
        <f>COUNTIF($A$2:$A$5481,A1777)</f>
        <v>4</v>
      </c>
      <c r="N1777" s="24">
        <f t="shared" si="27"/>
        <v>16810.2001777</v>
      </c>
    </row>
    <row r="1778" spans="1:14">
      <c r="A1778" s="21" t="s">
        <v>431</v>
      </c>
      <c r="B1778" s="21" t="s">
        <v>26</v>
      </c>
      <c r="C1778" s="21" t="s">
        <v>182</v>
      </c>
      <c r="D1778" s="21" t="s">
        <v>921</v>
      </c>
      <c r="E1778" s="21">
        <v>118</v>
      </c>
      <c r="F1778" s="22">
        <v>46251.5368055556</v>
      </c>
      <c r="G1778" s="22">
        <v>46274.6645949074</v>
      </c>
      <c r="H1778" s="23">
        <v>4892</v>
      </c>
      <c r="I1778" s="23">
        <v>23.7611746631</v>
      </c>
      <c r="J1778" s="24">
        <v>2803.68</v>
      </c>
      <c r="K1778" s="21">
        <v>0</v>
      </c>
      <c r="L1778" s="21">
        <v>0</v>
      </c>
      <c r="M1778" s="21">
        <f>COUNTIF($A$2:$A$5481,A1778)</f>
        <v>4</v>
      </c>
      <c r="N1778" s="24">
        <f t="shared" si="27"/>
        <v>2803.6801778</v>
      </c>
    </row>
    <row r="1779" spans="1:14">
      <c r="A1779" s="21" t="s">
        <v>2232</v>
      </c>
      <c r="B1779" s="21" t="s">
        <v>26</v>
      </c>
      <c r="C1779" s="21" t="s">
        <v>26</v>
      </c>
      <c r="D1779" s="21" t="s">
        <v>921</v>
      </c>
      <c r="E1779" s="21">
        <v>11</v>
      </c>
      <c r="F1779" s="22">
        <v>46192.575</v>
      </c>
      <c r="G1779" s="22"/>
      <c r="H1779" s="23">
        <v>154</v>
      </c>
      <c r="I1779" s="23">
        <v>18.2272727273</v>
      </c>
      <c r="J1779" s="24">
        <v>200.53</v>
      </c>
      <c r="K1779" s="21">
        <v>0</v>
      </c>
      <c r="L1779" s="21">
        <v>0</v>
      </c>
      <c r="M1779" s="21">
        <f>COUNTIF($A$2:$A$5481,A1779)</f>
        <v>1</v>
      </c>
      <c r="N1779" s="24">
        <f t="shared" si="27"/>
        <v>200.5301779</v>
      </c>
    </row>
    <row r="1780" spans="1:14">
      <c r="A1780" s="21" t="s">
        <v>2233</v>
      </c>
      <c r="B1780" s="21" t="s">
        <v>929</v>
      </c>
      <c r="C1780" s="21" t="s">
        <v>26</v>
      </c>
      <c r="D1780" s="21" t="s">
        <v>921</v>
      </c>
      <c r="E1780" s="21">
        <v>2</v>
      </c>
      <c r="F1780" s="22">
        <v>46169.5611458333</v>
      </c>
      <c r="G1780" s="22"/>
      <c r="H1780" s="23">
        <v>150.36</v>
      </c>
      <c r="I1780" s="23">
        <v>75.18</v>
      </c>
      <c r="J1780" s="24">
        <v>150.36</v>
      </c>
      <c r="K1780" s="21">
        <v>0</v>
      </c>
      <c r="L1780" s="21">
        <v>0</v>
      </c>
      <c r="M1780" s="21">
        <f>COUNTIF($A$2:$A$5481,A1780)</f>
        <v>1</v>
      </c>
      <c r="N1780" s="24">
        <f t="shared" si="27"/>
        <v>150.360178</v>
      </c>
    </row>
    <row r="1781" spans="1:14">
      <c r="A1781" s="21" t="s">
        <v>2234</v>
      </c>
      <c r="B1781" s="21" t="s">
        <v>920</v>
      </c>
      <c r="C1781" s="21" t="s">
        <v>26</v>
      </c>
      <c r="D1781" s="21" t="s">
        <v>921</v>
      </c>
      <c r="E1781" s="21">
        <v>48</v>
      </c>
      <c r="F1781" s="22">
        <v>45743.8504513889</v>
      </c>
      <c r="G1781" s="22"/>
      <c r="H1781" s="23">
        <v>12</v>
      </c>
      <c r="I1781" s="23">
        <v>0.25</v>
      </c>
      <c r="J1781" s="24">
        <v>12</v>
      </c>
      <c r="K1781" s="21">
        <v>0</v>
      </c>
      <c r="L1781" s="21">
        <v>0</v>
      </c>
      <c r="M1781" s="21">
        <f>COUNTIF($A$2:$A$5481,A1781)</f>
        <v>1</v>
      </c>
      <c r="N1781" s="24">
        <f t="shared" si="27"/>
        <v>12.0001781</v>
      </c>
    </row>
    <row r="1782" spans="1:14">
      <c r="A1782" s="21" t="s">
        <v>2235</v>
      </c>
      <c r="B1782" s="21" t="s">
        <v>920</v>
      </c>
      <c r="C1782" s="21" t="s">
        <v>26</v>
      </c>
      <c r="D1782" s="21" t="s">
        <v>921</v>
      </c>
      <c r="E1782" s="21">
        <v>50</v>
      </c>
      <c r="F1782" s="22">
        <v>46065.7193865741</v>
      </c>
      <c r="G1782" s="22"/>
      <c r="H1782" s="23">
        <v>80.2</v>
      </c>
      <c r="I1782" s="23">
        <v>4.666</v>
      </c>
      <c r="J1782" s="24">
        <v>233.5</v>
      </c>
      <c r="K1782" s="21">
        <v>0</v>
      </c>
      <c r="L1782" s="21">
        <v>0</v>
      </c>
      <c r="M1782" s="21">
        <f>COUNTIF($A$2:$A$5481,A1782)</f>
        <v>1</v>
      </c>
      <c r="N1782" s="24">
        <f t="shared" si="27"/>
        <v>233.5001782</v>
      </c>
    </row>
    <row r="1783" spans="1:14">
      <c r="A1783" s="21" t="s">
        <v>2236</v>
      </c>
      <c r="B1783" s="21" t="s">
        <v>929</v>
      </c>
      <c r="C1783" s="21" t="s">
        <v>26</v>
      </c>
      <c r="D1783" s="21" t="s">
        <v>921</v>
      </c>
      <c r="E1783" s="21">
        <v>10</v>
      </c>
      <c r="F1783" s="22">
        <v>46216.7099652778</v>
      </c>
      <c r="G1783" s="22"/>
      <c r="H1783" s="23">
        <v>100.2</v>
      </c>
      <c r="I1783" s="23">
        <v>10.02</v>
      </c>
      <c r="J1783" s="24">
        <v>100.2</v>
      </c>
      <c r="K1783" s="21">
        <v>0</v>
      </c>
      <c r="L1783" s="21">
        <v>0</v>
      </c>
      <c r="M1783" s="21">
        <f>COUNTIF($A$2:$A$5481,A1783)</f>
        <v>1</v>
      </c>
      <c r="N1783" s="24">
        <f t="shared" si="27"/>
        <v>100.2001783</v>
      </c>
    </row>
    <row r="1784" spans="1:14">
      <c r="A1784" s="21" t="s">
        <v>2237</v>
      </c>
      <c r="B1784" s="21" t="s">
        <v>26</v>
      </c>
      <c r="C1784" s="21" t="s">
        <v>26</v>
      </c>
      <c r="D1784" s="21" t="s">
        <v>921</v>
      </c>
      <c r="E1784" s="21">
        <v>41</v>
      </c>
      <c r="F1784" s="22">
        <v>45714.4301736111</v>
      </c>
      <c r="G1784" s="22"/>
      <c r="H1784" s="23">
        <v>44</v>
      </c>
      <c r="I1784" s="23">
        <v>4.67317</v>
      </c>
      <c r="J1784" s="24">
        <v>191.47</v>
      </c>
      <c r="K1784" s="21">
        <v>0</v>
      </c>
      <c r="L1784" s="21">
        <v>0</v>
      </c>
      <c r="M1784" s="21">
        <f>COUNTIF($A$2:$A$5481,A1784)</f>
        <v>1</v>
      </c>
      <c r="N1784" s="24">
        <f t="shared" si="27"/>
        <v>191.4701784</v>
      </c>
    </row>
    <row r="1785" spans="1:14">
      <c r="A1785" s="21" t="s">
        <v>2238</v>
      </c>
      <c r="B1785" s="21" t="s">
        <v>920</v>
      </c>
      <c r="C1785" s="21" t="s">
        <v>26</v>
      </c>
      <c r="D1785" s="21" t="s">
        <v>921</v>
      </c>
      <c r="E1785" s="21">
        <v>16</v>
      </c>
      <c r="F1785" s="22">
        <v>45820.8575</v>
      </c>
      <c r="G1785" s="22"/>
      <c r="H1785" s="23">
        <v>32.8</v>
      </c>
      <c r="I1785" s="23">
        <v>2.05</v>
      </c>
      <c r="J1785" s="24">
        <v>32.8</v>
      </c>
      <c r="K1785" s="21">
        <v>0</v>
      </c>
      <c r="L1785" s="21">
        <v>0</v>
      </c>
      <c r="M1785" s="21">
        <f>COUNTIF($A$2:$A$5481,A1785)</f>
        <v>1</v>
      </c>
      <c r="N1785" s="24">
        <f t="shared" si="27"/>
        <v>32.8001785</v>
      </c>
    </row>
    <row r="1786" spans="1:14">
      <c r="A1786" s="21" t="s">
        <v>2239</v>
      </c>
      <c r="B1786" s="21" t="s">
        <v>920</v>
      </c>
      <c r="C1786" s="21" t="s">
        <v>26</v>
      </c>
      <c r="D1786" s="21" t="s">
        <v>931</v>
      </c>
      <c r="E1786" s="21">
        <v>10</v>
      </c>
      <c r="F1786" s="22">
        <v>45775.4054398148</v>
      </c>
      <c r="G1786" s="22"/>
      <c r="H1786" s="23">
        <v>8.9</v>
      </c>
      <c r="I1786" s="23">
        <v>0.89</v>
      </c>
      <c r="J1786" s="24">
        <v>8.9</v>
      </c>
      <c r="K1786" s="21">
        <v>0</v>
      </c>
      <c r="L1786" s="21">
        <v>0</v>
      </c>
      <c r="M1786" s="21">
        <f>COUNTIF($A$2:$A$5481,A1786)</f>
        <v>1</v>
      </c>
      <c r="N1786" s="24">
        <f t="shared" si="27"/>
        <v>8.9001786</v>
      </c>
    </row>
    <row r="1787" spans="1:14">
      <c r="A1787" s="21" t="s">
        <v>2240</v>
      </c>
      <c r="B1787" s="21" t="s">
        <v>920</v>
      </c>
      <c r="C1787" s="21" t="s">
        <v>35</v>
      </c>
      <c r="D1787" s="21" t="s">
        <v>921</v>
      </c>
      <c r="E1787" s="21">
        <v>100</v>
      </c>
      <c r="F1787" s="22">
        <v>45455.5681597222</v>
      </c>
      <c r="G1787" s="22"/>
      <c r="H1787" s="23">
        <v>128</v>
      </c>
      <c r="I1787" s="23">
        <v>1.28</v>
      </c>
      <c r="J1787" s="24">
        <v>128</v>
      </c>
      <c r="K1787" s="21">
        <v>0</v>
      </c>
      <c r="L1787" s="21">
        <v>0</v>
      </c>
      <c r="M1787" s="21">
        <f>COUNTIF($A$2:$A$5481,A1787)</f>
        <v>2</v>
      </c>
      <c r="N1787" s="24">
        <f t="shared" si="27"/>
        <v>128.0001787</v>
      </c>
    </row>
    <row r="1788" spans="1:14">
      <c r="A1788" s="21" t="s">
        <v>2240</v>
      </c>
      <c r="B1788" s="21" t="s">
        <v>920</v>
      </c>
      <c r="C1788" s="21" t="s">
        <v>26</v>
      </c>
      <c r="D1788" s="21" t="s">
        <v>921</v>
      </c>
      <c r="E1788" s="21">
        <v>40</v>
      </c>
      <c r="F1788" s="22">
        <v>45604.8111111111</v>
      </c>
      <c r="G1788" s="22"/>
      <c r="H1788" s="23">
        <v>87.6</v>
      </c>
      <c r="I1788" s="23">
        <v>2.19</v>
      </c>
      <c r="J1788" s="24">
        <v>87.6</v>
      </c>
      <c r="K1788" s="21">
        <v>0</v>
      </c>
      <c r="L1788" s="21">
        <v>0</v>
      </c>
      <c r="M1788" s="21">
        <f>COUNTIF($A$2:$A$5481,A1788)</f>
        <v>2</v>
      </c>
      <c r="N1788" s="24">
        <f t="shared" si="27"/>
        <v>87.6001788</v>
      </c>
    </row>
    <row r="1789" spans="1:14">
      <c r="A1789" s="21" t="s">
        <v>2241</v>
      </c>
      <c r="B1789" s="21" t="s">
        <v>920</v>
      </c>
      <c r="C1789" s="21" t="s">
        <v>35</v>
      </c>
      <c r="D1789" s="21" t="s">
        <v>921</v>
      </c>
      <c r="E1789" s="21">
        <v>100</v>
      </c>
      <c r="F1789" s="22">
        <v>45455.5681597222</v>
      </c>
      <c r="G1789" s="22"/>
      <c r="H1789" s="23">
        <v>128</v>
      </c>
      <c r="I1789" s="23">
        <v>1.28</v>
      </c>
      <c r="J1789" s="24">
        <v>128</v>
      </c>
      <c r="K1789" s="21">
        <v>0</v>
      </c>
      <c r="L1789" s="21">
        <v>0</v>
      </c>
      <c r="M1789" s="21">
        <f>COUNTIF($A$2:$A$5481,A1789)</f>
        <v>1</v>
      </c>
      <c r="N1789" s="24">
        <f t="shared" si="27"/>
        <v>128.0001789</v>
      </c>
    </row>
    <row r="1790" spans="1:14">
      <c r="A1790" s="21" t="s">
        <v>2242</v>
      </c>
      <c r="B1790" s="21" t="s">
        <v>920</v>
      </c>
      <c r="C1790" s="21" t="s">
        <v>26</v>
      </c>
      <c r="D1790" s="21" t="s">
        <v>921</v>
      </c>
      <c r="E1790" s="21">
        <v>30</v>
      </c>
      <c r="F1790" s="22">
        <v>46092.4708333333</v>
      </c>
      <c r="G1790" s="22"/>
      <c r="H1790" s="23">
        <v>60.7</v>
      </c>
      <c r="I1790" s="23">
        <v>6.8766666667</v>
      </c>
      <c r="J1790" s="24">
        <v>206.4</v>
      </c>
      <c r="K1790" s="21">
        <v>0</v>
      </c>
      <c r="L1790" s="21">
        <v>0</v>
      </c>
      <c r="M1790" s="21">
        <f>COUNTIF($A$2:$A$5481,A1790)</f>
        <v>1</v>
      </c>
      <c r="N1790" s="24">
        <f t="shared" si="27"/>
        <v>206.400179</v>
      </c>
    </row>
    <row r="1791" spans="1:14">
      <c r="A1791" s="21" t="s">
        <v>2243</v>
      </c>
      <c r="B1791" s="21" t="s">
        <v>920</v>
      </c>
      <c r="C1791" s="21" t="s">
        <v>26</v>
      </c>
      <c r="D1791" s="21" t="s">
        <v>921</v>
      </c>
      <c r="E1791" s="21">
        <v>50</v>
      </c>
      <c r="F1791" s="22">
        <v>46139.5329282407</v>
      </c>
      <c r="G1791" s="22"/>
      <c r="H1791" s="23">
        <v>22</v>
      </c>
      <c r="I1791" s="23">
        <v>0.44</v>
      </c>
      <c r="J1791" s="24">
        <v>22</v>
      </c>
      <c r="K1791" s="21">
        <v>0</v>
      </c>
      <c r="L1791" s="21">
        <v>0</v>
      </c>
      <c r="M1791" s="21">
        <f>COUNTIF($A$2:$A$5481,A1791)</f>
        <v>1</v>
      </c>
      <c r="N1791" s="24">
        <f t="shared" si="27"/>
        <v>22.0001791</v>
      </c>
    </row>
    <row r="1792" spans="1:14">
      <c r="A1792" s="21" t="s">
        <v>2244</v>
      </c>
      <c r="B1792" s="21" t="s">
        <v>26</v>
      </c>
      <c r="C1792" s="21" t="s">
        <v>26</v>
      </c>
      <c r="D1792" s="21" t="s">
        <v>921</v>
      </c>
      <c r="E1792" s="21">
        <v>70</v>
      </c>
      <c r="F1792" s="22">
        <v>45930.6060069444</v>
      </c>
      <c r="G1792" s="22"/>
      <c r="H1792" s="23">
        <v>28.5</v>
      </c>
      <c r="I1792" s="23">
        <v>0.5471428571</v>
      </c>
      <c r="J1792" s="24">
        <v>38.5</v>
      </c>
      <c r="K1792" s="21">
        <v>0</v>
      </c>
      <c r="L1792" s="21">
        <v>0</v>
      </c>
      <c r="M1792" s="21">
        <f>COUNTIF($A$2:$A$5481,A1792)</f>
        <v>1</v>
      </c>
      <c r="N1792" s="24">
        <f t="shared" si="27"/>
        <v>38.5001792</v>
      </c>
    </row>
    <row r="1793" spans="1:14">
      <c r="A1793" s="21" t="s">
        <v>2245</v>
      </c>
      <c r="B1793" s="21" t="s">
        <v>920</v>
      </c>
      <c r="C1793" s="21" t="s">
        <v>26</v>
      </c>
      <c r="D1793" s="21" t="s">
        <v>931</v>
      </c>
      <c r="E1793" s="21">
        <v>30</v>
      </c>
      <c r="F1793" s="22">
        <v>45775.4054398148</v>
      </c>
      <c r="G1793" s="22"/>
      <c r="H1793" s="23">
        <v>25.2</v>
      </c>
      <c r="I1793" s="23">
        <v>0.84</v>
      </c>
      <c r="J1793" s="24">
        <v>25.2</v>
      </c>
      <c r="K1793" s="21">
        <v>0</v>
      </c>
      <c r="L1793" s="21">
        <v>0</v>
      </c>
      <c r="M1793" s="21">
        <f>COUNTIF($A$2:$A$5481,A1793)</f>
        <v>1</v>
      </c>
      <c r="N1793" s="24">
        <f t="shared" si="27"/>
        <v>25.2001793</v>
      </c>
    </row>
    <row r="1794" spans="1:14">
      <c r="A1794" s="21" t="s">
        <v>2246</v>
      </c>
      <c r="B1794" s="21" t="s">
        <v>920</v>
      </c>
      <c r="C1794" s="21" t="s">
        <v>26</v>
      </c>
      <c r="D1794" s="21" t="s">
        <v>931</v>
      </c>
      <c r="E1794" s="21">
        <v>140</v>
      </c>
      <c r="F1794" s="22">
        <v>45911.5543171296</v>
      </c>
      <c r="G1794" s="22"/>
      <c r="H1794" s="23">
        <v>117</v>
      </c>
      <c r="I1794" s="23">
        <v>0.9757142857</v>
      </c>
      <c r="J1794" s="24">
        <v>137.2</v>
      </c>
      <c r="K1794" s="21">
        <v>0</v>
      </c>
      <c r="L1794" s="21">
        <v>0</v>
      </c>
      <c r="M1794" s="21">
        <f>COUNTIF($A$2:$A$5481,A1794)</f>
        <v>1</v>
      </c>
      <c r="N1794" s="24">
        <f t="shared" ref="N1794:N1857" si="28">J1794+ROW()/10000000</f>
        <v>137.2001794</v>
      </c>
    </row>
    <row r="1795" spans="1:14">
      <c r="A1795" s="21" t="s">
        <v>2247</v>
      </c>
      <c r="B1795" s="21" t="s">
        <v>26</v>
      </c>
      <c r="C1795" s="21" t="s">
        <v>26</v>
      </c>
      <c r="D1795" s="21" t="s">
        <v>921</v>
      </c>
      <c r="E1795" s="21">
        <v>4</v>
      </c>
      <c r="F1795" s="22">
        <v>45824.8059375</v>
      </c>
      <c r="G1795" s="22"/>
      <c r="H1795" s="23">
        <v>24.88</v>
      </c>
      <c r="I1795" s="23">
        <v>6.22</v>
      </c>
      <c r="J1795" s="24">
        <v>24.88</v>
      </c>
      <c r="K1795" s="21">
        <v>0</v>
      </c>
      <c r="L1795" s="21">
        <v>0</v>
      </c>
      <c r="M1795" s="21">
        <f>COUNTIF($A$2:$A$5481,A1795)</f>
        <v>1</v>
      </c>
      <c r="N1795" s="24">
        <f t="shared" si="28"/>
        <v>24.8801795</v>
      </c>
    </row>
    <row r="1796" spans="1:14">
      <c r="A1796" s="21" t="s">
        <v>2248</v>
      </c>
      <c r="B1796" s="21" t="s">
        <v>920</v>
      </c>
      <c r="C1796" s="21" t="s">
        <v>26</v>
      </c>
      <c r="D1796" s="21" t="s">
        <v>921</v>
      </c>
      <c r="E1796" s="21">
        <v>18</v>
      </c>
      <c r="F1796" s="22">
        <v>46094.5597222222</v>
      </c>
      <c r="G1796" s="22"/>
      <c r="H1796" s="23">
        <v>53.6</v>
      </c>
      <c r="I1796" s="23">
        <v>12.7022222222</v>
      </c>
      <c r="J1796" s="24">
        <v>228.6</v>
      </c>
      <c r="K1796" s="21">
        <v>0</v>
      </c>
      <c r="L1796" s="21">
        <v>0</v>
      </c>
      <c r="M1796" s="21">
        <f>COUNTIF($A$2:$A$5481,A1796)</f>
        <v>1</v>
      </c>
      <c r="N1796" s="24">
        <f t="shared" si="28"/>
        <v>228.6001796</v>
      </c>
    </row>
    <row r="1797" spans="1:14">
      <c r="A1797" s="21" t="s">
        <v>2249</v>
      </c>
      <c r="B1797" s="21" t="s">
        <v>929</v>
      </c>
      <c r="C1797" s="21" t="s">
        <v>26</v>
      </c>
      <c r="D1797" s="21" t="s">
        <v>921</v>
      </c>
      <c r="E1797" s="21">
        <v>15</v>
      </c>
      <c r="F1797" s="22">
        <v>46275.5861574074</v>
      </c>
      <c r="G1797" s="22"/>
      <c r="H1797" s="23">
        <v>41.7</v>
      </c>
      <c r="I1797" s="23">
        <v>2.78</v>
      </c>
      <c r="J1797" s="24">
        <v>41.7</v>
      </c>
      <c r="K1797" s="21">
        <v>0</v>
      </c>
      <c r="L1797" s="21">
        <v>0</v>
      </c>
      <c r="M1797" s="21">
        <f>COUNTIF($A$2:$A$5481,A1797)</f>
        <v>1</v>
      </c>
      <c r="N1797" s="24">
        <f t="shared" si="28"/>
        <v>41.7001797</v>
      </c>
    </row>
    <row r="1798" spans="1:14">
      <c r="A1798" s="21" t="s">
        <v>2250</v>
      </c>
      <c r="B1798" s="21" t="s">
        <v>920</v>
      </c>
      <c r="C1798" s="21" t="s">
        <v>26</v>
      </c>
      <c r="D1798" s="21" t="s">
        <v>921</v>
      </c>
      <c r="E1798" s="21">
        <v>20</v>
      </c>
      <c r="F1798" s="22">
        <v>46094.5597222222</v>
      </c>
      <c r="G1798" s="22"/>
      <c r="H1798" s="23">
        <v>61.2</v>
      </c>
      <c r="I1798" s="23">
        <v>6.685</v>
      </c>
      <c r="J1798" s="24">
        <v>133.8</v>
      </c>
      <c r="K1798" s="21">
        <v>0</v>
      </c>
      <c r="L1798" s="21">
        <v>0</v>
      </c>
      <c r="M1798" s="21">
        <f>COUNTIF($A$2:$A$5481,A1798)</f>
        <v>1</v>
      </c>
      <c r="N1798" s="24">
        <f t="shared" si="28"/>
        <v>133.8001798</v>
      </c>
    </row>
    <row r="1799" spans="1:14">
      <c r="A1799" s="21" t="s">
        <v>2251</v>
      </c>
      <c r="B1799" s="21" t="s">
        <v>26</v>
      </c>
      <c r="C1799" s="21" t="s">
        <v>26</v>
      </c>
      <c r="D1799" s="21" t="s">
        <v>921</v>
      </c>
      <c r="E1799" s="21">
        <v>30</v>
      </c>
      <c r="F1799" s="22">
        <v>45562.4345717593</v>
      </c>
      <c r="G1799" s="22"/>
      <c r="H1799" s="23">
        <v>188.4</v>
      </c>
      <c r="I1799" s="23">
        <v>6.28</v>
      </c>
      <c r="J1799" s="24">
        <v>188.4</v>
      </c>
      <c r="K1799" s="21">
        <v>0</v>
      </c>
      <c r="L1799" s="21">
        <v>0</v>
      </c>
      <c r="M1799" s="21">
        <f>COUNTIF($A$2:$A$5481,A1799)</f>
        <v>1</v>
      </c>
      <c r="N1799" s="24">
        <f t="shared" si="28"/>
        <v>188.4001799</v>
      </c>
    </row>
    <row r="1800" spans="1:14">
      <c r="A1800" s="21" t="s">
        <v>2252</v>
      </c>
      <c r="B1800" s="21" t="s">
        <v>26</v>
      </c>
      <c r="C1800" s="21" t="s">
        <v>26</v>
      </c>
      <c r="D1800" s="21" t="s">
        <v>921</v>
      </c>
      <c r="E1800" s="21">
        <v>40</v>
      </c>
      <c r="F1800" s="22">
        <v>45562.4345717593</v>
      </c>
      <c r="G1800" s="22"/>
      <c r="H1800" s="23">
        <v>148.8</v>
      </c>
      <c r="I1800" s="23">
        <v>3.72</v>
      </c>
      <c r="J1800" s="24">
        <v>148.8</v>
      </c>
      <c r="K1800" s="21">
        <v>0</v>
      </c>
      <c r="L1800" s="21">
        <v>0</v>
      </c>
      <c r="M1800" s="21">
        <f>COUNTIF($A$2:$A$5481,A1800)</f>
        <v>1</v>
      </c>
      <c r="N1800" s="24">
        <f t="shared" si="28"/>
        <v>148.80018</v>
      </c>
    </row>
    <row r="1801" spans="1:14">
      <c r="A1801" s="21" t="s">
        <v>2253</v>
      </c>
      <c r="B1801" s="21" t="s">
        <v>26</v>
      </c>
      <c r="C1801" s="21" t="s">
        <v>26</v>
      </c>
      <c r="D1801" s="21" t="s">
        <v>921</v>
      </c>
      <c r="E1801" s="21">
        <v>4</v>
      </c>
      <c r="F1801" s="22">
        <v>45610.8243055556</v>
      </c>
      <c r="G1801" s="22"/>
      <c r="H1801" s="23">
        <v>61.04</v>
      </c>
      <c r="I1801" s="23">
        <v>15.26</v>
      </c>
      <c r="J1801" s="24">
        <v>61.04</v>
      </c>
      <c r="K1801" s="21">
        <v>0</v>
      </c>
      <c r="L1801" s="21">
        <v>0</v>
      </c>
      <c r="M1801" s="21">
        <f>COUNTIF($A$2:$A$5481,A1801)</f>
        <v>1</v>
      </c>
      <c r="N1801" s="24">
        <f t="shared" si="28"/>
        <v>61.0401801</v>
      </c>
    </row>
    <row r="1802" spans="1:14">
      <c r="A1802" s="21" t="s">
        <v>2254</v>
      </c>
      <c r="B1802" s="21" t="s">
        <v>920</v>
      </c>
      <c r="C1802" s="21" t="s">
        <v>26</v>
      </c>
      <c r="D1802" s="21" t="s">
        <v>921</v>
      </c>
      <c r="E1802" s="21">
        <v>10</v>
      </c>
      <c r="F1802" s="22">
        <v>45912.3699537037</v>
      </c>
      <c r="G1802" s="22"/>
      <c r="H1802" s="23">
        <v>112.8</v>
      </c>
      <c r="I1802" s="23">
        <v>11.28</v>
      </c>
      <c r="J1802" s="24">
        <v>112.8</v>
      </c>
      <c r="K1802" s="21">
        <v>0</v>
      </c>
      <c r="L1802" s="21">
        <v>0</v>
      </c>
      <c r="M1802" s="21">
        <f>COUNTIF($A$2:$A$5481,A1802)</f>
        <v>1</v>
      </c>
      <c r="N1802" s="24">
        <f t="shared" si="28"/>
        <v>112.8001802</v>
      </c>
    </row>
    <row r="1803" spans="1:14">
      <c r="A1803" s="21" t="s">
        <v>2255</v>
      </c>
      <c r="B1803" s="21" t="s">
        <v>26</v>
      </c>
      <c r="C1803" s="21" t="s">
        <v>26</v>
      </c>
      <c r="D1803" s="21" t="s">
        <v>921</v>
      </c>
      <c r="E1803" s="21">
        <v>10</v>
      </c>
      <c r="F1803" s="22">
        <v>45992.5357638889</v>
      </c>
      <c r="G1803" s="22"/>
      <c r="H1803" s="23">
        <v>47.7</v>
      </c>
      <c r="I1803" s="23">
        <v>4.77</v>
      </c>
      <c r="J1803" s="24">
        <v>47.7</v>
      </c>
      <c r="K1803" s="21">
        <v>0</v>
      </c>
      <c r="L1803" s="21">
        <v>0</v>
      </c>
      <c r="M1803" s="21">
        <f>COUNTIF($A$2:$A$5481,A1803)</f>
        <v>1</v>
      </c>
      <c r="N1803" s="24">
        <f t="shared" si="28"/>
        <v>47.7001803</v>
      </c>
    </row>
    <row r="1804" spans="1:14">
      <c r="A1804" s="21" t="s">
        <v>2256</v>
      </c>
      <c r="B1804" s="21" t="s">
        <v>920</v>
      </c>
      <c r="C1804" s="21" t="s">
        <v>26</v>
      </c>
      <c r="D1804" s="21" t="s">
        <v>921</v>
      </c>
      <c r="E1804" s="21">
        <v>20</v>
      </c>
      <c r="F1804" s="22">
        <v>46094.5597222222</v>
      </c>
      <c r="G1804" s="22"/>
      <c r="H1804" s="23">
        <v>49.9</v>
      </c>
      <c r="I1804" s="23">
        <v>5.315</v>
      </c>
      <c r="J1804" s="24">
        <v>106.4</v>
      </c>
      <c r="K1804" s="21">
        <v>0</v>
      </c>
      <c r="L1804" s="21">
        <v>0</v>
      </c>
      <c r="M1804" s="21">
        <f>COUNTIF($A$2:$A$5481,A1804)</f>
        <v>1</v>
      </c>
      <c r="N1804" s="24">
        <f t="shared" si="28"/>
        <v>106.4001804</v>
      </c>
    </row>
    <row r="1805" spans="1:14">
      <c r="A1805" s="21" t="s">
        <v>2257</v>
      </c>
      <c r="B1805" s="21" t="s">
        <v>920</v>
      </c>
      <c r="C1805" s="21" t="s">
        <v>26</v>
      </c>
      <c r="D1805" s="21" t="s">
        <v>921</v>
      </c>
      <c r="E1805" s="21">
        <v>10</v>
      </c>
      <c r="F1805" s="22">
        <v>45902.6713657407</v>
      </c>
      <c r="G1805" s="22"/>
      <c r="H1805" s="23">
        <v>174.3</v>
      </c>
      <c r="I1805" s="23">
        <v>17.43</v>
      </c>
      <c r="J1805" s="24">
        <v>174.3</v>
      </c>
      <c r="K1805" s="21">
        <v>0</v>
      </c>
      <c r="L1805" s="21">
        <v>0</v>
      </c>
      <c r="M1805" s="21">
        <f>COUNTIF($A$2:$A$5481,A1805)</f>
        <v>1</v>
      </c>
      <c r="N1805" s="24">
        <f t="shared" si="28"/>
        <v>174.3001805</v>
      </c>
    </row>
    <row r="1806" spans="1:14">
      <c r="A1806" s="21" t="s">
        <v>2258</v>
      </c>
      <c r="B1806" s="21" t="s">
        <v>26</v>
      </c>
      <c r="C1806" s="21" t="s">
        <v>26</v>
      </c>
      <c r="D1806" s="21" t="s">
        <v>921</v>
      </c>
      <c r="E1806" s="21">
        <v>12</v>
      </c>
      <c r="F1806" s="22">
        <v>45664.3767476852</v>
      </c>
      <c r="G1806" s="22"/>
      <c r="H1806" s="23">
        <v>23.28</v>
      </c>
      <c r="I1806" s="23">
        <v>1.94</v>
      </c>
      <c r="J1806" s="24">
        <v>23.28</v>
      </c>
      <c r="K1806" s="21">
        <v>0</v>
      </c>
      <c r="L1806" s="21">
        <v>0</v>
      </c>
      <c r="M1806" s="21">
        <f>COUNTIF($A$2:$A$5481,A1806)</f>
        <v>1</v>
      </c>
      <c r="N1806" s="24">
        <f t="shared" si="28"/>
        <v>23.2801806</v>
      </c>
    </row>
    <row r="1807" spans="1:14">
      <c r="A1807" s="21" t="s">
        <v>2259</v>
      </c>
      <c r="B1807" s="21" t="s">
        <v>920</v>
      </c>
      <c r="C1807" s="21" t="s">
        <v>26</v>
      </c>
      <c r="D1807" s="21" t="s">
        <v>921</v>
      </c>
      <c r="E1807" s="21">
        <v>2</v>
      </c>
      <c r="F1807" s="22">
        <v>46247.5618055556</v>
      </c>
      <c r="G1807" s="22"/>
      <c r="H1807" s="23">
        <v>13.56</v>
      </c>
      <c r="I1807" s="23">
        <v>6.78</v>
      </c>
      <c r="J1807" s="24">
        <v>13.56</v>
      </c>
      <c r="K1807" s="21">
        <v>0</v>
      </c>
      <c r="L1807" s="21">
        <v>0</v>
      </c>
      <c r="M1807" s="21">
        <f>COUNTIF($A$2:$A$5481,A1807)</f>
        <v>1</v>
      </c>
      <c r="N1807" s="24">
        <f t="shared" si="28"/>
        <v>13.5601807</v>
      </c>
    </row>
    <row r="1808" spans="1:14">
      <c r="A1808" s="21" t="s">
        <v>2260</v>
      </c>
      <c r="B1808" s="21" t="s">
        <v>26</v>
      </c>
      <c r="C1808" s="21" t="s">
        <v>26</v>
      </c>
      <c r="D1808" s="21" t="s">
        <v>1217</v>
      </c>
      <c r="E1808" s="21">
        <v>15</v>
      </c>
      <c r="F1808" s="22">
        <v>46136.5707060185</v>
      </c>
      <c r="G1808" s="22"/>
      <c r="H1808" s="23">
        <v>46.65</v>
      </c>
      <c r="I1808" s="23">
        <v>3.11</v>
      </c>
      <c r="J1808" s="24">
        <v>46.65</v>
      </c>
      <c r="K1808" s="21">
        <v>0</v>
      </c>
      <c r="L1808" s="21">
        <v>0</v>
      </c>
      <c r="M1808" s="21">
        <f>COUNTIF($A$2:$A$5481,A1808)</f>
        <v>1</v>
      </c>
      <c r="N1808" s="24">
        <f t="shared" si="28"/>
        <v>46.6501808</v>
      </c>
    </row>
    <row r="1809" spans="1:14">
      <c r="A1809" s="21" t="s">
        <v>2261</v>
      </c>
      <c r="B1809" s="21" t="s">
        <v>26</v>
      </c>
      <c r="C1809" s="21" t="s">
        <v>26</v>
      </c>
      <c r="D1809" s="21" t="s">
        <v>921</v>
      </c>
      <c r="E1809" s="21">
        <v>10</v>
      </c>
      <c r="F1809" s="22">
        <v>46028.3399074074</v>
      </c>
      <c r="G1809" s="22"/>
      <c r="H1809" s="23">
        <v>31.8</v>
      </c>
      <c r="I1809" s="23">
        <v>3.18</v>
      </c>
      <c r="J1809" s="24">
        <v>31.8</v>
      </c>
      <c r="K1809" s="21">
        <v>0</v>
      </c>
      <c r="L1809" s="21">
        <v>0</v>
      </c>
      <c r="M1809" s="21">
        <f>COUNTIF($A$2:$A$5481,A1809)</f>
        <v>1</v>
      </c>
      <c r="N1809" s="24">
        <f t="shared" si="28"/>
        <v>31.8001809</v>
      </c>
    </row>
    <row r="1810" spans="1:14">
      <c r="A1810" s="21" t="s">
        <v>2262</v>
      </c>
      <c r="B1810" s="21" t="s">
        <v>26</v>
      </c>
      <c r="C1810" s="21" t="s">
        <v>26</v>
      </c>
      <c r="D1810" s="21" t="s">
        <v>1217</v>
      </c>
      <c r="E1810" s="21">
        <v>15</v>
      </c>
      <c r="F1810" s="22">
        <v>46136.5707060185</v>
      </c>
      <c r="G1810" s="22"/>
      <c r="H1810" s="23">
        <v>21.9</v>
      </c>
      <c r="I1810" s="23">
        <v>1.46</v>
      </c>
      <c r="J1810" s="24">
        <v>21.9</v>
      </c>
      <c r="K1810" s="21">
        <v>0</v>
      </c>
      <c r="L1810" s="21">
        <v>0</v>
      </c>
      <c r="M1810" s="21">
        <f>COUNTIF($A$2:$A$5481,A1810)</f>
        <v>1</v>
      </c>
      <c r="N1810" s="24">
        <f t="shared" si="28"/>
        <v>21.900181</v>
      </c>
    </row>
    <row r="1811" spans="1:14">
      <c r="A1811" s="21" t="s">
        <v>2263</v>
      </c>
      <c r="B1811" s="21" t="s">
        <v>26</v>
      </c>
      <c r="C1811" s="21" t="s">
        <v>26</v>
      </c>
      <c r="D1811" s="21" t="s">
        <v>921</v>
      </c>
      <c r="E1811" s="21">
        <v>30</v>
      </c>
      <c r="F1811" s="22">
        <v>46107.3618055556</v>
      </c>
      <c r="G1811" s="22"/>
      <c r="H1811" s="23">
        <v>20.4</v>
      </c>
      <c r="I1811" s="23">
        <v>0.68</v>
      </c>
      <c r="J1811" s="24">
        <v>20.4</v>
      </c>
      <c r="K1811" s="21">
        <v>0</v>
      </c>
      <c r="L1811" s="21">
        <v>0</v>
      </c>
      <c r="M1811" s="21">
        <f>COUNTIF($A$2:$A$5481,A1811)</f>
        <v>1</v>
      </c>
      <c r="N1811" s="24">
        <f t="shared" si="28"/>
        <v>20.4001811</v>
      </c>
    </row>
    <row r="1812" spans="1:14">
      <c r="A1812" s="21" t="s">
        <v>2264</v>
      </c>
      <c r="B1812" s="21" t="s">
        <v>26</v>
      </c>
      <c r="C1812" s="21" t="s">
        <v>26</v>
      </c>
      <c r="D1812" s="21" t="s">
        <v>921</v>
      </c>
      <c r="E1812" s="21">
        <v>30</v>
      </c>
      <c r="F1812" s="22">
        <v>46107.3618055556</v>
      </c>
      <c r="G1812" s="22"/>
      <c r="H1812" s="23">
        <v>13.2</v>
      </c>
      <c r="I1812" s="23">
        <v>0.44</v>
      </c>
      <c r="J1812" s="24">
        <v>13.2</v>
      </c>
      <c r="K1812" s="21">
        <v>0</v>
      </c>
      <c r="L1812" s="21">
        <v>0</v>
      </c>
      <c r="M1812" s="21">
        <f>COUNTIF($A$2:$A$5481,A1812)</f>
        <v>1</v>
      </c>
      <c r="N1812" s="24">
        <f t="shared" si="28"/>
        <v>13.2001812</v>
      </c>
    </row>
    <row r="1813" spans="1:14">
      <c r="A1813" s="21" t="s">
        <v>2265</v>
      </c>
      <c r="B1813" s="21" t="s">
        <v>26</v>
      </c>
      <c r="C1813" s="21" t="s">
        <v>26</v>
      </c>
      <c r="D1813" s="21" t="s">
        <v>921</v>
      </c>
      <c r="E1813" s="21">
        <v>30</v>
      </c>
      <c r="F1813" s="22">
        <v>46107.3618055556</v>
      </c>
      <c r="G1813" s="22"/>
      <c r="H1813" s="23">
        <v>12.6</v>
      </c>
      <c r="I1813" s="23">
        <v>0.42</v>
      </c>
      <c r="J1813" s="24">
        <v>12.6</v>
      </c>
      <c r="K1813" s="21">
        <v>0</v>
      </c>
      <c r="L1813" s="21">
        <v>0</v>
      </c>
      <c r="M1813" s="21">
        <f>COUNTIF($A$2:$A$5481,A1813)</f>
        <v>1</v>
      </c>
      <c r="N1813" s="24">
        <f t="shared" si="28"/>
        <v>12.6001813</v>
      </c>
    </row>
    <row r="1814" spans="1:14">
      <c r="A1814" s="21" t="s">
        <v>2266</v>
      </c>
      <c r="B1814" s="21" t="s">
        <v>929</v>
      </c>
      <c r="C1814" s="21" t="s">
        <v>26</v>
      </c>
      <c r="D1814" s="21" t="s">
        <v>921</v>
      </c>
      <c r="E1814" s="21">
        <v>1</v>
      </c>
      <c r="F1814" s="22">
        <v>46227.6912152778</v>
      </c>
      <c r="G1814" s="22"/>
      <c r="H1814" s="23">
        <v>21</v>
      </c>
      <c r="I1814" s="23">
        <v>21</v>
      </c>
      <c r="J1814" s="24">
        <v>21</v>
      </c>
      <c r="K1814" s="21">
        <v>0</v>
      </c>
      <c r="L1814" s="21">
        <v>0</v>
      </c>
      <c r="M1814" s="21">
        <f>COUNTIF($A$2:$A$5481,A1814)</f>
        <v>1</v>
      </c>
      <c r="N1814" s="24">
        <f t="shared" si="28"/>
        <v>21.0001814</v>
      </c>
    </row>
    <row r="1815" spans="1:14">
      <c r="A1815" s="21" t="s">
        <v>2267</v>
      </c>
      <c r="B1815" s="21" t="s">
        <v>26</v>
      </c>
      <c r="C1815" s="21" t="s">
        <v>26</v>
      </c>
      <c r="D1815" s="21" t="s">
        <v>921</v>
      </c>
      <c r="E1815" s="21">
        <v>230</v>
      </c>
      <c r="F1815" s="22">
        <v>46136.5707060185</v>
      </c>
      <c r="G1815" s="22"/>
      <c r="H1815" s="23">
        <v>25</v>
      </c>
      <c r="I1815" s="23">
        <v>0.25</v>
      </c>
      <c r="J1815" s="24">
        <v>57.5</v>
      </c>
      <c r="K1815" s="21">
        <v>0</v>
      </c>
      <c r="L1815" s="21">
        <v>0</v>
      </c>
      <c r="M1815" s="21">
        <f>COUNTIF($A$2:$A$5481,A1815)</f>
        <v>1</v>
      </c>
      <c r="N1815" s="24">
        <f t="shared" si="28"/>
        <v>57.5001815</v>
      </c>
    </row>
    <row r="1816" spans="1:14">
      <c r="A1816" s="21" t="s">
        <v>2268</v>
      </c>
      <c r="B1816" s="21" t="s">
        <v>929</v>
      </c>
      <c r="C1816" s="21" t="s">
        <v>26</v>
      </c>
      <c r="D1816" s="21" t="s">
        <v>921</v>
      </c>
      <c r="E1816" s="21">
        <v>1</v>
      </c>
      <c r="F1816" s="22">
        <v>46227.6912152778</v>
      </c>
      <c r="G1816" s="22"/>
      <c r="H1816" s="23">
        <v>9</v>
      </c>
      <c r="I1816" s="23">
        <v>9</v>
      </c>
      <c r="J1816" s="24">
        <v>9</v>
      </c>
      <c r="K1816" s="21">
        <v>0</v>
      </c>
      <c r="L1816" s="21">
        <v>0</v>
      </c>
      <c r="M1816" s="21">
        <f>COUNTIF($A$2:$A$5481,A1816)</f>
        <v>1</v>
      </c>
      <c r="N1816" s="24">
        <f t="shared" si="28"/>
        <v>9.0001816</v>
      </c>
    </row>
    <row r="1817" spans="1:14">
      <c r="A1817" s="21" t="s">
        <v>2269</v>
      </c>
      <c r="B1817" s="21" t="s">
        <v>26</v>
      </c>
      <c r="C1817" s="21" t="s">
        <v>26</v>
      </c>
      <c r="D1817" s="21" t="s">
        <v>921</v>
      </c>
      <c r="E1817" s="21">
        <v>351</v>
      </c>
      <c r="F1817" s="22">
        <v>46239.7219791667</v>
      </c>
      <c r="G1817" s="22"/>
      <c r="H1817" s="23">
        <v>17</v>
      </c>
      <c r="I1817" s="23">
        <v>0.1806267806</v>
      </c>
      <c r="J1817" s="24">
        <v>63.18</v>
      </c>
      <c r="K1817" s="21">
        <v>0</v>
      </c>
      <c r="L1817" s="21">
        <v>0</v>
      </c>
      <c r="M1817" s="21">
        <f>COUNTIF($A$2:$A$5481,A1817)</f>
        <v>1</v>
      </c>
      <c r="N1817" s="24">
        <f t="shared" si="28"/>
        <v>63.1801817</v>
      </c>
    </row>
    <row r="1818" spans="1:14">
      <c r="A1818" s="21" t="s">
        <v>2270</v>
      </c>
      <c r="B1818" s="21" t="s">
        <v>929</v>
      </c>
      <c r="C1818" s="21" t="s">
        <v>26</v>
      </c>
      <c r="D1818" s="21" t="s">
        <v>921</v>
      </c>
      <c r="E1818" s="21">
        <v>100</v>
      </c>
      <c r="F1818" s="22">
        <v>46206.689375</v>
      </c>
      <c r="G1818" s="22"/>
      <c r="H1818" s="23">
        <v>12</v>
      </c>
      <c r="I1818" s="23">
        <v>0.12</v>
      </c>
      <c r="J1818" s="24">
        <v>12</v>
      </c>
      <c r="K1818" s="21">
        <v>0</v>
      </c>
      <c r="L1818" s="21">
        <v>0</v>
      </c>
      <c r="M1818" s="21">
        <f>COUNTIF($A$2:$A$5481,A1818)</f>
        <v>1</v>
      </c>
      <c r="N1818" s="24">
        <f t="shared" si="28"/>
        <v>12.0001818</v>
      </c>
    </row>
    <row r="1819" spans="1:14">
      <c r="A1819" s="21" t="s">
        <v>2271</v>
      </c>
      <c r="B1819" s="21" t="s">
        <v>26</v>
      </c>
      <c r="C1819" s="21" t="s">
        <v>26</v>
      </c>
      <c r="D1819" s="21" t="s">
        <v>921</v>
      </c>
      <c r="E1819" s="21">
        <v>10</v>
      </c>
      <c r="F1819" s="22">
        <v>45996.3817708333</v>
      </c>
      <c r="G1819" s="22"/>
      <c r="H1819" s="23">
        <v>24.5</v>
      </c>
      <c r="I1819" s="23">
        <v>2.45</v>
      </c>
      <c r="J1819" s="24">
        <v>24.5</v>
      </c>
      <c r="K1819" s="21">
        <v>0</v>
      </c>
      <c r="L1819" s="21">
        <v>0</v>
      </c>
      <c r="M1819" s="21">
        <f>COUNTIF($A$2:$A$5481,A1819)</f>
        <v>1</v>
      </c>
      <c r="N1819" s="24">
        <f t="shared" si="28"/>
        <v>24.5001819</v>
      </c>
    </row>
    <row r="1820" spans="1:14">
      <c r="A1820" s="21" t="s">
        <v>2272</v>
      </c>
      <c r="B1820" s="21" t="s">
        <v>920</v>
      </c>
      <c r="C1820" s="21" t="s">
        <v>26</v>
      </c>
      <c r="D1820" s="21" t="s">
        <v>921</v>
      </c>
      <c r="E1820" s="21">
        <v>7</v>
      </c>
      <c r="F1820" s="22">
        <v>45940.5615856482</v>
      </c>
      <c r="G1820" s="22"/>
      <c r="H1820" s="23">
        <v>94.22</v>
      </c>
      <c r="I1820" s="23">
        <v>13.46</v>
      </c>
      <c r="J1820" s="24">
        <v>94.22</v>
      </c>
      <c r="K1820" s="21">
        <v>0</v>
      </c>
      <c r="L1820" s="21">
        <v>0</v>
      </c>
      <c r="M1820" s="21">
        <f>COUNTIF($A$2:$A$5481,A1820)</f>
        <v>1</v>
      </c>
      <c r="N1820" s="24">
        <f t="shared" si="28"/>
        <v>94.220182</v>
      </c>
    </row>
    <row r="1821" spans="1:14">
      <c r="A1821" s="21" t="s">
        <v>2273</v>
      </c>
      <c r="B1821" s="21" t="s">
        <v>920</v>
      </c>
      <c r="C1821" s="21" t="s">
        <v>26</v>
      </c>
      <c r="D1821" s="21" t="s">
        <v>921</v>
      </c>
      <c r="E1821" s="21">
        <v>10</v>
      </c>
      <c r="F1821" s="22">
        <v>45940.5615856482</v>
      </c>
      <c r="G1821" s="22"/>
      <c r="H1821" s="23">
        <v>151.1</v>
      </c>
      <c r="I1821" s="23">
        <v>15.11</v>
      </c>
      <c r="J1821" s="24">
        <v>151.1</v>
      </c>
      <c r="K1821" s="21">
        <v>0</v>
      </c>
      <c r="L1821" s="21">
        <v>0</v>
      </c>
      <c r="M1821" s="21">
        <f>COUNTIF($A$2:$A$5481,A1821)</f>
        <v>1</v>
      </c>
      <c r="N1821" s="24">
        <f t="shared" si="28"/>
        <v>151.1001821</v>
      </c>
    </row>
    <row r="1822" spans="1:14">
      <c r="A1822" s="21" t="s">
        <v>2274</v>
      </c>
      <c r="B1822" s="21" t="s">
        <v>920</v>
      </c>
      <c r="C1822" s="21" t="s">
        <v>26</v>
      </c>
      <c r="D1822" s="21" t="s">
        <v>921</v>
      </c>
      <c r="E1822" s="21">
        <v>2</v>
      </c>
      <c r="F1822" s="22">
        <v>45947.3672916667</v>
      </c>
      <c r="G1822" s="22"/>
      <c r="H1822" s="23">
        <v>5.42</v>
      </c>
      <c r="I1822" s="23">
        <v>2.71</v>
      </c>
      <c r="J1822" s="24">
        <v>5.42</v>
      </c>
      <c r="K1822" s="21">
        <v>0</v>
      </c>
      <c r="L1822" s="21">
        <v>0</v>
      </c>
      <c r="M1822" s="21">
        <f>COUNTIF($A$2:$A$5481,A1822)</f>
        <v>1</v>
      </c>
      <c r="N1822" s="24">
        <f t="shared" si="28"/>
        <v>5.4201822</v>
      </c>
    </row>
    <row r="1823" spans="1:14">
      <c r="A1823" s="21" t="s">
        <v>2275</v>
      </c>
      <c r="B1823" s="21" t="s">
        <v>920</v>
      </c>
      <c r="C1823" s="21" t="s">
        <v>26</v>
      </c>
      <c r="D1823" s="21" t="s">
        <v>921</v>
      </c>
      <c r="E1823" s="21">
        <v>2</v>
      </c>
      <c r="F1823" s="22">
        <v>45947.3672916667</v>
      </c>
      <c r="G1823" s="22"/>
      <c r="H1823" s="23">
        <v>9.5</v>
      </c>
      <c r="I1823" s="23">
        <v>4.75</v>
      </c>
      <c r="J1823" s="24">
        <v>9.5</v>
      </c>
      <c r="K1823" s="21">
        <v>0</v>
      </c>
      <c r="L1823" s="21">
        <v>0</v>
      </c>
      <c r="M1823" s="21">
        <f>COUNTIF($A$2:$A$5481,A1823)</f>
        <v>1</v>
      </c>
      <c r="N1823" s="24">
        <f t="shared" si="28"/>
        <v>9.5001823</v>
      </c>
    </row>
    <row r="1824" spans="1:14">
      <c r="A1824" s="21" t="s">
        <v>2276</v>
      </c>
      <c r="B1824" s="21" t="s">
        <v>920</v>
      </c>
      <c r="C1824" s="21" t="s">
        <v>26</v>
      </c>
      <c r="D1824" s="21" t="s">
        <v>921</v>
      </c>
      <c r="E1824" s="21">
        <v>2</v>
      </c>
      <c r="F1824" s="22">
        <v>45947.3672916667</v>
      </c>
      <c r="G1824" s="22"/>
      <c r="H1824" s="23">
        <v>4.04</v>
      </c>
      <c r="I1824" s="23">
        <v>2.02</v>
      </c>
      <c r="J1824" s="24">
        <v>4.04</v>
      </c>
      <c r="K1824" s="21">
        <v>0</v>
      </c>
      <c r="L1824" s="21">
        <v>0</v>
      </c>
      <c r="M1824" s="21">
        <f>COUNTIF($A$2:$A$5481,A1824)</f>
        <v>1</v>
      </c>
      <c r="N1824" s="24">
        <f t="shared" si="28"/>
        <v>4.0401824</v>
      </c>
    </row>
    <row r="1825" spans="1:14">
      <c r="A1825" s="21" t="s">
        <v>2277</v>
      </c>
      <c r="B1825" s="21" t="s">
        <v>920</v>
      </c>
      <c r="C1825" s="21" t="s">
        <v>26</v>
      </c>
      <c r="D1825" s="21" t="s">
        <v>921</v>
      </c>
      <c r="E1825" s="21">
        <v>13</v>
      </c>
      <c r="F1825" s="22">
        <v>45918.3593402778</v>
      </c>
      <c r="G1825" s="22"/>
      <c r="H1825" s="23">
        <v>96.1</v>
      </c>
      <c r="I1825" s="23">
        <v>8.65</v>
      </c>
      <c r="J1825" s="24">
        <v>112.45</v>
      </c>
      <c r="K1825" s="21">
        <v>0</v>
      </c>
      <c r="L1825" s="21">
        <v>0</v>
      </c>
      <c r="M1825" s="21">
        <f>COUNTIF($A$2:$A$5481,A1825)</f>
        <v>1</v>
      </c>
      <c r="N1825" s="24">
        <f t="shared" si="28"/>
        <v>112.4501825</v>
      </c>
    </row>
    <row r="1826" spans="1:14">
      <c r="A1826" s="21" t="s">
        <v>2278</v>
      </c>
      <c r="B1826" s="21" t="s">
        <v>26</v>
      </c>
      <c r="C1826" s="21" t="s">
        <v>26</v>
      </c>
      <c r="D1826" s="21" t="s">
        <v>921</v>
      </c>
      <c r="E1826" s="21">
        <v>15</v>
      </c>
      <c r="F1826" s="22">
        <v>45919.4027777778</v>
      </c>
      <c r="G1826" s="22"/>
      <c r="H1826" s="23">
        <v>40.05</v>
      </c>
      <c r="I1826" s="23">
        <v>2.67</v>
      </c>
      <c r="J1826" s="24">
        <v>40.05</v>
      </c>
      <c r="K1826" s="21">
        <v>0</v>
      </c>
      <c r="L1826" s="21">
        <v>0</v>
      </c>
      <c r="M1826" s="21">
        <f>COUNTIF($A$2:$A$5481,A1826)</f>
        <v>1</v>
      </c>
      <c r="N1826" s="24">
        <f t="shared" si="28"/>
        <v>40.0501826</v>
      </c>
    </row>
    <row r="1827" spans="1:14">
      <c r="A1827" s="21" t="s">
        <v>2279</v>
      </c>
      <c r="B1827" s="21" t="s">
        <v>26</v>
      </c>
      <c r="C1827" s="21" t="s">
        <v>26</v>
      </c>
      <c r="D1827" s="21" t="s">
        <v>921</v>
      </c>
      <c r="E1827" s="21">
        <v>50</v>
      </c>
      <c r="F1827" s="22">
        <v>45904.5535763889</v>
      </c>
      <c r="G1827" s="22"/>
      <c r="H1827" s="23">
        <v>27.5</v>
      </c>
      <c r="I1827" s="23">
        <v>0.55</v>
      </c>
      <c r="J1827" s="24">
        <v>27.5</v>
      </c>
      <c r="K1827" s="21">
        <v>0</v>
      </c>
      <c r="L1827" s="21">
        <v>0</v>
      </c>
      <c r="M1827" s="21">
        <f>COUNTIF($A$2:$A$5481,A1827)</f>
        <v>1</v>
      </c>
      <c r="N1827" s="24">
        <f t="shared" si="28"/>
        <v>27.5001827</v>
      </c>
    </row>
    <row r="1828" spans="1:14">
      <c r="A1828" s="21" t="s">
        <v>2280</v>
      </c>
      <c r="B1828" s="21" t="s">
        <v>26</v>
      </c>
      <c r="C1828" s="21" t="s">
        <v>26</v>
      </c>
      <c r="D1828" s="21" t="s">
        <v>921</v>
      </c>
      <c r="E1828" s="21">
        <v>80</v>
      </c>
      <c r="F1828" s="22">
        <v>46164.5444212963</v>
      </c>
      <c r="G1828" s="22"/>
      <c r="H1828" s="23">
        <v>11</v>
      </c>
      <c r="I1828" s="23">
        <v>0.445</v>
      </c>
      <c r="J1828" s="24">
        <v>36</v>
      </c>
      <c r="K1828" s="21">
        <v>0</v>
      </c>
      <c r="L1828" s="21">
        <v>0</v>
      </c>
      <c r="M1828" s="21">
        <f>COUNTIF($A$2:$A$5481,A1828)</f>
        <v>1</v>
      </c>
      <c r="N1828" s="24">
        <f t="shared" si="28"/>
        <v>36.0001828</v>
      </c>
    </row>
    <row r="1829" spans="1:14">
      <c r="A1829" s="21" t="s">
        <v>2281</v>
      </c>
      <c r="B1829" s="21" t="s">
        <v>26</v>
      </c>
      <c r="C1829" s="21" t="s">
        <v>26</v>
      </c>
      <c r="D1829" s="21" t="s">
        <v>921</v>
      </c>
      <c r="E1829" s="21">
        <v>30</v>
      </c>
      <c r="F1829" s="22">
        <v>46107.3618055556</v>
      </c>
      <c r="G1829" s="22"/>
      <c r="H1829" s="23">
        <v>28.8</v>
      </c>
      <c r="I1829" s="23">
        <v>0.96</v>
      </c>
      <c r="J1829" s="24">
        <v>28.8</v>
      </c>
      <c r="K1829" s="21">
        <v>0</v>
      </c>
      <c r="L1829" s="21">
        <v>0</v>
      </c>
      <c r="M1829" s="21">
        <f>COUNTIF($A$2:$A$5481,A1829)</f>
        <v>1</v>
      </c>
      <c r="N1829" s="24">
        <f t="shared" si="28"/>
        <v>28.8001829</v>
      </c>
    </row>
    <row r="1830" spans="1:14">
      <c r="A1830" s="21" t="s">
        <v>2282</v>
      </c>
      <c r="B1830" s="21" t="s">
        <v>26</v>
      </c>
      <c r="C1830" s="21" t="s">
        <v>26</v>
      </c>
      <c r="D1830" s="21" t="s">
        <v>921</v>
      </c>
      <c r="E1830" s="21">
        <v>30</v>
      </c>
      <c r="F1830" s="22">
        <v>46107.3618055556</v>
      </c>
      <c r="G1830" s="22"/>
      <c r="H1830" s="23">
        <v>24.3</v>
      </c>
      <c r="I1830" s="23">
        <v>0.81</v>
      </c>
      <c r="J1830" s="24">
        <v>24.3</v>
      </c>
      <c r="K1830" s="21">
        <v>0</v>
      </c>
      <c r="L1830" s="21">
        <v>0</v>
      </c>
      <c r="M1830" s="21">
        <f>COUNTIF($A$2:$A$5481,A1830)</f>
        <v>1</v>
      </c>
      <c r="N1830" s="24">
        <f t="shared" si="28"/>
        <v>24.300183</v>
      </c>
    </row>
    <row r="1831" spans="1:14">
      <c r="A1831" s="21" t="s">
        <v>2283</v>
      </c>
      <c r="B1831" s="21" t="s">
        <v>26</v>
      </c>
      <c r="C1831" s="21" t="s">
        <v>26</v>
      </c>
      <c r="D1831" s="21" t="s">
        <v>921</v>
      </c>
      <c r="E1831" s="21">
        <v>50</v>
      </c>
      <c r="F1831" s="22">
        <v>45904.5535763889</v>
      </c>
      <c r="G1831" s="22"/>
      <c r="H1831" s="23">
        <v>18.5</v>
      </c>
      <c r="I1831" s="23">
        <v>0.37</v>
      </c>
      <c r="J1831" s="24">
        <v>18.5</v>
      </c>
      <c r="K1831" s="21">
        <v>0</v>
      </c>
      <c r="L1831" s="21">
        <v>0</v>
      </c>
      <c r="M1831" s="21">
        <f>COUNTIF($A$2:$A$5481,A1831)</f>
        <v>1</v>
      </c>
      <c r="N1831" s="24">
        <f t="shared" si="28"/>
        <v>18.5001831</v>
      </c>
    </row>
    <row r="1832" spans="1:14">
      <c r="A1832" s="21" t="s">
        <v>2284</v>
      </c>
      <c r="B1832" s="21" t="s">
        <v>26</v>
      </c>
      <c r="C1832" s="21" t="s">
        <v>26</v>
      </c>
      <c r="D1832" s="21" t="s">
        <v>921</v>
      </c>
      <c r="E1832" s="21">
        <v>30</v>
      </c>
      <c r="F1832" s="22">
        <v>46107.3618055556</v>
      </c>
      <c r="G1832" s="22"/>
      <c r="H1832" s="23">
        <v>30.9</v>
      </c>
      <c r="I1832" s="23">
        <v>1.03</v>
      </c>
      <c r="J1832" s="24">
        <v>30.9</v>
      </c>
      <c r="K1832" s="21">
        <v>0</v>
      </c>
      <c r="L1832" s="21">
        <v>0</v>
      </c>
      <c r="M1832" s="21">
        <f>COUNTIF($A$2:$A$5481,A1832)</f>
        <v>1</v>
      </c>
      <c r="N1832" s="24">
        <f t="shared" si="28"/>
        <v>30.9001832</v>
      </c>
    </row>
    <row r="1833" spans="1:14">
      <c r="A1833" s="21" t="s">
        <v>2285</v>
      </c>
      <c r="B1833" s="21" t="s">
        <v>26</v>
      </c>
      <c r="C1833" s="21" t="s">
        <v>26</v>
      </c>
      <c r="D1833" s="21" t="s">
        <v>921</v>
      </c>
      <c r="E1833" s="21">
        <v>100</v>
      </c>
      <c r="F1833" s="22">
        <v>45936.3654513889</v>
      </c>
      <c r="G1833" s="22"/>
      <c r="H1833" s="23">
        <v>77</v>
      </c>
      <c r="I1833" s="23">
        <v>0.77</v>
      </c>
      <c r="J1833" s="24">
        <v>77</v>
      </c>
      <c r="K1833" s="21">
        <v>0</v>
      </c>
      <c r="L1833" s="21">
        <v>0</v>
      </c>
      <c r="M1833" s="21">
        <f>COUNTIF($A$2:$A$5481,A1833)</f>
        <v>1</v>
      </c>
      <c r="N1833" s="24">
        <f t="shared" si="28"/>
        <v>77.0001833</v>
      </c>
    </row>
    <row r="1834" spans="1:14">
      <c r="A1834" s="21" t="s">
        <v>2286</v>
      </c>
      <c r="B1834" s="21" t="s">
        <v>929</v>
      </c>
      <c r="C1834" s="21" t="s">
        <v>26</v>
      </c>
      <c r="D1834" s="21" t="s">
        <v>921</v>
      </c>
      <c r="E1834" s="21">
        <v>80</v>
      </c>
      <c r="F1834" s="22">
        <v>46107.3618055556</v>
      </c>
      <c r="G1834" s="22"/>
      <c r="H1834" s="23">
        <v>10.2</v>
      </c>
      <c r="I1834" s="23">
        <v>0.3025</v>
      </c>
      <c r="J1834" s="24">
        <v>24</v>
      </c>
      <c r="K1834" s="21">
        <v>0</v>
      </c>
      <c r="L1834" s="21">
        <v>0</v>
      </c>
      <c r="M1834" s="21">
        <f>COUNTIF($A$2:$A$5481,A1834)</f>
        <v>1</v>
      </c>
      <c r="N1834" s="24">
        <f t="shared" si="28"/>
        <v>24.0001834</v>
      </c>
    </row>
    <row r="1835" spans="1:14">
      <c r="A1835" s="21" t="s">
        <v>2287</v>
      </c>
      <c r="B1835" s="21" t="s">
        <v>920</v>
      </c>
      <c r="C1835" s="21" t="s">
        <v>26</v>
      </c>
      <c r="D1835" s="21" t="s">
        <v>921</v>
      </c>
      <c r="E1835" s="21">
        <v>130</v>
      </c>
      <c r="F1835" s="22">
        <v>46107.3618055556</v>
      </c>
      <c r="G1835" s="22"/>
      <c r="H1835" s="23">
        <v>7.2</v>
      </c>
      <c r="I1835" s="23">
        <v>0.24</v>
      </c>
      <c r="J1835" s="24">
        <v>31.2</v>
      </c>
      <c r="K1835" s="21">
        <v>0</v>
      </c>
      <c r="L1835" s="21">
        <v>0</v>
      </c>
      <c r="M1835" s="21">
        <f>COUNTIF($A$2:$A$5481,A1835)</f>
        <v>1</v>
      </c>
      <c r="N1835" s="24">
        <f t="shared" si="28"/>
        <v>31.2001835</v>
      </c>
    </row>
    <row r="1836" spans="1:14">
      <c r="A1836" s="21" t="s">
        <v>2288</v>
      </c>
      <c r="B1836" s="21" t="s">
        <v>929</v>
      </c>
      <c r="C1836" s="21" t="s">
        <v>26</v>
      </c>
      <c r="D1836" s="21" t="s">
        <v>921</v>
      </c>
      <c r="E1836" s="21">
        <v>1</v>
      </c>
      <c r="F1836" s="22">
        <v>46227.6912152778</v>
      </c>
      <c r="G1836" s="22"/>
      <c r="H1836" s="23">
        <v>15</v>
      </c>
      <c r="I1836" s="23">
        <v>15</v>
      </c>
      <c r="J1836" s="24">
        <v>15</v>
      </c>
      <c r="K1836" s="21">
        <v>0</v>
      </c>
      <c r="L1836" s="21">
        <v>0</v>
      </c>
      <c r="M1836" s="21">
        <f>COUNTIF($A$2:$A$5481,A1836)</f>
        <v>1</v>
      </c>
      <c r="N1836" s="24">
        <f t="shared" si="28"/>
        <v>15.0001836</v>
      </c>
    </row>
    <row r="1837" spans="1:14">
      <c r="A1837" s="21" t="s">
        <v>2289</v>
      </c>
      <c r="B1837" s="21" t="s">
        <v>929</v>
      </c>
      <c r="C1837" s="21" t="s">
        <v>26</v>
      </c>
      <c r="D1837" s="21" t="s">
        <v>921</v>
      </c>
      <c r="E1837" s="21">
        <v>1</v>
      </c>
      <c r="F1837" s="22">
        <v>46227.6912152778</v>
      </c>
      <c r="G1837" s="22"/>
      <c r="H1837" s="23">
        <v>9</v>
      </c>
      <c r="I1837" s="23">
        <v>9</v>
      </c>
      <c r="J1837" s="24">
        <v>9</v>
      </c>
      <c r="K1837" s="21">
        <v>0</v>
      </c>
      <c r="L1837" s="21">
        <v>0</v>
      </c>
      <c r="M1837" s="21">
        <f>COUNTIF($A$2:$A$5481,A1837)</f>
        <v>1</v>
      </c>
      <c r="N1837" s="24">
        <f t="shared" si="28"/>
        <v>9.0001837</v>
      </c>
    </row>
    <row r="1838" spans="1:14">
      <c r="A1838" s="21" t="s">
        <v>2290</v>
      </c>
      <c r="B1838" s="21" t="s">
        <v>929</v>
      </c>
      <c r="C1838" s="21" t="s">
        <v>26</v>
      </c>
      <c r="D1838" s="21" t="s">
        <v>921</v>
      </c>
      <c r="E1838" s="21">
        <v>10</v>
      </c>
      <c r="F1838" s="22">
        <v>46189.5742476852</v>
      </c>
      <c r="G1838" s="22"/>
      <c r="H1838" s="23">
        <v>20.6</v>
      </c>
      <c r="I1838" s="23">
        <v>2.06</v>
      </c>
      <c r="J1838" s="24">
        <v>20.6</v>
      </c>
      <c r="K1838" s="21">
        <v>0</v>
      </c>
      <c r="L1838" s="21">
        <v>0</v>
      </c>
      <c r="M1838" s="21">
        <f>COUNTIF($A$2:$A$5481,A1838)</f>
        <v>1</v>
      </c>
      <c r="N1838" s="24">
        <f t="shared" si="28"/>
        <v>20.6001838</v>
      </c>
    </row>
    <row r="1839" spans="1:14">
      <c r="A1839" s="21" t="s">
        <v>882</v>
      </c>
      <c r="B1839" s="21" t="s">
        <v>929</v>
      </c>
      <c r="C1839" s="21" t="s">
        <v>26</v>
      </c>
      <c r="D1839" s="21" t="s">
        <v>921</v>
      </c>
      <c r="E1839" s="21">
        <v>0</v>
      </c>
      <c r="F1839" s="22">
        <v>46268.6430555556</v>
      </c>
      <c r="G1839" s="22">
        <v>46273.6909837963</v>
      </c>
      <c r="H1839" s="23">
        <v>0.8</v>
      </c>
      <c r="I1839" s="23">
        <v>0.2</v>
      </c>
      <c r="J1839" s="24">
        <v>0</v>
      </c>
      <c r="K1839" s="21">
        <v>0</v>
      </c>
      <c r="L1839" s="21">
        <v>0</v>
      </c>
      <c r="M1839" s="21">
        <f>COUNTIF($A$2:$A$5481,A1839)</f>
        <v>1</v>
      </c>
      <c r="N1839" s="24">
        <f t="shared" si="28"/>
        <v>0.0001839</v>
      </c>
    </row>
    <row r="1840" spans="1:14">
      <c r="A1840" s="21" t="s">
        <v>2291</v>
      </c>
      <c r="B1840" s="21" t="s">
        <v>929</v>
      </c>
      <c r="C1840" s="21" t="s">
        <v>26</v>
      </c>
      <c r="D1840" s="21" t="s">
        <v>921</v>
      </c>
      <c r="E1840" s="21">
        <v>1</v>
      </c>
      <c r="F1840" s="22">
        <v>46227.6912152778</v>
      </c>
      <c r="G1840" s="22"/>
      <c r="H1840" s="23">
        <v>11.06</v>
      </c>
      <c r="I1840" s="23">
        <v>11.06</v>
      </c>
      <c r="J1840" s="24">
        <v>11.06</v>
      </c>
      <c r="K1840" s="21">
        <v>0</v>
      </c>
      <c r="L1840" s="21">
        <v>0</v>
      </c>
      <c r="M1840" s="21">
        <f>COUNTIF($A$2:$A$5481,A1840)</f>
        <v>1</v>
      </c>
      <c r="N1840" s="24">
        <f t="shared" si="28"/>
        <v>11.060184</v>
      </c>
    </row>
    <row r="1841" spans="1:14">
      <c r="A1841" s="21" t="s">
        <v>2292</v>
      </c>
      <c r="B1841" s="21" t="s">
        <v>929</v>
      </c>
      <c r="C1841" s="21" t="s">
        <v>26</v>
      </c>
      <c r="D1841" s="21" t="s">
        <v>921</v>
      </c>
      <c r="E1841" s="21">
        <v>2</v>
      </c>
      <c r="F1841" s="22">
        <v>46227.6912152778</v>
      </c>
      <c r="G1841" s="22"/>
      <c r="H1841" s="23">
        <v>10.95</v>
      </c>
      <c r="I1841" s="23">
        <v>10.95</v>
      </c>
      <c r="J1841" s="24">
        <v>21.9</v>
      </c>
      <c r="K1841" s="21">
        <v>0</v>
      </c>
      <c r="L1841" s="21">
        <v>0</v>
      </c>
      <c r="M1841" s="21">
        <f>COUNTIF($A$2:$A$5481,A1841)</f>
        <v>1</v>
      </c>
      <c r="N1841" s="24">
        <f t="shared" si="28"/>
        <v>21.9001841</v>
      </c>
    </row>
    <row r="1842" spans="1:14">
      <c r="A1842" s="21" t="s">
        <v>2293</v>
      </c>
      <c r="B1842" s="21" t="s">
        <v>26</v>
      </c>
      <c r="C1842" s="21" t="s">
        <v>26</v>
      </c>
      <c r="D1842" s="21" t="s">
        <v>921</v>
      </c>
      <c r="E1842" s="21">
        <v>10</v>
      </c>
      <c r="F1842" s="22">
        <v>45648.354525463</v>
      </c>
      <c r="G1842" s="22"/>
      <c r="H1842" s="23">
        <v>16.6</v>
      </c>
      <c r="I1842" s="23">
        <v>1.66</v>
      </c>
      <c r="J1842" s="24">
        <v>16.6</v>
      </c>
      <c r="K1842" s="21">
        <v>0</v>
      </c>
      <c r="L1842" s="21">
        <v>0</v>
      </c>
      <c r="M1842" s="21">
        <f>COUNTIF($A$2:$A$5481,A1842)</f>
        <v>1</v>
      </c>
      <c r="N1842" s="24">
        <f t="shared" si="28"/>
        <v>16.6001842</v>
      </c>
    </row>
    <row r="1843" spans="1:14">
      <c r="A1843" s="21" t="s">
        <v>2294</v>
      </c>
      <c r="B1843" s="21" t="s">
        <v>926</v>
      </c>
      <c r="C1843" s="21" t="s">
        <v>26</v>
      </c>
      <c r="D1843" s="21" t="s">
        <v>921</v>
      </c>
      <c r="E1843" s="21">
        <v>4</v>
      </c>
      <c r="F1843" s="22">
        <v>45607.4740740741</v>
      </c>
      <c r="G1843" s="22"/>
      <c r="H1843" s="23">
        <v>880</v>
      </c>
      <c r="I1843" s="23">
        <v>220</v>
      </c>
      <c r="J1843" s="24">
        <v>880</v>
      </c>
      <c r="K1843" s="21">
        <v>0</v>
      </c>
      <c r="L1843" s="21">
        <v>0</v>
      </c>
      <c r="M1843" s="21">
        <f>COUNTIF($A$2:$A$5481,A1843)</f>
        <v>2</v>
      </c>
      <c r="N1843" s="24">
        <f t="shared" si="28"/>
        <v>880.0001843</v>
      </c>
    </row>
    <row r="1844" spans="1:14">
      <c r="A1844" s="21" t="s">
        <v>2294</v>
      </c>
      <c r="B1844" s="21" t="s">
        <v>926</v>
      </c>
      <c r="C1844" s="21" t="s">
        <v>38</v>
      </c>
      <c r="D1844" s="21" t="s">
        <v>921</v>
      </c>
      <c r="E1844" s="21">
        <v>47</v>
      </c>
      <c r="F1844" s="22">
        <v>45795.588275463</v>
      </c>
      <c r="G1844" s="22">
        <v>45317.470162037</v>
      </c>
      <c r="H1844" s="23">
        <v>1824.15624</v>
      </c>
      <c r="I1844" s="23">
        <v>228.01953</v>
      </c>
      <c r="J1844" s="24">
        <v>10716.94</v>
      </c>
      <c r="K1844" s="21">
        <v>0</v>
      </c>
      <c r="L1844" s="21">
        <v>0</v>
      </c>
      <c r="M1844" s="21">
        <f>COUNTIF($A$2:$A$5481,A1844)</f>
        <v>2</v>
      </c>
      <c r="N1844" s="24">
        <f t="shared" si="28"/>
        <v>10716.9401844</v>
      </c>
    </row>
    <row r="1845" spans="1:14">
      <c r="A1845" s="21" t="s">
        <v>2295</v>
      </c>
      <c r="B1845" s="21" t="s">
        <v>949</v>
      </c>
      <c r="C1845" s="21" t="s">
        <v>182</v>
      </c>
      <c r="D1845" s="21" t="s">
        <v>921</v>
      </c>
      <c r="E1845" s="21">
        <v>0</v>
      </c>
      <c r="F1845" s="22">
        <v>45307.3745601852</v>
      </c>
      <c r="G1845" s="22">
        <v>45310.4238657407</v>
      </c>
      <c r="H1845" s="23">
        <v>110.94</v>
      </c>
      <c r="I1845" s="23">
        <v>18.49</v>
      </c>
      <c r="J1845" s="24">
        <v>0</v>
      </c>
      <c r="K1845" s="21">
        <v>0</v>
      </c>
      <c r="L1845" s="21">
        <v>0</v>
      </c>
      <c r="M1845" s="21">
        <f>COUNTIF($A$2:$A$5481,A1845)</f>
        <v>2</v>
      </c>
      <c r="N1845" s="24">
        <f t="shared" si="28"/>
        <v>0.0001845</v>
      </c>
    </row>
    <row r="1846" spans="1:14">
      <c r="A1846" s="21" t="s">
        <v>2295</v>
      </c>
      <c r="B1846" s="21" t="s">
        <v>949</v>
      </c>
      <c r="C1846" s="21" t="s">
        <v>26</v>
      </c>
      <c r="D1846" s="21" t="s">
        <v>921</v>
      </c>
      <c r="E1846" s="21">
        <v>4</v>
      </c>
      <c r="F1846" s="22">
        <v>45338.3729166667</v>
      </c>
      <c r="G1846" s="22">
        <v>45324.4904282407</v>
      </c>
      <c r="H1846" s="23">
        <v>87.6</v>
      </c>
      <c r="I1846" s="23">
        <v>21.9</v>
      </c>
      <c r="J1846" s="24">
        <v>87.6</v>
      </c>
      <c r="K1846" s="21">
        <v>0</v>
      </c>
      <c r="L1846" s="21">
        <v>0</v>
      </c>
      <c r="M1846" s="21">
        <f>COUNTIF($A$2:$A$5481,A1846)</f>
        <v>2</v>
      </c>
      <c r="N1846" s="24">
        <f t="shared" si="28"/>
        <v>87.6001846</v>
      </c>
    </row>
    <row r="1847" spans="1:14">
      <c r="A1847" s="21" t="s">
        <v>2296</v>
      </c>
      <c r="B1847" s="21" t="s">
        <v>26</v>
      </c>
      <c r="C1847" s="21" t="s">
        <v>182</v>
      </c>
      <c r="D1847" s="21" t="s">
        <v>921</v>
      </c>
      <c r="E1847" s="21">
        <v>2</v>
      </c>
      <c r="F1847" s="22">
        <v>45646.4846296296</v>
      </c>
      <c r="G1847" s="22"/>
      <c r="H1847" s="23">
        <v>637.9</v>
      </c>
      <c r="I1847" s="23">
        <v>318.95</v>
      </c>
      <c r="J1847" s="24">
        <v>637.9</v>
      </c>
      <c r="K1847" s="21">
        <v>0</v>
      </c>
      <c r="L1847" s="21">
        <v>0</v>
      </c>
      <c r="M1847" s="21">
        <f>COUNTIF($A$2:$A$5481,A1847)</f>
        <v>1</v>
      </c>
      <c r="N1847" s="24">
        <f t="shared" si="28"/>
        <v>637.9001847</v>
      </c>
    </row>
    <row r="1848" spans="1:14">
      <c r="A1848" s="21" t="s">
        <v>2297</v>
      </c>
      <c r="B1848" s="21" t="s">
        <v>920</v>
      </c>
      <c r="C1848" s="21" t="s">
        <v>35</v>
      </c>
      <c r="D1848" s="21" t="s">
        <v>921</v>
      </c>
      <c r="E1848" s="21">
        <v>6</v>
      </c>
      <c r="F1848" s="22">
        <v>45280.8389236111</v>
      </c>
      <c r="G1848" s="22"/>
      <c r="H1848" s="23">
        <v>24.48</v>
      </c>
      <c r="I1848" s="23">
        <v>4.08</v>
      </c>
      <c r="J1848" s="24">
        <v>24.48</v>
      </c>
      <c r="K1848" s="21">
        <v>2</v>
      </c>
      <c r="L1848" s="21">
        <v>10</v>
      </c>
      <c r="M1848" s="21">
        <f>COUNTIF($A$2:$A$5481,A1848)</f>
        <v>1</v>
      </c>
      <c r="N1848" s="24">
        <f t="shared" si="28"/>
        <v>24.4801848</v>
      </c>
    </row>
    <row r="1849" spans="1:14">
      <c r="A1849" s="21" t="s">
        <v>2298</v>
      </c>
      <c r="B1849" s="21" t="s">
        <v>920</v>
      </c>
      <c r="C1849" s="21" t="s">
        <v>35</v>
      </c>
      <c r="D1849" s="21" t="s">
        <v>921</v>
      </c>
      <c r="E1849" s="21">
        <v>6</v>
      </c>
      <c r="F1849" s="22">
        <v>45280.8359837963</v>
      </c>
      <c r="G1849" s="22"/>
      <c r="H1849" s="23">
        <v>24</v>
      </c>
      <c r="I1849" s="23">
        <v>4</v>
      </c>
      <c r="J1849" s="24">
        <v>24</v>
      </c>
      <c r="K1849" s="21">
        <v>2</v>
      </c>
      <c r="L1849" s="21">
        <v>10</v>
      </c>
      <c r="M1849" s="21">
        <f>COUNTIF($A$2:$A$5481,A1849)</f>
        <v>1</v>
      </c>
      <c r="N1849" s="24">
        <f t="shared" si="28"/>
        <v>24.0001849</v>
      </c>
    </row>
    <row r="1850" spans="1:14">
      <c r="A1850" s="21" t="s">
        <v>2299</v>
      </c>
      <c r="B1850" s="21" t="s">
        <v>920</v>
      </c>
      <c r="C1850" s="21" t="s">
        <v>35</v>
      </c>
      <c r="D1850" s="21" t="s">
        <v>921</v>
      </c>
      <c r="E1850" s="21">
        <v>10</v>
      </c>
      <c r="F1850" s="22">
        <v>45302.4691435185</v>
      </c>
      <c r="G1850" s="22"/>
      <c r="H1850" s="23">
        <v>4.5</v>
      </c>
      <c r="I1850" s="23">
        <v>0.45</v>
      </c>
      <c r="J1850" s="24">
        <v>4.5</v>
      </c>
      <c r="K1850" s="21">
        <v>0</v>
      </c>
      <c r="L1850" s="21">
        <v>0</v>
      </c>
      <c r="M1850" s="21">
        <f>COUNTIF($A$2:$A$5481,A1850)</f>
        <v>1</v>
      </c>
      <c r="N1850" s="24">
        <f t="shared" si="28"/>
        <v>4.500185</v>
      </c>
    </row>
    <row r="1851" spans="1:14">
      <c r="A1851" s="21" t="s">
        <v>2300</v>
      </c>
      <c r="B1851" s="21" t="s">
        <v>929</v>
      </c>
      <c r="C1851" s="21" t="s">
        <v>35</v>
      </c>
      <c r="D1851" s="21" t="s">
        <v>921</v>
      </c>
      <c r="E1851" s="21">
        <v>10</v>
      </c>
      <c r="F1851" s="22">
        <v>45328.4166666667</v>
      </c>
      <c r="G1851" s="22"/>
      <c r="H1851" s="23">
        <v>5</v>
      </c>
      <c r="I1851" s="23">
        <v>0.5</v>
      </c>
      <c r="J1851" s="24">
        <v>5</v>
      </c>
      <c r="K1851" s="21">
        <v>0</v>
      </c>
      <c r="L1851" s="21">
        <v>0</v>
      </c>
      <c r="M1851" s="21">
        <f>COUNTIF($A$2:$A$5481,A1851)</f>
        <v>1</v>
      </c>
      <c r="N1851" s="24">
        <f t="shared" si="28"/>
        <v>5.0001851</v>
      </c>
    </row>
    <row r="1852" spans="1:14">
      <c r="A1852" s="21" t="s">
        <v>2301</v>
      </c>
      <c r="B1852" s="21" t="s">
        <v>920</v>
      </c>
      <c r="C1852" s="21" t="s">
        <v>35</v>
      </c>
      <c r="D1852" s="21" t="s">
        <v>921</v>
      </c>
      <c r="E1852" s="21">
        <v>50</v>
      </c>
      <c r="F1852" s="22">
        <v>45313.7501157407</v>
      </c>
      <c r="G1852" s="22"/>
      <c r="H1852" s="23">
        <v>27.6</v>
      </c>
      <c r="I1852" s="23">
        <v>0.552</v>
      </c>
      <c r="J1852" s="24">
        <v>27.5</v>
      </c>
      <c r="K1852" s="21">
        <v>0</v>
      </c>
      <c r="L1852" s="21">
        <v>0</v>
      </c>
      <c r="M1852" s="21">
        <f>COUNTIF($A$2:$A$5481,A1852)</f>
        <v>1</v>
      </c>
      <c r="N1852" s="24">
        <f t="shared" si="28"/>
        <v>27.5001852</v>
      </c>
    </row>
    <row r="1853" spans="1:14">
      <c r="A1853" s="21" t="s">
        <v>2302</v>
      </c>
      <c r="B1853" s="21" t="s">
        <v>920</v>
      </c>
      <c r="C1853" s="21" t="s">
        <v>35</v>
      </c>
      <c r="D1853" s="21" t="s">
        <v>921</v>
      </c>
      <c r="E1853" s="21">
        <v>50</v>
      </c>
      <c r="F1853" s="22">
        <v>45313.7501157407</v>
      </c>
      <c r="G1853" s="22"/>
      <c r="H1853" s="23">
        <v>58.255</v>
      </c>
      <c r="I1853" s="23">
        <v>1.1651</v>
      </c>
      <c r="J1853" s="24">
        <v>58.5</v>
      </c>
      <c r="K1853" s="21">
        <v>0</v>
      </c>
      <c r="L1853" s="21">
        <v>0</v>
      </c>
      <c r="M1853" s="21">
        <f>COUNTIF($A$2:$A$5481,A1853)</f>
        <v>1</v>
      </c>
      <c r="N1853" s="24">
        <f t="shared" si="28"/>
        <v>58.5001853</v>
      </c>
    </row>
    <row r="1854" spans="1:14">
      <c r="A1854" s="21" t="s">
        <v>2303</v>
      </c>
      <c r="B1854" s="21" t="s">
        <v>920</v>
      </c>
      <c r="C1854" s="21" t="s">
        <v>35</v>
      </c>
      <c r="D1854" s="21" t="s">
        <v>921</v>
      </c>
      <c r="E1854" s="21">
        <v>50</v>
      </c>
      <c r="F1854" s="22">
        <v>45313.7501157407</v>
      </c>
      <c r="G1854" s="22"/>
      <c r="H1854" s="23">
        <v>21.795</v>
      </c>
      <c r="I1854" s="23">
        <v>0.4359</v>
      </c>
      <c r="J1854" s="24">
        <v>22</v>
      </c>
      <c r="K1854" s="21">
        <v>0</v>
      </c>
      <c r="L1854" s="21">
        <v>0</v>
      </c>
      <c r="M1854" s="21">
        <f>COUNTIF($A$2:$A$5481,A1854)</f>
        <v>1</v>
      </c>
      <c r="N1854" s="24">
        <f t="shared" si="28"/>
        <v>22.0001854</v>
      </c>
    </row>
    <row r="1855" spans="1:14">
      <c r="A1855" s="21" t="s">
        <v>2304</v>
      </c>
      <c r="B1855" s="21" t="s">
        <v>920</v>
      </c>
      <c r="C1855" s="21" t="s">
        <v>35</v>
      </c>
      <c r="D1855" s="21" t="s">
        <v>921</v>
      </c>
      <c r="E1855" s="21">
        <v>50</v>
      </c>
      <c r="F1855" s="22">
        <v>45313.7501157407</v>
      </c>
      <c r="G1855" s="22"/>
      <c r="H1855" s="23">
        <v>20.99</v>
      </c>
      <c r="I1855" s="23">
        <v>0.4198</v>
      </c>
      <c r="J1855" s="24">
        <v>21</v>
      </c>
      <c r="K1855" s="21">
        <v>0</v>
      </c>
      <c r="L1855" s="21">
        <v>0</v>
      </c>
      <c r="M1855" s="21">
        <f>COUNTIF($A$2:$A$5481,A1855)</f>
        <v>1</v>
      </c>
      <c r="N1855" s="24">
        <f t="shared" si="28"/>
        <v>21.0001855</v>
      </c>
    </row>
    <row r="1856" spans="1:14">
      <c r="A1856" s="21" t="s">
        <v>2305</v>
      </c>
      <c r="B1856" s="21" t="s">
        <v>920</v>
      </c>
      <c r="C1856" s="21" t="s">
        <v>35</v>
      </c>
      <c r="D1856" s="21" t="s">
        <v>921</v>
      </c>
      <c r="E1856" s="21">
        <v>50</v>
      </c>
      <c r="F1856" s="22">
        <v>45313.7501157407</v>
      </c>
      <c r="G1856" s="22"/>
      <c r="H1856" s="23">
        <v>20.27</v>
      </c>
      <c r="I1856" s="23">
        <v>0.4054</v>
      </c>
      <c r="J1856" s="24">
        <v>20.5</v>
      </c>
      <c r="K1856" s="21">
        <v>0</v>
      </c>
      <c r="L1856" s="21">
        <v>0</v>
      </c>
      <c r="M1856" s="21">
        <f>COUNTIF($A$2:$A$5481,A1856)</f>
        <v>1</v>
      </c>
      <c r="N1856" s="24">
        <f t="shared" si="28"/>
        <v>20.5001856</v>
      </c>
    </row>
    <row r="1857" spans="1:14">
      <c r="A1857" s="21" t="s">
        <v>2306</v>
      </c>
      <c r="B1857" s="21" t="s">
        <v>920</v>
      </c>
      <c r="C1857" s="21" t="s">
        <v>35</v>
      </c>
      <c r="D1857" s="21" t="s">
        <v>921</v>
      </c>
      <c r="E1857" s="21">
        <v>50</v>
      </c>
      <c r="F1857" s="22">
        <v>45313.7501157407</v>
      </c>
      <c r="G1857" s="22"/>
      <c r="H1857" s="23">
        <v>30.72</v>
      </c>
      <c r="I1857" s="23">
        <v>0.6144</v>
      </c>
      <c r="J1857" s="24">
        <v>30.5</v>
      </c>
      <c r="K1857" s="21">
        <v>0</v>
      </c>
      <c r="L1857" s="21">
        <v>0</v>
      </c>
      <c r="M1857" s="21">
        <f>COUNTIF($A$2:$A$5481,A1857)</f>
        <v>1</v>
      </c>
      <c r="N1857" s="24">
        <f t="shared" si="28"/>
        <v>30.5001857</v>
      </c>
    </row>
    <row r="1858" spans="1:14">
      <c r="A1858" s="21" t="s">
        <v>2307</v>
      </c>
      <c r="B1858" s="21" t="s">
        <v>920</v>
      </c>
      <c r="C1858" s="21" t="s">
        <v>35</v>
      </c>
      <c r="D1858" s="21" t="s">
        <v>921</v>
      </c>
      <c r="E1858" s="21">
        <v>50</v>
      </c>
      <c r="F1858" s="22">
        <v>45313.7501157407</v>
      </c>
      <c r="G1858" s="22"/>
      <c r="H1858" s="23">
        <v>20.915</v>
      </c>
      <c r="I1858" s="23">
        <v>0.4183</v>
      </c>
      <c r="J1858" s="24">
        <v>21</v>
      </c>
      <c r="K1858" s="21">
        <v>0</v>
      </c>
      <c r="L1858" s="21">
        <v>0</v>
      </c>
      <c r="M1858" s="21">
        <f>COUNTIF($A$2:$A$5481,A1858)</f>
        <v>1</v>
      </c>
      <c r="N1858" s="24">
        <f t="shared" ref="N1858:N1921" si="29">J1858+ROW()/10000000</f>
        <v>21.0001858</v>
      </c>
    </row>
    <row r="1859" spans="1:14">
      <c r="A1859" s="21" t="s">
        <v>2308</v>
      </c>
      <c r="B1859" s="21" t="s">
        <v>920</v>
      </c>
      <c r="C1859" s="21" t="s">
        <v>35</v>
      </c>
      <c r="D1859" s="21" t="s">
        <v>921</v>
      </c>
      <c r="E1859" s="21">
        <v>50</v>
      </c>
      <c r="F1859" s="22">
        <v>45313.7501157407</v>
      </c>
      <c r="G1859" s="22"/>
      <c r="H1859" s="23">
        <v>28.73</v>
      </c>
      <c r="I1859" s="23">
        <v>0.5746</v>
      </c>
      <c r="J1859" s="24">
        <v>28.5</v>
      </c>
      <c r="K1859" s="21">
        <v>0</v>
      </c>
      <c r="L1859" s="21">
        <v>0</v>
      </c>
      <c r="M1859" s="21">
        <f>COUNTIF($A$2:$A$5481,A1859)</f>
        <v>1</v>
      </c>
      <c r="N1859" s="24">
        <f t="shared" si="29"/>
        <v>28.5001859</v>
      </c>
    </row>
    <row r="1860" spans="1:14">
      <c r="A1860" s="21" t="s">
        <v>2309</v>
      </c>
      <c r="B1860" s="21" t="s">
        <v>920</v>
      </c>
      <c r="C1860" s="21" t="s">
        <v>35</v>
      </c>
      <c r="D1860" s="21" t="s">
        <v>921</v>
      </c>
      <c r="E1860" s="21">
        <v>50</v>
      </c>
      <c r="F1860" s="22">
        <v>45313.7501157407</v>
      </c>
      <c r="G1860" s="22"/>
      <c r="H1860" s="23">
        <v>9.14</v>
      </c>
      <c r="I1860" s="23">
        <v>0.1828</v>
      </c>
      <c r="J1860" s="24">
        <v>9</v>
      </c>
      <c r="K1860" s="21">
        <v>0</v>
      </c>
      <c r="L1860" s="21">
        <v>0</v>
      </c>
      <c r="M1860" s="21">
        <f>COUNTIF($A$2:$A$5481,A1860)</f>
        <v>1</v>
      </c>
      <c r="N1860" s="24">
        <f t="shared" si="29"/>
        <v>9.000186</v>
      </c>
    </row>
    <row r="1861" spans="1:14">
      <c r="A1861" s="21" t="s">
        <v>2310</v>
      </c>
      <c r="B1861" s="21" t="s">
        <v>920</v>
      </c>
      <c r="C1861" s="21" t="s">
        <v>35</v>
      </c>
      <c r="D1861" s="21" t="s">
        <v>921</v>
      </c>
      <c r="E1861" s="21">
        <v>50</v>
      </c>
      <c r="F1861" s="22">
        <v>45313.7501157407</v>
      </c>
      <c r="G1861" s="22"/>
      <c r="H1861" s="23">
        <v>11.515</v>
      </c>
      <c r="I1861" s="23">
        <v>0.2303</v>
      </c>
      <c r="J1861" s="24">
        <v>11.5</v>
      </c>
      <c r="K1861" s="21">
        <v>0</v>
      </c>
      <c r="L1861" s="21">
        <v>0</v>
      </c>
      <c r="M1861" s="21">
        <f>COUNTIF($A$2:$A$5481,A1861)</f>
        <v>1</v>
      </c>
      <c r="N1861" s="24">
        <f t="shared" si="29"/>
        <v>11.5001861</v>
      </c>
    </row>
    <row r="1862" spans="1:14">
      <c r="A1862" s="21" t="s">
        <v>2311</v>
      </c>
      <c r="B1862" s="21" t="s">
        <v>920</v>
      </c>
      <c r="C1862" s="21" t="s">
        <v>35</v>
      </c>
      <c r="D1862" s="21" t="s">
        <v>921</v>
      </c>
      <c r="E1862" s="21">
        <v>50</v>
      </c>
      <c r="F1862" s="22">
        <v>45313.7501157407</v>
      </c>
      <c r="G1862" s="22"/>
      <c r="H1862" s="23">
        <v>21.685</v>
      </c>
      <c r="I1862" s="23">
        <v>0.4337</v>
      </c>
      <c r="J1862" s="24">
        <v>21.5</v>
      </c>
      <c r="K1862" s="21">
        <v>0</v>
      </c>
      <c r="L1862" s="21">
        <v>0</v>
      </c>
      <c r="M1862" s="21">
        <f>COUNTIF($A$2:$A$5481,A1862)</f>
        <v>1</v>
      </c>
      <c r="N1862" s="24">
        <f t="shared" si="29"/>
        <v>21.5001862</v>
      </c>
    </row>
    <row r="1863" spans="1:14">
      <c r="A1863" s="21" t="s">
        <v>2312</v>
      </c>
      <c r="B1863" s="21" t="s">
        <v>920</v>
      </c>
      <c r="C1863" s="21" t="s">
        <v>35</v>
      </c>
      <c r="D1863" s="21" t="s">
        <v>921</v>
      </c>
      <c r="E1863" s="21">
        <v>50</v>
      </c>
      <c r="F1863" s="22">
        <v>45313.7501157407</v>
      </c>
      <c r="G1863" s="22"/>
      <c r="H1863" s="23">
        <v>16.06</v>
      </c>
      <c r="I1863" s="23">
        <v>0.3212</v>
      </c>
      <c r="J1863" s="24">
        <v>16</v>
      </c>
      <c r="K1863" s="21">
        <v>0</v>
      </c>
      <c r="L1863" s="21">
        <v>0</v>
      </c>
      <c r="M1863" s="21">
        <f>COUNTIF($A$2:$A$5481,A1863)</f>
        <v>1</v>
      </c>
      <c r="N1863" s="24">
        <f t="shared" si="29"/>
        <v>16.0001863</v>
      </c>
    </row>
    <row r="1864" spans="1:14">
      <c r="A1864" s="21" t="s">
        <v>2313</v>
      </c>
      <c r="B1864" s="21" t="s">
        <v>920</v>
      </c>
      <c r="C1864" s="21" t="s">
        <v>35</v>
      </c>
      <c r="D1864" s="21" t="s">
        <v>921</v>
      </c>
      <c r="E1864" s="21">
        <v>50</v>
      </c>
      <c r="F1864" s="22">
        <v>45313.7501157407</v>
      </c>
      <c r="G1864" s="22"/>
      <c r="H1864" s="23">
        <v>17.205</v>
      </c>
      <c r="I1864" s="23">
        <v>0.3441</v>
      </c>
      <c r="J1864" s="24">
        <v>17</v>
      </c>
      <c r="K1864" s="21">
        <v>0</v>
      </c>
      <c r="L1864" s="21">
        <v>0</v>
      </c>
      <c r="M1864" s="21">
        <f>COUNTIF($A$2:$A$5481,A1864)</f>
        <v>1</v>
      </c>
      <c r="N1864" s="24">
        <f t="shared" si="29"/>
        <v>17.0001864</v>
      </c>
    </row>
    <row r="1865" spans="1:14">
      <c r="A1865" s="21" t="s">
        <v>2314</v>
      </c>
      <c r="B1865" s="21" t="s">
        <v>920</v>
      </c>
      <c r="C1865" s="21" t="s">
        <v>35</v>
      </c>
      <c r="D1865" s="21" t="s">
        <v>921</v>
      </c>
      <c r="E1865" s="21">
        <v>50</v>
      </c>
      <c r="F1865" s="22">
        <v>45313.7501157407</v>
      </c>
      <c r="G1865" s="22"/>
      <c r="H1865" s="23">
        <v>11.2</v>
      </c>
      <c r="I1865" s="23">
        <v>0.224</v>
      </c>
      <c r="J1865" s="24">
        <v>11</v>
      </c>
      <c r="K1865" s="21">
        <v>0</v>
      </c>
      <c r="L1865" s="21">
        <v>0</v>
      </c>
      <c r="M1865" s="21">
        <f>COUNTIF($A$2:$A$5481,A1865)</f>
        <v>1</v>
      </c>
      <c r="N1865" s="24">
        <f t="shared" si="29"/>
        <v>11.0001865</v>
      </c>
    </row>
    <row r="1866" spans="1:14">
      <c r="A1866" s="21" t="s">
        <v>2315</v>
      </c>
      <c r="B1866" s="21" t="s">
        <v>920</v>
      </c>
      <c r="C1866" s="21" t="s">
        <v>35</v>
      </c>
      <c r="D1866" s="21" t="s">
        <v>921</v>
      </c>
      <c r="E1866" s="21">
        <v>50</v>
      </c>
      <c r="F1866" s="22">
        <v>45313.7501157407</v>
      </c>
      <c r="G1866" s="22"/>
      <c r="H1866" s="23">
        <v>30</v>
      </c>
      <c r="I1866" s="23">
        <v>0.6</v>
      </c>
      <c r="J1866" s="24">
        <v>30</v>
      </c>
      <c r="K1866" s="21">
        <v>0</v>
      </c>
      <c r="L1866" s="21">
        <v>0</v>
      </c>
      <c r="M1866" s="21">
        <f>COUNTIF($A$2:$A$5481,A1866)</f>
        <v>1</v>
      </c>
      <c r="N1866" s="24">
        <f t="shared" si="29"/>
        <v>30.0001866</v>
      </c>
    </row>
    <row r="1867" spans="1:14">
      <c r="A1867" s="21" t="s">
        <v>2316</v>
      </c>
      <c r="B1867" s="21" t="s">
        <v>920</v>
      </c>
      <c r="C1867" s="21" t="s">
        <v>35</v>
      </c>
      <c r="D1867" s="21" t="s">
        <v>921</v>
      </c>
      <c r="E1867" s="21">
        <v>50</v>
      </c>
      <c r="F1867" s="22">
        <v>45313.7501157407</v>
      </c>
      <c r="G1867" s="22"/>
      <c r="H1867" s="23">
        <v>49.525</v>
      </c>
      <c r="I1867" s="23">
        <v>0.9905</v>
      </c>
      <c r="J1867" s="24">
        <v>49.5</v>
      </c>
      <c r="K1867" s="21">
        <v>0</v>
      </c>
      <c r="L1867" s="21">
        <v>0</v>
      </c>
      <c r="M1867" s="21">
        <f>COUNTIF($A$2:$A$5481,A1867)</f>
        <v>1</v>
      </c>
      <c r="N1867" s="24">
        <f t="shared" si="29"/>
        <v>49.5001867</v>
      </c>
    </row>
    <row r="1868" spans="1:14">
      <c r="A1868" s="21" t="s">
        <v>2317</v>
      </c>
      <c r="B1868" s="21" t="s">
        <v>920</v>
      </c>
      <c r="C1868" s="21" t="s">
        <v>35</v>
      </c>
      <c r="D1868" s="21" t="s">
        <v>921</v>
      </c>
      <c r="E1868" s="21">
        <v>50</v>
      </c>
      <c r="F1868" s="22">
        <v>45313.7501157407</v>
      </c>
      <c r="G1868" s="22"/>
      <c r="H1868" s="23">
        <v>9.415</v>
      </c>
      <c r="I1868" s="23">
        <v>0.1883</v>
      </c>
      <c r="J1868" s="24">
        <v>9.5</v>
      </c>
      <c r="K1868" s="21">
        <v>0</v>
      </c>
      <c r="L1868" s="21">
        <v>0</v>
      </c>
      <c r="M1868" s="21">
        <f>COUNTIF($A$2:$A$5481,A1868)</f>
        <v>1</v>
      </c>
      <c r="N1868" s="24">
        <f t="shared" si="29"/>
        <v>9.5001868</v>
      </c>
    </row>
    <row r="1869" spans="1:14">
      <c r="A1869" s="21" t="s">
        <v>2318</v>
      </c>
      <c r="B1869" s="21" t="s">
        <v>920</v>
      </c>
      <c r="C1869" s="21" t="s">
        <v>35</v>
      </c>
      <c r="D1869" s="21" t="s">
        <v>921</v>
      </c>
      <c r="E1869" s="21">
        <v>50</v>
      </c>
      <c r="F1869" s="22">
        <v>45313.7501157407</v>
      </c>
      <c r="G1869" s="22"/>
      <c r="H1869" s="23">
        <v>52.645</v>
      </c>
      <c r="I1869" s="23">
        <v>1.0529</v>
      </c>
      <c r="J1869" s="24">
        <v>52.5</v>
      </c>
      <c r="K1869" s="21">
        <v>0</v>
      </c>
      <c r="L1869" s="21">
        <v>0</v>
      </c>
      <c r="M1869" s="21">
        <f>COUNTIF($A$2:$A$5481,A1869)</f>
        <v>1</v>
      </c>
      <c r="N1869" s="24">
        <f t="shared" si="29"/>
        <v>52.5001869</v>
      </c>
    </row>
    <row r="1870" spans="1:14">
      <c r="A1870" s="21" t="s">
        <v>2319</v>
      </c>
      <c r="B1870" s="21" t="s">
        <v>920</v>
      </c>
      <c r="C1870" s="21" t="s">
        <v>35</v>
      </c>
      <c r="D1870" s="21" t="s">
        <v>921</v>
      </c>
      <c r="E1870" s="21">
        <v>50</v>
      </c>
      <c r="F1870" s="22">
        <v>45313.7501157407</v>
      </c>
      <c r="G1870" s="22"/>
      <c r="H1870" s="23">
        <v>25.14</v>
      </c>
      <c r="I1870" s="23">
        <v>0.5028</v>
      </c>
      <c r="J1870" s="24">
        <v>25</v>
      </c>
      <c r="K1870" s="21">
        <v>0</v>
      </c>
      <c r="L1870" s="21">
        <v>0</v>
      </c>
      <c r="M1870" s="21">
        <f>COUNTIF($A$2:$A$5481,A1870)</f>
        <v>1</v>
      </c>
      <c r="N1870" s="24">
        <f t="shared" si="29"/>
        <v>25.000187</v>
      </c>
    </row>
    <row r="1871" spans="1:14">
      <c r="A1871" s="21" t="s">
        <v>2320</v>
      </c>
      <c r="B1871" s="21" t="s">
        <v>920</v>
      </c>
      <c r="C1871" s="21" t="s">
        <v>35</v>
      </c>
      <c r="D1871" s="21" t="s">
        <v>921</v>
      </c>
      <c r="E1871" s="21">
        <v>50</v>
      </c>
      <c r="F1871" s="22">
        <v>45313.7501157407</v>
      </c>
      <c r="G1871" s="22"/>
      <c r="H1871" s="23">
        <v>29.41</v>
      </c>
      <c r="I1871" s="23">
        <v>0.5882</v>
      </c>
      <c r="J1871" s="24">
        <v>29.5</v>
      </c>
      <c r="K1871" s="21">
        <v>0</v>
      </c>
      <c r="L1871" s="21">
        <v>0</v>
      </c>
      <c r="M1871" s="21">
        <f>COUNTIF($A$2:$A$5481,A1871)</f>
        <v>1</v>
      </c>
      <c r="N1871" s="24">
        <f t="shared" si="29"/>
        <v>29.5001871</v>
      </c>
    </row>
    <row r="1872" spans="1:14">
      <c r="A1872" s="21" t="s">
        <v>2321</v>
      </c>
      <c r="B1872" s="21" t="s">
        <v>920</v>
      </c>
      <c r="C1872" s="21" t="s">
        <v>35</v>
      </c>
      <c r="D1872" s="21" t="s">
        <v>921</v>
      </c>
      <c r="E1872" s="21">
        <v>50</v>
      </c>
      <c r="F1872" s="22">
        <v>45313.7501157407</v>
      </c>
      <c r="G1872" s="22"/>
      <c r="H1872" s="23">
        <v>18.965</v>
      </c>
      <c r="I1872" s="23">
        <v>0.3793</v>
      </c>
      <c r="J1872" s="24">
        <v>19</v>
      </c>
      <c r="K1872" s="21">
        <v>0</v>
      </c>
      <c r="L1872" s="21">
        <v>0</v>
      </c>
      <c r="M1872" s="21">
        <f>COUNTIF($A$2:$A$5481,A1872)</f>
        <v>1</v>
      </c>
      <c r="N1872" s="24">
        <f t="shared" si="29"/>
        <v>19.0001872</v>
      </c>
    </row>
    <row r="1873" spans="1:14">
      <c r="A1873" s="21" t="s">
        <v>2322</v>
      </c>
      <c r="B1873" s="21" t="s">
        <v>920</v>
      </c>
      <c r="C1873" s="21" t="s">
        <v>35</v>
      </c>
      <c r="D1873" s="21" t="s">
        <v>921</v>
      </c>
      <c r="E1873" s="21">
        <v>50</v>
      </c>
      <c r="F1873" s="22">
        <v>45313.7501157407</v>
      </c>
      <c r="G1873" s="22"/>
      <c r="H1873" s="23">
        <v>23.31</v>
      </c>
      <c r="I1873" s="23">
        <v>0.4662</v>
      </c>
      <c r="J1873" s="24">
        <v>23.5</v>
      </c>
      <c r="K1873" s="21">
        <v>0</v>
      </c>
      <c r="L1873" s="21">
        <v>0</v>
      </c>
      <c r="M1873" s="21">
        <f>COUNTIF($A$2:$A$5481,A1873)</f>
        <v>1</v>
      </c>
      <c r="N1873" s="24">
        <f t="shared" si="29"/>
        <v>23.5001873</v>
      </c>
    </row>
    <row r="1874" spans="1:14">
      <c r="A1874" s="21" t="s">
        <v>2323</v>
      </c>
      <c r="B1874" s="21" t="s">
        <v>920</v>
      </c>
      <c r="C1874" s="21" t="s">
        <v>35</v>
      </c>
      <c r="D1874" s="21" t="s">
        <v>921</v>
      </c>
      <c r="E1874" s="21">
        <v>50</v>
      </c>
      <c r="F1874" s="22">
        <v>45313.7501157407</v>
      </c>
      <c r="G1874" s="22"/>
      <c r="H1874" s="23">
        <v>29.41</v>
      </c>
      <c r="I1874" s="23">
        <v>0.5882</v>
      </c>
      <c r="J1874" s="24">
        <v>29.5</v>
      </c>
      <c r="K1874" s="21">
        <v>0</v>
      </c>
      <c r="L1874" s="21">
        <v>0</v>
      </c>
      <c r="M1874" s="21">
        <f>COUNTIF($A$2:$A$5481,A1874)</f>
        <v>1</v>
      </c>
      <c r="N1874" s="24">
        <f t="shared" si="29"/>
        <v>29.5001874</v>
      </c>
    </row>
    <row r="1875" spans="1:14">
      <c r="A1875" s="21" t="s">
        <v>2324</v>
      </c>
      <c r="B1875" s="21" t="s">
        <v>920</v>
      </c>
      <c r="C1875" s="21" t="s">
        <v>35</v>
      </c>
      <c r="D1875" s="21" t="s">
        <v>921</v>
      </c>
      <c r="E1875" s="21">
        <v>50</v>
      </c>
      <c r="F1875" s="22">
        <v>45313.7501157407</v>
      </c>
      <c r="G1875" s="22"/>
      <c r="H1875" s="23">
        <v>9.21</v>
      </c>
      <c r="I1875" s="23">
        <v>0.1842</v>
      </c>
      <c r="J1875" s="24">
        <v>9</v>
      </c>
      <c r="K1875" s="21">
        <v>0</v>
      </c>
      <c r="L1875" s="21">
        <v>0</v>
      </c>
      <c r="M1875" s="21">
        <f>COUNTIF($A$2:$A$5481,A1875)</f>
        <v>1</v>
      </c>
      <c r="N1875" s="24">
        <f t="shared" si="29"/>
        <v>9.0001875</v>
      </c>
    </row>
    <row r="1876" spans="1:14">
      <c r="A1876" s="21" t="s">
        <v>2325</v>
      </c>
      <c r="B1876" s="21" t="s">
        <v>920</v>
      </c>
      <c r="C1876" s="21" t="s">
        <v>35</v>
      </c>
      <c r="D1876" s="21" t="s">
        <v>921</v>
      </c>
      <c r="E1876" s="21">
        <v>50</v>
      </c>
      <c r="F1876" s="22">
        <v>45313.7501157407</v>
      </c>
      <c r="G1876" s="22"/>
      <c r="H1876" s="23">
        <v>9.95</v>
      </c>
      <c r="I1876" s="23">
        <v>0.199</v>
      </c>
      <c r="J1876" s="24">
        <v>10</v>
      </c>
      <c r="K1876" s="21">
        <v>0</v>
      </c>
      <c r="L1876" s="21">
        <v>0</v>
      </c>
      <c r="M1876" s="21">
        <f>COUNTIF($A$2:$A$5481,A1876)</f>
        <v>1</v>
      </c>
      <c r="N1876" s="24">
        <f t="shared" si="29"/>
        <v>10.0001876</v>
      </c>
    </row>
    <row r="1877" spans="1:14">
      <c r="A1877" s="21" t="s">
        <v>2326</v>
      </c>
      <c r="B1877" s="21" t="s">
        <v>920</v>
      </c>
      <c r="C1877" s="21" t="s">
        <v>35</v>
      </c>
      <c r="D1877" s="21" t="s">
        <v>921</v>
      </c>
      <c r="E1877" s="21">
        <v>50</v>
      </c>
      <c r="F1877" s="22">
        <v>45313.7501157407</v>
      </c>
      <c r="G1877" s="22"/>
      <c r="H1877" s="23">
        <v>19.055</v>
      </c>
      <c r="I1877" s="23">
        <v>0.3811</v>
      </c>
      <c r="J1877" s="24">
        <v>19</v>
      </c>
      <c r="K1877" s="21">
        <v>0</v>
      </c>
      <c r="L1877" s="21">
        <v>0</v>
      </c>
      <c r="M1877" s="21">
        <f>COUNTIF($A$2:$A$5481,A1877)</f>
        <v>1</v>
      </c>
      <c r="N1877" s="24">
        <f t="shared" si="29"/>
        <v>19.0001877</v>
      </c>
    </row>
    <row r="1878" spans="1:14">
      <c r="A1878" s="21" t="s">
        <v>2327</v>
      </c>
      <c r="B1878" s="21" t="s">
        <v>920</v>
      </c>
      <c r="C1878" s="21" t="s">
        <v>35</v>
      </c>
      <c r="D1878" s="21" t="s">
        <v>921</v>
      </c>
      <c r="E1878" s="21">
        <v>30</v>
      </c>
      <c r="F1878" s="22">
        <v>45364.8383217593</v>
      </c>
      <c r="G1878" s="22"/>
      <c r="H1878" s="23">
        <v>22</v>
      </c>
      <c r="I1878" s="23">
        <v>1.1</v>
      </c>
      <c r="J1878" s="24">
        <v>33</v>
      </c>
      <c r="K1878" s="21">
        <v>0</v>
      </c>
      <c r="L1878" s="21">
        <v>0</v>
      </c>
      <c r="M1878" s="21">
        <f>COUNTIF($A$2:$A$5481,A1878)</f>
        <v>2</v>
      </c>
      <c r="N1878" s="24">
        <f t="shared" si="29"/>
        <v>33.0001878</v>
      </c>
    </row>
    <row r="1879" spans="1:14">
      <c r="A1879" s="21" t="s">
        <v>2327</v>
      </c>
      <c r="B1879" s="21" t="s">
        <v>920</v>
      </c>
      <c r="C1879" s="21" t="s">
        <v>26</v>
      </c>
      <c r="D1879" s="21" t="s">
        <v>921</v>
      </c>
      <c r="E1879" s="21">
        <v>30</v>
      </c>
      <c r="F1879" s="22">
        <v>45390.8186226852</v>
      </c>
      <c r="G1879" s="22"/>
      <c r="H1879" s="23">
        <v>33</v>
      </c>
      <c r="I1879" s="23">
        <v>1.1</v>
      </c>
      <c r="J1879" s="24">
        <v>33</v>
      </c>
      <c r="K1879" s="21">
        <v>0</v>
      </c>
      <c r="L1879" s="21">
        <v>0</v>
      </c>
      <c r="M1879" s="21">
        <f>COUNTIF($A$2:$A$5481,A1879)</f>
        <v>2</v>
      </c>
      <c r="N1879" s="24">
        <f t="shared" si="29"/>
        <v>33.0001879</v>
      </c>
    </row>
    <row r="1880" spans="1:14">
      <c r="A1880" s="21" t="s">
        <v>2328</v>
      </c>
      <c r="B1880" s="21" t="s">
        <v>920</v>
      </c>
      <c r="C1880" s="21" t="s">
        <v>26</v>
      </c>
      <c r="D1880" s="21" t="s">
        <v>921</v>
      </c>
      <c r="E1880" s="21">
        <v>2</v>
      </c>
      <c r="F1880" s="22">
        <v>46062.5448726852</v>
      </c>
      <c r="G1880" s="22"/>
      <c r="H1880" s="23">
        <v>210</v>
      </c>
      <c r="I1880" s="23">
        <v>105</v>
      </c>
      <c r="J1880" s="24">
        <v>210</v>
      </c>
      <c r="K1880" s="21">
        <v>0</v>
      </c>
      <c r="L1880" s="21">
        <v>0</v>
      </c>
      <c r="M1880" s="21">
        <f>COUNTIF($A$2:$A$5481,A1880)</f>
        <v>1</v>
      </c>
      <c r="N1880" s="24">
        <f t="shared" si="29"/>
        <v>210.000188</v>
      </c>
    </row>
    <row r="1881" spans="1:14">
      <c r="A1881" s="21" t="s">
        <v>2329</v>
      </c>
      <c r="B1881" s="21" t="s">
        <v>920</v>
      </c>
      <c r="C1881" s="21" t="s">
        <v>35</v>
      </c>
      <c r="D1881" s="21" t="s">
        <v>921</v>
      </c>
      <c r="E1881" s="21">
        <v>1</v>
      </c>
      <c r="F1881" s="22">
        <v>45362.6796296296</v>
      </c>
      <c r="G1881" s="22"/>
      <c r="H1881" s="23">
        <v>135</v>
      </c>
      <c r="I1881" s="23">
        <v>135</v>
      </c>
      <c r="J1881" s="24">
        <v>135</v>
      </c>
      <c r="K1881" s="21">
        <v>0</v>
      </c>
      <c r="L1881" s="21">
        <v>0</v>
      </c>
      <c r="M1881" s="21">
        <f>COUNTIF($A$2:$A$5481,A1881)</f>
        <v>2</v>
      </c>
      <c r="N1881" s="24">
        <f t="shared" si="29"/>
        <v>135.0001881</v>
      </c>
    </row>
    <row r="1882" spans="1:14">
      <c r="A1882" s="21" t="s">
        <v>2329</v>
      </c>
      <c r="B1882" s="21" t="s">
        <v>920</v>
      </c>
      <c r="C1882" s="21" t="s">
        <v>26</v>
      </c>
      <c r="D1882" s="21" t="s">
        <v>921</v>
      </c>
      <c r="E1882" s="21">
        <v>2</v>
      </c>
      <c r="F1882" s="22">
        <v>45972.8226273148</v>
      </c>
      <c r="G1882" s="22">
        <v>45973.3523611111</v>
      </c>
      <c r="H1882" s="23">
        <v>105</v>
      </c>
      <c r="I1882" s="23">
        <v>105</v>
      </c>
      <c r="J1882" s="24">
        <v>210</v>
      </c>
      <c r="K1882" s="21">
        <v>0</v>
      </c>
      <c r="L1882" s="21">
        <v>0</v>
      </c>
      <c r="M1882" s="21">
        <f>COUNTIF($A$2:$A$5481,A1882)</f>
        <v>2</v>
      </c>
      <c r="N1882" s="24">
        <f t="shared" si="29"/>
        <v>210.0001882</v>
      </c>
    </row>
    <row r="1883" spans="1:14">
      <c r="A1883" s="21" t="s">
        <v>2330</v>
      </c>
      <c r="B1883" s="21" t="s">
        <v>26</v>
      </c>
      <c r="C1883" s="21" t="s">
        <v>26</v>
      </c>
      <c r="D1883" s="21" t="s">
        <v>921</v>
      </c>
      <c r="E1883" s="21">
        <v>1</v>
      </c>
      <c r="F1883" s="22">
        <v>46035.3555902778</v>
      </c>
      <c r="G1883" s="22"/>
      <c r="H1883" s="23">
        <v>5</v>
      </c>
      <c r="I1883" s="23">
        <v>5</v>
      </c>
      <c r="J1883" s="24">
        <v>5</v>
      </c>
      <c r="K1883" s="21">
        <v>0</v>
      </c>
      <c r="L1883" s="21">
        <v>0</v>
      </c>
      <c r="M1883" s="21">
        <f>COUNTIF($A$2:$A$5481,A1883)</f>
        <v>1</v>
      </c>
      <c r="N1883" s="24">
        <f t="shared" si="29"/>
        <v>5.0001883</v>
      </c>
    </row>
    <row r="1884" spans="1:14">
      <c r="A1884" s="21" t="s">
        <v>2331</v>
      </c>
      <c r="B1884" s="21" t="s">
        <v>1895</v>
      </c>
      <c r="C1884" s="21" t="s">
        <v>182</v>
      </c>
      <c r="D1884" s="21" t="s">
        <v>921</v>
      </c>
      <c r="E1884" s="21">
        <v>1</v>
      </c>
      <c r="F1884" s="22">
        <v>45346.5798611111</v>
      </c>
      <c r="G1884" s="22"/>
      <c r="H1884" s="23">
        <v>87.9</v>
      </c>
      <c r="I1884" s="23">
        <v>87.9</v>
      </c>
      <c r="J1884" s="24">
        <v>87.9</v>
      </c>
      <c r="K1884" s="21">
        <v>0</v>
      </c>
      <c r="L1884" s="21">
        <v>0</v>
      </c>
      <c r="M1884" s="21">
        <f>COUNTIF($A$2:$A$5481,A1884)</f>
        <v>1</v>
      </c>
      <c r="N1884" s="24">
        <f t="shared" si="29"/>
        <v>87.9001884</v>
      </c>
    </row>
    <row r="1885" spans="1:14">
      <c r="A1885" s="21" t="s">
        <v>2332</v>
      </c>
      <c r="B1885" s="21" t="s">
        <v>26</v>
      </c>
      <c r="C1885" s="21" t="s">
        <v>182</v>
      </c>
      <c r="D1885" s="21" t="s">
        <v>921</v>
      </c>
      <c r="E1885" s="21">
        <v>100</v>
      </c>
      <c r="F1885" s="22">
        <v>45462.3868055556</v>
      </c>
      <c r="G1885" s="22"/>
      <c r="H1885" s="23">
        <v>60</v>
      </c>
      <c r="I1885" s="23">
        <v>0.6</v>
      </c>
      <c r="J1885" s="24">
        <v>60</v>
      </c>
      <c r="K1885" s="21">
        <v>0</v>
      </c>
      <c r="L1885" s="21">
        <v>0</v>
      </c>
      <c r="M1885" s="21">
        <f>COUNTIF($A$2:$A$5481,A1885)</f>
        <v>1</v>
      </c>
      <c r="N1885" s="24">
        <f t="shared" si="29"/>
        <v>60.0001885</v>
      </c>
    </row>
    <row r="1886" spans="1:14">
      <c r="A1886" s="21" t="s">
        <v>2333</v>
      </c>
      <c r="B1886" s="21" t="s">
        <v>948</v>
      </c>
      <c r="C1886" s="21" t="s">
        <v>26</v>
      </c>
      <c r="D1886" s="21" t="s">
        <v>921</v>
      </c>
      <c r="E1886" s="21">
        <v>1</v>
      </c>
      <c r="F1886" s="22">
        <v>45919.4195486111</v>
      </c>
      <c r="G1886" s="22"/>
      <c r="H1886" s="23">
        <v>47.5</v>
      </c>
      <c r="I1886" s="23">
        <v>47.5</v>
      </c>
      <c r="J1886" s="24">
        <v>47.5</v>
      </c>
      <c r="K1886" s="21">
        <v>0</v>
      </c>
      <c r="L1886" s="21">
        <v>0</v>
      </c>
      <c r="M1886" s="21">
        <f>COUNTIF($A$2:$A$5481,A1886)</f>
        <v>1</v>
      </c>
      <c r="N1886" s="24">
        <f t="shared" si="29"/>
        <v>47.5001886</v>
      </c>
    </row>
    <row r="1887" spans="1:14">
      <c r="A1887" s="21" t="s">
        <v>2334</v>
      </c>
      <c r="B1887" s="21" t="s">
        <v>920</v>
      </c>
      <c r="C1887" s="21" t="s">
        <v>26</v>
      </c>
      <c r="D1887" s="21" t="s">
        <v>921</v>
      </c>
      <c r="E1887" s="21">
        <v>19</v>
      </c>
      <c r="F1887" s="22">
        <v>46205.7207986111</v>
      </c>
      <c r="G1887" s="22"/>
      <c r="H1887" s="23">
        <v>45</v>
      </c>
      <c r="I1887" s="23">
        <v>16.2631578947</v>
      </c>
      <c r="J1887" s="24">
        <v>308.94</v>
      </c>
      <c r="K1887" s="21">
        <v>0</v>
      </c>
      <c r="L1887" s="21">
        <v>0</v>
      </c>
      <c r="M1887" s="21">
        <f>COUNTIF($A$2:$A$5481,A1887)</f>
        <v>1</v>
      </c>
      <c r="N1887" s="24">
        <f t="shared" si="29"/>
        <v>308.9401887</v>
      </c>
    </row>
    <row r="1888" spans="1:14">
      <c r="A1888" s="21" t="s">
        <v>2335</v>
      </c>
      <c r="B1888" s="21" t="s">
        <v>920</v>
      </c>
      <c r="C1888" s="21" t="s">
        <v>26</v>
      </c>
      <c r="D1888" s="21" t="s">
        <v>921</v>
      </c>
      <c r="E1888" s="21">
        <v>6</v>
      </c>
      <c r="F1888" s="22">
        <v>45810.8436342593</v>
      </c>
      <c r="G1888" s="22"/>
      <c r="H1888" s="23">
        <v>96</v>
      </c>
      <c r="I1888" s="23">
        <v>16</v>
      </c>
      <c r="J1888" s="24">
        <v>96</v>
      </c>
      <c r="K1888" s="21">
        <v>0</v>
      </c>
      <c r="L1888" s="21">
        <v>0</v>
      </c>
      <c r="M1888" s="21">
        <f>COUNTIF($A$2:$A$5481,A1888)</f>
        <v>1</v>
      </c>
      <c r="N1888" s="24">
        <f t="shared" si="29"/>
        <v>96.0001888</v>
      </c>
    </row>
    <row r="1889" spans="1:14">
      <c r="A1889" s="21" t="s">
        <v>2336</v>
      </c>
      <c r="B1889" s="21" t="s">
        <v>920</v>
      </c>
      <c r="C1889" s="21" t="s">
        <v>26</v>
      </c>
      <c r="D1889" s="21" t="s">
        <v>931</v>
      </c>
      <c r="E1889" s="21">
        <v>7</v>
      </c>
      <c r="F1889" s="22">
        <v>45810.8436342593</v>
      </c>
      <c r="G1889" s="22"/>
      <c r="H1889" s="23">
        <v>83.4</v>
      </c>
      <c r="I1889" s="23">
        <v>14.05714</v>
      </c>
      <c r="J1889" s="24">
        <v>98.42</v>
      </c>
      <c r="K1889" s="21">
        <v>0</v>
      </c>
      <c r="L1889" s="21">
        <v>0</v>
      </c>
      <c r="M1889" s="21">
        <f>COUNTIF($A$2:$A$5481,A1889)</f>
        <v>1</v>
      </c>
      <c r="N1889" s="24">
        <f t="shared" si="29"/>
        <v>98.4201889</v>
      </c>
    </row>
    <row r="1890" spans="1:14">
      <c r="A1890" s="21" t="s">
        <v>2337</v>
      </c>
      <c r="B1890" s="21" t="s">
        <v>920</v>
      </c>
      <c r="C1890" s="21" t="s">
        <v>35</v>
      </c>
      <c r="D1890" s="21" t="s">
        <v>921</v>
      </c>
      <c r="E1890" s="21">
        <v>200</v>
      </c>
      <c r="F1890" s="22">
        <v>45596.7840277778</v>
      </c>
      <c r="G1890" s="22">
        <v>45471.4135532407</v>
      </c>
      <c r="H1890" s="23">
        <v>3600</v>
      </c>
      <c r="I1890" s="23">
        <v>18</v>
      </c>
      <c r="J1890" s="24">
        <v>3600</v>
      </c>
      <c r="K1890" s="21">
        <v>0</v>
      </c>
      <c r="L1890" s="21">
        <v>0</v>
      </c>
      <c r="M1890" s="21">
        <f>COUNTIF($A$2:$A$5481,A1890)</f>
        <v>1</v>
      </c>
      <c r="N1890" s="24">
        <f t="shared" si="29"/>
        <v>3600.000189</v>
      </c>
    </row>
    <row r="1891" spans="1:14">
      <c r="A1891" s="21" t="s">
        <v>2338</v>
      </c>
      <c r="B1891" s="21" t="s">
        <v>920</v>
      </c>
      <c r="C1891" s="21" t="s">
        <v>35</v>
      </c>
      <c r="D1891" s="21" t="s">
        <v>2339</v>
      </c>
      <c r="E1891" s="21">
        <v>1</v>
      </c>
      <c r="F1891" s="22">
        <v>45796.3651388889</v>
      </c>
      <c r="G1891" s="22"/>
      <c r="H1891" s="23">
        <v>88.5</v>
      </c>
      <c r="I1891" s="23">
        <v>88.5</v>
      </c>
      <c r="J1891" s="24">
        <v>88.5</v>
      </c>
      <c r="K1891" s="21">
        <v>0</v>
      </c>
      <c r="L1891" s="21">
        <v>0</v>
      </c>
      <c r="M1891" s="21">
        <f>COUNTIF($A$2:$A$5481,A1891)</f>
        <v>2</v>
      </c>
      <c r="N1891" s="24">
        <f t="shared" si="29"/>
        <v>88.5001891</v>
      </c>
    </row>
    <row r="1892" spans="1:14">
      <c r="A1892" s="21" t="s">
        <v>2338</v>
      </c>
      <c r="B1892" s="21" t="s">
        <v>920</v>
      </c>
      <c r="C1892" s="21" t="s">
        <v>390</v>
      </c>
      <c r="D1892" s="21" t="s">
        <v>2339</v>
      </c>
      <c r="E1892" s="21">
        <v>1</v>
      </c>
      <c r="F1892" s="22">
        <v>45944.6336111111</v>
      </c>
      <c r="G1892" s="22"/>
      <c r="H1892" s="23">
        <v>80</v>
      </c>
      <c r="I1892" s="23">
        <v>80</v>
      </c>
      <c r="J1892" s="24">
        <v>80</v>
      </c>
      <c r="K1892" s="21">
        <v>0</v>
      </c>
      <c r="L1892" s="21">
        <v>0</v>
      </c>
      <c r="M1892" s="21">
        <f>COUNTIF($A$2:$A$5481,A1892)</f>
        <v>2</v>
      </c>
      <c r="N1892" s="24">
        <f t="shared" si="29"/>
        <v>80.0001892</v>
      </c>
    </row>
    <row r="1893" spans="1:14">
      <c r="A1893" s="21" t="s">
        <v>2340</v>
      </c>
      <c r="B1893" s="21" t="s">
        <v>920</v>
      </c>
      <c r="C1893" s="21" t="s">
        <v>26</v>
      </c>
      <c r="D1893" s="21" t="s">
        <v>921</v>
      </c>
      <c r="E1893" s="21">
        <v>2</v>
      </c>
      <c r="F1893" s="22">
        <v>46254.7228703704</v>
      </c>
      <c r="G1893" s="22"/>
      <c r="H1893" s="23">
        <v>338.38</v>
      </c>
      <c r="I1893" s="23">
        <v>169.19</v>
      </c>
      <c r="J1893" s="24">
        <v>338.38</v>
      </c>
      <c r="K1893" s="21">
        <v>0</v>
      </c>
      <c r="L1893" s="21">
        <v>0</v>
      </c>
      <c r="M1893" s="21">
        <f>COUNTIF($A$2:$A$5481,A1893)</f>
        <v>1</v>
      </c>
      <c r="N1893" s="24">
        <f t="shared" si="29"/>
        <v>338.3801893</v>
      </c>
    </row>
    <row r="1894" spans="1:14">
      <c r="A1894" s="21" t="s">
        <v>2341</v>
      </c>
      <c r="B1894" s="21" t="s">
        <v>920</v>
      </c>
      <c r="C1894" s="21" t="s">
        <v>35</v>
      </c>
      <c r="D1894" s="21" t="s">
        <v>921</v>
      </c>
      <c r="E1894" s="21">
        <v>8</v>
      </c>
      <c r="F1894" s="22">
        <v>45534.4153935185</v>
      </c>
      <c r="G1894" s="22"/>
      <c r="H1894" s="23">
        <v>278.4</v>
      </c>
      <c r="I1894" s="23">
        <v>34.8</v>
      </c>
      <c r="J1894" s="24">
        <v>278.4</v>
      </c>
      <c r="K1894" s="21">
        <v>0</v>
      </c>
      <c r="L1894" s="21">
        <v>0</v>
      </c>
      <c r="M1894" s="21">
        <f>COUNTIF($A$2:$A$5481,A1894)</f>
        <v>1</v>
      </c>
      <c r="N1894" s="24">
        <f t="shared" si="29"/>
        <v>278.4001894</v>
      </c>
    </row>
    <row r="1895" spans="1:14">
      <c r="A1895" s="21" t="s">
        <v>2342</v>
      </c>
      <c r="B1895" s="21" t="s">
        <v>1342</v>
      </c>
      <c r="C1895" s="21" t="s">
        <v>26</v>
      </c>
      <c r="D1895" s="21" t="s">
        <v>2339</v>
      </c>
      <c r="E1895" s="21">
        <v>0</v>
      </c>
      <c r="F1895" s="22">
        <v>45440.3612152778</v>
      </c>
      <c r="G1895" s="22">
        <v>45440.3641319444</v>
      </c>
      <c r="H1895" s="23">
        <v>147</v>
      </c>
      <c r="I1895" s="23">
        <v>0</v>
      </c>
      <c r="J1895" s="24">
        <v>0</v>
      </c>
      <c r="K1895" s="21">
        <v>0</v>
      </c>
      <c r="L1895" s="21">
        <v>0</v>
      </c>
      <c r="M1895" s="21">
        <f>COUNTIF($A$2:$A$5481,A1895)</f>
        <v>1</v>
      </c>
      <c r="N1895" s="24">
        <f t="shared" si="29"/>
        <v>0.0001895</v>
      </c>
    </row>
    <row r="1896" spans="1:14">
      <c r="A1896" s="21" t="s">
        <v>2343</v>
      </c>
      <c r="B1896" s="21" t="s">
        <v>920</v>
      </c>
      <c r="C1896" s="21" t="s">
        <v>26</v>
      </c>
      <c r="D1896" s="21" t="s">
        <v>921</v>
      </c>
      <c r="E1896" s="21">
        <v>3</v>
      </c>
      <c r="F1896" s="22">
        <v>45407.7394444444</v>
      </c>
      <c r="G1896" s="22"/>
      <c r="H1896" s="23">
        <v>54</v>
      </c>
      <c r="I1896" s="23">
        <v>18</v>
      </c>
      <c r="J1896" s="24">
        <v>54</v>
      </c>
      <c r="K1896" s="21">
        <v>0</v>
      </c>
      <c r="L1896" s="21">
        <v>0</v>
      </c>
      <c r="M1896" s="21">
        <f>COUNTIF($A$2:$A$5481,A1896)</f>
        <v>1</v>
      </c>
      <c r="N1896" s="24">
        <f t="shared" si="29"/>
        <v>54.0001896</v>
      </c>
    </row>
    <row r="1897" spans="1:14">
      <c r="A1897" s="21" t="s">
        <v>2344</v>
      </c>
      <c r="B1897" s="21" t="s">
        <v>920</v>
      </c>
      <c r="C1897" s="21" t="s">
        <v>26</v>
      </c>
      <c r="D1897" s="21" t="s">
        <v>921</v>
      </c>
      <c r="E1897" s="21">
        <v>2</v>
      </c>
      <c r="F1897" s="22">
        <v>45687.4322453704</v>
      </c>
      <c r="G1897" s="22"/>
      <c r="H1897" s="23">
        <v>61.8</v>
      </c>
      <c r="I1897" s="23">
        <v>30.9</v>
      </c>
      <c r="J1897" s="24">
        <v>61.8</v>
      </c>
      <c r="K1897" s="21">
        <v>0</v>
      </c>
      <c r="L1897" s="21">
        <v>0</v>
      </c>
      <c r="M1897" s="21">
        <f>COUNTIF($A$2:$A$5481,A1897)</f>
        <v>1</v>
      </c>
      <c r="N1897" s="24">
        <f t="shared" si="29"/>
        <v>61.8001897</v>
      </c>
    </row>
    <row r="1898" spans="1:14">
      <c r="A1898" s="21" t="s">
        <v>2345</v>
      </c>
      <c r="B1898" s="21" t="s">
        <v>920</v>
      </c>
      <c r="C1898" s="21" t="s">
        <v>26</v>
      </c>
      <c r="D1898" s="21" t="s">
        <v>921</v>
      </c>
      <c r="E1898" s="21">
        <v>2</v>
      </c>
      <c r="F1898" s="22">
        <v>45573.3513888889</v>
      </c>
      <c r="G1898" s="22"/>
      <c r="H1898" s="23">
        <v>67.8</v>
      </c>
      <c r="I1898" s="23">
        <v>33.9</v>
      </c>
      <c r="J1898" s="24">
        <v>67.8</v>
      </c>
      <c r="K1898" s="21">
        <v>0</v>
      </c>
      <c r="L1898" s="21">
        <v>0</v>
      </c>
      <c r="M1898" s="21">
        <f>COUNTIF($A$2:$A$5481,A1898)</f>
        <v>1</v>
      </c>
      <c r="N1898" s="24">
        <f t="shared" si="29"/>
        <v>67.8001898</v>
      </c>
    </row>
    <row r="1899" spans="1:14">
      <c r="A1899" s="21" t="s">
        <v>2346</v>
      </c>
      <c r="B1899" s="21" t="s">
        <v>920</v>
      </c>
      <c r="C1899" s="21" t="s">
        <v>26</v>
      </c>
      <c r="D1899" s="21" t="s">
        <v>921</v>
      </c>
      <c r="E1899" s="21">
        <v>1</v>
      </c>
      <c r="F1899" s="22">
        <v>46104.6831365741</v>
      </c>
      <c r="G1899" s="22"/>
      <c r="H1899" s="23">
        <v>492</v>
      </c>
      <c r="I1899" s="23">
        <v>492</v>
      </c>
      <c r="J1899" s="24">
        <v>492</v>
      </c>
      <c r="K1899" s="21">
        <v>0</v>
      </c>
      <c r="L1899" s="21">
        <v>0</v>
      </c>
      <c r="M1899" s="21">
        <f>COUNTIF($A$2:$A$5481,A1899)</f>
        <v>1</v>
      </c>
      <c r="N1899" s="24">
        <f t="shared" si="29"/>
        <v>492.0001899</v>
      </c>
    </row>
    <row r="1900" spans="1:14">
      <c r="A1900" s="21" t="s">
        <v>823</v>
      </c>
      <c r="B1900" s="21" t="s">
        <v>920</v>
      </c>
      <c r="C1900" s="21" t="s">
        <v>26</v>
      </c>
      <c r="D1900" s="21" t="s">
        <v>921</v>
      </c>
      <c r="E1900" s="21">
        <v>13</v>
      </c>
      <c r="F1900" s="22">
        <v>46227.6832060185</v>
      </c>
      <c r="G1900" s="22">
        <v>46265.5795486111</v>
      </c>
      <c r="H1900" s="23">
        <v>69.8</v>
      </c>
      <c r="I1900" s="23">
        <v>30.6</v>
      </c>
      <c r="J1900" s="24">
        <v>397.8</v>
      </c>
      <c r="K1900" s="21">
        <v>2</v>
      </c>
      <c r="L1900" s="21">
        <v>20</v>
      </c>
      <c r="M1900" s="21">
        <f>COUNTIF($A$2:$A$5481,A1900)</f>
        <v>2</v>
      </c>
      <c r="N1900" s="24">
        <f t="shared" si="29"/>
        <v>397.80019</v>
      </c>
    </row>
    <row r="1901" spans="1:14">
      <c r="A1901" s="21" t="s">
        <v>823</v>
      </c>
      <c r="B1901" s="21" t="s">
        <v>920</v>
      </c>
      <c r="C1901" s="21" t="s">
        <v>35</v>
      </c>
      <c r="D1901" s="21" t="s">
        <v>921</v>
      </c>
      <c r="E1901" s="21">
        <v>10</v>
      </c>
      <c r="F1901" s="22">
        <v>46260.4958333333</v>
      </c>
      <c r="G1901" s="22">
        <v>45341.4917013889</v>
      </c>
      <c r="H1901" s="23">
        <v>96</v>
      </c>
      <c r="I1901" s="23">
        <v>28.85</v>
      </c>
      <c r="J1901" s="24">
        <v>288.5</v>
      </c>
      <c r="K1901" s="21">
        <v>2</v>
      </c>
      <c r="L1901" s="21">
        <v>20</v>
      </c>
      <c r="M1901" s="21">
        <f>COUNTIF($A$2:$A$5481,A1901)</f>
        <v>2</v>
      </c>
      <c r="N1901" s="24">
        <f t="shared" si="29"/>
        <v>288.5001901</v>
      </c>
    </row>
    <row r="1902" spans="1:14">
      <c r="A1902" s="21" t="s">
        <v>393</v>
      </c>
      <c r="B1902" s="21" t="s">
        <v>920</v>
      </c>
      <c r="C1902" s="21" t="s">
        <v>26</v>
      </c>
      <c r="D1902" s="21" t="s">
        <v>2339</v>
      </c>
      <c r="E1902" s="21">
        <v>0</v>
      </c>
      <c r="F1902" s="22">
        <v>45992.5695601852</v>
      </c>
      <c r="G1902" s="22">
        <v>46172.3916666667</v>
      </c>
      <c r="H1902" s="23">
        <v>2650.5</v>
      </c>
      <c r="I1902" s="23">
        <v>17.9728571429</v>
      </c>
      <c r="J1902" s="24">
        <v>0</v>
      </c>
      <c r="K1902" s="21">
        <v>0</v>
      </c>
      <c r="L1902" s="21">
        <v>0</v>
      </c>
      <c r="M1902" s="21">
        <f>COUNTIF($A$2:$A$5481,A1902)</f>
        <v>2</v>
      </c>
      <c r="N1902" s="24">
        <f t="shared" si="29"/>
        <v>0.0001902</v>
      </c>
    </row>
    <row r="1903" spans="1:14">
      <c r="A1903" s="21" t="s">
        <v>393</v>
      </c>
      <c r="B1903" s="21" t="s">
        <v>920</v>
      </c>
      <c r="C1903" s="21" t="s">
        <v>35</v>
      </c>
      <c r="D1903" s="21" t="s">
        <v>2339</v>
      </c>
      <c r="E1903" s="21">
        <v>1200</v>
      </c>
      <c r="F1903" s="22">
        <v>46182.6928703704</v>
      </c>
      <c r="G1903" s="22">
        <v>45482.4732523148</v>
      </c>
      <c r="H1903" s="23">
        <v>4632</v>
      </c>
      <c r="I1903" s="23">
        <v>19.09666625</v>
      </c>
      <c r="J1903" s="24">
        <v>22920</v>
      </c>
      <c r="K1903" s="21">
        <v>0</v>
      </c>
      <c r="L1903" s="21">
        <v>0</v>
      </c>
      <c r="M1903" s="21">
        <f>COUNTIF($A$2:$A$5481,A1903)</f>
        <v>2</v>
      </c>
      <c r="N1903" s="24">
        <f t="shared" si="29"/>
        <v>22920.0001903</v>
      </c>
    </row>
    <row r="1904" spans="1:14">
      <c r="A1904" s="21" t="s">
        <v>2347</v>
      </c>
      <c r="B1904" s="21" t="s">
        <v>920</v>
      </c>
      <c r="C1904" s="21" t="s">
        <v>26</v>
      </c>
      <c r="D1904" s="21" t="s">
        <v>921</v>
      </c>
      <c r="E1904" s="21">
        <v>15</v>
      </c>
      <c r="F1904" s="22">
        <v>45708.5692013889</v>
      </c>
      <c r="G1904" s="22">
        <v>45890.376099537</v>
      </c>
      <c r="H1904" s="23">
        <v>288</v>
      </c>
      <c r="I1904" s="23">
        <v>50.375</v>
      </c>
      <c r="J1904" s="24">
        <v>755.7</v>
      </c>
      <c r="K1904" s="21">
        <v>0</v>
      </c>
      <c r="L1904" s="21">
        <v>0</v>
      </c>
      <c r="M1904" s="21">
        <f>COUNTIF($A$2:$A$5481,A1904)</f>
        <v>1</v>
      </c>
      <c r="N1904" s="24">
        <f t="shared" si="29"/>
        <v>755.7001904</v>
      </c>
    </row>
    <row r="1905" spans="1:14">
      <c r="A1905" s="21" t="s">
        <v>267</v>
      </c>
      <c r="B1905" s="21" t="s">
        <v>26</v>
      </c>
      <c r="C1905" s="21" t="s">
        <v>414</v>
      </c>
      <c r="D1905" s="21" t="s">
        <v>921</v>
      </c>
      <c r="E1905" s="21">
        <v>5</v>
      </c>
      <c r="F1905" s="22">
        <v>45274.8437962963</v>
      </c>
      <c r="G1905" s="22">
        <v>45455.4892939815</v>
      </c>
      <c r="H1905" s="23">
        <v>460</v>
      </c>
      <c r="I1905" s="23">
        <v>46</v>
      </c>
      <c r="J1905" s="24">
        <v>230</v>
      </c>
      <c r="K1905" s="21">
        <v>0</v>
      </c>
      <c r="L1905" s="21">
        <v>0</v>
      </c>
      <c r="M1905" s="21">
        <f>COUNTIF($A$2:$A$5481,A1905)</f>
        <v>2</v>
      </c>
      <c r="N1905" s="24">
        <f t="shared" si="29"/>
        <v>230.0001905</v>
      </c>
    </row>
    <row r="1906" spans="1:14">
      <c r="A1906" s="21" t="s">
        <v>267</v>
      </c>
      <c r="B1906" s="21" t="s">
        <v>26</v>
      </c>
      <c r="C1906" s="21" t="s">
        <v>26</v>
      </c>
      <c r="D1906" s="21" t="s">
        <v>921</v>
      </c>
      <c r="E1906" s="21">
        <v>87</v>
      </c>
      <c r="F1906" s="22">
        <v>46239.7078703704</v>
      </c>
      <c r="G1906" s="22">
        <v>46072.4382291667</v>
      </c>
      <c r="H1906" s="23">
        <v>240</v>
      </c>
      <c r="I1906" s="23">
        <v>52.0979418824</v>
      </c>
      <c r="J1906" s="24">
        <v>4532.7</v>
      </c>
      <c r="K1906" s="21">
        <v>0</v>
      </c>
      <c r="L1906" s="21">
        <v>0</v>
      </c>
      <c r="M1906" s="21">
        <f>COUNTIF($A$2:$A$5481,A1906)</f>
        <v>2</v>
      </c>
      <c r="N1906" s="24">
        <f t="shared" si="29"/>
        <v>4532.7001906</v>
      </c>
    </row>
    <row r="1907" spans="1:14">
      <c r="A1907" s="21" t="s">
        <v>2348</v>
      </c>
      <c r="B1907" s="21" t="s">
        <v>920</v>
      </c>
      <c r="C1907" s="21" t="s">
        <v>26</v>
      </c>
      <c r="D1907" s="21" t="s">
        <v>921</v>
      </c>
      <c r="E1907" s="21">
        <v>9</v>
      </c>
      <c r="F1907" s="22">
        <v>46008.3372106482</v>
      </c>
      <c r="G1907" s="22">
        <v>45537.8658564815</v>
      </c>
      <c r="H1907" s="23">
        <v>140</v>
      </c>
      <c r="I1907" s="23">
        <v>48.3333333333</v>
      </c>
      <c r="J1907" s="24">
        <v>434.97</v>
      </c>
      <c r="K1907" s="21">
        <v>0</v>
      </c>
      <c r="L1907" s="21">
        <v>0</v>
      </c>
      <c r="M1907" s="21">
        <f>COUNTIF($A$2:$A$5481,A1907)</f>
        <v>1</v>
      </c>
      <c r="N1907" s="24">
        <f t="shared" si="29"/>
        <v>434.9701907</v>
      </c>
    </row>
    <row r="1908" spans="1:14">
      <c r="A1908" s="21" t="s">
        <v>2349</v>
      </c>
      <c r="B1908" s="21" t="s">
        <v>920</v>
      </c>
      <c r="C1908" s="21" t="s">
        <v>35</v>
      </c>
      <c r="D1908" s="21" t="s">
        <v>921</v>
      </c>
      <c r="E1908" s="21">
        <v>3</v>
      </c>
      <c r="F1908" s="22">
        <v>45377.8652777778</v>
      </c>
      <c r="G1908" s="22"/>
      <c r="H1908" s="23">
        <v>161.7</v>
      </c>
      <c r="I1908" s="23">
        <v>53.9</v>
      </c>
      <c r="J1908" s="24">
        <v>161.7</v>
      </c>
      <c r="K1908" s="21">
        <v>0</v>
      </c>
      <c r="L1908" s="21">
        <v>0</v>
      </c>
      <c r="M1908" s="21">
        <f>COUNTIF($A$2:$A$5481,A1908)</f>
        <v>1</v>
      </c>
      <c r="N1908" s="24">
        <f t="shared" si="29"/>
        <v>161.7001908</v>
      </c>
    </row>
    <row r="1909" spans="1:14">
      <c r="A1909" s="21" t="s">
        <v>2350</v>
      </c>
      <c r="B1909" s="21" t="s">
        <v>949</v>
      </c>
      <c r="C1909" s="21" t="s">
        <v>26</v>
      </c>
      <c r="D1909" s="21" t="s">
        <v>921</v>
      </c>
      <c r="E1909" s="21">
        <v>20</v>
      </c>
      <c r="F1909" s="22">
        <v>46125.3743055556</v>
      </c>
      <c r="G1909" s="22"/>
      <c r="H1909" s="23">
        <v>149</v>
      </c>
      <c r="I1909" s="23">
        <v>7.45</v>
      </c>
      <c r="J1909" s="24">
        <v>149</v>
      </c>
      <c r="K1909" s="21">
        <v>0</v>
      </c>
      <c r="L1909" s="21">
        <v>0</v>
      </c>
      <c r="M1909" s="21">
        <f>COUNTIF($A$2:$A$5481,A1909)</f>
        <v>1</v>
      </c>
      <c r="N1909" s="24">
        <f t="shared" si="29"/>
        <v>149.0001909</v>
      </c>
    </row>
    <row r="1910" spans="1:14">
      <c r="A1910" s="21" t="s">
        <v>436</v>
      </c>
      <c r="B1910" s="21" t="s">
        <v>929</v>
      </c>
      <c r="C1910" s="21" t="s">
        <v>414</v>
      </c>
      <c r="D1910" s="21" t="s">
        <v>921</v>
      </c>
      <c r="E1910" s="21">
        <v>1</v>
      </c>
      <c r="F1910" s="22">
        <v>45813.4411805556</v>
      </c>
      <c r="G1910" s="22">
        <v>46203.6506134259</v>
      </c>
      <c r="H1910" s="23">
        <v>2549.8</v>
      </c>
      <c r="I1910" s="23">
        <v>1274.9</v>
      </c>
      <c r="J1910" s="24">
        <v>1274.9</v>
      </c>
      <c r="K1910" s="21">
        <v>0</v>
      </c>
      <c r="L1910" s="21">
        <v>0</v>
      </c>
      <c r="M1910" s="21">
        <f>COUNTIF($A$2:$A$5481,A1910)</f>
        <v>1</v>
      </c>
      <c r="N1910" s="24">
        <f t="shared" si="29"/>
        <v>1274.900191</v>
      </c>
    </row>
    <row r="1911" spans="1:14">
      <c r="A1911" s="21" t="s">
        <v>2351</v>
      </c>
      <c r="B1911" s="21" t="s">
        <v>929</v>
      </c>
      <c r="C1911" s="21" t="s">
        <v>26</v>
      </c>
      <c r="D1911" s="21" t="s">
        <v>921</v>
      </c>
      <c r="E1911" s="21">
        <v>4</v>
      </c>
      <c r="F1911" s="22">
        <v>46057.5859606482</v>
      </c>
      <c r="G1911" s="22"/>
      <c r="H1911" s="23">
        <v>76</v>
      </c>
      <c r="I1911" s="23">
        <v>41.5</v>
      </c>
      <c r="J1911" s="24">
        <v>166</v>
      </c>
      <c r="K1911" s="21">
        <v>0</v>
      </c>
      <c r="L1911" s="21">
        <v>0</v>
      </c>
      <c r="M1911" s="21">
        <f>COUNTIF($A$2:$A$5481,A1911)</f>
        <v>1</v>
      </c>
      <c r="N1911" s="24">
        <f t="shared" si="29"/>
        <v>166.0001911</v>
      </c>
    </row>
    <row r="1912" spans="1:14">
      <c r="A1912" s="21" t="s">
        <v>2352</v>
      </c>
      <c r="B1912" s="21" t="s">
        <v>26</v>
      </c>
      <c r="C1912" s="21" t="s">
        <v>26</v>
      </c>
      <c r="D1912" s="21" t="s">
        <v>921</v>
      </c>
      <c r="E1912" s="21">
        <v>10</v>
      </c>
      <c r="F1912" s="22">
        <v>45631.3954050926</v>
      </c>
      <c r="G1912" s="22"/>
      <c r="H1912" s="23">
        <v>104.8</v>
      </c>
      <c r="I1912" s="23">
        <v>10.48</v>
      </c>
      <c r="J1912" s="24">
        <v>104.8</v>
      </c>
      <c r="K1912" s="21">
        <v>0</v>
      </c>
      <c r="L1912" s="21">
        <v>0</v>
      </c>
      <c r="M1912" s="21">
        <f>COUNTIF($A$2:$A$5481,A1912)</f>
        <v>1</v>
      </c>
      <c r="N1912" s="24">
        <f t="shared" si="29"/>
        <v>104.8001912</v>
      </c>
    </row>
    <row r="1913" spans="1:14">
      <c r="A1913" s="21" t="s">
        <v>2353</v>
      </c>
      <c r="B1913" s="21" t="s">
        <v>26</v>
      </c>
      <c r="C1913" s="21" t="s">
        <v>26</v>
      </c>
      <c r="D1913" s="21" t="s">
        <v>921</v>
      </c>
      <c r="E1913" s="21">
        <v>22</v>
      </c>
      <c r="F1913" s="22">
        <v>46210.527025463</v>
      </c>
      <c r="G1913" s="22"/>
      <c r="H1913" s="23">
        <v>120</v>
      </c>
      <c r="I1913" s="23">
        <v>41.0536363636</v>
      </c>
      <c r="J1913" s="24">
        <v>903.1</v>
      </c>
      <c r="K1913" s="21">
        <v>0</v>
      </c>
      <c r="L1913" s="21">
        <v>0</v>
      </c>
      <c r="M1913" s="21">
        <f>COUNTIF($A$2:$A$5481,A1913)</f>
        <v>1</v>
      </c>
      <c r="N1913" s="24">
        <f t="shared" si="29"/>
        <v>903.1001913</v>
      </c>
    </row>
    <row r="1914" spans="1:14">
      <c r="A1914" s="21" t="s">
        <v>33</v>
      </c>
      <c r="B1914" s="21" t="s">
        <v>26</v>
      </c>
      <c r="C1914" s="21" t="s">
        <v>182</v>
      </c>
      <c r="D1914" s="21" t="s">
        <v>921</v>
      </c>
      <c r="E1914" s="21">
        <v>0</v>
      </c>
      <c r="F1914" s="22">
        <v>45453.8076388889</v>
      </c>
      <c r="G1914" s="22">
        <v>46253.3510185185</v>
      </c>
      <c r="H1914" s="23">
        <v>480.6</v>
      </c>
      <c r="I1914" s="23">
        <v>240.3</v>
      </c>
      <c r="J1914" s="24">
        <v>0</v>
      </c>
      <c r="K1914" s="21">
        <v>0</v>
      </c>
      <c r="L1914" s="21">
        <v>0</v>
      </c>
      <c r="M1914" s="21">
        <f>COUNTIF($A$2:$A$5481,A1914)</f>
        <v>2</v>
      </c>
      <c r="N1914" s="24">
        <f t="shared" si="29"/>
        <v>0.0001914</v>
      </c>
    </row>
    <row r="1915" spans="1:14">
      <c r="A1915" s="21" t="s">
        <v>33</v>
      </c>
      <c r="B1915" s="21" t="s">
        <v>26</v>
      </c>
      <c r="C1915" s="21" t="s">
        <v>26</v>
      </c>
      <c r="D1915" s="21" t="s">
        <v>921</v>
      </c>
      <c r="E1915" s="21">
        <v>5</v>
      </c>
      <c r="F1915" s="22">
        <v>46182.6715740741</v>
      </c>
      <c r="G1915" s="22">
        <v>46253.3533101852</v>
      </c>
      <c r="H1915" s="23">
        <v>968</v>
      </c>
      <c r="I1915" s="23">
        <v>279.3</v>
      </c>
      <c r="J1915" s="24">
        <v>1396.5</v>
      </c>
      <c r="K1915" s="21">
        <v>0</v>
      </c>
      <c r="L1915" s="21">
        <v>0</v>
      </c>
      <c r="M1915" s="21">
        <f>COUNTIF($A$2:$A$5481,A1915)</f>
        <v>2</v>
      </c>
      <c r="N1915" s="24">
        <f t="shared" si="29"/>
        <v>1396.5001915</v>
      </c>
    </row>
    <row r="1916" spans="1:14">
      <c r="A1916" s="21" t="s">
        <v>680</v>
      </c>
      <c r="B1916" s="21" t="s">
        <v>26</v>
      </c>
      <c r="C1916" s="21" t="s">
        <v>26</v>
      </c>
      <c r="D1916" s="21" t="s">
        <v>921</v>
      </c>
      <c r="E1916" s="21">
        <v>0</v>
      </c>
      <c r="F1916" s="22">
        <v>45889.7944097222</v>
      </c>
      <c r="G1916" s="22">
        <v>46252.5687037037</v>
      </c>
      <c r="H1916" s="23">
        <v>10.59</v>
      </c>
      <c r="I1916" s="23">
        <v>10.59</v>
      </c>
      <c r="J1916" s="24">
        <v>0</v>
      </c>
      <c r="K1916" s="21">
        <v>0</v>
      </c>
      <c r="L1916" s="21">
        <v>0</v>
      </c>
      <c r="M1916" s="21">
        <f>COUNTIF($A$2:$A$5481,A1916)</f>
        <v>1</v>
      </c>
      <c r="N1916" s="24">
        <f t="shared" si="29"/>
        <v>0.0001916</v>
      </c>
    </row>
    <row r="1917" spans="1:14">
      <c r="A1917" s="21" t="s">
        <v>531</v>
      </c>
      <c r="B1917" s="21" t="s">
        <v>26</v>
      </c>
      <c r="C1917" s="21" t="s">
        <v>26</v>
      </c>
      <c r="D1917" s="21" t="s">
        <v>921</v>
      </c>
      <c r="E1917" s="21">
        <v>37</v>
      </c>
      <c r="F1917" s="22">
        <v>45887.3634953704</v>
      </c>
      <c r="G1917" s="22">
        <v>46247.4376041667</v>
      </c>
      <c r="H1917" s="23">
        <v>167.2</v>
      </c>
      <c r="I1917" s="23">
        <v>8.3394736842</v>
      </c>
      <c r="J1917" s="24">
        <v>308.58</v>
      </c>
      <c r="K1917" s="21">
        <v>0</v>
      </c>
      <c r="L1917" s="21">
        <v>0</v>
      </c>
      <c r="M1917" s="21">
        <f>COUNTIF($A$2:$A$5481,A1917)</f>
        <v>1</v>
      </c>
      <c r="N1917" s="24">
        <f t="shared" si="29"/>
        <v>308.5801917</v>
      </c>
    </row>
    <row r="1918" spans="1:14">
      <c r="A1918" s="21" t="s">
        <v>2354</v>
      </c>
      <c r="B1918" s="21" t="s">
        <v>929</v>
      </c>
      <c r="C1918" s="21" t="s">
        <v>414</v>
      </c>
      <c r="D1918" s="21" t="s">
        <v>921</v>
      </c>
      <c r="E1918" s="21">
        <v>4</v>
      </c>
      <c r="F1918" s="22">
        <v>45294.8292708333</v>
      </c>
      <c r="G1918" s="22"/>
      <c r="H1918" s="23">
        <v>70.12</v>
      </c>
      <c r="I1918" s="23">
        <v>17.53</v>
      </c>
      <c r="J1918" s="24">
        <v>70.12</v>
      </c>
      <c r="K1918" s="21">
        <v>1</v>
      </c>
      <c r="L1918" s="21">
        <v>10</v>
      </c>
      <c r="M1918" s="21">
        <f>COUNTIF($A$2:$A$5481,A1918)</f>
        <v>1</v>
      </c>
      <c r="N1918" s="24">
        <f t="shared" si="29"/>
        <v>70.1201918</v>
      </c>
    </row>
    <row r="1919" spans="1:14">
      <c r="A1919" s="21" t="s">
        <v>2355</v>
      </c>
      <c r="B1919" s="21" t="s">
        <v>1115</v>
      </c>
      <c r="C1919" s="21" t="s">
        <v>783</v>
      </c>
      <c r="D1919" s="21" t="s">
        <v>921</v>
      </c>
      <c r="E1919" s="21">
        <v>18</v>
      </c>
      <c r="F1919" s="22">
        <v>45992.5742361111</v>
      </c>
      <c r="G1919" s="22"/>
      <c r="H1919" s="23">
        <v>106.2</v>
      </c>
      <c r="I1919" s="23">
        <v>5.9</v>
      </c>
      <c r="J1919" s="24">
        <v>106.2</v>
      </c>
      <c r="K1919" s="21">
        <v>0</v>
      </c>
      <c r="L1919" s="21">
        <v>0</v>
      </c>
      <c r="M1919" s="21">
        <f>COUNTIF($A$2:$A$5481,A1919)</f>
        <v>2</v>
      </c>
      <c r="N1919" s="24">
        <f t="shared" si="29"/>
        <v>106.2001919</v>
      </c>
    </row>
    <row r="1920" spans="1:14">
      <c r="A1920" s="21" t="s">
        <v>2355</v>
      </c>
      <c r="B1920" s="21" t="s">
        <v>1115</v>
      </c>
      <c r="C1920" s="21" t="s">
        <v>51</v>
      </c>
      <c r="D1920" s="21" t="s">
        <v>921</v>
      </c>
      <c r="E1920" s="21">
        <v>132</v>
      </c>
      <c r="F1920" s="22">
        <v>46090.5263888889</v>
      </c>
      <c r="G1920" s="22"/>
      <c r="H1920" s="23">
        <v>312.7</v>
      </c>
      <c r="I1920" s="23">
        <v>5.9</v>
      </c>
      <c r="J1920" s="24">
        <v>778.8</v>
      </c>
      <c r="K1920" s="21">
        <v>0</v>
      </c>
      <c r="L1920" s="21">
        <v>0</v>
      </c>
      <c r="M1920" s="21">
        <f>COUNTIF($A$2:$A$5481,A1920)</f>
        <v>2</v>
      </c>
      <c r="N1920" s="24">
        <f t="shared" si="29"/>
        <v>778.800192</v>
      </c>
    </row>
    <row r="1921" spans="1:14">
      <c r="A1921" s="21" t="s">
        <v>2356</v>
      </c>
      <c r="B1921" s="21" t="s">
        <v>926</v>
      </c>
      <c r="C1921" s="21" t="s">
        <v>35</v>
      </c>
      <c r="D1921" s="21" t="s">
        <v>921</v>
      </c>
      <c r="E1921" s="21">
        <v>1</v>
      </c>
      <c r="F1921" s="22">
        <v>45919.3923148148</v>
      </c>
      <c r="G1921" s="22"/>
      <c r="H1921" s="23">
        <v>120.9</v>
      </c>
      <c r="I1921" s="23">
        <v>120.9</v>
      </c>
      <c r="J1921" s="24">
        <v>120.9</v>
      </c>
      <c r="K1921" s="21">
        <v>0</v>
      </c>
      <c r="L1921" s="21">
        <v>0</v>
      </c>
      <c r="M1921" s="21">
        <f>COUNTIF($A$2:$A$5481,A1921)</f>
        <v>1</v>
      </c>
      <c r="N1921" s="24">
        <f t="shared" si="29"/>
        <v>120.9001921</v>
      </c>
    </row>
    <row r="1922" spans="1:14">
      <c r="A1922" s="21" t="s">
        <v>2357</v>
      </c>
      <c r="B1922" s="21" t="s">
        <v>929</v>
      </c>
      <c r="C1922" s="21" t="s">
        <v>26</v>
      </c>
      <c r="D1922" s="21" t="s">
        <v>921</v>
      </c>
      <c r="E1922" s="21">
        <v>1</v>
      </c>
      <c r="F1922" s="22">
        <v>45425.8341435185</v>
      </c>
      <c r="G1922" s="22"/>
      <c r="H1922" s="23">
        <v>344.9</v>
      </c>
      <c r="I1922" s="23">
        <v>344.9</v>
      </c>
      <c r="J1922" s="24">
        <v>344.9</v>
      </c>
      <c r="K1922" s="21">
        <v>0</v>
      </c>
      <c r="L1922" s="21">
        <v>0</v>
      </c>
      <c r="M1922" s="21">
        <f>COUNTIF($A$2:$A$5481,A1922)</f>
        <v>1</v>
      </c>
      <c r="N1922" s="24">
        <f t="shared" ref="N1922:N1985" si="30">J1922+ROW()/10000000</f>
        <v>344.9001922</v>
      </c>
    </row>
    <row r="1923" spans="1:14">
      <c r="A1923" s="21" t="s">
        <v>2358</v>
      </c>
      <c r="B1923" s="21" t="s">
        <v>929</v>
      </c>
      <c r="C1923" s="21" t="s">
        <v>26</v>
      </c>
      <c r="D1923" s="21" t="s">
        <v>921</v>
      </c>
      <c r="E1923" s="21">
        <v>1</v>
      </c>
      <c r="F1923" s="22">
        <v>45329.6645833333</v>
      </c>
      <c r="G1923" s="22"/>
      <c r="H1923" s="23">
        <v>172.91</v>
      </c>
      <c r="I1923" s="23">
        <v>172.91</v>
      </c>
      <c r="J1923" s="24">
        <v>172.91</v>
      </c>
      <c r="K1923" s="21">
        <v>0</v>
      </c>
      <c r="L1923" s="21">
        <v>0</v>
      </c>
      <c r="M1923" s="21">
        <f>COUNTIF($A$2:$A$5481,A1923)</f>
        <v>1</v>
      </c>
      <c r="N1923" s="24">
        <f t="shared" si="30"/>
        <v>172.9101923</v>
      </c>
    </row>
    <row r="1924" spans="1:14">
      <c r="A1924" s="21" t="s">
        <v>2359</v>
      </c>
      <c r="B1924" s="21" t="s">
        <v>929</v>
      </c>
      <c r="C1924" s="21" t="s">
        <v>26</v>
      </c>
      <c r="D1924" s="21" t="s">
        <v>921</v>
      </c>
      <c r="E1924" s="21">
        <v>2</v>
      </c>
      <c r="F1924" s="22">
        <v>45618.4052199074</v>
      </c>
      <c r="G1924" s="22"/>
      <c r="H1924" s="23">
        <v>104.9</v>
      </c>
      <c r="I1924" s="23">
        <v>120.51</v>
      </c>
      <c r="J1924" s="24">
        <v>241.02</v>
      </c>
      <c r="K1924" s="21">
        <v>0</v>
      </c>
      <c r="L1924" s="21">
        <v>0</v>
      </c>
      <c r="M1924" s="21">
        <f>COUNTIF($A$2:$A$5481,A1924)</f>
        <v>1</v>
      </c>
      <c r="N1924" s="24">
        <f t="shared" si="30"/>
        <v>241.0201924</v>
      </c>
    </row>
    <row r="1925" spans="1:14">
      <c r="A1925" s="21" t="s">
        <v>686</v>
      </c>
      <c r="B1925" s="21" t="s">
        <v>929</v>
      </c>
      <c r="C1925" s="21" t="s">
        <v>26</v>
      </c>
      <c r="D1925" s="21" t="s">
        <v>921</v>
      </c>
      <c r="E1925" s="21">
        <v>0</v>
      </c>
      <c r="F1925" s="22">
        <v>46199.7013888889</v>
      </c>
      <c r="G1925" s="22">
        <v>46252.5687847222</v>
      </c>
      <c r="H1925" s="23">
        <v>322</v>
      </c>
      <c r="I1925" s="23">
        <v>322</v>
      </c>
      <c r="J1925" s="24">
        <v>0</v>
      </c>
      <c r="K1925" s="21">
        <v>0</v>
      </c>
      <c r="L1925" s="21">
        <v>0</v>
      </c>
      <c r="M1925" s="21">
        <f>COUNTIF($A$2:$A$5481,A1925)</f>
        <v>1</v>
      </c>
      <c r="N1925" s="24">
        <f t="shared" si="30"/>
        <v>0.0001925</v>
      </c>
    </row>
    <row r="1926" spans="1:14">
      <c r="A1926" s="21" t="s">
        <v>2360</v>
      </c>
      <c r="B1926" s="21" t="s">
        <v>1352</v>
      </c>
      <c r="C1926" s="21" t="s">
        <v>51</v>
      </c>
      <c r="D1926" s="21" t="s">
        <v>921</v>
      </c>
      <c r="E1926" s="21">
        <v>1</v>
      </c>
      <c r="F1926" s="22">
        <v>45807.4692592593</v>
      </c>
      <c r="G1926" s="22"/>
      <c r="H1926" s="23">
        <v>240</v>
      </c>
      <c r="I1926" s="23">
        <v>240</v>
      </c>
      <c r="J1926" s="24">
        <v>240</v>
      </c>
      <c r="K1926" s="21">
        <v>0</v>
      </c>
      <c r="L1926" s="21">
        <v>0</v>
      </c>
      <c r="M1926" s="21">
        <f>COUNTIF($A$2:$A$5481,A1926)</f>
        <v>1</v>
      </c>
      <c r="N1926" s="24">
        <f t="shared" si="30"/>
        <v>240.0001926</v>
      </c>
    </row>
    <row r="1927" spans="1:14">
      <c r="A1927" s="21" t="s">
        <v>2361</v>
      </c>
      <c r="B1927" s="21" t="s">
        <v>920</v>
      </c>
      <c r="C1927" s="21" t="s">
        <v>26</v>
      </c>
      <c r="D1927" s="21" t="s">
        <v>921</v>
      </c>
      <c r="E1927" s="21">
        <v>1</v>
      </c>
      <c r="F1927" s="22">
        <v>46064.5692708333</v>
      </c>
      <c r="G1927" s="22"/>
      <c r="H1927" s="23">
        <v>22.05</v>
      </c>
      <c r="I1927" s="23">
        <v>22.05</v>
      </c>
      <c r="J1927" s="24">
        <v>22.05</v>
      </c>
      <c r="K1927" s="21">
        <v>0</v>
      </c>
      <c r="L1927" s="21">
        <v>0</v>
      </c>
      <c r="M1927" s="21">
        <f>COUNTIF($A$2:$A$5481,A1927)</f>
        <v>1</v>
      </c>
      <c r="N1927" s="24">
        <f t="shared" si="30"/>
        <v>22.0501927</v>
      </c>
    </row>
    <row r="1928" spans="1:14">
      <c r="A1928" s="21" t="s">
        <v>2362</v>
      </c>
      <c r="B1928" s="21" t="s">
        <v>920</v>
      </c>
      <c r="C1928" s="21" t="s">
        <v>26</v>
      </c>
      <c r="D1928" s="21" t="s">
        <v>921</v>
      </c>
      <c r="E1928" s="21">
        <v>3</v>
      </c>
      <c r="F1928" s="22">
        <v>46064.5692708333</v>
      </c>
      <c r="G1928" s="22"/>
      <c r="H1928" s="23">
        <v>62.43</v>
      </c>
      <c r="I1928" s="23">
        <v>20.81</v>
      </c>
      <c r="J1928" s="24">
        <v>62.43</v>
      </c>
      <c r="K1928" s="21">
        <v>0</v>
      </c>
      <c r="L1928" s="21">
        <v>0</v>
      </c>
      <c r="M1928" s="21">
        <f>COUNTIF($A$2:$A$5481,A1928)</f>
        <v>1</v>
      </c>
      <c r="N1928" s="24">
        <f t="shared" si="30"/>
        <v>62.4301928</v>
      </c>
    </row>
    <row r="1929" spans="1:14">
      <c r="A1929" s="21" t="s">
        <v>2363</v>
      </c>
      <c r="B1929" s="21" t="s">
        <v>920</v>
      </c>
      <c r="C1929" s="21" t="s">
        <v>26</v>
      </c>
      <c r="D1929" s="21" t="s">
        <v>921</v>
      </c>
      <c r="E1929" s="21">
        <v>102</v>
      </c>
      <c r="F1929" s="22">
        <v>45797.3438425926</v>
      </c>
      <c r="G1929" s="22"/>
      <c r="H1929" s="23">
        <v>506.94</v>
      </c>
      <c r="I1929" s="23">
        <v>4.97</v>
      </c>
      <c r="J1929" s="24">
        <v>506.94</v>
      </c>
      <c r="K1929" s="21">
        <v>0</v>
      </c>
      <c r="L1929" s="21">
        <v>0</v>
      </c>
      <c r="M1929" s="21">
        <f>COUNTIF($A$2:$A$5481,A1929)</f>
        <v>1</v>
      </c>
      <c r="N1929" s="24">
        <f t="shared" si="30"/>
        <v>506.9401929</v>
      </c>
    </row>
    <row r="1930" spans="1:14">
      <c r="A1930" s="21" t="s">
        <v>2364</v>
      </c>
      <c r="B1930" s="21" t="s">
        <v>920</v>
      </c>
      <c r="C1930" s="21" t="s">
        <v>26</v>
      </c>
      <c r="D1930" s="21" t="s">
        <v>921</v>
      </c>
      <c r="E1930" s="21">
        <v>418</v>
      </c>
      <c r="F1930" s="22">
        <v>45797.3438425926</v>
      </c>
      <c r="G1930" s="22"/>
      <c r="H1930" s="23">
        <v>947.58</v>
      </c>
      <c r="I1930" s="23">
        <v>6.47703</v>
      </c>
      <c r="J1930" s="24">
        <v>2708.64</v>
      </c>
      <c r="K1930" s="21">
        <v>0</v>
      </c>
      <c r="L1930" s="21">
        <v>0</v>
      </c>
      <c r="M1930" s="21">
        <f>COUNTIF($A$2:$A$5481,A1930)</f>
        <v>1</v>
      </c>
      <c r="N1930" s="24">
        <f t="shared" si="30"/>
        <v>2708.640193</v>
      </c>
    </row>
    <row r="1931" spans="1:14">
      <c r="A1931" s="21" t="s">
        <v>721</v>
      </c>
      <c r="B1931" s="21" t="s">
        <v>1175</v>
      </c>
      <c r="C1931" s="21" t="s">
        <v>26</v>
      </c>
      <c r="D1931" s="21" t="s">
        <v>921</v>
      </c>
      <c r="E1931" s="21">
        <v>0</v>
      </c>
      <c r="F1931" s="22">
        <v>46120.6722222222</v>
      </c>
      <c r="G1931" s="22">
        <v>46252.5692013889</v>
      </c>
      <c r="H1931" s="23">
        <v>3324</v>
      </c>
      <c r="I1931" s="23">
        <v>557.9422222222</v>
      </c>
      <c r="J1931" s="24">
        <v>0</v>
      </c>
      <c r="K1931" s="21">
        <v>0</v>
      </c>
      <c r="L1931" s="21">
        <v>0</v>
      </c>
      <c r="M1931" s="21">
        <f>COUNTIF($A$2:$A$5481,A1931)</f>
        <v>1</v>
      </c>
      <c r="N1931" s="24">
        <f t="shared" si="30"/>
        <v>0.0001931</v>
      </c>
    </row>
    <row r="1932" spans="1:14">
      <c r="A1932" s="21" t="s">
        <v>720</v>
      </c>
      <c r="B1932" s="21" t="s">
        <v>1175</v>
      </c>
      <c r="C1932" s="21" t="s">
        <v>26</v>
      </c>
      <c r="D1932" s="21" t="s">
        <v>921</v>
      </c>
      <c r="E1932" s="21">
        <v>0</v>
      </c>
      <c r="F1932" s="22">
        <v>46218.6147916667</v>
      </c>
      <c r="G1932" s="22">
        <v>46252.5691898148</v>
      </c>
      <c r="H1932" s="23">
        <v>1070.37</v>
      </c>
      <c r="I1932" s="23">
        <v>1070.37</v>
      </c>
      <c r="J1932" s="24">
        <v>0</v>
      </c>
      <c r="K1932" s="21">
        <v>0</v>
      </c>
      <c r="L1932" s="21">
        <v>0</v>
      </c>
      <c r="M1932" s="21">
        <f>COUNTIF($A$2:$A$5481,A1932)</f>
        <v>1</v>
      </c>
      <c r="N1932" s="24">
        <f t="shared" si="30"/>
        <v>0.0001932</v>
      </c>
    </row>
    <row r="1933" spans="1:14">
      <c r="A1933" s="21" t="s">
        <v>2365</v>
      </c>
      <c r="B1933" s="21" t="s">
        <v>26</v>
      </c>
      <c r="C1933" s="21" t="s">
        <v>26</v>
      </c>
      <c r="D1933" s="21" t="s">
        <v>921</v>
      </c>
      <c r="E1933" s="21">
        <v>1</v>
      </c>
      <c r="F1933" s="22">
        <v>45922.4727777778</v>
      </c>
      <c r="G1933" s="22"/>
      <c r="H1933" s="23">
        <v>104.19</v>
      </c>
      <c r="I1933" s="23">
        <v>104.19</v>
      </c>
      <c r="J1933" s="24">
        <v>104.19</v>
      </c>
      <c r="K1933" s="21">
        <v>0</v>
      </c>
      <c r="L1933" s="21">
        <v>0</v>
      </c>
      <c r="M1933" s="21">
        <f>COUNTIF($A$2:$A$5481,A1933)</f>
        <v>1</v>
      </c>
      <c r="N1933" s="24">
        <f t="shared" si="30"/>
        <v>104.1901933</v>
      </c>
    </row>
    <row r="1934" spans="1:14">
      <c r="A1934" s="21" t="s">
        <v>2366</v>
      </c>
      <c r="B1934" s="21" t="s">
        <v>26</v>
      </c>
      <c r="C1934" s="21" t="s">
        <v>26</v>
      </c>
      <c r="D1934" s="21" t="s">
        <v>921</v>
      </c>
      <c r="E1934" s="21">
        <v>1</v>
      </c>
      <c r="F1934" s="22">
        <v>45922.4727777778</v>
      </c>
      <c r="G1934" s="22"/>
      <c r="H1934" s="23">
        <v>54.95</v>
      </c>
      <c r="I1934" s="23">
        <v>54.95</v>
      </c>
      <c r="J1934" s="24">
        <v>54.95</v>
      </c>
      <c r="K1934" s="21">
        <v>0</v>
      </c>
      <c r="L1934" s="21">
        <v>0</v>
      </c>
      <c r="M1934" s="21">
        <f>COUNTIF($A$2:$A$5481,A1934)</f>
        <v>1</v>
      </c>
      <c r="N1934" s="24">
        <f t="shared" si="30"/>
        <v>54.9501934</v>
      </c>
    </row>
    <row r="1935" spans="1:14">
      <c r="A1935" s="21" t="s">
        <v>2367</v>
      </c>
      <c r="B1935" s="21" t="s">
        <v>929</v>
      </c>
      <c r="C1935" s="21" t="s">
        <v>35</v>
      </c>
      <c r="D1935" s="21" t="s">
        <v>921</v>
      </c>
      <c r="E1935" s="21">
        <v>1</v>
      </c>
      <c r="F1935" s="22">
        <v>45421.4209027778</v>
      </c>
      <c r="G1935" s="22"/>
      <c r="H1935" s="23">
        <v>50.76</v>
      </c>
      <c r="I1935" s="23">
        <v>50.76</v>
      </c>
      <c r="J1935" s="24">
        <v>50.76</v>
      </c>
      <c r="K1935" s="21">
        <v>0</v>
      </c>
      <c r="L1935" s="21">
        <v>0</v>
      </c>
      <c r="M1935" s="21">
        <f>COUNTIF($A$2:$A$5481,A1935)</f>
        <v>1</v>
      </c>
      <c r="N1935" s="24">
        <f t="shared" si="30"/>
        <v>50.7601935</v>
      </c>
    </row>
    <row r="1936" spans="1:14">
      <c r="A1936" s="21" t="s">
        <v>2368</v>
      </c>
      <c r="B1936" s="21" t="s">
        <v>929</v>
      </c>
      <c r="C1936" s="21" t="s">
        <v>26</v>
      </c>
      <c r="D1936" s="21" t="s">
        <v>921</v>
      </c>
      <c r="E1936" s="21">
        <v>6</v>
      </c>
      <c r="F1936" s="22">
        <v>46239.5992013889</v>
      </c>
      <c r="G1936" s="22"/>
      <c r="H1936" s="23">
        <v>6.74</v>
      </c>
      <c r="I1936" s="23">
        <v>12.3566666667</v>
      </c>
      <c r="J1936" s="24">
        <v>74.16</v>
      </c>
      <c r="K1936" s="21">
        <v>0</v>
      </c>
      <c r="L1936" s="21">
        <v>0</v>
      </c>
      <c r="M1936" s="21">
        <f>COUNTIF($A$2:$A$5481,A1936)</f>
        <v>1</v>
      </c>
      <c r="N1936" s="24">
        <f t="shared" si="30"/>
        <v>74.1601936</v>
      </c>
    </row>
    <row r="1937" spans="1:14">
      <c r="A1937" s="21" t="s">
        <v>2369</v>
      </c>
      <c r="B1937" s="21" t="s">
        <v>929</v>
      </c>
      <c r="C1937" s="21" t="s">
        <v>414</v>
      </c>
      <c r="D1937" s="21" t="s">
        <v>921</v>
      </c>
      <c r="E1937" s="21">
        <v>2</v>
      </c>
      <c r="F1937" s="22">
        <v>45321.6586342593</v>
      </c>
      <c r="G1937" s="22"/>
      <c r="H1937" s="23">
        <v>21</v>
      </c>
      <c r="I1937" s="23">
        <v>10.5</v>
      </c>
      <c r="J1937" s="24">
        <v>21</v>
      </c>
      <c r="K1937" s="21">
        <v>0</v>
      </c>
      <c r="L1937" s="21">
        <v>0</v>
      </c>
      <c r="M1937" s="21">
        <f>COUNTIF($A$2:$A$5481,A1937)</f>
        <v>2</v>
      </c>
      <c r="N1937" s="24">
        <f t="shared" si="30"/>
        <v>21.0001937</v>
      </c>
    </row>
    <row r="1938" spans="1:14">
      <c r="A1938" s="21" t="s">
        <v>2369</v>
      </c>
      <c r="B1938" s="21" t="s">
        <v>929</v>
      </c>
      <c r="C1938" s="21" t="s">
        <v>26</v>
      </c>
      <c r="D1938" s="21" t="s">
        <v>921</v>
      </c>
      <c r="E1938" s="21">
        <v>2</v>
      </c>
      <c r="F1938" s="22">
        <v>45345.4291666667</v>
      </c>
      <c r="G1938" s="22"/>
      <c r="H1938" s="23">
        <v>21</v>
      </c>
      <c r="I1938" s="23">
        <v>10.5</v>
      </c>
      <c r="J1938" s="24">
        <v>21</v>
      </c>
      <c r="K1938" s="21">
        <v>0</v>
      </c>
      <c r="L1938" s="21">
        <v>0</v>
      </c>
      <c r="M1938" s="21">
        <f>COUNTIF($A$2:$A$5481,A1938)</f>
        <v>2</v>
      </c>
      <c r="N1938" s="24">
        <f t="shared" si="30"/>
        <v>21.0001938</v>
      </c>
    </row>
    <row r="1939" spans="1:14">
      <c r="A1939" s="21" t="s">
        <v>2370</v>
      </c>
      <c r="B1939" s="21" t="s">
        <v>929</v>
      </c>
      <c r="C1939" s="21" t="s">
        <v>26</v>
      </c>
      <c r="D1939" s="21" t="s">
        <v>921</v>
      </c>
      <c r="E1939" s="21">
        <v>3</v>
      </c>
      <c r="F1939" s="22">
        <v>45903.38875</v>
      </c>
      <c r="G1939" s="22"/>
      <c r="H1939" s="23">
        <v>35.7</v>
      </c>
      <c r="I1939" s="23">
        <v>11.9</v>
      </c>
      <c r="J1939" s="24">
        <v>35.7</v>
      </c>
      <c r="K1939" s="21">
        <v>0</v>
      </c>
      <c r="L1939" s="21">
        <v>0</v>
      </c>
      <c r="M1939" s="21">
        <f>COUNTIF($A$2:$A$5481,A1939)</f>
        <v>1</v>
      </c>
      <c r="N1939" s="24">
        <f t="shared" si="30"/>
        <v>35.7001939</v>
      </c>
    </row>
    <row r="1940" spans="1:14">
      <c r="A1940" s="21" t="s">
        <v>2371</v>
      </c>
      <c r="B1940" s="21" t="s">
        <v>929</v>
      </c>
      <c r="C1940" s="21" t="s">
        <v>26</v>
      </c>
      <c r="D1940" s="21" t="s">
        <v>921</v>
      </c>
      <c r="E1940" s="21">
        <v>4</v>
      </c>
      <c r="F1940" s="22">
        <v>45967.5633449074</v>
      </c>
      <c r="G1940" s="22"/>
      <c r="H1940" s="23">
        <v>40.96</v>
      </c>
      <c r="I1940" s="23">
        <v>10.24</v>
      </c>
      <c r="J1940" s="24">
        <v>40.96</v>
      </c>
      <c r="K1940" s="21">
        <v>0</v>
      </c>
      <c r="L1940" s="21">
        <v>0</v>
      </c>
      <c r="M1940" s="21">
        <f>COUNTIF($A$2:$A$5481,A1940)</f>
        <v>1</v>
      </c>
      <c r="N1940" s="24">
        <f t="shared" si="30"/>
        <v>40.960194</v>
      </c>
    </row>
    <row r="1941" spans="1:14">
      <c r="A1941" s="21" t="s">
        <v>2372</v>
      </c>
      <c r="B1941" s="21" t="s">
        <v>920</v>
      </c>
      <c r="C1941" s="21" t="s">
        <v>26</v>
      </c>
      <c r="D1941" s="21" t="s">
        <v>921</v>
      </c>
      <c r="E1941" s="21">
        <v>6</v>
      </c>
      <c r="F1941" s="22">
        <v>45916.709375</v>
      </c>
      <c r="G1941" s="22"/>
      <c r="H1941" s="23">
        <v>65.94</v>
      </c>
      <c r="I1941" s="23">
        <v>21.625</v>
      </c>
      <c r="J1941" s="24">
        <v>129.78</v>
      </c>
      <c r="K1941" s="21">
        <v>0</v>
      </c>
      <c r="L1941" s="21">
        <v>0</v>
      </c>
      <c r="M1941" s="21">
        <f>COUNTIF($A$2:$A$5481,A1941)</f>
        <v>1</v>
      </c>
      <c r="N1941" s="24">
        <f t="shared" si="30"/>
        <v>129.7801941</v>
      </c>
    </row>
    <row r="1942" spans="1:14">
      <c r="A1942" s="21" t="s">
        <v>2373</v>
      </c>
      <c r="B1942" s="21" t="s">
        <v>26</v>
      </c>
      <c r="C1942" s="21" t="s">
        <v>26</v>
      </c>
      <c r="D1942" s="21" t="s">
        <v>921</v>
      </c>
      <c r="E1942" s="21">
        <v>1</v>
      </c>
      <c r="F1942" s="22">
        <v>45803.3603240741</v>
      </c>
      <c r="G1942" s="22"/>
      <c r="H1942" s="23">
        <v>17.07</v>
      </c>
      <c r="I1942" s="23">
        <v>17.07</v>
      </c>
      <c r="J1942" s="24">
        <v>17.07</v>
      </c>
      <c r="K1942" s="21">
        <v>0</v>
      </c>
      <c r="L1942" s="21">
        <v>0</v>
      </c>
      <c r="M1942" s="21">
        <f>COUNTIF($A$2:$A$5481,A1942)</f>
        <v>1</v>
      </c>
      <c r="N1942" s="24">
        <f t="shared" si="30"/>
        <v>17.0701942</v>
      </c>
    </row>
    <row r="1943" spans="1:14">
      <c r="A1943" s="21" t="s">
        <v>2374</v>
      </c>
      <c r="B1943" s="21" t="s">
        <v>26</v>
      </c>
      <c r="C1943" s="21" t="s">
        <v>26</v>
      </c>
      <c r="D1943" s="21" t="s">
        <v>921</v>
      </c>
      <c r="E1943" s="21">
        <v>2</v>
      </c>
      <c r="F1943" s="22">
        <v>45803.362962963</v>
      </c>
      <c r="G1943" s="22"/>
      <c r="H1943" s="23">
        <v>24.45</v>
      </c>
      <c r="I1943" s="23">
        <v>24.45</v>
      </c>
      <c r="J1943" s="24">
        <v>48.9</v>
      </c>
      <c r="K1943" s="21">
        <v>0</v>
      </c>
      <c r="L1943" s="21">
        <v>0</v>
      </c>
      <c r="M1943" s="21">
        <f>COUNTIF($A$2:$A$5481,A1943)</f>
        <v>1</v>
      </c>
      <c r="N1943" s="24">
        <f t="shared" si="30"/>
        <v>48.9001943</v>
      </c>
    </row>
    <row r="1944" spans="1:14">
      <c r="A1944" s="21" t="s">
        <v>2375</v>
      </c>
      <c r="B1944" s="21" t="s">
        <v>26</v>
      </c>
      <c r="C1944" s="21" t="s">
        <v>26</v>
      </c>
      <c r="D1944" s="21" t="s">
        <v>921</v>
      </c>
      <c r="E1944" s="21">
        <v>1</v>
      </c>
      <c r="F1944" s="22">
        <v>45803.362962963</v>
      </c>
      <c r="G1944" s="22"/>
      <c r="H1944" s="23">
        <v>11.42</v>
      </c>
      <c r="I1944" s="23">
        <v>11.42</v>
      </c>
      <c r="J1944" s="24">
        <v>11.42</v>
      </c>
      <c r="K1944" s="21">
        <v>0</v>
      </c>
      <c r="L1944" s="21">
        <v>0</v>
      </c>
      <c r="M1944" s="21">
        <f>COUNTIF($A$2:$A$5481,A1944)</f>
        <v>1</v>
      </c>
      <c r="N1944" s="24">
        <f t="shared" si="30"/>
        <v>11.4201944</v>
      </c>
    </row>
    <row r="1945" spans="1:14">
      <c r="A1945" s="21" t="s">
        <v>2376</v>
      </c>
      <c r="B1945" s="21" t="s">
        <v>929</v>
      </c>
      <c r="C1945" s="21" t="s">
        <v>26</v>
      </c>
      <c r="D1945" s="21" t="s">
        <v>921</v>
      </c>
      <c r="E1945" s="21">
        <v>3</v>
      </c>
      <c r="F1945" s="22">
        <v>46031.3832407407</v>
      </c>
      <c r="G1945" s="22"/>
      <c r="H1945" s="23">
        <v>8.1</v>
      </c>
      <c r="I1945" s="23">
        <v>2.7</v>
      </c>
      <c r="J1945" s="24">
        <v>8.1</v>
      </c>
      <c r="K1945" s="21">
        <v>0</v>
      </c>
      <c r="L1945" s="21">
        <v>0</v>
      </c>
      <c r="M1945" s="21">
        <f>COUNTIF($A$2:$A$5481,A1945)</f>
        <v>1</v>
      </c>
      <c r="N1945" s="24">
        <f t="shared" si="30"/>
        <v>8.1001945</v>
      </c>
    </row>
    <row r="1946" spans="1:14">
      <c r="A1946" s="21" t="s">
        <v>2377</v>
      </c>
      <c r="B1946" s="21" t="s">
        <v>26</v>
      </c>
      <c r="C1946" s="21" t="s">
        <v>26</v>
      </c>
      <c r="D1946" s="21" t="s">
        <v>921</v>
      </c>
      <c r="E1946" s="21">
        <v>1</v>
      </c>
      <c r="F1946" s="22">
        <v>45833.4474189815</v>
      </c>
      <c r="G1946" s="22"/>
      <c r="H1946" s="23">
        <v>37.14</v>
      </c>
      <c r="I1946" s="23">
        <v>37.14</v>
      </c>
      <c r="J1946" s="24">
        <v>37.14</v>
      </c>
      <c r="K1946" s="21">
        <v>0</v>
      </c>
      <c r="L1946" s="21">
        <v>0</v>
      </c>
      <c r="M1946" s="21">
        <f>COUNTIF($A$2:$A$5481,A1946)</f>
        <v>1</v>
      </c>
      <c r="N1946" s="24">
        <f t="shared" si="30"/>
        <v>37.1401946</v>
      </c>
    </row>
    <row r="1947" spans="1:14">
      <c r="A1947" s="21" t="s">
        <v>2378</v>
      </c>
      <c r="B1947" s="21" t="s">
        <v>26</v>
      </c>
      <c r="C1947" s="21" t="s">
        <v>26</v>
      </c>
      <c r="D1947" s="21" t="s">
        <v>921</v>
      </c>
      <c r="E1947" s="21">
        <v>2</v>
      </c>
      <c r="F1947" s="22">
        <v>45833.4474189815</v>
      </c>
      <c r="G1947" s="22"/>
      <c r="H1947" s="23">
        <v>29.98</v>
      </c>
      <c r="I1947" s="23">
        <v>14.99</v>
      </c>
      <c r="J1947" s="24">
        <v>29.98</v>
      </c>
      <c r="K1947" s="21">
        <v>0</v>
      </c>
      <c r="L1947" s="21">
        <v>0</v>
      </c>
      <c r="M1947" s="21">
        <f>COUNTIF($A$2:$A$5481,A1947)</f>
        <v>1</v>
      </c>
      <c r="N1947" s="24">
        <f t="shared" si="30"/>
        <v>29.9801947</v>
      </c>
    </row>
    <row r="1948" spans="1:14">
      <c r="A1948" s="21" t="s">
        <v>2379</v>
      </c>
      <c r="B1948" s="21" t="s">
        <v>920</v>
      </c>
      <c r="C1948" s="21" t="s">
        <v>182</v>
      </c>
      <c r="D1948" s="21" t="s">
        <v>921</v>
      </c>
      <c r="E1948" s="21">
        <v>2</v>
      </c>
      <c r="F1948" s="22">
        <v>45316.505</v>
      </c>
      <c r="G1948" s="22"/>
      <c r="H1948" s="23">
        <v>85.66</v>
      </c>
      <c r="I1948" s="23">
        <v>42.83</v>
      </c>
      <c r="J1948" s="24">
        <v>85.66</v>
      </c>
      <c r="K1948" s="21">
        <v>0</v>
      </c>
      <c r="L1948" s="21">
        <v>0</v>
      </c>
      <c r="M1948" s="21">
        <f>COUNTIF($A$2:$A$5481,A1948)</f>
        <v>2</v>
      </c>
      <c r="N1948" s="24">
        <f t="shared" si="30"/>
        <v>85.6601948</v>
      </c>
    </row>
    <row r="1949" spans="1:14">
      <c r="A1949" s="21" t="s">
        <v>2379</v>
      </c>
      <c r="B1949" s="21" t="s">
        <v>920</v>
      </c>
      <c r="C1949" s="21" t="s">
        <v>26</v>
      </c>
      <c r="D1949" s="21" t="s">
        <v>921</v>
      </c>
      <c r="E1949" s="21">
        <v>3</v>
      </c>
      <c r="F1949" s="22">
        <v>46006.6010300926</v>
      </c>
      <c r="G1949" s="22"/>
      <c r="H1949" s="23">
        <v>145.08</v>
      </c>
      <c r="I1949" s="23">
        <v>48.36</v>
      </c>
      <c r="J1949" s="24">
        <v>145.08</v>
      </c>
      <c r="K1949" s="21">
        <v>0</v>
      </c>
      <c r="L1949" s="21">
        <v>0</v>
      </c>
      <c r="M1949" s="21">
        <f>COUNTIF($A$2:$A$5481,A1949)</f>
        <v>2</v>
      </c>
      <c r="N1949" s="24">
        <f t="shared" si="30"/>
        <v>145.0801949</v>
      </c>
    </row>
    <row r="1950" spans="1:14">
      <c r="A1950" s="21" t="s">
        <v>529</v>
      </c>
      <c r="B1950" s="21" t="s">
        <v>26</v>
      </c>
      <c r="C1950" s="21" t="s">
        <v>26</v>
      </c>
      <c r="D1950" s="21" t="s">
        <v>921</v>
      </c>
      <c r="E1950" s="21">
        <v>27</v>
      </c>
      <c r="F1950" s="22">
        <v>46234.5952430556</v>
      </c>
      <c r="G1950" s="22">
        <v>46266.3655092593</v>
      </c>
      <c r="H1950" s="23">
        <v>99.6</v>
      </c>
      <c r="I1950" s="23">
        <v>3.7510344828</v>
      </c>
      <c r="J1950" s="24">
        <v>101.25</v>
      </c>
      <c r="K1950" s="21">
        <v>0</v>
      </c>
      <c r="L1950" s="21">
        <v>0</v>
      </c>
      <c r="M1950" s="21">
        <f>COUNTIF($A$2:$A$5481,A1950)</f>
        <v>1</v>
      </c>
      <c r="N1950" s="24">
        <f t="shared" si="30"/>
        <v>101.250195</v>
      </c>
    </row>
    <row r="1951" spans="1:14">
      <c r="A1951" s="21" t="s">
        <v>2380</v>
      </c>
      <c r="B1951" s="21" t="s">
        <v>920</v>
      </c>
      <c r="C1951" s="21" t="s">
        <v>26</v>
      </c>
      <c r="D1951" s="21" t="s">
        <v>931</v>
      </c>
      <c r="E1951" s="21">
        <v>1</v>
      </c>
      <c r="F1951" s="22">
        <v>45772.3974768519</v>
      </c>
      <c r="G1951" s="22"/>
      <c r="H1951" s="23">
        <v>190</v>
      </c>
      <c r="I1951" s="23">
        <v>190</v>
      </c>
      <c r="J1951" s="24">
        <v>190</v>
      </c>
      <c r="K1951" s="21">
        <v>0</v>
      </c>
      <c r="L1951" s="21">
        <v>0</v>
      </c>
      <c r="M1951" s="21">
        <f>COUNTIF($A$2:$A$5481,A1951)</f>
        <v>1</v>
      </c>
      <c r="N1951" s="24">
        <f t="shared" si="30"/>
        <v>190.0001951</v>
      </c>
    </row>
    <row r="1952" spans="1:14">
      <c r="A1952" s="21" t="s">
        <v>2381</v>
      </c>
      <c r="B1952" s="21" t="s">
        <v>920</v>
      </c>
      <c r="C1952" s="21" t="s">
        <v>26</v>
      </c>
      <c r="D1952" s="21" t="s">
        <v>921</v>
      </c>
      <c r="E1952" s="21">
        <v>50</v>
      </c>
      <c r="F1952" s="22">
        <v>46196.6996759259</v>
      </c>
      <c r="G1952" s="22"/>
      <c r="H1952" s="23">
        <v>250</v>
      </c>
      <c r="I1952" s="23">
        <v>5</v>
      </c>
      <c r="J1952" s="24">
        <v>250</v>
      </c>
      <c r="K1952" s="21">
        <v>0</v>
      </c>
      <c r="L1952" s="21">
        <v>0</v>
      </c>
      <c r="M1952" s="21">
        <f>COUNTIF($A$2:$A$5481,A1952)</f>
        <v>1</v>
      </c>
      <c r="N1952" s="24">
        <f t="shared" si="30"/>
        <v>250.0001952</v>
      </c>
    </row>
    <row r="1953" spans="1:14">
      <c r="A1953" s="21" t="s">
        <v>2382</v>
      </c>
      <c r="B1953" s="21" t="s">
        <v>920</v>
      </c>
      <c r="C1953" s="21" t="s">
        <v>182</v>
      </c>
      <c r="D1953" s="21" t="s">
        <v>921</v>
      </c>
      <c r="E1953" s="21">
        <v>1</v>
      </c>
      <c r="F1953" s="22">
        <v>45310.6798032407</v>
      </c>
      <c r="G1953" s="22"/>
      <c r="H1953" s="23">
        <v>60</v>
      </c>
      <c r="I1953" s="23">
        <v>60</v>
      </c>
      <c r="J1953" s="24">
        <v>60</v>
      </c>
      <c r="K1953" s="21">
        <v>0</v>
      </c>
      <c r="L1953" s="21">
        <v>0</v>
      </c>
      <c r="M1953" s="21">
        <f>COUNTIF($A$2:$A$5481,A1953)</f>
        <v>2</v>
      </c>
      <c r="N1953" s="24">
        <f t="shared" si="30"/>
        <v>60.0001953</v>
      </c>
    </row>
    <row r="1954" spans="1:14">
      <c r="A1954" s="21" t="s">
        <v>2382</v>
      </c>
      <c r="B1954" s="21" t="s">
        <v>920</v>
      </c>
      <c r="C1954" s="21" t="s">
        <v>26</v>
      </c>
      <c r="D1954" s="21" t="s">
        <v>921</v>
      </c>
      <c r="E1954" s="21">
        <v>2</v>
      </c>
      <c r="F1954" s="22">
        <v>45371.4173611111</v>
      </c>
      <c r="G1954" s="22"/>
      <c r="H1954" s="23">
        <v>360</v>
      </c>
      <c r="I1954" s="23">
        <v>180</v>
      </c>
      <c r="J1954" s="24">
        <v>360</v>
      </c>
      <c r="K1954" s="21">
        <v>0</v>
      </c>
      <c r="L1954" s="21">
        <v>0</v>
      </c>
      <c r="M1954" s="21">
        <f>COUNTIF($A$2:$A$5481,A1954)</f>
        <v>2</v>
      </c>
      <c r="N1954" s="24">
        <f t="shared" si="30"/>
        <v>360.0001954</v>
      </c>
    </row>
    <row r="1955" spans="1:14">
      <c r="A1955" s="21" t="s">
        <v>775</v>
      </c>
      <c r="B1955" s="21" t="s">
        <v>1175</v>
      </c>
      <c r="C1955" s="21" t="s">
        <v>182</v>
      </c>
      <c r="D1955" s="21" t="s">
        <v>921</v>
      </c>
      <c r="E1955" s="21">
        <v>1</v>
      </c>
      <c r="F1955" s="22">
        <v>45469.841875</v>
      </c>
      <c r="G1955" s="22">
        <v>46253.3509953704</v>
      </c>
      <c r="H1955" s="23">
        <v>39.6</v>
      </c>
      <c r="I1955" s="23">
        <v>9.9</v>
      </c>
      <c r="J1955" s="24">
        <v>9.9</v>
      </c>
      <c r="K1955" s="21">
        <v>0</v>
      </c>
      <c r="L1955" s="21">
        <v>0</v>
      </c>
      <c r="M1955" s="21">
        <f>COUNTIF($A$2:$A$5481,A1955)</f>
        <v>2</v>
      </c>
      <c r="N1955" s="24">
        <f t="shared" si="30"/>
        <v>9.9001955</v>
      </c>
    </row>
    <row r="1956" spans="1:14">
      <c r="A1956" s="21" t="s">
        <v>775</v>
      </c>
      <c r="B1956" s="21" t="s">
        <v>1175</v>
      </c>
      <c r="C1956" s="21" t="s">
        <v>51</v>
      </c>
      <c r="D1956" s="21" t="s">
        <v>921</v>
      </c>
      <c r="E1956" s="21">
        <v>2</v>
      </c>
      <c r="F1956" s="22">
        <v>45791.3891782407</v>
      </c>
      <c r="G1956" s="22"/>
      <c r="H1956" s="23">
        <v>50.86</v>
      </c>
      <c r="I1956" s="23">
        <v>25.43</v>
      </c>
      <c r="J1956" s="24">
        <v>50.86</v>
      </c>
      <c r="K1956" s="21">
        <v>0</v>
      </c>
      <c r="L1956" s="21">
        <v>0</v>
      </c>
      <c r="M1956" s="21">
        <f>COUNTIF($A$2:$A$5481,A1956)</f>
        <v>2</v>
      </c>
      <c r="N1956" s="24">
        <f t="shared" si="30"/>
        <v>50.8601956</v>
      </c>
    </row>
    <row r="1957" spans="1:14">
      <c r="A1957" s="21" t="s">
        <v>2383</v>
      </c>
      <c r="B1957" s="21" t="s">
        <v>26</v>
      </c>
      <c r="C1957" s="21" t="s">
        <v>26</v>
      </c>
      <c r="D1957" s="21" t="s">
        <v>921</v>
      </c>
      <c r="E1957" s="21">
        <v>2</v>
      </c>
      <c r="F1957" s="22">
        <v>46202.680787037</v>
      </c>
      <c r="G1957" s="22"/>
      <c r="H1957" s="23">
        <v>119.8</v>
      </c>
      <c r="I1957" s="23">
        <v>59.9</v>
      </c>
      <c r="J1957" s="24">
        <v>119.8</v>
      </c>
      <c r="K1957" s="21">
        <v>0</v>
      </c>
      <c r="L1957" s="21">
        <v>0</v>
      </c>
      <c r="M1957" s="21">
        <f>COUNTIF($A$2:$A$5481,A1957)</f>
        <v>1</v>
      </c>
      <c r="N1957" s="24">
        <f t="shared" si="30"/>
        <v>119.8001957</v>
      </c>
    </row>
    <row r="1958" spans="1:14">
      <c r="A1958" s="21" t="s">
        <v>2384</v>
      </c>
      <c r="B1958" s="21" t="s">
        <v>1175</v>
      </c>
      <c r="C1958" s="21" t="s">
        <v>26</v>
      </c>
      <c r="D1958" s="21" t="s">
        <v>921</v>
      </c>
      <c r="E1958" s="21">
        <v>1</v>
      </c>
      <c r="F1958" s="22">
        <v>45952.6055787037</v>
      </c>
      <c r="G1958" s="22"/>
      <c r="H1958" s="23">
        <v>1197</v>
      </c>
      <c r="I1958" s="23">
        <v>1197</v>
      </c>
      <c r="J1958" s="24">
        <v>1197</v>
      </c>
      <c r="K1958" s="21">
        <v>0</v>
      </c>
      <c r="L1958" s="21">
        <v>0</v>
      </c>
      <c r="M1958" s="21">
        <f>COUNTIF($A$2:$A$5481,A1958)</f>
        <v>1</v>
      </c>
      <c r="N1958" s="24">
        <f t="shared" si="30"/>
        <v>1197.0001958</v>
      </c>
    </row>
    <row r="1959" spans="1:14">
      <c r="A1959" s="21" t="s">
        <v>2385</v>
      </c>
      <c r="B1959" s="21" t="s">
        <v>1175</v>
      </c>
      <c r="C1959" s="21" t="s">
        <v>26</v>
      </c>
      <c r="D1959" s="21" t="s">
        <v>921</v>
      </c>
      <c r="E1959" s="21">
        <v>2</v>
      </c>
      <c r="F1959" s="22">
        <v>45979.5323032407</v>
      </c>
      <c r="G1959" s="22"/>
      <c r="H1959" s="23">
        <v>1358</v>
      </c>
      <c r="I1959" s="23">
        <v>679</v>
      </c>
      <c r="J1959" s="24">
        <v>1358</v>
      </c>
      <c r="K1959" s="21">
        <v>0</v>
      </c>
      <c r="L1959" s="21">
        <v>0</v>
      </c>
      <c r="M1959" s="21">
        <f>COUNTIF($A$2:$A$5481,A1959)</f>
        <v>1</v>
      </c>
      <c r="N1959" s="24">
        <f t="shared" si="30"/>
        <v>1358.0001959</v>
      </c>
    </row>
    <row r="1960" spans="1:14">
      <c r="A1960" s="21" t="s">
        <v>279</v>
      </c>
      <c r="B1960" s="21" t="s">
        <v>920</v>
      </c>
      <c r="C1960" s="21" t="s">
        <v>35</v>
      </c>
      <c r="D1960" s="21" t="s">
        <v>921</v>
      </c>
      <c r="E1960" s="21">
        <v>0</v>
      </c>
      <c r="F1960" s="22">
        <v>45462.7548611111</v>
      </c>
      <c r="G1960" s="22">
        <v>45603.4542361111</v>
      </c>
      <c r="H1960" s="23">
        <v>1610</v>
      </c>
      <c r="I1960" s="23">
        <v>1610</v>
      </c>
      <c r="J1960" s="24">
        <v>0</v>
      </c>
      <c r="K1960" s="21">
        <v>0</v>
      </c>
      <c r="L1960" s="21">
        <v>0</v>
      </c>
      <c r="M1960" s="21">
        <f>COUNTIF($A$2:$A$5481,A1960)</f>
        <v>2</v>
      </c>
      <c r="N1960" s="24">
        <f t="shared" si="30"/>
        <v>0.000196</v>
      </c>
    </row>
    <row r="1961" spans="1:14">
      <c r="A1961" s="21" t="s">
        <v>279</v>
      </c>
      <c r="B1961" s="21" t="s">
        <v>920</v>
      </c>
      <c r="C1961" s="21" t="s">
        <v>26</v>
      </c>
      <c r="D1961" s="21" t="s">
        <v>921</v>
      </c>
      <c r="E1961" s="21">
        <v>0</v>
      </c>
      <c r="F1961" s="22">
        <v>45995.5370601852</v>
      </c>
      <c r="G1961" s="22">
        <v>46073.4403240741</v>
      </c>
      <c r="H1961" s="23">
        <v>390</v>
      </c>
      <c r="I1961" s="23">
        <v>390</v>
      </c>
      <c r="J1961" s="24">
        <v>0</v>
      </c>
      <c r="K1961" s="21">
        <v>0</v>
      </c>
      <c r="L1961" s="21">
        <v>0</v>
      </c>
      <c r="M1961" s="21">
        <f>COUNTIF($A$2:$A$5481,A1961)</f>
        <v>2</v>
      </c>
      <c r="N1961" s="24">
        <f t="shared" si="30"/>
        <v>0.0001961</v>
      </c>
    </row>
    <row r="1962" spans="1:14">
      <c r="A1962" s="21" t="s">
        <v>2386</v>
      </c>
      <c r="B1962" s="21" t="s">
        <v>26</v>
      </c>
      <c r="C1962" s="21" t="s">
        <v>26</v>
      </c>
      <c r="D1962" s="21" t="s">
        <v>921</v>
      </c>
      <c r="E1962" s="21">
        <v>0</v>
      </c>
      <c r="F1962" s="22">
        <v>45531.4145601852</v>
      </c>
      <c r="G1962" s="22">
        <v>45561.432025463</v>
      </c>
      <c r="H1962" s="23">
        <v>78</v>
      </c>
      <c r="I1962" s="23">
        <v>78</v>
      </c>
      <c r="J1962" s="24">
        <v>0</v>
      </c>
      <c r="K1962" s="21">
        <v>0</v>
      </c>
      <c r="L1962" s="21">
        <v>0</v>
      </c>
      <c r="M1962" s="21">
        <f>COUNTIF($A$2:$A$5481,A1962)</f>
        <v>1</v>
      </c>
      <c r="N1962" s="24">
        <f t="shared" si="30"/>
        <v>0.0001962</v>
      </c>
    </row>
    <row r="1963" spans="1:14">
      <c r="A1963" s="21" t="s">
        <v>789</v>
      </c>
      <c r="B1963" s="21" t="s">
        <v>1352</v>
      </c>
      <c r="C1963" s="21" t="s">
        <v>51</v>
      </c>
      <c r="D1963" s="21" t="s">
        <v>921</v>
      </c>
      <c r="E1963" s="21">
        <v>0</v>
      </c>
      <c r="F1963" s="22">
        <v>45630.7902777778</v>
      </c>
      <c r="G1963" s="22">
        <v>46254.4411458333</v>
      </c>
      <c r="H1963" s="23">
        <v>10004.9</v>
      </c>
      <c r="I1963" s="23">
        <v>10004.9</v>
      </c>
      <c r="J1963" s="24">
        <v>0</v>
      </c>
      <c r="K1963" s="21">
        <v>0</v>
      </c>
      <c r="L1963" s="21">
        <v>0</v>
      </c>
      <c r="M1963" s="21">
        <f>COUNTIF($A$2:$A$5481,A1963)</f>
        <v>1</v>
      </c>
      <c r="N1963" s="24">
        <f t="shared" si="30"/>
        <v>0.0001963</v>
      </c>
    </row>
    <row r="1964" spans="1:14">
      <c r="A1964" s="21" t="s">
        <v>2387</v>
      </c>
      <c r="B1964" s="21" t="s">
        <v>929</v>
      </c>
      <c r="C1964" s="21" t="s">
        <v>26</v>
      </c>
      <c r="D1964" s="21" t="s">
        <v>921</v>
      </c>
      <c r="E1964" s="21">
        <v>0</v>
      </c>
      <c r="F1964" s="22">
        <v>45393.5489699074</v>
      </c>
      <c r="G1964" s="22">
        <v>45393.6708333333</v>
      </c>
      <c r="H1964" s="23">
        <v>549.99</v>
      </c>
      <c r="I1964" s="23">
        <v>549.99</v>
      </c>
      <c r="J1964" s="24">
        <v>0</v>
      </c>
      <c r="K1964" s="21">
        <v>0</v>
      </c>
      <c r="L1964" s="21">
        <v>0</v>
      </c>
      <c r="M1964" s="21">
        <f>COUNTIF($A$2:$A$5481,A1964)</f>
        <v>1</v>
      </c>
      <c r="N1964" s="24">
        <f t="shared" si="30"/>
        <v>0.0001964</v>
      </c>
    </row>
    <row r="1965" spans="1:14">
      <c r="A1965" s="21" t="s">
        <v>489</v>
      </c>
      <c r="B1965" s="21" t="s">
        <v>920</v>
      </c>
      <c r="C1965" s="21" t="s">
        <v>26</v>
      </c>
      <c r="D1965" s="21" t="s">
        <v>931</v>
      </c>
      <c r="E1965" s="21">
        <v>2</v>
      </c>
      <c r="F1965" s="22">
        <v>46224.4309953704</v>
      </c>
      <c r="G1965" s="22">
        <v>46224.3796527778</v>
      </c>
      <c r="H1965" s="23">
        <v>900</v>
      </c>
      <c r="I1965" s="23">
        <v>450</v>
      </c>
      <c r="J1965" s="24">
        <v>900</v>
      </c>
      <c r="K1965" s="21">
        <v>0</v>
      </c>
      <c r="L1965" s="21">
        <v>0</v>
      </c>
      <c r="M1965" s="21">
        <f>COUNTIF($A$2:$A$5481,A1965)</f>
        <v>1</v>
      </c>
      <c r="N1965" s="24">
        <f t="shared" si="30"/>
        <v>900.0001965</v>
      </c>
    </row>
    <row r="1966" spans="1:14">
      <c r="A1966" s="21" t="s">
        <v>328</v>
      </c>
      <c r="B1966" s="21" t="s">
        <v>920</v>
      </c>
      <c r="C1966" s="21" t="s">
        <v>26</v>
      </c>
      <c r="D1966" s="21" t="s">
        <v>931</v>
      </c>
      <c r="E1966" s="21">
        <v>1</v>
      </c>
      <c r="F1966" s="22">
        <v>46065.7094212963</v>
      </c>
      <c r="G1966" s="22">
        <v>46107.8307407407</v>
      </c>
      <c r="H1966" s="23">
        <v>780</v>
      </c>
      <c r="I1966" s="23">
        <v>390</v>
      </c>
      <c r="J1966" s="24">
        <v>390</v>
      </c>
      <c r="K1966" s="21">
        <v>0</v>
      </c>
      <c r="L1966" s="21">
        <v>0</v>
      </c>
      <c r="M1966" s="21">
        <f>COUNTIF($A$2:$A$5481,A1966)</f>
        <v>1</v>
      </c>
      <c r="N1966" s="24">
        <f t="shared" si="30"/>
        <v>390.0001966</v>
      </c>
    </row>
    <row r="1967" spans="1:14">
      <c r="A1967" s="21" t="s">
        <v>2388</v>
      </c>
      <c r="B1967" s="21" t="s">
        <v>929</v>
      </c>
      <c r="C1967" s="21" t="s">
        <v>26</v>
      </c>
      <c r="D1967" s="21" t="s">
        <v>921</v>
      </c>
      <c r="E1967" s="21">
        <v>1</v>
      </c>
      <c r="F1967" s="22">
        <v>45924.5632291667</v>
      </c>
      <c r="G1967" s="22"/>
      <c r="H1967" s="23">
        <v>80</v>
      </c>
      <c r="I1967" s="23">
        <v>80</v>
      </c>
      <c r="J1967" s="24">
        <v>80</v>
      </c>
      <c r="K1967" s="21">
        <v>0</v>
      </c>
      <c r="L1967" s="21">
        <v>0</v>
      </c>
      <c r="M1967" s="21">
        <f>COUNTIF($A$2:$A$5481,A1967)</f>
        <v>1</v>
      </c>
      <c r="N1967" s="24">
        <f t="shared" si="30"/>
        <v>80.0001967</v>
      </c>
    </row>
    <row r="1968" spans="1:14">
      <c r="A1968" s="21" t="s">
        <v>183</v>
      </c>
      <c r="B1968" s="21" t="s">
        <v>948</v>
      </c>
      <c r="C1968" s="21" t="s">
        <v>26</v>
      </c>
      <c r="D1968" s="21" t="s">
        <v>921</v>
      </c>
      <c r="E1968" s="21">
        <v>0</v>
      </c>
      <c r="F1968" s="22">
        <v>46037.6128819444</v>
      </c>
      <c r="G1968" s="22">
        <v>46042.397349537</v>
      </c>
      <c r="H1968" s="23">
        <v>1064.73</v>
      </c>
      <c r="I1968" s="23">
        <v>1064.73</v>
      </c>
      <c r="J1968" s="24">
        <v>0</v>
      </c>
      <c r="K1968" s="21">
        <v>0</v>
      </c>
      <c r="L1968" s="21">
        <v>0</v>
      </c>
      <c r="M1968" s="21">
        <f>COUNTIF($A$2:$A$5481,A1968)</f>
        <v>1</v>
      </c>
      <c r="N1968" s="24">
        <f t="shared" si="30"/>
        <v>0.0001968</v>
      </c>
    </row>
    <row r="1969" spans="1:14">
      <c r="A1969" s="21" t="s">
        <v>719</v>
      </c>
      <c r="B1969" s="21" t="s">
        <v>920</v>
      </c>
      <c r="C1969" s="21" t="s">
        <v>26</v>
      </c>
      <c r="D1969" s="21" t="s">
        <v>921</v>
      </c>
      <c r="E1969" s="21">
        <v>0</v>
      </c>
      <c r="F1969" s="22">
        <v>45897.5956365741</v>
      </c>
      <c r="G1969" s="22">
        <v>46252.5691782407</v>
      </c>
      <c r="H1969" s="23">
        <v>198.48</v>
      </c>
      <c r="I1969" s="23">
        <v>198.48</v>
      </c>
      <c r="J1969" s="24">
        <v>0</v>
      </c>
      <c r="K1969" s="21">
        <v>0</v>
      </c>
      <c r="L1969" s="21">
        <v>0</v>
      </c>
      <c r="M1969" s="21">
        <f>COUNTIF($A$2:$A$5481,A1969)</f>
        <v>1</v>
      </c>
      <c r="N1969" s="24">
        <f t="shared" si="30"/>
        <v>0.0001969</v>
      </c>
    </row>
    <row r="1970" spans="1:14">
      <c r="A1970" s="21" t="s">
        <v>2389</v>
      </c>
      <c r="B1970" s="21" t="s">
        <v>926</v>
      </c>
      <c r="C1970" s="21" t="s">
        <v>26</v>
      </c>
      <c r="D1970" s="21" t="s">
        <v>921</v>
      </c>
      <c r="E1970" s="21">
        <v>3</v>
      </c>
      <c r="F1970" s="22">
        <v>45763.8138425926</v>
      </c>
      <c r="G1970" s="22"/>
      <c r="H1970" s="23">
        <v>151.64</v>
      </c>
      <c r="I1970" s="23">
        <v>101.81333</v>
      </c>
      <c r="J1970" s="24">
        <v>305.43</v>
      </c>
      <c r="K1970" s="21">
        <v>0</v>
      </c>
      <c r="L1970" s="21">
        <v>0</v>
      </c>
      <c r="M1970" s="21">
        <f>COUNTIF($A$2:$A$5481,A1970)</f>
        <v>1</v>
      </c>
      <c r="N1970" s="24">
        <f t="shared" si="30"/>
        <v>305.430197</v>
      </c>
    </row>
    <row r="1971" spans="1:14">
      <c r="A1971" s="21" t="s">
        <v>2390</v>
      </c>
      <c r="B1971" s="21" t="s">
        <v>26</v>
      </c>
      <c r="C1971" s="21" t="s">
        <v>26</v>
      </c>
      <c r="D1971" s="21" t="s">
        <v>921</v>
      </c>
      <c r="E1971" s="21">
        <v>1</v>
      </c>
      <c r="F1971" s="22">
        <v>45614.4507291667</v>
      </c>
      <c r="G1971" s="22"/>
      <c r="H1971" s="23">
        <v>313.2</v>
      </c>
      <c r="I1971" s="23">
        <v>313.2</v>
      </c>
      <c r="J1971" s="24">
        <v>313.2</v>
      </c>
      <c r="K1971" s="21">
        <v>0</v>
      </c>
      <c r="L1971" s="21">
        <v>0</v>
      </c>
      <c r="M1971" s="21">
        <f>COUNTIF($A$2:$A$5481,A1971)</f>
        <v>1</v>
      </c>
      <c r="N1971" s="24">
        <f t="shared" si="30"/>
        <v>313.2001971</v>
      </c>
    </row>
    <row r="1972" spans="1:14">
      <c r="A1972" s="21" t="s">
        <v>668</v>
      </c>
      <c r="B1972" s="21" t="s">
        <v>1175</v>
      </c>
      <c r="C1972" s="21" t="s">
        <v>26</v>
      </c>
      <c r="D1972" s="21" t="s">
        <v>921</v>
      </c>
      <c r="E1972" s="21">
        <v>0</v>
      </c>
      <c r="F1972" s="22">
        <v>46233.7138888889</v>
      </c>
      <c r="G1972" s="22">
        <v>46252.5529861111</v>
      </c>
      <c r="H1972" s="23">
        <v>873</v>
      </c>
      <c r="I1972" s="23">
        <v>830.9933333333</v>
      </c>
      <c r="J1972" s="24">
        <v>0</v>
      </c>
      <c r="K1972" s="21">
        <v>0</v>
      </c>
      <c r="L1972" s="21">
        <v>0</v>
      </c>
      <c r="M1972" s="21">
        <f>COUNTIF($A$2:$A$5481,A1972)</f>
        <v>1</v>
      </c>
      <c r="N1972" s="24">
        <f t="shared" si="30"/>
        <v>0.0001972</v>
      </c>
    </row>
    <row r="1973" spans="1:14">
      <c r="A1973" s="21" t="s">
        <v>667</v>
      </c>
      <c r="B1973" s="21" t="s">
        <v>1175</v>
      </c>
      <c r="C1973" s="21" t="s">
        <v>26</v>
      </c>
      <c r="D1973" s="21" t="s">
        <v>931</v>
      </c>
      <c r="E1973" s="21">
        <v>0</v>
      </c>
      <c r="F1973" s="22">
        <v>45583.5671064815</v>
      </c>
      <c r="G1973" s="22">
        <v>46252.552974537</v>
      </c>
      <c r="H1973" s="23">
        <v>2279.8</v>
      </c>
      <c r="I1973" s="23">
        <v>1139.9</v>
      </c>
      <c r="J1973" s="24">
        <v>0</v>
      </c>
      <c r="K1973" s="21">
        <v>0</v>
      </c>
      <c r="L1973" s="21">
        <v>0</v>
      </c>
      <c r="M1973" s="21">
        <f>COUNTIF($A$2:$A$5481,A1973)</f>
        <v>1</v>
      </c>
      <c r="N1973" s="24">
        <f t="shared" si="30"/>
        <v>0.0001973</v>
      </c>
    </row>
    <row r="1974" spans="1:14">
      <c r="A1974" s="21" t="s">
        <v>2391</v>
      </c>
      <c r="B1974" s="21" t="s">
        <v>949</v>
      </c>
      <c r="C1974" s="21" t="s">
        <v>26</v>
      </c>
      <c r="D1974" s="21" t="s">
        <v>921</v>
      </c>
      <c r="E1974" s="21">
        <v>1</v>
      </c>
      <c r="F1974" s="22">
        <v>45330.39375</v>
      </c>
      <c r="G1974" s="22"/>
      <c r="H1974" s="23">
        <v>22.98</v>
      </c>
      <c r="I1974" s="23">
        <v>22.98</v>
      </c>
      <c r="J1974" s="24">
        <v>22.98</v>
      </c>
      <c r="K1974" s="21">
        <v>0</v>
      </c>
      <c r="L1974" s="21">
        <v>0</v>
      </c>
      <c r="M1974" s="21">
        <f>COUNTIF($A$2:$A$5481,A1974)</f>
        <v>1</v>
      </c>
      <c r="N1974" s="24">
        <f t="shared" si="30"/>
        <v>22.9801974</v>
      </c>
    </row>
    <row r="1975" spans="1:14">
      <c r="A1975" s="21" t="s">
        <v>2392</v>
      </c>
      <c r="B1975" s="21" t="s">
        <v>949</v>
      </c>
      <c r="C1975" s="21" t="s">
        <v>182</v>
      </c>
      <c r="D1975" s="21" t="s">
        <v>921</v>
      </c>
      <c r="E1975" s="21">
        <v>0</v>
      </c>
      <c r="F1975" s="22">
        <v>45317.40625</v>
      </c>
      <c r="G1975" s="22">
        <v>45322.4096064815</v>
      </c>
      <c r="H1975" s="23">
        <v>22.25</v>
      </c>
      <c r="I1975" s="23">
        <v>22.25</v>
      </c>
      <c r="J1975" s="24">
        <v>0</v>
      </c>
      <c r="K1975" s="21">
        <v>0</v>
      </c>
      <c r="L1975" s="21">
        <v>0</v>
      </c>
      <c r="M1975" s="21">
        <f>COUNTIF($A$2:$A$5481,A1975)</f>
        <v>2</v>
      </c>
      <c r="N1975" s="24">
        <f t="shared" si="30"/>
        <v>0.0001975</v>
      </c>
    </row>
    <row r="1976" spans="1:14">
      <c r="A1976" s="21" t="s">
        <v>2392</v>
      </c>
      <c r="B1976" s="21" t="s">
        <v>949</v>
      </c>
      <c r="C1976" s="21" t="s">
        <v>26</v>
      </c>
      <c r="D1976" s="21" t="s">
        <v>921</v>
      </c>
      <c r="E1976" s="21">
        <v>-1</v>
      </c>
      <c r="F1976" s="22">
        <v>45330.39375</v>
      </c>
      <c r="G1976" s="22">
        <v>45331.4112152778</v>
      </c>
      <c r="H1976" s="23">
        <v>22.25</v>
      </c>
      <c r="I1976" s="23">
        <v>22.25</v>
      </c>
      <c r="J1976" s="24">
        <v>-22.25</v>
      </c>
      <c r="K1976" s="21">
        <v>0</v>
      </c>
      <c r="L1976" s="21">
        <v>0</v>
      </c>
      <c r="M1976" s="21">
        <f>COUNTIF($A$2:$A$5481,A1976)</f>
        <v>2</v>
      </c>
      <c r="N1976" s="24">
        <f t="shared" si="30"/>
        <v>-22.2498024</v>
      </c>
    </row>
    <row r="1977" spans="1:14">
      <c r="A1977" s="21" t="s">
        <v>2393</v>
      </c>
      <c r="B1977" s="21" t="s">
        <v>926</v>
      </c>
      <c r="C1977" s="21" t="s">
        <v>26</v>
      </c>
      <c r="D1977" s="21" t="s">
        <v>921</v>
      </c>
      <c r="E1977" s="21">
        <v>11</v>
      </c>
      <c r="F1977" s="22">
        <v>45693.3615509259</v>
      </c>
      <c r="G1977" s="22">
        <v>45803.4669097222</v>
      </c>
      <c r="H1977" s="23">
        <v>18.48</v>
      </c>
      <c r="I1977" s="23">
        <v>1.54</v>
      </c>
      <c r="J1977" s="24">
        <v>16.94</v>
      </c>
      <c r="K1977" s="21">
        <v>0</v>
      </c>
      <c r="L1977" s="21">
        <v>0</v>
      </c>
      <c r="M1977" s="21">
        <f>COUNTIF($A$2:$A$5481,A1977)</f>
        <v>3</v>
      </c>
      <c r="N1977" s="24">
        <f t="shared" si="30"/>
        <v>16.9401977</v>
      </c>
    </row>
    <row r="1978" spans="1:14">
      <c r="A1978" s="21" t="s">
        <v>2393</v>
      </c>
      <c r="B1978" s="21" t="s">
        <v>926</v>
      </c>
      <c r="C1978" s="21" t="s">
        <v>51</v>
      </c>
      <c r="D1978" s="21" t="s">
        <v>921</v>
      </c>
      <c r="E1978" s="21">
        <v>10</v>
      </c>
      <c r="F1978" s="22">
        <v>45762.3576967593</v>
      </c>
      <c r="G1978" s="22"/>
      <c r="H1978" s="23">
        <v>28.6</v>
      </c>
      <c r="I1978" s="23">
        <v>2.86</v>
      </c>
      <c r="J1978" s="24">
        <v>28.6</v>
      </c>
      <c r="K1978" s="21">
        <v>0</v>
      </c>
      <c r="L1978" s="21">
        <v>0</v>
      </c>
      <c r="M1978" s="21">
        <f>COUNTIF($A$2:$A$5481,A1978)</f>
        <v>3</v>
      </c>
      <c r="N1978" s="24">
        <f t="shared" si="30"/>
        <v>28.6001978</v>
      </c>
    </row>
    <row r="1979" spans="1:14">
      <c r="A1979" s="21" t="s">
        <v>2393</v>
      </c>
      <c r="B1979" s="21" t="s">
        <v>926</v>
      </c>
      <c r="C1979" s="21" t="s">
        <v>182</v>
      </c>
      <c r="D1979" s="21" t="s">
        <v>921</v>
      </c>
      <c r="E1979" s="21">
        <v>16</v>
      </c>
      <c r="F1979" s="22">
        <v>45903.4110416667</v>
      </c>
      <c r="G1979" s="22">
        <v>45414.8130092593</v>
      </c>
      <c r="H1979" s="23">
        <v>28.6</v>
      </c>
      <c r="I1979" s="23">
        <v>4.93333375</v>
      </c>
      <c r="J1979" s="24">
        <v>78.88</v>
      </c>
      <c r="K1979" s="21">
        <v>0</v>
      </c>
      <c r="L1979" s="21">
        <v>0</v>
      </c>
      <c r="M1979" s="21">
        <f>COUNTIF($A$2:$A$5481,A1979)</f>
        <v>3</v>
      </c>
      <c r="N1979" s="24">
        <f t="shared" si="30"/>
        <v>78.8801979</v>
      </c>
    </row>
    <row r="1980" spans="1:14">
      <c r="A1980" s="21" t="s">
        <v>2394</v>
      </c>
      <c r="B1980" s="21" t="s">
        <v>920</v>
      </c>
      <c r="C1980" s="21" t="s">
        <v>35</v>
      </c>
      <c r="D1980" s="21" t="s">
        <v>921</v>
      </c>
      <c r="E1980" s="21">
        <v>0</v>
      </c>
      <c r="F1980" s="22">
        <v>45377.7777777778</v>
      </c>
      <c r="G1980" s="22">
        <v>45449.8260069444</v>
      </c>
      <c r="H1980" s="23">
        <v>519.9</v>
      </c>
      <c r="I1980" s="23">
        <v>259.95</v>
      </c>
      <c r="J1980" s="24">
        <v>0</v>
      </c>
      <c r="K1980" s="21">
        <v>0</v>
      </c>
      <c r="L1980" s="21">
        <v>0</v>
      </c>
      <c r="M1980" s="21">
        <f>COUNTIF($A$2:$A$5481,A1980)</f>
        <v>2</v>
      </c>
      <c r="N1980" s="24">
        <f t="shared" si="30"/>
        <v>0.000198</v>
      </c>
    </row>
    <row r="1981" spans="1:14">
      <c r="A1981" s="21" t="s">
        <v>2394</v>
      </c>
      <c r="B1981" s="21" t="s">
        <v>920</v>
      </c>
      <c r="C1981" s="21" t="s">
        <v>26</v>
      </c>
      <c r="D1981" s="21" t="s">
        <v>921</v>
      </c>
      <c r="E1981" s="21">
        <v>0</v>
      </c>
      <c r="F1981" s="22">
        <v>45582.565</v>
      </c>
      <c r="G1981" s="22">
        <v>45715.8803125</v>
      </c>
      <c r="H1981" s="23">
        <v>636</v>
      </c>
      <c r="I1981" s="23">
        <v>318</v>
      </c>
      <c r="J1981" s="24">
        <v>0</v>
      </c>
      <c r="K1981" s="21">
        <v>0</v>
      </c>
      <c r="L1981" s="21">
        <v>0</v>
      </c>
      <c r="M1981" s="21">
        <f>COUNTIF($A$2:$A$5481,A1981)</f>
        <v>2</v>
      </c>
      <c r="N1981" s="24">
        <f t="shared" si="30"/>
        <v>0.0001981</v>
      </c>
    </row>
    <row r="1982" spans="1:14">
      <c r="A1982" s="21" t="s">
        <v>2395</v>
      </c>
      <c r="B1982" s="21" t="s">
        <v>920</v>
      </c>
      <c r="C1982" s="21" t="s">
        <v>26</v>
      </c>
      <c r="D1982" s="21" t="s">
        <v>921</v>
      </c>
      <c r="E1982" s="21">
        <v>1</v>
      </c>
      <c r="F1982" s="22">
        <v>45839.3625115741</v>
      </c>
      <c r="G1982" s="22"/>
      <c r="H1982" s="23">
        <v>65.05</v>
      </c>
      <c r="I1982" s="23">
        <v>65.05</v>
      </c>
      <c r="J1982" s="24">
        <v>65.05</v>
      </c>
      <c r="K1982" s="21">
        <v>0</v>
      </c>
      <c r="L1982" s="21">
        <v>0</v>
      </c>
      <c r="M1982" s="21">
        <f>COUNTIF($A$2:$A$5481,A1982)</f>
        <v>1</v>
      </c>
      <c r="N1982" s="24">
        <f t="shared" si="30"/>
        <v>65.0501982</v>
      </c>
    </row>
    <row r="1983" spans="1:14">
      <c r="A1983" s="21" t="s">
        <v>357</v>
      </c>
      <c r="B1983" s="21" t="s">
        <v>920</v>
      </c>
      <c r="C1983" s="21" t="s">
        <v>26</v>
      </c>
      <c r="D1983" s="21" t="s">
        <v>921</v>
      </c>
      <c r="E1983" s="21">
        <v>7</v>
      </c>
      <c r="F1983" s="22">
        <v>46147.3819444445</v>
      </c>
      <c r="G1983" s="22">
        <v>46122.3947685185</v>
      </c>
      <c r="H1983" s="23">
        <v>319.14</v>
      </c>
      <c r="I1983" s="23">
        <v>330.3567857143</v>
      </c>
      <c r="J1983" s="24">
        <v>2312.52</v>
      </c>
      <c r="K1983" s="21">
        <v>0</v>
      </c>
      <c r="L1983" s="21">
        <v>0</v>
      </c>
      <c r="M1983" s="21">
        <f>COUNTIF($A$2:$A$5481,A1983)</f>
        <v>1</v>
      </c>
      <c r="N1983" s="24">
        <f t="shared" si="30"/>
        <v>2312.5201983</v>
      </c>
    </row>
    <row r="1984" spans="1:14">
      <c r="A1984" s="21" t="s">
        <v>176</v>
      </c>
      <c r="B1984" s="21" t="s">
        <v>920</v>
      </c>
      <c r="C1984" s="21" t="s">
        <v>26</v>
      </c>
      <c r="D1984" s="21" t="s">
        <v>921</v>
      </c>
      <c r="E1984" s="21">
        <v>6</v>
      </c>
      <c r="F1984" s="22">
        <v>46147.3819444445</v>
      </c>
      <c r="G1984" s="22">
        <v>46205.7099074074</v>
      </c>
      <c r="H1984" s="23">
        <v>319.14</v>
      </c>
      <c r="I1984" s="23">
        <v>331.6928571429</v>
      </c>
      <c r="J1984" s="24">
        <v>1990.14</v>
      </c>
      <c r="K1984" s="21">
        <v>0</v>
      </c>
      <c r="L1984" s="21">
        <v>0</v>
      </c>
      <c r="M1984" s="21">
        <f>COUNTIF($A$2:$A$5481,A1984)</f>
        <v>1</v>
      </c>
      <c r="N1984" s="24">
        <f t="shared" si="30"/>
        <v>1990.1401984</v>
      </c>
    </row>
    <row r="1985" spans="1:14">
      <c r="A1985" s="21" t="s">
        <v>2396</v>
      </c>
      <c r="B1985" s="21" t="s">
        <v>920</v>
      </c>
      <c r="C1985" s="21" t="s">
        <v>26</v>
      </c>
      <c r="D1985" s="21" t="s">
        <v>921</v>
      </c>
      <c r="E1985" s="21">
        <v>1</v>
      </c>
      <c r="F1985" s="22">
        <v>45951.3865393519</v>
      </c>
      <c r="G1985" s="22"/>
      <c r="H1985" s="23">
        <v>134</v>
      </c>
      <c r="I1985" s="23">
        <v>134</v>
      </c>
      <c r="J1985" s="24">
        <v>134</v>
      </c>
      <c r="K1985" s="21">
        <v>0</v>
      </c>
      <c r="L1985" s="21">
        <v>0</v>
      </c>
      <c r="M1985" s="21">
        <f>COUNTIF($A$2:$A$5481,A1985)</f>
        <v>1</v>
      </c>
      <c r="N1985" s="24">
        <f t="shared" si="30"/>
        <v>134.0001985</v>
      </c>
    </row>
    <row r="1986" spans="1:14">
      <c r="A1986" s="21" t="s">
        <v>2397</v>
      </c>
      <c r="B1986" s="21" t="s">
        <v>920</v>
      </c>
      <c r="C1986" s="21" t="s">
        <v>182</v>
      </c>
      <c r="D1986" s="21" t="s">
        <v>921</v>
      </c>
      <c r="E1986" s="21">
        <v>1</v>
      </c>
      <c r="F1986" s="22">
        <v>45316.505</v>
      </c>
      <c r="G1986" s="22"/>
      <c r="H1986" s="23">
        <v>133.37</v>
      </c>
      <c r="I1986" s="23">
        <v>133.37</v>
      </c>
      <c r="J1986" s="24">
        <v>133.37</v>
      </c>
      <c r="K1986" s="21">
        <v>0</v>
      </c>
      <c r="L1986" s="21">
        <v>0</v>
      </c>
      <c r="M1986" s="21">
        <f>COUNTIF($A$2:$A$5481,A1986)</f>
        <v>2</v>
      </c>
      <c r="N1986" s="24">
        <f t="shared" ref="N1986:N2049" si="31">J1986+ROW()/10000000</f>
        <v>133.3701986</v>
      </c>
    </row>
    <row r="1987" spans="1:14">
      <c r="A1987" s="21" t="s">
        <v>2397</v>
      </c>
      <c r="B1987" s="21" t="s">
        <v>920</v>
      </c>
      <c r="C1987" s="21" t="s">
        <v>26</v>
      </c>
      <c r="D1987" s="21" t="s">
        <v>921</v>
      </c>
      <c r="E1987" s="21">
        <v>1</v>
      </c>
      <c r="F1987" s="22">
        <v>45537.4289814815</v>
      </c>
      <c r="G1987" s="22"/>
      <c r="H1987" s="23">
        <v>208.75</v>
      </c>
      <c r="I1987" s="23">
        <v>208.75</v>
      </c>
      <c r="J1987" s="24">
        <v>208.75</v>
      </c>
      <c r="K1987" s="21">
        <v>0</v>
      </c>
      <c r="L1987" s="21">
        <v>0</v>
      </c>
      <c r="M1987" s="21">
        <f>COUNTIF($A$2:$A$5481,A1987)</f>
        <v>2</v>
      </c>
      <c r="N1987" s="24">
        <f t="shared" si="31"/>
        <v>208.7501987</v>
      </c>
    </row>
    <row r="1988" spans="1:14">
      <c r="A1988" s="21" t="s">
        <v>2398</v>
      </c>
      <c r="B1988" s="21" t="s">
        <v>920</v>
      </c>
      <c r="C1988" s="21" t="s">
        <v>35</v>
      </c>
      <c r="D1988" s="21" t="s">
        <v>921</v>
      </c>
      <c r="E1988" s="21">
        <v>1</v>
      </c>
      <c r="F1988" s="22">
        <v>46021.5372685185</v>
      </c>
      <c r="G1988" s="22"/>
      <c r="H1988" s="23">
        <v>8.7</v>
      </c>
      <c r="I1988" s="23">
        <v>8.7</v>
      </c>
      <c r="J1988" s="24">
        <v>8.7</v>
      </c>
      <c r="K1988" s="21">
        <v>0</v>
      </c>
      <c r="L1988" s="21">
        <v>0</v>
      </c>
      <c r="M1988" s="21">
        <f>COUNTIF($A$2:$A$5481,A1988)</f>
        <v>1</v>
      </c>
      <c r="N1988" s="24">
        <f t="shared" si="31"/>
        <v>8.7001988</v>
      </c>
    </row>
    <row r="1989" spans="1:14">
      <c r="A1989" s="21" t="s">
        <v>2399</v>
      </c>
      <c r="B1989" s="21" t="s">
        <v>920</v>
      </c>
      <c r="C1989" s="21" t="s">
        <v>35</v>
      </c>
      <c r="D1989" s="21" t="s">
        <v>921</v>
      </c>
      <c r="E1989" s="21">
        <v>4</v>
      </c>
      <c r="F1989" s="22">
        <v>45309.7877083333</v>
      </c>
      <c r="G1989" s="22">
        <v>45455.8727314815</v>
      </c>
      <c r="H1989" s="23">
        <v>25</v>
      </c>
      <c r="I1989" s="23">
        <v>2.5</v>
      </c>
      <c r="J1989" s="24">
        <v>10</v>
      </c>
      <c r="K1989" s="21">
        <v>2</v>
      </c>
      <c r="L1989" s="21">
        <v>20</v>
      </c>
      <c r="M1989" s="21">
        <f>COUNTIF($A$2:$A$5481,A1989)</f>
        <v>2</v>
      </c>
      <c r="N1989" s="24">
        <f t="shared" si="31"/>
        <v>10.0001989</v>
      </c>
    </row>
    <row r="1990" spans="1:14">
      <c r="A1990" s="21" t="s">
        <v>2399</v>
      </c>
      <c r="B1990" s="21" t="s">
        <v>920</v>
      </c>
      <c r="C1990" s="21" t="s">
        <v>26</v>
      </c>
      <c r="D1990" s="21" t="s">
        <v>921</v>
      </c>
      <c r="E1990" s="21">
        <v>2</v>
      </c>
      <c r="F1990" s="22">
        <v>45433.8347453704</v>
      </c>
      <c r="G1990" s="22">
        <v>45643.5794444445</v>
      </c>
      <c r="H1990" s="23">
        <v>21</v>
      </c>
      <c r="I1990" s="23">
        <v>0</v>
      </c>
      <c r="J1990" s="24">
        <v>0</v>
      </c>
      <c r="K1990" s="21">
        <v>2</v>
      </c>
      <c r="L1990" s="21">
        <v>20</v>
      </c>
      <c r="M1990" s="21">
        <f>COUNTIF($A$2:$A$5481,A1990)</f>
        <v>2</v>
      </c>
      <c r="N1990" s="24">
        <f t="shared" si="31"/>
        <v>0.000199</v>
      </c>
    </row>
    <row r="1991" spans="1:14">
      <c r="A1991" s="21" t="s">
        <v>2400</v>
      </c>
      <c r="B1991" s="21" t="s">
        <v>920</v>
      </c>
      <c r="C1991" s="21" t="s">
        <v>26</v>
      </c>
      <c r="D1991" s="21" t="s">
        <v>931</v>
      </c>
      <c r="E1991" s="21">
        <v>8</v>
      </c>
      <c r="F1991" s="22">
        <v>45756.3635648148</v>
      </c>
      <c r="G1991" s="22">
        <v>46000.4220833333</v>
      </c>
      <c r="H1991" s="23">
        <v>89</v>
      </c>
      <c r="I1991" s="23">
        <v>8.9</v>
      </c>
      <c r="J1991" s="24">
        <v>71.2</v>
      </c>
      <c r="K1991" s="21">
        <v>0</v>
      </c>
      <c r="L1991" s="21">
        <v>0</v>
      </c>
      <c r="M1991" s="21">
        <f>COUNTIF($A$2:$A$5481,A1991)</f>
        <v>1</v>
      </c>
      <c r="N1991" s="24">
        <f t="shared" si="31"/>
        <v>71.2001991</v>
      </c>
    </row>
    <row r="1992" spans="1:14">
      <c r="A1992" s="21" t="s">
        <v>2401</v>
      </c>
      <c r="B1992" s="21" t="s">
        <v>929</v>
      </c>
      <c r="C1992" s="21" t="s">
        <v>26</v>
      </c>
      <c r="D1992" s="21" t="s">
        <v>921</v>
      </c>
      <c r="E1992" s="21">
        <v>1</v>
      </c>
      <c r="F1992" s="22">
        <v>45901.5859953704</v>
      </c>
      <c r="G1992" s="22"/>
      <c r="H1992" s="23">
        <v>431.65</v>
      </c>
      <c r="I1992" s="23">
        <v>431.65</v>
      </c>
      <c r="J1992" s="24">
        <v>431.65</v>
      </c>
      <c r="K1992" s="21">
        <v>0</v>
      </c>
      <c r="L1992" s="21">
        <v>0</v>
      </c>
      <c r="M1992" s="21">
        <f>COUNTIF($A$2:$A$5481,A1992)</f>
        <v>1</v>
      </c>
      <c r="N1992" s="24">
        <f t="shared" si="31"/>
        <v>431.6501992</v>
      </c>
    </row>
    <row r="1993" spans="1:14">
      <c r="A1993" s="21" t="s">
        <v>2402</v>
      </c>
      <c r="B1993" s="21" t="s">
        <v>929</v>
      </c>
      <c r="C1993" s="21" t="s">
        <v>26</v>
      </c>
      <c r="D1993" s="21" t="s">
        <v>921</v>
      </c>
      <c r="E1993" s="21">
        <v>2</v>
      </c>
      <c r="F1993" s="22">
        <v>45747.5730092593</v>
      </c>
      <c r="G1993" s="22"/>
      <c r="H1993" s="23">
        <v>17.5</v>
      </c>
      <c r="I1993" s="23">
        <v>8.75</v>
      </c>
      <c r="J1993" s="24">
        <v>17.5</v>
      </c>
      <c r="K1993" s="21">
        <v>0</v>
      </c>
      <c r="L1993" s="21">
        <v>0</v>
      </c>
      <c r="M1993" s="21">
        <f>COUNTIF($A$2:$A$5481,A1993)</f>
        <v>1</v>
      </c>
      <c r="N1993" s="24">
        <f t="shared" si="31"/>
        <v>17.5001993</v>
      </c>
    </row>
    <row r="1994" spans="1:14">
      <c r="A1994" s="21" t="s">
        <v>2403</v>
      </c>
      <c r="B1994" s="21" t="s">
        <v>929</v>
      </c>
      <c r="C1994" s="21" t="s">
        <v>414</v>
      </c>
      <c r="D1994" s="21" t="s">
        <v>931</v>
      </c>
      <c r="E1994" s="21">
        <v>1</v>
      </c>
      <c r="F1994" s="22">
        <v>45590.4454050926</v>
      </c>
      <c r="G1994" s="22"/>
      <c r="H1994" s="23">
        <v>650</v>
      </c>
      <c r="I1994" s="23">
        <v>650</v>
      </c>
      <c r="J1994" s="24">
        <v>650</v>
      </c>
      <c r="K1994" s="21">
        <v>0</v>
      </c>
      <c r="L1994" s="21">
        <v>0</v>
      </c>
      <c r="M1994" s="21">
        <f>COUNTIF($A$2:$A$5481,A1994)</f>
        <v>1</v>
      </c>
      <c r="N1994" s="24">
        <f t="shared" si="31"/>
        <v>650.0001994</v>
      </c>
    </row>
    <row r="1995" spans="1:14">
      <c r="A1995" s="21" t="s">
        <v>2404</v>
      </c>
      <c r="B1995" s="21" t="s">
        <v>929</v>
      </c>
      <c r="C1995" s="21" t="s">
        <v>414</v>
      </c>
      <c r="D1995" s="21" t="s">
        <v>931</v>
      </c>
      <c r="E1995" s="21">
        <v>1</v>
      </c>
      <c r="F1995" s="22">
        <v>45590.4454050926</v>
      </c>
      <c r="G1995" s="22"/>
      <c r="H1995" s="23">
        <v>480</v>
      </c>
      <c r="I1995" s="23">
        <v>480</v>
      </c>
      <c r="J1995" s="24">
        <v>480</v>
      </c>
      <c r="K1995" s="21">
        <v>0</v>
      </c>
      <c r="L1995" s="21">
        <v>0</v>
      </c>
      <c r="M1995" s="21">
        <f>COUNTIF($A$2:$A$5481,A1995)</f>
        <v>3</v>
      </c>
      <c r="N1995" s="24">
        <f t="shared" si="31"/>
        <v>480.0001995</v>
      </c>
    </row>
    <row r="1996" spans="1:14">
      <c r="A1996" s="21" t="s">
        <v>2404</v>
      </c>
      <c r="B1996" s="21" t="s">
        <v>929</v>
      </c>
      <c r="C1996" s="21" t="s">
        <v>51</v>
      </c>
      <c r="D1996" s="21" t="s">
        <v>931</v>
      </c>
      <c r="E1996" s="21">
        <v>2</v>
      </c>
      <c r="F1996" s="22">
        <v>45994.3634143519</v>
      </c>
      <c r="G1996" s="22"/>
      <c r="H1996" s="23">
        <v>680</v>
      </c>
      <c r="I1996" s="23">
        <v>340</v>
      </c>
      <c r="J1996" s="24">
        <v>680</v>
      </c>
      <c r="K1996" s="21">
        <v>0</v>
      </c>
      <c r="L1996" s="21">
        <v>0</v>
      </c>
      <c r="M1996" s="21">
        <f>COUNTIF($A$2:$A$5481,A1996)</f>
        <v>3</v>
      </c>
      <c r="N1996" s="24">
        <f t="shared" si="31"/>
        <v>680.0001996</v>
      </c>
    </row>
    <row r="1997" spans="1:14">
      <c r="A1997" s="21" t="s">
        <v>2404</v>
      </c>
      <c r="B1997" s="21" t="s">
        <v>929</v>
      </c>
      <c r="C1997" s="21" t="s">
        <v>26</v>
      </c>
      <c r="D1997" s="21" t="s">
        <v>931</v>
      </c>
      <c r="E1997" s="21">
        <v>8</v>
      </c>
      <c r="F1997" s="22">
        <v>46017.5676273148</v>
      </c>
      <c r="G1997" s="22"/>
      <c r="H1997" s="23">
        <v>594</v>
      </c>
      <c r="I1997" s="23">
        <v>189.25</v>
      </c>
      <c r="J1997" s="24">
        <v>1514</v>
      </c>
      <c r="K1997" s="21">
        <v>0</v>
      </c>
      <c r="L1997" s="21">
        <v>0</v>
      </c>
      <c r="M1997" s="21">
        <f>COUNTIF($A$2:$A$5481,A1997)</f>
        <v>3</v>
      </c>
      <c r="N1997" s="24">
        <f t="shared" si="31"/>
        <v>1514.0001997</v>
      </c>
    </row>
    <row r="1998" spans="1:14">
      <c r="A1998" s="21" t="s">
        <v>2405</v>
      </c>
      <c r="B1998" s="21" t="s">
        <v>920</v>
      </c>
      <c r="C1998" s="21" t="s">
        <v>26</v>
      </c>
      <c r="D1998" s="21" t="s">
        <v>921</v>
      </c>
      <c r="E1998" s="21">
        <v>2</v>
      </c>
      <c r="F1998" s="22">
        <v>45630.3729282407</v>
      </c>
      <c r="G1998" s="22"/>
      <c r="H1998" s="23">
        <v>9</v>
      </c>
      <c r="I1998" s="23">
        <v>9</v>
      </c>
      <c r="J1998" s="24">
        <v>18</v>
      </c>
      <c r="K1998" s="21">
        <v>0</v>
      </c>
      <c r="L1998" s="21">
        <v>0</v>
      </c>
      <c r="M1998" s="21">
        <f>COUNTIF($A$2:$A$5481,A1998)</f>
        <v>1</v>
      </c>
      <c r="N1998" s="24">
        <f t="shared" si="31"/>
        <v>18.0001998</v>
      </c>
    </row>
    <row r="1999" spans="1:14">
      <c r="A1999" s="21" t="s">
        <v>2406</v>
      </c>
      <c r="B1999" s="21" t="s">
        <v>1346</v>
      </c>
      <c r="C1999" s="21" t="s">
        <v>390</v>
      </c>
      <c r="D1999" s="21" t="s">
        <v>921</v>
      </c>
      <c r="E1999" s="21">
        <v>4</v>
      </c>
      <c r="F1999" s="22">
        <v>45509.7493055556</v>
      </c>
      <c r="G1999" s="22"/>
      <c r="H1999" s="23">
        <v>476</v>
      </c>
      <c r="I1999" s="23">
        <v>119</v>
      </c>
      <c r="J1999" s="24">
        <v>476</v>
      </c>
      <c r="K1999" s="21">
        <v>0</v>
      </c>
      <c r="L1999" s="21">
        <v>0</v>
      </c>
      <c r="M1999" s="21">
        <f>COUNTIF($A$2:$A$5481,A1999)</f>
        <v>1</v>
      </c>
      <c r="N1999" s="24">
        <f t="shared" si="31"/>
        <v>476.0001999</v>
      </c>
    </row>
    <row r="2000" spans="1:14">
      <c r="A2000" s="21" t="s">
        <v>2407</v>
      </c>
      <c r="B2000" s="21" t="s">
        <v>920</v>
      </c>
      <c r="C2000" s="21" t="s">
        <v>26</v>
      </c>
      <c r="D2000" s="21" t="s">
        <v>921</v>
      </c>
      <c r="E2000" s="21">
        <v>45</v>
      </c>
      <c r="F2000" s="22">
        <v>45735.3494907407</v>
      </c>
      <c r="G2000" s="22"/>
      <c r="H2000" s="23">
        <v>424.5</v>
      </c>
      <c r="I2000" s="23">
        <v>14.08667</v>
      </c>
      <c r="J2000" s="24">
        <v>634.05</v>
      </c>
      <c r="K2000" s="21">
        <v>0</v>
      </c>
      <c r="L2000" s="21">
        <v>0</v>
      </c>
      <c r="M2000" s="21">
        <f>COUNTIF($A$2:$A$5481,A2000)</f>
        <v>1</v>
      </c>
      <c r="N2000" s="24">
        <f t="shared" si="31"/>
        <v>634.0502</v>
      </c>
    </row>
    <row r="2001" spans="1:14">
      <c r="A2001" s="21" t="s">
        <v>2408</v>
      </c>
      <c r="B2001" s="21" t="s">
        <v>920</v>
      </c>
      <c r="C2001" s="21" t="s">
        <v>26</v>
      </c>
      <c r="D2001" s="21" t="s">
        <v>921</v>
      </c>
      <c r="E2001" s="21">
        <v>12</v>
      </c>
      <c r="F2001" s="22">
        <v>45425.8279050926</v>
      </c>
      <c r="G2001" s="22"/>
      <c r="H2001" s="23">
        <v>228.84</v>
      </c>
      <c r="I2001" s="23">
        <v>19.07</v>
      </c>
      <c r="J2001" s="24">
        <v>228.84</v>
      </c>
      <c r="K2001" s="21">
        <v>0</v>
      </c>
      <c r="L2001" s="21">
        <v>0</v>
      </c>
      <c r="M2001" s="21">
        <f>COUNTIF($A$2:$A$5481,A2001)</f>
        <v>1</v>
      </c>
      <c r="N2001" s="24">
        <f t="shared" si="31"/>
        <v>228.8402001</v>
      </c>
    </row>
    <row r="2002" spans="1:14">
      <c r="A2002" s="21" t="s">
        <v>2409</v>
      </c>
      <c r="B2002" s="21" t="s">
        <v>920</v>
      </c>
      <c r="C2002" s="21" t="s">
        <v>26</v>
      </c>
      <c r="D2002" s="21" t="s">
        <v>921</v>
      </c>
      <c r="E2002" s="21">
        <v>0</v>
      </c>
      <c r="F2002" s="22">
        <v>45596.6073611111</v>
      </c>
      <c r="G2002" s="22">
        <v>46020.5711342593</v>
      </c>
      <c r="H2002" s="23">
        <v>1284</v>
      </c>
      <c r="I2002" s="23">
        <v>321</v>
      </c>
      <c r="J2002" s="24">
        <v>0</v>
      </c>
      <c r="K2002" s="21">
        <v>0</v>
      </c>
      <c r="L2002" s="21">
        <v>0</v>
      </c>
      <c r="M2002" s="21">
        <f>COUNTIF($A$2:$A$5481,A2002)</f>
        <v>1</v>
      </c>
      <c r="N2002" s="24">
        <f t="shared" si="31"/>
        <v>0.0002002</v>
      </c>
    </row>
    <row r="2003" spans="1:14">
      <c r="A2003" s="21" t="s">
        <v>2410</v>
      </c>
      <c r="B2003" s="21" t="s">
        <v>920</v>
      </c>
      <c r="C2003" s="21" t="s">
        <v>26</v>
      </c>
      <c r="D2003" s="21" t="s">
        <v>931</v>
      </c>
      <c r="E2003" s="21">
        <v>0</v>
      </c>
      <c r="F2003" s="22">
        <v>45415.6066666667</v>
      </c>
      <c r="G2003" s="22">
        <v>45603.436875</v>
      </c>
      <c r="H2003" s="23">
        <v>1040</v>
      </c>
      <c r="I2003" s="23">
        <v>260</v>
      </c>
      <c r="J2003" s="24">
        <v>0</v>
      </c>
      <c r="K2003" s="21">
        <v>0</v>
      </c>
      <c r="L2003" s="21">
        <v>0</v>
      </c>
      <c r="M2003" s="21">
        <f>COUNTIF($A$2:$A$5481,A2003)</f>
        <v>1</v>
      </c>
      <c r="N2003" s="24">
        <f t="shared" si="31"/>
        <v>0.0002003</v>
      </c>
    </row>
    <row r="2004" spans="1:14">
      <c r="A2004" s="21" t="s">
        <v>2411</v>
      </c>
      <c r="B2004" s="21" t="s">
        <v>26</v>
      </c>
      <c r="C2004" s="21" t="s">
        <v>26</v>
      </c>
      <c r="D2004" s="21" t="s">
        <v>921</v>
      </c>
      <c r="E2004" s="21">
        <v>18</v>
      </c>
      <c r="F2004" s="22">
        <v>46182.6971759259</v>
      </c>
      <c r="G2004" s="22">
        <v>45604.387349537</v>
      </c>
      <c r="H2004" s="23">
        <v>700</v>
      </c>
      <c r="I2004" s="23">
        <v>75.7777777778</v>
      </c>
      <c r="J2004" s="24">
        <v>1364.04</v>
      </c>
      <c r="K2004" s="21">
        <v>0</v>
      </c>
      <c r="L2004" s="21">
        <v>0</v>
      </c>
      <c r="M2004" s="21">
        <f>COUNTIF($A$2:$A$5481,A2004)</f>
        <v>1</v>
      </c>
      <c r="N2004" s="24">
        <f t="shared" si="31"/>
        <v>1364.0402004</v>
      </c>
    </row>
    <row r="2005" spans="1:14">
      <c r="A2005" s="21" t="s">
        <v>2412</v>
      </c>
      <c r="B2005" s="21" t="s">
        <v>920</v>
      </c>
      <c r="C2005" s="21" t="s">
        <v>26</v>
      </c>
      <c r="D2005" s="21" t="s">
        <v>921</v>
      </c>
      <c r="E2005" s="21">
        <v>6</v>
      </c>
      <c r="F2005" s="22">
        <v>45363.4388888889</v>
      </c>
      <c r="G2005" s="22"/>
      <c r="H2005" s="23">
        <v>204</v>
      </c>
      <c r="I2005" s="23">
        <v>59</v>
      </c>
      <c r="J2005" s="24">
        <v>354</v>
      </c>
      <c r="K2005" s="21">
        <v>0</v>
      </c>
      <c r="L2005" s="21">
        <v>0</v>
      </c>
      <c r="M2005" s="21">
        <f>COUNTIF($A$2:$A$5481,A2005)</f>
        <v>1</v>
      </c>
      <c r="N2005" s="24">
        <f t="shared" si="31"/>
        <v>354.0002005</v>
      </c>
    </row>
    <row r="2006" spans="1:14">
      <c r="A2006" s="21" t="s">
        <v>2413</v>
      </c>
      <c r="B2006" s="21" t="s">
        <v>26</v>
      </c>
      <c r="C2006" s="21" t="s">
        <v>26</v>
      </c>
      <c r="D2006" s="21" t="s">
        <v>921</v>
      </c>
      <c r="E2006" s="21">
        <v>9</v>
      </c>
      <c r="F2006" s="22">
        <v>45602.4847106482</v>
      </c>
      <c r="G2006" s="22"/>
      <c r="H2006" s="23">
        <v>117</v>
      </c>
      <c r="I2006" s="23">
        <v>13</v>
      </c>
      <c r="J2006" s="24">
        <v>117</v>
      </c>
      <c r="K2006" s="21">
        <v>0</v>
      </c>
      <c r="L2006" s="21">
        <v>0</v>
      </c>
      <c r="M2006" s="21">
        <f>COUNTIF($A$2:$A$5481,A2006)</f>
        <v>1</v>
      </c>
      <c r="N2006" s="24">
        <f t="shared" si="31"/>
        <v>117.0002006</v>
      </c>
    </row>
    <row r="2007" spans="1:14">
      <c r="A2007" s="21" t="s">
        <v>2414</v>
      </c>
      <c r="B2007" s="21" t="s">
        <v>26</v>
      </c>
      <c r="C2007" s="21" t="s">
        <v>26</v>
      </c>
      <c r="D2007" s="21" t="s">
        <v>921</v>
      </c>
      <c r="E2007" s="21">
        <v>2</v>
      </c>
      <c r="F2007" s="22">
        <v>45548.5925</v>
      </c>
      <c r="G2007" s="22"/>
      <c r="H2007" s="23">
        <v>431.65</v>
      </c>
      <c r="I2007" s="23">
        <v>402.46</v>
      </c>
      <c r="J2007" s="24">
        <v>804.92</v>
      </c>
      <c r="K2007" s="21">
        <v>0</v>
      </c>
      <c r="L2007" s="21">
        <v>0</v>
      </c>
      <c r="M2007" s="21">
        <f>COUNTIF($A$2:$A$5481,A2007)</f>
        <v>1</v>
      </c>
      <c r="N2007" s="24">
        <f t="shared" si="31"/>
        <v>804.9202007</v>
      </c>
    </row>
    <row r="2008" spans="1:14">
      <c r="A2008" s="21" t="s">
        <v>2415</v>
      </c>
      <c r="B2008" s="21" t="s">
        <v>26</v>
      </c>
      <c r="C2008" s="21" t="s">
        <v>26</v>
      </c>
      <c r="D2008" s="21" t="s">
        <v>921</v>
      </c>
      <c r="E2008" s="21">
        <v>30</v>
      </c>
      <c r="F2008" s="22">
        <v>46028.5578356482</v>
      </c>
      <c r="G2008" s="22"/>
      <c r="H2008" s="23">
        <v>35</v>
      </c>
      <c r="I2008" s="23">
        <v>3.5</v>
      </c>
      <c r="J2008" s="24">
        <v>105</v>
      </c>
      <c r="K2008" s="21">
        <v>0</v>
      </c>
      <c r="L2008" s="21">
        <v>0</v>
      </c>
      <c r="M2008" s="21">
        <f>COUNTIF($A$2:$A$5481,A2008)</f>
        <v>1</v>
      </c>
      <c r="N2008" s="24">
        <f t="shared" si="31"/>
        <v>105.0002008</v>
      </c>
    </row>
    <row r="2009" spans="1:14">
      <c r="A2009" s="21" t="s">
        <v>2416</v>
      </c>
      <c r="B2009" s="21" t="s">
        <v>929</v>
      </c>
      <c r="C2009" s="21" t="s">
        <v>26</v>
      </c>
      <c r="D2009" s="21" t="s">
        <v>921</v>
      </c>
      <c r="E2009" s="21">
        <v>1</v>
      </c>
      <c r="F2009" s="22">
        <v>45936.3654513889</v>
      </c>
      <c r="G2009" s="22"/>
      <c r="H2009" s="23">
        <v>279.91</v>
      </c>
      <c r="I2009" s="23">
        <v>279.91</v>
      </c>
      <c r="J2009" s="24">
        <v>279.91</v>
      </c>
      <c r="K2009" s="21">
        <v>0</v>
      </c>
      <c r="L2009" s="21">
        <v>0</v>
      </c>
      <c r="M2009" s="21">
        <f>COUNTIF($A$2:$A$5481,A2009)</f>
        <v>1</v>
      </c>
      <c r="N2009" s="24">
        <f t="shared" si="31"/>
        <v>279.9102009</v>
      </c>
    </row>
    <row r="2010" spans="1:14">
      <c r="A2010" s="21" t="s">
        <v>2417</v>
      </c>
      <c r="B2010" s="21" t="s">
        <v>1352</v>
      </c>
      <c r="C2010" s="21" t="s">
        <v>182</v>
      </c>
      <c r="D2010" s="21" t="s">
        <v>921</v>
      </c>
      <c r="E2010" s="21">
        <v>0</v>
      </c>
      <c r="F2010" s="22">
        <v>45876.3786342593</v>
      </c>
      <c r="G2010" s="22">
        <v>45880.3697222222</v>
      </c>
      <c r="H2010" s="23">
        <v>580</v>
      </c>
      <c r="I2010" s="23">
        <v>290</v>
      </c>
      <c r="J2010" s="24">
        <v>0</v>
      </c>
      <c r="K2010" s="21">
        <v>0</v>
      </c>
      <c r="L2010" s="21">
        <v>0</v>
      </c>
      <c r="M2010" s="21">
        <f>COUNTIF($A$2:$A$5481,A2010)</f>
        <v>1</v>
      </c>
      <c r="N2010" s="24">
        <f t="shared" si="31"/>
        <v>0.000201</v>
      </c>
    </row>
    <row r="2011" spans="1:14">
      <c r="A2011" s="21" t="s">
        <v>2418</v>
      </c>
      <c r="B2011" s="21" t="s">
        <v>920</v>
      </c>
      <c r="C2011" s="21" t="s">
        <v>26</v>
      </c>
      <c r="D2011" s="21" t="s">
        <v>931</v>
      </c>
      <c r="E2011" s="21">
        <v>1</v>
      </c>
      <c r="F2011" s="22">
        <v>45791.3490509259</v>
      </c>
      <c r="G2011" s="22"/>
      <c r="H2011" s="23">
        <v>593.85</v>
      </c>
      <c r="I2011" s="23">
        <v>593.85</v>
      </c>
      <c r="J2011" s="24">
        <v>593.85</v>
      </c>
      <c r="K2011" s="21">
        <v>0</v>
      </c>
      <c r="L2011" s="21">
        <v>0</v>
      </c>
      <c r="M2011" s="21">
        <f>COUNTIF($A$2:$A$5481,A2011)</f>
        <v>1</v>
      </c>
      <c r="N2011" s="24">
        <f t="shared" si="31"/>
        <v>593.8502011</v>
      </c>
    </row>
    <row r="2012" spans="1:14">
      <c r="A2012" s="21" t="s">
        <v>2419</v>
      </c>
      <c r="B2012" s="21" t="s">
        <v>26</v>
      </c>
      <c r="C2012" s="21" t="s">
        <v>26</v>
      </c>
      <c r="D2012" s="21" t="s">
        <v>921</v>
      </c>
      <c r="E2012" s="21">
        <v>6</v>
      </c>
      <c r="F2012" s="22">
        <v>45517.3831828704</v>
      </c>
      <c r="G2012" s="22"/>
      <c r="H2012" s="23">
        <v>53.94</v>
      </c>
      <c r="I2012" s="23">
        <v>8.99</v>
      </c>
      <c r="J2012" s="24">
        <v>53.94</v>
      </c>
      <c r="K2012" s="21">
        <v>0</v>
      </c>
      <c r="L2012" s="21">
        <v>0</v>
      </c>
      <c r="M2012" s="21">
        <f>COUNTIF($A$2:$A$5481,A2012)</f>
        <v>1</v>
      </c>
      <c r="N2012" s="24">
        <f t="shared" si="31"/>
        <v>53.9402012</v>
      </c>
    </row>
    <row r="2013" spans="1:14">
      <c r="A2013" s="21" t="s">
        <v>2420</v>
      </c>
      <c r="B2013" s="21" t="s">
        <v>26</v>
      </c>
      <c r="C2013" s="21" t="s">
        <v>182</v>
      </c>
      <c r="D2013" s="21" t="s">
        <v>921</v>
      </c>
      <c r="E2013" s="21">
        <v>0</v>
      </c>
      <c r="F2013" s="22">
        <v>45303.6973726852</v>
      </c>
      <c r="G2013" s="22">
        <v>45317.386412037</v>
      </c>
      <c r="H2013" s="23">
        <v>68</v>
      </c>
      <c r="I2013" s="23">
        <v>34</v>
      </c>
      <c r="J2013" s="24">
        <v>0</v>
      </c>
      <c r="K2013" s="21">
        <v>0</v>
      </c>
      <c r="L2013" s="21">
        <v>0</v>
      </c>
      <c r="M2013" s="21">
        <f>COUNTIF($A$2:$A$5481,A2013)</f>
        <v>2</v>
      </c>
      <c r="N2013" s="24">
        <f t="shared" si="31"/>
        <v>0.0002013</v>
      </c>
    </row>
    <row r="2014" spans="1:14">
      <c r="A2014" s="21" t="s">
        <v>2420</v>
      </c>
      <c r="B2014" s="21" t="s">
        <v>26</v>
      </c>
      <c r="C2014" s="21" t="s">
        <v>26</v>
      </c>
      <c r="D2014" s="21" t="s">
        <v>921</v>
      </c>
      <c r="E2014" s="21">
        <v>0</v>
      </c>
      <c r="F2014" s="22">
        <v>45336.5708333333</v>
      </c>
      <c r="G2014" s="22">
        <v>45352.4284375</v>
      </c>
      <c r="H2014" s="23">
        <v>201.6</v>
      </c>
      <c r="I2014" s="23">
        <v>5.04</v>
      </c>
      <c r="J2014" s="24">
        <v>0</v>
      </c>
      <c r="K2014" s="21">
        <v>0</v>
      </c>
      <c r="L2014" s="21">
        <v>0</v>
      </c>
      <c r="M2014" s="21">
        <f>COUNTIF($A$2:$A$5481,A2014)</f>
        <v>2</v>
      </c>
      <c r="N2014" s="24">
        <f t="shared" si="31"/>
        <v>0.0002014</v>
      </c>
    </row>
    <row r="2015" spans="1:14">
      <c r="A2015" s="21" t="s">
        <v>723</v>
      </c>
      <c r="B2015" s="21" t="s">
        <v>26</v>
      </c>
      <c r="C2015" s="21" t="s">
        <v>26</v>
      </c>
      <c r="D2015" s="21" t="s">
        <v>921</v>
      </c>
      <c r="E2015" s="21">
        <v>0</v>
      </c>
      <c r="F2015" s="22">
        <v>45861.3500810185</v>
      </c>
      <c r="G2015" s="22">
        <v>46252.569224537</v>
      </c>
      <c r="H2015" s="23">
        <v>179.75</v>
      </c>
      <c r="I2015" s="23">
        <v>7.335</v>
      </c>
      <c r="J2015" s="24">
        <v>0</v>
      </c>
      <c r="K2015" s="21">
        <v>0</v>
      </c>
      <c r="L2015" s="21">
        <v>0</v>
      </c>
      <c r="M2015" s="21">
        <f>COUNTIF($A$2:$A$5481,A2015)</f>
        <v>1</v>
      </c>
      <c r="N2015" s="24">
        <f t="shared" si="31"/>
        <v>0.0002015</v>
      </c>
    </row>
    <row r="2016" spans="1:14">
      <c r="A2016" s="21" t="s">
        <v>2421</v>
      </c>
      <c r="B2016" s="21" t="s">
        <v>920</v>
      </c>
      <c r="C2016" s="21" t="s">
        <v>35</v>
      </c>
      <c r="D2016" s="21" t="s">
        <v>1539</v>
      </c>
      <c r="E2016" s="21">
        <v>1</v>
      </c>
      <c r="F2016" s="22">
        <v>45443.5542592593</v>
      </c>
      <c r="G2016" s="22"/>
      <c r="H2016" s="23">
        <v>4388.62</v>
      </c>
      <c r="I2016" s="23">
        <v>4388.62</v>
      </c>
      <c r="J2016" s="24">
        <v>4388.62</v>
      </c>
      <c r="K2016" s="21">
        <v>0</v>
      </c>
      <c r="L2016" s="21">
        <v>0</v>
      </c>
      <c r="M2016" s="21">
        <f>COUNTIF($A$2:$A$5481,A2016)</f>
        <v>1</v>
      </c>
      <c r="N2016" s="24">
        <f t="shared" si="31"/>
        <v>4388.6202016</v>
      </c>
    </row>
    <row r="2017" spans="1:14">
      <c r="A2017" s="21" t="s">
        <v>2422</v>
      </c>
      <c r="B2017" s="21" t="s">
        <v>26</v>
      </c>
      <c r="C2017" s="21" t="s">
        <v>26</v>
      </c>
      <c r="D2017" s="21" t="s">
        <v>921</v>
      </c>
      <c r="E2017" s="21">
        <v>1</v>
      </c>
      <c r="F2017" s="22">
        <v>45666.4715046296</v>
      </c>
      <c r="G2017" s="22"/>
      <c r="H2017" s="23">
        <v>28.73</v>
      </c>
      <c r="I2017" s="23">
        <v>28.73</v>
      </c>
      <c r="J2017" s="24">
        <v>28.73</v>
      </c>
      <c r="K2017" s="21">
        <v>0</v>
      </c>
      <c r="L2017" s="21">
        <v>0</v>
      </c>
      <c r="M2017" s="21">
        <f>COUNTIF($A$2:$A$5481,A2017)</f>
        <v>1</v>
      </c>
      <c r="N2017" s="24">
        <f t="shared" si="31"/>
        <v>28.7302017</v>
      </c>
    </row>
    <row r="2018" spans="1:14">
      <c r="A2018" s="21" t="s">
        <v>2423</v>
      </c>
      <c r="B2018" s="21" t="s">
        <v>920</v>
      </c>
      <c r="C2018" s="21" t="s">
        <v>26</v>
      </c>
      <c r="D2018" s="21" t="s">
        <v>921</v>
      </c>
      <c r="E2018" s="21">
        <v>3</v>
      </c>
      <c r="F2018" s="22">
        <v>45972.5634027778</v>
      </c>
      <c r="G2018" s="22">
        <v>45973.4424768519</v>
      </c>
      <c r="H2018" s="23">
        <v>70.4</v>
      </c>
      <c r="I2018" s="23">
        <v>17.6</v>
      </c>
      <c r="J2018" s="24">
        <v>52.8</v>
      </c>
      <c r="K2018" s="21">
        <v>0</v>
      </c>
      <c r="L2018" s="21">
        <v>0</v>
      </c>
      <c r="M2018" s="21">
        <f>COUNTIF($A$2:$A$5481,A2018)</f>
        <v>1</v>
      </c>
      <c r="N2018" s="24">
        <f t="shared" si="31"/>
        <v>52.8002018</v>
      </c>
    </row>
    <row r="2019" spans="1:14">
      <c r="A2019" s="21" t="s">
        <v>704</v>
      </c>
      <c r="B2019" s="21" t="s">
        <v>1175</v>
      </c>
      <c r="C2019" s="21" t="s">
        <v>26</v>
      </c>
      <c r="D2019" s="21" t="s">
        <v>921</v>
      </c>
      <c r="E2019" s="21">
        <v>0</v>
      </c>
      <c r="F2019" s="22">
        <v>46078.4034259259</v>
      </c>
      <c r="G2019" s="22">
        <v>46252.5690046296</v>
      </c>
      <c r="H2019" s="23">
        <v>2884.92</v>
      </c>
      <c r="I2019" s="23">
        <v>1442.46</v>
      </c>
      <c r="J2019" s="24">
        <v>0</v>
      </c>
      <c r="K2019" s="21">
        <v>0</v>
      </c>
      <c r="L2019" s="21">
        <v>0</v>
      </c>
      <c r="M2019" s="21">
        <f>COUNTIF($A$2:$A$5481,A2019)</f>
        <v>1</v>
      </c>
      <c r="N2019" s="24">
        <f t="shared" si="31"/>
        <v>0.0002019</v>
      </c>
    </row>
    <row r="2020" spans="1:14">
      <c r="A2020" s="21" t="s">
        <v>2424</v>
      </c>
      <c r="B2020" s="21" t="s">
        <v>929</v>
      </c>
      <c r="C2020" s="21" t="s">
        <v>26</v>
      </c>
      <c r="D2020" s="21" t="s">
        <v>921</v>
      </c>
      <c r="E2020" s="21">
        <v>2</v>
      </c>
      <c r="F2020" s="22">
        <v>45314.5194444444</v>
      </c>
      <c r="G2020" s="22"/>
      <c r="H2020" s="23">
        <v>102.2</v>
      </c>
      <c r="I2020" s="23">
        <v>51.1</v>
      </c>
      <c r="J2020" s="24">
        <v>102.2</v>
      </c>
      <c r="K2020" s="21">
        <v>0</v>
      </c>
      <c r="L2020" s="21">
        <v>0</v>
      </c>
      <c r="M2020" s="21">
        <f>COUNTIF($A$2:$A$5481,A2020)</f>
        <v>1</v>
      </c>
      <c r="N2020" s="24">
        <f t="shared" si="31"/>
        <v>102.200202</v>
      </c>
    </row>
    <row r="2021" spans="1:14">
      <c r="A2021" s="21" t="s">
        <v>2425</v>
      </c>
      <c r="B2021" s="21" t="s">
        <v>929</v>
      </c>
      <c r="C2021" s="21" t="s">
        <v>414</v>
      </c>
      <c r="D2021" s="21" t="s">
        <v>921</v>
      </c>
      <c r="E2021" s="21">
        <v>0</v>
      </c>
      <c r="F2021" s="22">
        <v>45308.68125</v>
      </c>
      <c r="G2021" s="22">
        <v>45310.4118865741</v>
      </c>
      <c r="H2021" s="23">
        <v>51.1</v>
      </c>
      <c r="I2021" s="23">
        <v>51.1</v>
      </c>
      <c r="J2021" s="24">
        <v>0</v>
      </c>
      <c r="K2021" s="21">
        <v>0</v>
      </c>
      <c r="L2021" s="21">
        <v>0</v>
      </c>
      <c r="M2021" s="21">
        <f>COUNTIF($A$2:$A$5481,A2021)</f>
        <v>1</v>
      </c>
      <c r="N2021" s="24">
        <f t="shared" si="31"/>
        <v>0.0002021</v>
      </c>
    </row>
    <row r="2022" spans="1:14">
      <c r="A2022" s="21" t="s">
        <v>2426</v>
      </c>
      <c r="B2022" s="21" t="s">
        <v>929</v>
      </c>
      <c r="C2022" s="21" t="s">
        <v>414</v>
      </c>
      <c r="D2022" s="21" t="s">
        <v>921</v>
      </c>
      <c r="E2022" s="21">
        <v>0</v>
      </c>
      <c r="F2022" s="22">
        <v>45308.68125</v>
      </c>
      <c r="G2022" s="22">
        <v>45310.4118981482</v>
      </c>
      <c r="H2022" s="23">
        <v>51.11</v>
      </c>
      <c r="I2022" s="23">
        <v>51.11</v>
      </c>
      <c r="J2022" s="24">
        <v>0</v>
      </c>
      <c r="K2022" s="21">
        <v>0</v>
      </c>
      <c r="L2022" s="21">
        <v>0</v>
      </c>
      <c r="M2022" s="21">
        <f>COUNTIF($A$2:$A$5481,A2022)</f>
        <v>2</v>
      </c>
      <c r="N2022" s="24">
        <f t="shared" si="31"/>
        <v>0.0002022</v>
      </c>
    </row>
    <row r="2023" spans="1:14">
      <c r="A2023" s="21" t="s">
        <v>2426</v>
      </c>
      <c r="B2023" s="21" t="s">
        <v>929</v>
      </c>
      <c r="C2023" s="21" t="s">
        <v>26</v>
      </c>
      <c r="D2023" s="21" t="s">
        <v>921</v>
      </c>
      <c r="E2023" s="21">
        <v>3</v>
      </c>
      <c r="F2023" s="22">
        <v>46091.3513888889</v>
      </c>
      <c r="G2023" s="22"/>
      <c r="H2023" s="23">
        <v>151.41</v>
      </c>
      <c r="I2023" s="23">
        <v>50.47</v>
      </c>
      <c r="J2023" s="24">
        <v>151.41</v>
      </c>
      <c r="K2023" s="21">
        <v>0</v>
      </c>
      <c r="L2023" s="21">
        <v>0</v>
      </c>
      <c r="M2023" s="21">
        <f>COUNTIF($A$2:$A$5481,A2023)</f>
        <v>2</v>
      </c>
      <c r="N2023" s="24">
        <f t="shared" si="31"/>
        <v>151.4102023</v>
      </c>
    </row>
    <row r="2024" spans="1:14">
      <c r="A2024" s="21" t="s">
        <v>2427</v>
      </c>
      <c r="B2024" s="21" t="s">
        <v>1342</v>
      </c>
      <c r="C2024" s="21" t="s">
        <v>26</v>
      </c>
      <c r="D2024" s="21" t="s">
        <v>921</v>
      </c>
      <c r="E2024" s="21">
        <v>0</v>
      </c>
      <c r="F2024" s="22">
        <v>45315.4951388889</v>
      </c>
      <c r="G2024" s="22">
        <v>45316.3854282407</v>
      </c>
      <c r="H2024" s="23">
        <v>31.6</v>
      </c>
      <c r="I2024" s="23">
        <v>31.6</v>
      </c>
      <c r="J2024" s="24">
        <v>0</v>
      </c>
      <c r="K2024" s="21">
        <v>0</v>
      </c>
      <c r="L2024" s="21">
        <v>0</v>
      </c>
      <c r="M2024" s="21">
        <f>COUNTIF($A$2:$A$5481,A2024)</f>
        <v>1</v>
      </c>
      <c r="N2024" s="24">
        <f t="shared" si="31"/>
        <v>0.0002024</v>
      </c>
    </row>
    <row r="2025" spans="1:14">
      <c r="A2025" s="21" t="s">
        <v>2428</v>
      </c>
      <c r="B2025" s="21" t="s">
        <v>929</v>
      </c>
      <c r="C2025" s="21" t="s">
        <v>26</v>
      </c>
      <c r="D2025" s="21" t="s">
        <v>921</v>
      </c>
      <c r="E2025" s="21">
        <v>5</v>
      </c>
      <c r="F2025" s="22">
        <v>45314.5194444444</v>
      </c>
      <c r="G2025" s="22"/>
      <c r="H2025" s="23">
        <v>46.45</v>
      </c>
      <c r="I2025" s="23">
        <v>9.29</v>
      </c>
      <c r="J2025" s="24">
        <v>46.45</v>
      </c>
      <c r="K2025" s="21">
        <v>0</v>
      </c>
      <c r="L2025" s="21">
        <v>0</v>
      </c>
      <c r="M2025" s="21">
        <f>COUNTIF($A$2:$A$5481,A2025)</f>
        <v>1</v>
      </c>
      <c r="N2025" s="24">
        <f t="shared" si="31"/>
        <v>46.4502025</v>
      </c>
    </row>
    <row r="2026" spans="1:14">
      <c r="A2026" s="21" t="s">
        <v>2429</v>
      </c>
      <c r="B2026" s="21" t="s">
        <v>26</v>
      </c>
      <c r="C2026" s="21" t="s">
        <v>414</v>
      </c>
      <c r="D2026" s="21" t="s">
        <v>921</v>
      </c>
      <c r="E2026" s="21">
        <v>1</v>
      </c>
      <c r="F2026" s="22">
        <v>45412.4041666667</v>
      </c>
      <c r="G2026" s="22"/>
      <c r="H2026" s="23">
        <v>415</v>
      </c>
      <c r="I2026" s="23">
        <v>415</v>
      </c>
      <c r="J2026" s="24">
        <v>415</v>
      </c>
      <c r="K2026" s="21">
        <v>0</v>
      </c>
      <c r="L2026" s="21">
        <v>0</v>
      </c>
      <c r="M2026" s="21">
        <f>COUNTIF($A$2:$A$5481,A2026)</f>
        <v>1</v>
      </c>
      <c r="N2026" s="24">
        <f t="shared" si="31"/>
        <v>415.0002026</v>
      </c>
    </row>
    <row r="2027" spans="1:14">
      <c r="A2027" s="21" t="s">
        <v>2430</v>
      </c>
      <c r="B2027" s="21" t="s">
        <v>966</v>
      </c>
      <c r="C2027" s="21" t="s">
        <v>26</v>
      </c>
      <c r="D2027" s="21" t="s">
        <v>921</v>
      </c>
      <c r="E2027" s="21">
        <v>1</v>
      </c>
      <c r="F2027" s="22">
        <v>45316.4027777778</v>
      </c>
      <c r="G2027" s="22"/>
      <c r="H2027" s="23">
        <v>567.67</v>
      </c>
      <c r="I2027" s="23">
        <v>567.67</v>
      </c>
      <c r="J2027" s="24">
        <v>567.67</v>
      </c>
      <c r="K2027" s="21">
        <v>0</v>
      </c>
      <c r="L2027" s="21">
        <v>0</v>
      </c>
      <c r="M2027" s="21">
        <f>COUNTIF($A$2:$A$5481,A2027)</f>
        <v>1</v>
      </c>
      <c r="N2027" s="24">
        <f t="shared" si="31"/>
        <v>567.6702027</v>
      </c>
    </row>
    <row r="2028" spans="1:14">
      <c r="A2028" s="21" t="s">
        <v>2431</v>
      </c>
      <c r="B2028" s="21" t="s">
        <v>26</v>
      </c>
      <c r="C2028" s="21" t="s">
        <v>26</v>
      </c>
      <c r="D2028" s="21" t="s">
        <v>921</v>
      </c>
      <c r="E2028" s="21">
        <v>1</v>
      </c>
      <c r="F2028" s="22">
        <v>45631.7861921296</v>
      </c>
      <c r="G2028" s="22"/>
      <c r="H2028" s="23">
        <v>70</v>
      </c>
      <c r="I2028" s="23">
        <v>70</v>
      </c>
      <c r="J2028" s="24">
        <v>70</v>
      </c>
      <c r="K2028" s="21">
        <v>0</v>
      </c>
      <c r="L2028" s="21">
        <v>0</v>
      </c>
      <c r="M2028" s="21">
        <f>COUNTIF($A$2:$A$5481,A2028)</f>
        <v>1</v>
      </c>
      <c r="N2028" s="24">
        <f t="shared" si="31"/>
        <v>70.0002028</v>
      </c>
    </row>
    <row r="2029" spans="1:14">
      <c r="A2029" s="21" t="s">
        <v>2432</v>
      </c>
      <c r="B2029" s="21" t="s">
        <v>929</v>
      </c>
      <c r="C2029" s="21" t="s">
        <v>414</v>
      </c>
      <c r="D2029" s="21" t="s">
        <v>921</v>
      </c>
      <c r="E2029" s="21">
        <v>0</v>
      </c>
      <c r="F2029" s="22">
        <v>45268.6752893519</v>
      </c>
      <c r="G2029" s="22">
        <v>45280.4274305556</v>
      </c>
      <c r="H2029" s="23">
        <v>1152</v>
      </c>
      <c r="I2029" s="23">
        <v>576</v>
      </c>
      <c r="J2029" s="24">
        <v>0</v>
      </c>
      <c r="K2029" s="21">
        <v>2</v>
      </c>
      <c r="L2029" s="21">
        <v>2</v>
      </c>
      <c r="M2029" s="21">
        <f>COUNTIF($A$2:$A$5481,A2029)</f>
        <v>1</v>
      </c>
      <c r="N2029" s="24">
        <f t="shared" si="31"/>
        <v>0.0002029</v>
      </c>
    </row>
    <row r="2030" spans="1:14">
      <c r="A2030" s="21" t="s">
        <v>2433</v>
      </c>
      <c r="B2030" s="21" t="s">
        <v>929</v>
      </c>
      <c r="C2030" s="21" t="s">
        <v>414</v>
      </c>
      <c r="D2030" s="21" t="s">
        <v>931</v>
      </c>
      <c r="E2030" s="21">
        <v>2</v>
      </c>
      <c r="F2030" s="22">
        <v>45687.5215740741</v>
      </c>
      <c r="G2030" s="22"/>
      <c r="H2030" s="23">
        <v>1068</v>
      </c>
      <c r="I2030" s="23">
        <v>534</v>
      </c>
      <c r="J2030" s="24">
        <v>1068</v>
      </c>
      <c r="K2030" s="21">
        <v>0</v>
      </c>
      <c r="L2030" s="21">
        <v>0</v>
      </c>
      <c r="M2030" s="21">
        <f>COUNTIF($A$2:$A$5481,A2030)</f>
        <v>1</v>
      </c>
      <c r="N2030" s="24">
        <f t="shared" si="31"/>
        <v>1068.000203</v>
      </c>
    </row>
    <row r="2031" spans="1:14">
      <c r="A2031" s="21" t="s">
        <v>2434</v>
      </c>
      <c r="B2031" s="21" t="s">
        <v>26</v>
      </c>
      <c r="C2031" s="21" t="s">
        <v>26</v>
      </c>
      <c r="D2031" s="21" t="s">
        <v>921</v>
      </c>
      <c r="E2031" s="21">
        <v>2</v>
      </c>
      <c r="F2031" s="22">
        <v>45881.4932291667</v>
      </c>
      <c r="G2031" s="22"/>
      <c r="H2031" s="23">
        <v>25.98</v>
      </c>
      <c r="I2031" s="23">
        <v>12.99</v>
      </c>
      <c r="J2031" s="24">
        <v>25.98</v>
      </c>
      <c r="K2031" s="21">
        <v>0</v>
      </c>
      <c r="L2031" s="21">
        <v>0</v>
      </c>
      <c r="M2031" s="21">
        <f>COUNTIF($A$2:$A$5481,A2031)</f>
        <v>1</v>
      </c>
      <c r="N2031" s="24">
        <f t="shared" si="31"/>
        <v>25.9802031</v>
      </c>
    </row>
    <row r="2032" spans="1:14">
      <c r="A2032" s="21" t="s">
        <v>2435</v>
      </c>
      <c r="B2032" s="21" t="s">
        <v>929</v>
      </c>
      <c r="C2032" s="21" t="s">
        <v>26</v>
      </c>
      <c r="D2032" s="21" t="s">
        <v>921</v>
      </c>
      <c r="E2032" s="21">
        <v>3</v>
      </c>
      <c r="F2032" s="22">
        <v>46078.7167708333</v>
      </c>
      <c r="G2032" s="22"/>
      <c r="H2032" s="23">
        <v>50</v>
      </c>
      <c r="I2032" s="23">
        <v>50</v>
      </c>
      <c r="J2032" s="24">
        <v>150</v>
      </c>
      <c r="K2032" s="21">
        <v>0</v>
      </c>
      <c r="L2032" s="21">
        <v>0</v>
      </c>
      <c r="M2032" s="21">
        <f>COUNTIF($A$2:$A$5481,A2032)</f>
        <v>1</v>
      </c>
      <c r="N2032" s="24">
        <f t="shared" si="31"/>
        <v>150.0002032</v>
      </c>
    </row>
    <row r="2033" spans="1:14">
      <c r="A2033" s="21" t="s">
        <v>2436</v>
      </c>
      <c r="B2033" s="21" t="s">
        <v>929</v>
      </c>
      <c r="C2033" s="21" t="s">
        <v>35</v>
      </c>
      <c r="D2033" s="21" t="s">
        <v>921</v>
      </c>
      <c r="E2033" s="21">
        <v>1</v>
      </c>
      <c r="F2033" s="22">
        <v>45421.4209027778</v>
      </c>
      <c r="G2033" s="22"/>
      <c r="H2033" s="23">
        <v>52.2</v>
      </c>
      <c r="I2033" s="23">
        <v>52.2</v>
      </c>
      <c r="J2033" s="24">
        <v>52.2</v>
      </c>
      <c r="K2033" s="21">
        <v>0</v>
      </c>
      <c r="L2033" s="21">
        <v>0</v>
      </c>
      <c r="M2033" s="21">
        <f>COUNTIF($A$2:$A$5481,A2033)</f>
        <v>1</v>
      </c>
      <c r="N2033" s="24">
        <f t="shared" si="31"/>
        <v>52.2002033</v>
      </c>
    </row>
    <row r="2034" spans="1:14">
      <c r="A2034" s="21" t="s">
        <v>2437</v>
      </c>
      <c r="B2034" s="21" t="s">
        <v>2438</v>
      </c>
      <c r="C2034" s="21" t="s">
        <v>26</v>
      </c>
      <c r="D2034" s="21" t="s">
        <v>931</v>
      </c>
      <c r="E2034" s="21">
        <v>4</v>
      </c>
      <c r="F2034" s="22">
        <v>45483.5842476852</v>
      </c>
      <c r="G2034" s="22"/>
      <c r="H2034" s="23">
        <v>416800</v>
      </c>
      <c r="I2034" s="23">
        <v>104200</v>
      </c>
      <c r="J2034" s="24">
        <v>416800</v>
      </c>
      <c r="K2034" s="21">
        <v>0</v>
      </c>
      <c r="L2034" s="21">
        <v>0</v>
      </c>
      <c r="M2034" s="21">
        <f>COUNTIF($A$2:$A$5481,A2034)</f>
        <v>1</v>
      </c>
      <c r="N2034" s="24">
        <f t="shared" si="31"/>
        <v>416800.0002034</v>
      </c>
    </row>
    <row r="2035" spans="1:14">
      <c r="A2035" s="21" t="s">
        <v>2439</v>
      </c>
      <c r="B2035" s="21" t="s">
        <v>920</v>
      </c>
      <c r="C2035" s="21" t="s">
        <v>26</v>
      </c>
      <c r="D2035" s="21" t="s">
        <v>931</v>
      </c>
      <c r="E2035" s="21">
        <v>12</v>
      </c>
      <c r="F2035" s="22">
        <v>45456.5835648148</v>
      </c>
      <c r="G2035" s="22"/>
      <c r="H2035" s="23">
        <v>624</v>
      </c>
      <c r="I2035" s="23">
        <v>52</v>
      </c>
      <c r="J2035" s="24">
        <v>624</v>
      </c>
      <c r="K2035" s="21">
        <v>0</v>
      </c>
      <c r="L2035" s="21">
        <v>0</v>
      </c>
      <c r="M2035" s="21">
        <f>COUNTIF($A$2:$A$5481,A2035)</f>
        <v>1</v>
      </c>
      <c r="N2035" s="24">
        <f t="shared" si="31"/>
        <v>624.0002035</v>
      </c>
    </row>
    <row r="2036" spans="1:14">
      <c r="A2036" s="21" t="s">
        <v>2440</v>
      </c>
      <c r="B2036" s="21" t="s">
        <v>929</v>
      </c>
      <c r="C2036" s="21" t="s">
        <v>26</v>
      </c>
      <c r="D2036" s="21" t="s">
        <v>921</v>
      </c>
      <c r="E2036" s="21">
        <v>5</v>
      </c>
      <c r="F2036" s="22">
        <v>45757.4216782407</v>
      </c>
      <c r="G2036" s="22"/>
      <c r="H2036" s="23">
        <v>1381.8</v>
      </c>
      <c r="I2036" s="23">
        <v>717.484</v>
      </c>
      <c r="J2036" s="24">
        <v>3587.4</v>
      </c>
      <c r="K2036" s="21">
        <v>0</v>
      </c>
      <c r="L2036" s="21">
        <v>0</v>
      </c>
      <c r="M2036" s="21">
        <f>COUNTIF($A$2:$A$5481,A2036)</f>
        <v>1</v>
      </c>
      <c r="N2036" s="24">
        <f t="shared" si="31"/>
        <v>3587.4002036</v>
      </c>
    </row>
    <row r="2037" spans="1:14">
      <c r="A2037" s="21" t="s">
        <v>2441</v>
      </c>
      <c r="B2037" s="21" t="s">
        <v>26</v>
      </c>
      <c r="C2037" s="21" t="s">
        <v>26</v>
      </c>
      <c r="D2037" s="21" t="s">
        <v>1309</v>
      </c>
      <c r="E2037" s="21">
        <v>1</v>
      </c>
      <c r="F2037" s="22">
        <v>45747.5752777778</v>
      </c>
      <c r="G2037" s="22"/>
      <c r="H2037" s="23">
        <v>53.98</v>
      </c>
      <c r="I2037" s="23">
        <v>53.98</v>
      </c>
      <c r="J2037" s="24">
        <v>53.98</v>
      </c>
      <c r="K2037" s="21">
        <v>0</v>
      </c>
      <c r="L2037" s="21">
        <v>0</v>
      </c>
      <c r="M2037" s="21">
        <f>COUNTIF($A$2:$A$5481,A2037)</f>
        <v>1</v>
      </c>
      <c r="N2037" s="24">
        <f t="shared" si="31"/>
        <v>53.9802037</v>
      </c>
    </row>
    <row r="2038" spans="1:14">
      <c r="A2038" s="21" t="s">
        <v>2442</v>
      </c>
      <c r="B2038" s="21" t="s">
        <v>929</v>
      </c>
      <c r="C2038" s="21" t="s">
        <v>26</v>
      </c>
      <c r="D2038" s="21" t="s">
        <v>921</v>
      </c>
      <c r="E2038" s="21">
        <v>1</v>
      </c>
      <c r="F2038" s="22">
        <v>45329.6645833333</v>
      </c>
      <c r="G2038" s="22"/>
      <c r="H2038" s="23">
        <v>86</v>
      </c>
      <c r="I2038" s="23">
        <v>86</v>
      </c>
      <c r="J2038" s="24">
        <v>86</v>
      </c>
      <c r="K2038" s="21">
        <v>0</v>
      </c>
      <c r="L2038" s="21">
        <v>0</v>
      </c>
      <c r="M2038" s="21">
        <f>COUNTIF($A$2:$A$5481,A2038)</f>
        <v>1</v>
      </c>
      <c r="N2038" s="24">
        <f t="shared" si="31"/>
        <v>86.0002038</v>
      </c>
    </row>
    <row r="2039" spans="1:14">
      <c r="A2039" s="21" t="s">
        <v>2443</v>
      </c>
      <c r="B2039" s="21" t="s">
        <v>966</v>
      </c>
      <c r="C2039" s="21" t="s">
        <v>26</v>
      </c>
      <c r="D2039" s="21" t="s">
        <v>921</v>
      </c>
      <c r="E2039" s="21">
        <v>1</v>
      </c>
      <c r="F2039" s="22">
        <v>45327.4279050926</v>
      </c>
      <c r="G2039" s="22"/>
      <c r="H2039" s="23">
        <v>112.05</v>
      </c>
      <c r="I2039" s="23">
        <v>112.05</v>
      </c>
      <c r="J2039" s="24">
        <v>112.05</v>
      </c>
      <c r="K2039" s="21">
        <v>0</v>
      </c>
      <c r="L2039" s="21">
        <v>0</v>
      </c>
      <c r="M2039" s="21">
        <f>COUNTIF($A$2:$A$5481,A2039)</f>
        <v>1</v>
      </c>
      <c r="N2039" s="24">
        <f t="shared" si="31"/>
        <v>112.0502039</v>
      </c>
    </row>
    <row r="2040" spans="1:14">
      <c r="A2040" s="21" t="s">
        <v>2444</v>
      </c>
      <c r="B2040" s="21" t="s">
        <v>929</v>
      </c>
      <c r="C2040" s="21" t="s">
        <v>26</v>
      </c>
      <c r="D2040" s="21" t="s">
        <v>921</v>
      </c>
      <c r="E2040" s="21">
        <v>2</v>
      </c>
      <c r="F2040" s="22">
        <v>45329.6645833333</v>
      </c>
      <c r="G2040" s="22"/>
      <c r="H2040" s="23">
        <v>90.9</v>
      </c>
      <c r="I2040" s="23">
        <v>45.45</v>
      </c>
      <c r="J2040" s="24">
        <v>90.9</v>
      </c>
      <c r="K2040" s="21">
        <v>0</v>
      </c>
      <c r="L2040" s="21">
        <v>0</v>
      </c>
      <c r="M2040" s="21">
        <f>COUNTIF($A$2:$A$5481,A2040)</f>
        <v>1</v>
      </c>
      <c r="N2040" s="24">
        <f t="shared" si="31"/>
        <v>90.900204</v>
      </c>
    </row>
    <row r="2041" spans="1:14">
      <c r="A2041" s="21" t="s">
        <v>2445</v>
      </c>
      <c r="B2041" s="21" t="s">
        <v>920</v>
      </c>
      <c r="C2041" s="21" t="s">
        <v>26</v>
      </c>
      <c r="D2041" s="21" t="s">
        <v>921</v>
      </c>
      <c r="E2041" s="21">
        <v>1</v>
      </c>
      <c r="F2041" s="22">
        <v>45714.8376041667</v>
      </c>
      <c r="G2041" s="22">
        <v>45446.441400463</v>
      </c>
      <c r="H2041" s="23">
        <v>147.31</v>
      </c>
      <c r="I2041" s="23">
        <v>282.25</v>
      </c>
      <c r="J2041" s="24">
        <v>282.25</v>
      </c>
      <c r="K2041" s="21">
        <v>0</v>
      </c>
      <c r="L2041" s="21">
        <v>0</v>
      </c>
      <c r="M2041" s="21">
        <f>COUNTIF($A$2:$A$5481,A2041)</f>
        <v>1</v>
      </c>
      <c r="N2041" s="24">
        <f t="shared" si="31"/>
        <v>282.2502041</v>
      </c>
    </row>
    <row r="2042" spans="1:14">
      <c r="A2042" s="21" t="s">
        <v>2446</v>
      </c>
      <c r="B2042" s="21" t="s">
        <v>949</v>
      </c>
      <c r="C2042" s="21" t="s">
        <v>26</v>
      </c>
      <c r="D2042" s="21" t="s">
        <v>921</v>
      </c>
      <c r="E2042" s="21">
        <v>1</v>
      </c>
      <c r="F2042" s="22">
        <v>45618.4052199074</v>
      </c>
      <c r="G2042" s="22"/>
      <c r="H2042" s="23">
        <v>534.9</v>
      </c>
      <c r="I2042" s="23">
        <v>534.9</v>
      </c>
      <c r="J2042" s="24">
        <v>534.9</v>
      </c>
      <c r="K2042" s="21">
        <v>0</v>
      </c>
      <c r="L2042" s="21">
        <v>0</v>
      </c>
      <c r="M2042" s="21">
        <f>COUNTIF($A$2:$A$5481,A2042)</f>
        <v>1</v>
      </c>
      <c r="N2042" s="24">
        <f t="shared" si="31"/>
        <v>534.9002042</v>
      </c>
    </row>
    <row r="2043" spans="1:14">
      <c r="A2043" s="21" t="s">
        <v>2447</v>
      </c>
      <c r="B2043" s="21" t="s">
        <v>966</v>
      </c>
      <c r="C2043" s="21" t="s">
        <v>182</v>
      </c>
      <c r="D2043" s="21" t="s">
        <v>921</v>
      </c>
      <c r="E2043" s="21">
        <v>0</v>
      </c>
      <c r="F2043" s="22">
        <v>45309.8001967593</v>
      </c>
      <c r="G2043" s="22">
        <v>45315.5032291667</v>
      </c>
      <c r="H2043" s="23">
        <v>430</v>
      </c>
      <c r="I2043" s="23">
        <v>430</v>
      </c>
      <c r="J2043" s="24">
        <v>0</v>
      </c>
      <c r="K2043" s="21">
        <v>0</v>
      </c>
      <c r="L2043" s="21">
        <v>0</v>
      </c>
      <c r="M2043" s="21">
        <f>COUNTIF($A$2:$A$5481,A2043)</f>
        <v>1</v>
      </c>
      <c r="N2043" s="24">
        <f t="shared" si="31"/>
        <v>0.0002043</v>
      </c>
    </row>
    <row r="2044" spans="1:14">
      <c r="A2044" s="21" t="s">
        <v>2448</v>
      </c>
      <c r="B2044" s="21" t="s">
        <v>26</v>
      </c>
      <c r="C2044" s="21" t="s">
        <v>26</v>
      </c>
      <c r="D2044" s="21" t="s">
        <v>921</v>
      </c>
      <c r="E2044" s="21">
        <v>2</v>
      </c>
      <c r="F2044" s="22">
        <v>46120.3576388889</v>
      </c>
      <c r="G2044" s="22"/>
      <c r="H2044" s="23">
        <v>27.39</v>
      </c>
      <c r="I2044" s="23">
        <v>25.14</v>
      </c>
      <c r="J2044" s="24">
        <v>50.28</v>
      </c>
      <c r="K2044" s="21">
        <v>0</v>
      </c>
      <c r="L2044" s="21">
        <v>0</v>
      </c>
      <c r="M2044" s="21">
        <f>COUNTIF($A$2:$A$5481,A2044)</f>
        <v>1</v>
      </c>
      <c r="N2044" s="24">
        <f t="shared" si="31"/>
        <v>50.2802044</v>
      </c>
    </row>
    <row r="2045" spans="1:14">
      <c r="A2045" s="21" t="s">
        <v>2449</v>
      </c>
      <c r="B2045" s="21" t="s">
        <v>26</v>
      </c>
      <c r="C2045" s="21" t="s">
        <v>26</v>
      </c>
      <c r="D2045" s="21" t="s">
        <v>921</v>
      </c>
      <c r="E2045" s="21">
        <v>1</v>
      </c>
      <c r="F2045" s="22">
        <v>45621.4874884259</v>
      </c>
      <c r="G2045" s="22"/>
      <c r="H2045" s="23">
        <v>349</v>
      </c>
      <c r="I2045" s="23">
        <v>349</v>
      </c>
      <c r="J2045" s="24">
        <v>349</v>
      </c>
      <c r="K2045" s="21">
        <v>0</v>
      </c>
      <c r="L2045" s="21">
        <v>0</v>
      </c>
      <c r="M2045" s="21">
        <f>COUNTIF($A$2:$A$5481,A2045)</f>
        <v>1</v>
      </c>
      <c r="N2045" s="24">
        <f t="shared" si="31"/>
        <v>349.0002045</v>
      </c>
    </row>
    <row r="2046" spans="1:14">
      <c r="A2046" s="21" t="s">
        <v>741</v>
      </c>
      <c r="B2046" s="21" t="s">
        <v>1175</v>
      </c>
      <c r="C2046" s="21" t="s">
        <v>26</v>
      </c>
      <c r="D2046" s="21" t="s">
        <v>921</v>
      </c>
      <c r="E2046" s="21">
        <v>0</v>
      </c>
      <c r="F2046" s="22">
        <v>45755.4683449074</v>
      </c>
      <c r="G2046" s="22">
        <v>46252.5694328704</v>
      </c>
      <c r="H2046" s="23">
        <v>417</v>
      </c>
      <c r="I2046" s="23">
        <v>123.0661538462</v>
      </c>
      <c r="J2046" s="24">
        <v>0</v>
      </c>
      <c r="K2046" s="21">
        <v>0</v>
      </c>
      <c r="L2046" s="21">
        <v>0</v>
      </c>
      <c r="M2046" s="21">
        <f>COUNTIF($A$2:$A$5481,A2046)</f>
        <v>1</v>
      </c>
      <c r="N2046" s="24">
        <f t="shared" si="31"/>
        <v>0.0002046</v>
      </c>
    </row>
    <row r="2047" spans="1:14">
      <c r="A2047" s="21" t="s">
        <v>2450</v>
      </c>
      <c r="B2047" s="21" t="s">
        <v>949</v>
      </c>
      <c r="C2047" s="21" t="s">
        <v>182</v>
      </c>
      <c r="D2047" s="21" t="s">
        <v>1584</v>
      </c>
      <c r="E2047" s="21">
        <v>0</v>
      </c>
      <c r="F2047" s="22">
        <v>45307.3745601852</v>
      </c>
      <c r="G2047" s="22">
        <v>45310.4237731482</v>
      </c>
      <c r="H2047" s="23">
        <v>71.9</v>
      </c>
      <c r="I2047" s="23">
        <v>71.9</v>
      </c>
      <c r="J2047" s="24">
        <v>0</v>
      </c>
      <c r="K2047" s="21">
        <v>0</v>
      </c>
      <c r="L2047" s="21">
        <v>0</v>
      </c>
      <c r="M2047" s="21">
        <f>COUNTIF($A$2:$A$5481,A2047)</f>
        <v>2</v>
      </c>
      <c r="N2047" s="24">
        <f t="shared" si="31"/>
        <v>0.0002047</v>
      </c>
    </row>
    <row r="2048" spans="1:14">
      <c r="A2048" s="21" t="s">
        <v>2450</v>
      </c>
      <c r="B2048" s="21" t="s">
        <v>949</v>
      </c>
      <c r="C2048" s="21" t="s">
        <v>26</v>
      </c>
      <c r="D2048" s="21" t="s">
        <v>1584</v>
      </c>
      <c r="E2048" s="21">
        <v>0</v>
      </c>
      <c r="F2048" s="22">
        <v>45327.3921180556</v>
      </c>
      <c r="G2048" s="22">
        <v>45327.3939930556</v>
      </c>
      <c r="H2048" s="23">
        <v>71.9</v>
      </c>
      <c r="I2048" s="23">
        <v>71.9</v>
      </c>
      <c r="J2048" s="24">
        <v>0</v>
      </c>
      <c r="K2048" s="21">
        <v>0</v>
      </c>
      <c r="L2048" s="21">
        <v>0</v>
      </c>
      <c r="M2048" s="21">
        <f>COUNTIF($A$2:$A$5481,A2048)</f>
        <v>2</v>
      </c>
      <c r="N2048" s="24">
        <f t="shared" si="31"/>
        <v>0.0002048</v>
      </c>
    </row>
    <row r="2049" spans="1:14">
      <c r="A2049" s="21" t="s">
        <v>2451</v>
      </c>
      <c r="B2049" s="21" t="s">
        <v>949</v>
      </c>
      <c r="C2049" s="21" t="s">
        <v>182</v>
      </c>
      <c r="D2049" s="21" t="s">
        <v>921</v>
      </c>
      <c r="E2049" s="21">
        <v>0</v>
      </c>
      <c r="F2049" s="22">
        <v>45307.3745601852</v>
      </c>
      <c r="G2049" s="22">
        <v>45310.4236342593</v>
      </c>
      <c r="H2049" s="23">
        <v>63.872</v>
      </c>
      <c r="I2049" s="23">
        <v>4.99</v>
      </c>
      <c r="J2049" s="24">
        <v>0</v>
      </c>
      <c r="K2049" s="21">
        <v>0</v>
      </c>
      <c r="L2049" s="21">
        <v>0</v>
      </c>
      <c r="M2049" s="21">
        <f>COUNTIF($A$2:$A$5481,A2049)</f>
        <v>2</v>
      </c>
      <c r="N2049" s="24">
        <f t="shared" si="31"/>
        <v>0.0002049</v>
      </c>
    </row>
    <row r="2050" spans="1:14">
      <c r="A2050" s="21" t="s">
        <v>2451</v>
      </c>
      <c r="B2050" s="21" t="s">
        <v>949</v>
      </c>
      <c r="C2050" s="21" t="s">
        <v>26</v>
      </c>
      <c r="D2050" s="21" t="s">
        <v>921</v>
      </c>
      <c r="E2050" s="21">
        <v>67.6</v>
      </c>
      <c r="F2050" s="22">
        <v>45338.3729166667</v>
      </c>
      <c r="G2050" s="22">
        <v>45324.490474537</v>
      </c>
      <c r="H2050" s="23">
        <v>249.444</v>
      </c>
      <c r="I2050" s="23">
        <v>3.69</v>
      </c>
      <c r="J2050" s="24">
        <v>249.444</v>
      </c>
      <c r="K2050" s="21">
        <v>0</v>
      </c>
      <c r="L2050" s="21">
        <v>0</v>
      </c>
      <c r="M2050" s="21">
        <f>COUNTIF($A$2:$A$5481,A2050)</f>
        <v>2</v>
      </c>
      <c r="N2050" s="24">
        <f t="shared" ref="N2050:N2113" si="32">J2050+ROW()/10000000</f>
        <v>249.444205</v>
      </c>
    </row>
    <row r="2051" spans="1:14">
      <c r="A2051" s="21" t="s">
        <v>647</v>
      </c>
      <c r="B2051" s="21" t="s">
        <v>26</v>
      </c>
      <c r="C2051" s="21" t="s">
        <v>547</v>
      </c>
      <c r="D2051" s="21" t="s">
        <v>921</v>
      </c>
      <c r="E2051" s="21">
        <v>11</v>
      </c>
      <c r="F2051" s="22">
        <v>45273.6494328704</v>
      </c>
      <c r="G2051" s="22">
        <v>45918.4172685185</v>
      </c>
      <c r="H2051" s="23">
        <v>325</v>
      </c>
      <c r="I2051" s="23">
        <v>6.5</v>
      </c>
      <c r="J2051" s="24">
        <v>71.5</v>
      </c>
      <c r="K2051" s="21">
        <v>0</v>
      </c>
      <c r="L2051" s="21">
        <v>0</v>
      </c>
      <c r="M2051" s="21">
        <f>COUNTIF($A$2:$A$5481,A2051)</f>
        <v>2</v>
      </c>
      <c r="N2051" s="24">
        <f t="shared" si="32"/>
        <v>71.5002051</v>
      </c>
    </row>
    <row r="2052" spans="1:14">
      <c r="A2052" s="21" t="s">
        <v>647</v>
      </c>
      <c r="B2052" s="21" t="s">
        <v>26</v>
      </c>
      <c r="C2052" s="21" t="s">
        <v>26</v>
      </c>
      <c r="D2052" s="21" t="s">
        <v>921</v>
      </c>
      <c r="E2052" s="21">
        <v>93</v>
      </c>
      <c r="F2052" s="22">
        <v>46233.55</v>
      </c>
      <c r="G2052" s="22">
        <v>46283.7704050926</v>
      </c>
      <c r="H2052" s="23">
        <v>1005</v>
      </c>
      <c r="I2052" s="23">
        <v>6.7794776263</v>
      </c>
      <c r="J2052" s="24">
        <v>630.54</v>
      </c>
      <c r="K2052" s="21">
        <v>0</v>
      </c>
      <c r="L2052" s="21">
        <v>0</v>
      </c>
      <c r="M2052" s="21">
        <f>COUNTIF($A$2:$A$5481,A2052)</f>
        <v>2</v>
      </c>
      <c r="N2052" s="24">
        <f t="shared" si="32"/>
        <v>630.5402052</v>
      </c>
    </row>
    <row r="2053" spans="1:14">
      <c r="A2053" s="21" t="s">
        <v>2452</v>
      </c>
      <c r="B2053" s="21" t="s">
        <v>920</v>
      </c>
      <c r="C2053" s="21" t="s">
        <v>35</v>
      </c>
      <c r="D2053" s="21" t="s">
        <v>921</v>
      </c>
      <c r="E2053" s="21">
        <v>1</v>
      </c>
      <c r="F2053" s="22">
        <v>46227.6881944445</v>
      </c>
      <c r="G2053" s="22"/>
      <c r="H2053" s="23">
        <v>800</v>
      </c>
      <c r="I2053" s="23">
        <v>800</v>
      </c>
      <c r="J2053" s="24">
        <v>800</v>
      </c>
      <c r="K2053" s="21">
        <v>0</v>
      </c>
      <c r="L2053" s="21">
        <v>0</v>
      </c>
      <c r="M2053" s="21">
        <f>COUNTIF($A$2:$A$5481,A2053)</f>
        <v>1</v>
      </c>
      <c r="N2053" s="24">
        <f t="shared" si="32"/>
        <v>800.0002053</v>
      </c>
    </row>
    <row r="2054" spans="1:14">
      <c r="A2054" s="21" t="s">
        <v>889</v>
      </c>
      <c r="B2054" s="21" t="s">
        <v>920</v>
      </c>
      <c r="C2054" s="21" t="s">
        <v>35</v>
      </c>
      <c r="D2054" s="21" t="s">
        <v>921</v>
      </c>
      <c r="E2054" s="21">
        <v>0</v>
      </c>
      <c r="F2054" s="22">
        <v>46227.6881944445</v>
      </c>
      <c r="G2054" s="22">
        <v>46273.7133333333</v>
      </c>
      <c r="H2054" s="23">
        <v>800</v>
      </c>
      <c r="I2054" s="23">
        <v>800</v>
      </c>
      <c r="J2054" s="24">
        <v>0</v>
      </c>
      <c r="K2054" s="21">
        <v>0</v>
      </c>
      <c r="L2054" s="21">
        <v>0</v>
      </c>
      <c r="M2054" s="21">
        <f>COUNTIF($A$2:$A$5481,A2054)</f>
        <v>1</v>
      </c>
      <c r="N2054" s="24">
        <f t="shared" si="32"/>
        <v>0.0002054</v>
      </c>
    </row>
    <row r="2055" spans="1:14">
      <c r="A2055" s="21" t="s">
        <v>2453</v>
      </c>
      <c r="B2055" s="21" t="s">
        <v>949</v>
      </c>
      <c r="C2055" s="21" t="s">
        <v>182</v>
      </c>
      <c r="D2055" s="21" t="s">
        <v>1584</v>
      </c>
      <c r="E2055" s="21">
        <v>0</v>
      </c>
      <c r="F2055" s="22">
        <v>45307.3745601852</v>
      </c>
      <c r="G2055" s="22">
        <v>45310.423900463</v>
      </c>
      <c r="H2055" s="23">
        <v>599.6</v>
      </c>
      <c r="I2055" s="23">
        <v>149.9</v>
      </c>
      <c r="J2055" s="24">
        <v>0</v>
      </c>
      <c r="K2055" s="21">
        <v>0</v>
      </c>
      <c r="L2055" s="21">
        <v>0</v>
      </c>
      <c r="M2055" s="21">
        <f>COUNTIF($A$2:$A$5481,A2055)</f>
        <v>2</v>
      </c>
      <c r="N2055" s="24">
        <f t="shared" si="32"/>
        <v>0.0002055</v>
      </c>
    </row>
    <row r="2056" spans="1:14">
      <c r="A2056" s="21" t="s">
        <v>2453</v>
      </c>
      <c r="B2056" s="21" t="s">
        <v>949</v>
      </c>
      <c r="C2056" s="21" t="s">
        <v>26</v>
      </c>
      <c r="D2056" s="21" t="s">
        <v>1584</v>
      </c>
      <c r="E2056" s="21">
        <v>3</v>
      </c>
      <c r="F2056" s="22">
        <v>45338.3729166667</v>
      </c>
      <c r="G2056" s="22">
        <v>45324.4905324074</v>
      </c>
      <c r="H2056" s="23">
        <v>509.7</v>
      </c>
      <c r="I2056" s="23">
        <v>169.9</v>
      </c>
      <c r="J2056" s="24">
        <v>509.7</v>
      </c>
      <c r="K2056" s="21">
        <v>0</v>
      </c>
      <c r="L2056" s="21">
        <v>0</v>
      </c>
      <c r="M2056" s="21">
        <f>COUNTIF($A$2:$A$5481,A2056)</f>
        <v>2</v>
      </c>
      <c r="N2056" s="24">
        <f t="shared" si="32"/>
        <v>509.7002056</v>
      </c>
    </row>
    <row r="2057" spans="1:14">
      <c r="A2057" s="21" t="s">
        <v>2454</v>
      </c>
      <c r="B2057" s="21" t="s">
        <v>920</v>
      </c>
      <c r="C2057" s="21" t="s">
        <v>26</v>
      </c>
      <c r="D2057" s="21" t="s">
        <v>921</v>
      </c>
      <c r="E2057" s="21">
        <v>1</v>
      </c>
      <c r="F2057" s="22">
        <v>46034.6263194445</v>
      </c>
      <c r="G2057" s="22"/>
      <c r="H2057" s="23">
        <v>120.68</v>
      </c>
      <c r="I2057" s="23">
        <v>120.68</v>
      </c>
      <c r="J2057" s="24">
        <v>120.68</v>
      </c>
      <c r="K2057" s="21">
        <v>0</v>
      </c>
      <c r="L2057" s="21">
        <v>0</v>
      </c>
      <c r="M2057" s="21">
        <f>COUNTIF($A$2:$A$5481,A2057)</f>
        <v>1</v>
      </c>
      <c r="N2057" s="24">
        <f t="shared" si="32"/>
        <v>120.6802057</v>
      </c>
    </row>
    <row r="2058" spans="1:14">
      <c r="A2058" s="21" t="s">
        <v>2455</v>
      </c>
      <c r="B2058" s="21" t="s">
        <v>920</v>
      </c>
      <c r="C2058" s="21" t="s">
        <v>26</v>
      </c>
      <c r="D2058" s="21" t="s">
        <v>921</v>
      </c>
      <c r="E2058" s="21">
        <v>1</v>
      </c>
      <c r="F2058" s="22">
        <v>46034.6263194445</v>
      </c>
      <c r="G2058" s="22"/>
      <c r="H2058" s="23">
        <v>120.68</v>
      </c>
      <c r="I2058" s="23">
        <v>120.68</v>
      </c>
      <c r="J2058" s="24">
        <v>120.68</v>
      </c>
      <c r="K2058" s="21">
        <v>0</v>
      </c>
      <c r="L2058" s="21">
        <v>0</v>
      </c>
      <c r="M2058" s="21">
        <f>COUNTIF($A$2:$A$5481,A2058)</f>
        <v>1</v>
      </c>
      <c r="N2058" s="24">
        <f t="shared" si="32"/>
        <v>120.6802058</v>
      </c>
    </row>
    <row r="2059" spans="1:14">
      <c r="A2059" s="21" t="s">
        <v>2456</v>
      </c>
      <c r="B2059" s="21" t="s">
        <v>920</v>
      </c>
      <c r="C2059" s="21" t="s">
        <v>26</v>
      </c>
      <c r="D2059" s="21" t="s">
        <v>921</v>
      </c>
      <c r="E2059" s="21">
        <v>4</v>
      </c>
      <c r="F2059" s="22">
        <v>46021.5320023148</v>
      </c>
      <c r="G2059" s="22"/>
      <c r="H2059" s="23">
        <v>904.6</v>
      </c>
      <c r="I2059" s="23">
        <v>226.15</v>
      </c>
      <c r="J2059" s="24">
        <v>904.6</v>
      </c>
      <c r="K2059" s="21">
        <v>0</v>
      </c>
      <c r="L2059" s="21">
        <v>0</v>
      </c>
      <c r="M2059" s="21">
        <f>COUNTIF($A$2:$A$5481,A2059)</f>
        <v>1</v>
      </c>
      <c r="N2059" s="24">
        <f t="shared" si="32"/>
        <v>904.6002059</v>
      </c>
    </row>
    <row r="2060" spans="1:14">
      <c r="A2060" s="21" t="s">
        <v>2457</v>
      </c>
      <c r="B2060" s="21" t="s">
        <v>920</v>
      </c>
      <c r="C2060" s="21" t="s">
        <v>26</v>
      </c>
      <c r="D2060" s="21" t="s">
        <v>931</v>
      </c>
      <c r="E2060" s="21">
        <v>0</v>
      </c>
      <c r="F2060" s="22">
        <v>45982.4296412037</v>
      </c>
      <c r="G2060" s="22">
        <v>45989.4378703704</v>
      </c>
      <c r="H2060" s="23">
        <v>39</v>
      </c>
      <c r="I2060" s="23">
        <v>39</v>
      </c>
      <c r="J2060" s="24">
        <v>0</v>
      </c>
      <c r="K2060" s="21">
        <v>0</v>
      </c>
      <c r="L2060" s="21">
        <v>0</v>
      </c>
      <c r="M2060" s="21">
        <f>COUNTIF($A$2:$A$5481,A2060)</f>
        <v>1</v>
      </c>
      <c r="N2060" s="24">
        <f t="shared" si="32"/>
        <v>0.000206</v>
      </c>
    </row>
    <row r="2061" spans="1:14">
      <c r="A2061" s="21" t="s">
        <v>2458</v>
      </c>
      <c r="B2061" s="21" t="s">
        <v>920</v>
      </c>
      <c r="C2061" s="21" t="s">
        <v>26</v>
      </c>
      <c r="D2061" s="21" t="s">
        <v>921</v>
      </c>
      <c r="E2061" s="21">
        <v>1</v>
      </c>
      <c r="F2061" s="22">
        <v>46265.5791666667</v>
      </c>
      <c r="G2061" s="22"/>
      <c r="H2061" s="23">
        <v>795</v>
      </c>
      <c r="I2061" s="23">
        <v>795</v>
      </c>
      <c r="J2061" s="24">
        <v>795</v>
      </c>
      <c r="K2061" s="21">
        <v>0</v>
      </c>
      <c r="L2061" s="21">
        <v>0</v>
      </c>
      <c r="M2061" s="21">
        <f>COUNTIF($A$2:$A$5481,A2061)</f>
        <v>1</v>
      </c>
      <c r="N2061" s="24">
        <f t="shared" si="32"/>
        <v>795.0002061</v>
      </c>
    </row>
    <row r="2062" spans="1:14">
      <c r="A2062" s="21" t="s">
        <v>2459</v>
      </c>
      <c r="B2062" s="21" t="s">
        <v>920</v>
      </c>
      <c r="C2062" s="21" t="s">
        <v>26</v>
      </c>
      <c r="D2062" s="21" t="s">
        <v>931</v>
      </c>
      <c r="E2062" s="21">
        <v>0</v>
      </c>
      <c r="F2062" s="22">
        <v>45737.4272685185</v>
      </c>
      <c r="G2062" s="22">
        <v>45747.4554398148</v>
      </c>
      <c r="H2062" s="23">
        <v>320</v>
      </c>
      <c r="I2062" s="23">
        <v>320</v>
      </c>
      <c r="J2062" s="24">
        <v>0</v>
      </c>
      <c r="K2062" s="21">
        <v>0</v>
      </c>
      <c r="L2062" s="21">
        <v>0</v>
      </c>
      <c r="M2062" s="21">
        <f>COUNTIF($A$2:$A$5481,A2062)</f>
        <v>2</v>
      </c>
      <c r="N2062" s="24">
        <f t="shared" si="32"/>
        <v>0.0002062</v>
      </c>
    </row>
    <row r="2063" spans="1:14">
      <c r="A2063" s="21" t="s">
        <v>2459</v>
      </c>
      <c r="B2063" s="21" t="s">
        <v>920</v>
      </c>
      <c r="C2063" s="21" t="s">
        <v>35</v>
      </c>
      <c r="D2063" s="21" t="s">
        <v>931</v>
      </c>
      <c r="E2063" s="21">
        <v>0</v>
      </c>
      <c r="F2063" s="22">
        <v>45813.4097453704</v>
      </c>
      <c r="G2063" s="22">
        <v>45831.4062615741</v>
      </c>
      <c r="H2063" s="23">
        <v>94</v>
      </c>
      <c r="I2063" s="23">
        <v>94</v>
      </c>
      <c r="J2063" s="24">
        <v>0</v>
      </c>
      <c r="K2063" s="21">
        <v>0</v>
      </c>
      <c r="L2063" s="21">
        <v>0</v>
      </c>
      <c r="M2063" s="21">
        <f>COUNTIF($A$2:$A$5481,A2063)</f>
        <v>2</v>
      </c>
      <c r="N2063" s="24">
        <f t="shared" si="32"/>
        <v>0.0002063</v>
      </c>
    </row>
    <row r="2064" spans="1:14">
      <c r="A2064" s="21" t="s">
        <v>2460</v>
      </c>
      <c r="B2064" s="21" t="s">
        <v>920</v>
      </c>
      <c r="C2064" s="21" t="s">
        <v>35</v>
      </c>
      <c r="D2064" s="21" t="s">
        <v>921</v>
      </c>
      <c r="E2064" s="21">
        <v>0</v>
      </c>
      <c r="F2064" s="22">
        <v>45483.423125</v>
      </c>
      <c r="G2064" s="22">
        <v>45623.4651273148</v>
      </c>
      <c r="H2064" s="23">
        <v>171.13</v>
      </c>
      <c r="I2064" s="23">
        <v>104.23667</v>
      </c>
      <c r="J2064" s="24">
        <v>0</v>
      </c>
      <c r="K2064" s="21">
        <v>0</v>
      </c>
      <c r="L2064" s="21">
        <v>0</v>
      </c>
      <c r="M2064" s="21">
        <f>COUNTIF($A$2:$A$5481,A2064)</f>
        <v>1</v>
      </c>
      <c r="N2064" s="24">
        <f t="shared" si="32"/>
        <v>0.0002064</v>
      </c>
    </row>
    <row r="2065" spans="1:14">
      <c r="A2065" s="21" t="s">
        <v>2461</v>
      </c>
      <c r="B2065" s="21" t="s">
        <v>920</v>
      </c>
      <c r="C2065" s="21" t="s">
        <v>26</v>
      </c>
      <c r="D2065" s="21" t="s">
        <v>921</v>
      </c>
      <c r="E2065" s="21">
        <v>1</v>
      </c>
      <c r="F2065" s="22">
        <v>46191.6028356482</v>
      </c>
      <c r="G2065" s="22"/>
      <c r="H2065" s="23">
        <v>95</v>
      </c>
      <c r="I2065" s="23">
        <v>95</v>
      </c>
      <c r="J2065" s="24">
        <v>95</v>
      </c>
      <c r="K2065" s="21">
        <v>0</v>
      </c>
      <c r="L2065" s="21">
        <v>0</v>
      </c>
      <c r="M2065" s="21">
        <f>COUNTIF($A$2:$A$5481,A2065)</f>
        <v>1</v>
      </c>
      <c r="N2065" s="24">
        <f t="shared" si="32"/>
        <v>95.0002065</v>
      </c>
    </row>
    <row r="2066" spans="1:14">
      <c r="A2066" s="21" t="s">
        <v>404</v>
      </c>
      <c r="B2066" s="21" t="s">
        <v>920</v>
      </c>
      <c r="C2066" s="21" t="s">
        <v>26</v>
      </c>
      <c r="D2066" s="21" t="s">
        <v>931</v>
      </c>
      <c r="E2066" s="21">
        <v>0</v>
      </c>
      <c r="F2066" s="22">
        <v>46185.6625810185</v>
      </c>
      <c r="G2066" s="22">
        <v>46190.6728935185</v>
      </c>
      <c r="H2066" s="23">
        <v>95</v>
      </c>
      <c r="I2066" s="23">
        <v>95</v>
      </c>
      <c r="J2066" s="24">
        <v>0</v>
      </c>
      <c r="K2066" s="21">
        <v>0</v>
      </c>
      <c r="L2066" s="21">
        <v>0</v>
      </c>
      <c r="M2066" s="21">
        <f>COUNTIF($A$2:$A$5481,A2066)</f>
        <v>1</v>
      </c>
      <c r="N2066" s="24">
        <f t="shared" si="32"/>
        <v>0.0002066</v>
      </c>
    </row>
    <row r="2067" spans="1:14">
      <c r="A2067" s="21" t="s">
        <v>2462</v>
      </c>
      <c r="B2067" s="21" t="s">
        <v>920</v>
      </c>
      <c r="C2067" s="21" t="s">
        <v>26</v>
      </c>
      <c r="D2067" s="21" t="s">
        <v>921</v>
      </c>
      <c r="E2067" s="21">
        <v>1</v>
      </c>
      <c r="F2067" s="22">
        <v>46191.6028356482</v>
      </c>
      <c r="G2067" s="22"/>
      <c r="H2067" s="23">
        <v>95</v>
      </c>
      <c r="I2067" s="23">
        <v>95</v>
      </c>
      <c r="J2067" s="24">
        <v>95</v>
      </c>
      <c r="K2067" s="21">
        <v>0</v>
      </c>
      <c r="L2067" s="21">
        <v>0</v>
      </c>
      <c r="M2067" s="21">
        <f>COUNTIF($A$2:$A$5481,A2067)</f>
        <v>1</v>
      </c>
      <c r="N2067" s="24">
        <f t="shared" si="32"/>
        <v>95.0002067</v>
      </c>
    </row>
    <row r="2068" spans="1:14">
      <c r="A2068" s="21" t="s">
        <v>2463</v>
      </c>
      <c r="B2068" s="21" t="s">
        <v>920</v>
      </c>
      <c r="C2068" s="21" t="s">
        <v>35</v>
      </c>
      <c r="D2068" s="21" t="s">
        <v>921</v>
      </c>
      <c r="E2068" s="21">
        <v>0</v>
      </c>
      <c r="F2068" s="22">
        <v>45954.3804282407</v>
      </c>
      <c r="G2068" s="22">
        <v>45958.4450810185</v>
      </c>
      <c r="H2068" s="23">
        <v>330</v>
      </c>
      <c r="I2068" s="23">
        <v>330</v>
      </c>
      <c r="J2068" s="24">
        <v>0</v>
      </c>
      <c r="K2068" s="21">
        <v>0</v>
      </c>
      <c r="L2068" s="21">
        <v>0</v>
      </c>
      <c r="M2068" s="21">
        <f>COUNTIF($A$2:$A$5481,A2068)</f>
        <v>1</v>
      </c>
      <c r="N2068" s="24">
        <f t="shared" si="32"/>
        <v>0.0002068</v>
      </c>
    </row>
    <row r="2069" spans="1:14">
      <c r="A2069" s="21" t="s">
        <v>2464</v>
      </c>
      <c r="B2069" s="21" t="s">
        <v>920</v>
      </c>
      <c r="C2069" s="21" t="s">
        <v>35</v>
      </c>
      <c r="D2069" s="21" t="s">
        <v>921</v>
      </c>
      <c r="E2069" s="21">
        <v>0</v>
      </c>
      <c r="F2069" s="22">
        <v>45954.3804282407</v>
      </c>
      <c r="G2069" s="22">
        <v>45958.4450925926</v>
      </c>
      <c r="H2069" s="23">
        <v>170</v>
      </c>
      <c r="I2069" s="23">
        <v>170</v>
      </c>
      <c r="J2069" s="24">
        <v>0</v>
      </c>
      <c r="K2069" s="21">
        <v>0</v>
      </c>
      <c r="L2069" s="21">
        <v>0</v>
      </c>
      <c r="M2069" s="21">
        <f>COUNTIF($A$2:$A$5481,A2069)</f>
        <v>1</v>
      </c>
      <c r="N2069" s="24">
        <f t="shared" si="32"/>
        <v>0.0002069</v>
      </c>
    </row>
    <row r="2070" spans="1:14">
      <c r="A2070" s="21" t="s">
        <v>854</v>
      </c>
      <c r="B2070" s="21" t="s">
        <v>920</v>
      </c>
      <c r="C2070" s="21" t="s">
        <v>26</v>
      </c>
      <c r="D2070" s="21" t="s">
        <v>921</v>
      </c>
      <c r="E2070" s="21">
        <v>1</v>
      </c>
      <c r="F2070" s="22">
        <v>46266.5607291667</v>
      </c>
      <c r="G2070" s="22">
        <v>46267.4041203704</v>
      </c>
      <c r="H2070" s="23">
        <v>85.8</v>
      </c>
      <c r="I2070" s="23">
        <v>42.9</v>
      </c>
      <c r="J2070" s="24">
        <v>42.9</v>
      </c>
      <c r="K2070" s="21">
        <v>0</v>
      </c>
      <c r="L2070" s="21">
        <v>0</v>
      </c>
      <c r="M2070" s="21">
        <f>COUNTIF($A$2:$A$5481,A2070)</f>
        <v>1</v>
      </c>
      <c r="N2070" s="24">
        <f t="shared" si="32"/>
        <v>42.900207</v>
      </c>
    </row>
    <row r="2071" spans="1:14">
      <c r="A2071" s="21" t="s">
        <v>2465</v>
      </c>
      <c r="B2071" s="21" t="s">
        <v>920</v>
      </c>
      <c r="C2071" s="21" t="s">
        <v>26</v>
      </c>
      <c r="D2071" s="21" t="s">
        <v>921</v>
      </c>
      <c r="E2071" s="21">
        <v>3</v>
      </c>
      <c r="F2071" s="22">
        <v>46175.5633449074</v>
      </c>
      <c r="G2071" s="22"/>
      <c r="H2071" s="23">
        <v>166.68</v>
      </c>
      <c r="I2071" s="23">
        <v>55.56</v>
      </c>
      <c r="J2071" s="24">
        <v>166.68</v>
      </c>
      <c r="K2071" s="21">
        <v>0</v>
      </c>
      <c r="L2071" s="21">
        <v>0</v>
      </c>
      <c r="M2071" s="21">
        <f>COUNTIF($A$2:$A$5481,A2071)</f>
        <v>1</v>
      </c>
      <c r="N2071" s="24">
        <f t="shared" si="32"/>
        <v>166.6802071</v>
      </c>
    </row>
    <row r="2072" spans="1:14">
      <c r="A2072" s="21" t="s">
        <v>853</v>
      </c>
      <c r="B2072" s="21" t="s">
        <v>920</v>
      </c>
      <c r="C2072" s="21" t="s">
        <v>26</v>
      </c>
      <c r="D2072" s="21" t="s">
        <v>921</v>
      </c>
      <c r="E2072" s="21">
        <v>0</v>
      </c>
      <c r="F2072" s="22">
        <v>46266.5607291667</v>
      </c>
      <c r="G2072" s="22">
        <v>46267.4041087963</v>
      </c>
      <c r="H2072" s="23">
        <v>58.2</v>
      </c>
      <c r="I2072" s="23">
        <v>58.2</v>
      </c>
      <c r="J2072" s="24">
        <v>0</v>
      </c>
      <c r="K2072" s="21">
        <v>0</v>
      </c>
      <c r="L2072" s="21">
        <v>0</v>
      </c>
      <c r="M2072" s="21">
        <f>COUNTIF($A$2:$A$5481,A2072)</f>
        <v>1</v>
      </c>
      <c r="N2072" s="24">
        <f t="shared" si="32"/>
        <v>0.0002072</v>
      </c>
    </row>
    <row r="2073" spans="1:14">
      <c r="A2073" s="21" t="s">
        <v>426</v>
      </c>
      <c r="B2073" s="21" t="s">
        <v>929</v>
      </c>
      <c r="C2073" s="21" t="s">
        <v>26</v>
      </c>
      <c r="D2073" s="21" t="s">
        <v>921</v>
      </c>
      <c r="E2073" s="21">
        <v>0</v>
      </c>
      <c r="F2073" s="22">
        <v>45972.5602430556</v>
      </c>
      <c r="G2073" s="22">
        <v>46198.6701388889</v>
      </c>
      <c r="H2073" s="23">
        <v>51.9</v>
      </c>
      <c r="I2073" s="23">
        <v>51.9</v>
      </c>
      <c r="J2073" s="24">
        <v>0</v>
      </c>
      <c r="K2073" s="21">
        <v>0</v>
      </c>
      <c r="L2073" s="21">
        <v>0</v>
      </c>
      <c r="M2073" s="21">
        <f>COUNTIF($A$2:$A$5481,A2073)</f>
        <v>1</v>
      </c>
      <c r="N2073" s="24">
        <f t="shared" si="32"/>
        <v>0.0002073</v>
      </c>
    </row>
    <row r="2074" spans="1:14">
      <c r="A2074" s="21" t="s">
        <v>452</v>
      </c>
      <c r="B2074" s="21" t="s">
        <v>929</v>
      </c>
      <c r="C2074" s="21" t="s">
        <v>26</v>
      </c>
      <c r="D2074" s="21" t="s">
        <v>921</v>
      </c>
      <c r="E2074" s="21">
        <v>1</v>
      </c>
      <c r="F2074" s="22">
        <v>46204.6597106482</v>
      </c>
      <c r="G2074" s="22">
        <v>46259.6645833333</v>
      </c>
      <c r="H2074" s="23">
        <v>72.08</v>
      </c>
      <c r="I2074" s="23">
        <v>72.08</v>
      </c>
      <c r="J2074" s="24">
        <v>72.08</v>
      </c>
      <c r="K2074" s="21">
        <v>0</v>
      </c>
      <c r="L2074" s="21">
        <v>0</v>
      </c>
      <c r="M2074" s="21">
        <f>COUNTIF($A$2:$A$5481,A2074)</f>
        <v>1</v>
      </c>
      <c r="N2074" s="24">
        <f t="shared" si="32"/>
        <v>72.0802074</v>
      </c>
    </row>
    <row r="2075" spans="1:14">
      <c r="A2075" s="21" t="s">
        <v>2466</v>
      </c>
      <c r="B2075" s="21" t="s">
        <v>929</v>
      </c>
      <c r="C2075" s="21" t="s">
        <v>26</v>
      </c>
      <c r="D2075" s="21" t="s">
        <v>931</v>
      </c>
      <c r="E2075" s="21">
        <v>1</v>
      </c>
      <c r="F2075" s="22">
        <v>45618.4052199074</v>
      </c>
      <c r="G2075" s="22"/>
      <c r="H2075" s="23">
        <v>132.71</v>
      </c>
      <c r="I2075" s="23">
        <v>132.71</v>
      </c>
      <c r="J2075" s="24">
        <v>132.71</v>
      </c>
      <c r="K2075" s="21">
        <v>0</v>
      </c>
      <c r="L2075" s="21">
        <v>0</v>
      </c>
      <c r="M2075" s="21">
        <f>COUNTIF($A$2:$A$5481,A2075)</f>
        <v>1</v>
      </c>
      <c r="N2075" s="24">
        <f t="shared" si="32"/>
        <v>132.7102075</v>
      </c>
    </row>
    <row r="2076" spans="1:14">
      <c r="A2076" s="21" t="s">
        <v>2467</v>
      </c>
      <c r="B2076" s="21" t="s">
        <v>920</v>
      </c>
      <c r="C2076" s="21" t="s">
        <v>26</v>
      </c>
      <c r="D2076" s="21" t="s">
        <v>921</v>
      </c>
      <c r="E2076" s="21">
        <v>1</v>
      </c>
      <c r="F2076" s="22">
        <v>46203.5557060185</v>
      </c>
      <c r="G2076" s="22"/>
      <c r="H2076" s="23">
        <v>94.27</v>
      </c>
      <c r="I2076" s="23">
        <v>94.27</v>
      </c>
      <c r="J2076" s="24">
        <v>94.27</v>
      </c>
      <c r="K2076" s="21">
        <v>0</v>
      </c>
      <c r="L2076" s="21">
        <v>0</v>
      </c>
      <c r="M2076" s="21">
        <f>COUNTIF($A$2:$A$5481,A2076)</f>
        <v>1</v>
      </c>
      <c r="N2076" s="24">
        <f t="shared" si="32"/>
        <v>94.2702076</v>
      </c>
    </row>
    <row r="2077" spans="1:14">
      <c r="A2077" s="21" t="s">
        <v>2468</v>
      </c>
      <c r="B2077" s="21" t="s">
        <v>929</v>
      </c>
      <c r="C2077" s="21" t="s">
        <v>26</v>
      </c>
      <c r="D2077" s="21" t="s">
        <v>921</v>
      </c>
      <c r="E2077" s="21">
        <v>1</v>
      </c>
      <c r="F2077" s="22">
        <v>45951.3824189815</v>
      </c>
      <c r="G2077" s="22"/>
      <c r="H2077" s="23">
        <v>65.89</v>
      </c>
      <c r="I2077" s="23">
        <v>65.89</v>
      </c>
      <c r="J2077" s="24">
        <v>65.89</v>
      </c>
      <c r="K2077" s="21">
        <v>0</v>
      </c>
      <c r="L2077" s="21">
        <v>0</v>
      </c>
      <c r="M2077" s="21">
        <f>COUNTIF($A$2:$A$5481,A2077)</f>
        <v>1</v>
      </c>
      <c r="N2077" s="24">
        <f t="shared" si="32"/>
        <v>65.8902077</v>
      </c>
    </row>
    <row r="2078" spans="1:14">
      <c r="A2078" s="21" t="s">
        <v>2469</v>
      </c>
      <c r="B2078" s="21" t="s">
        <v>929</v>
      </c>
      <c r="C2078" s="21" t="s">
        <v>26</v>
      </c>
      <c r="D2078" s="21" t="s">
        <v>921</v>
      </c>
      <c r="E2078" s="21">
        <v>1</v>
      </c>
      <c r="F2078" s="22">
        <v>45993.5324189815</v>
      </c>
      <c r="G2078" s="22"/>
      <c r="H2078" s="23">
        <v>199.76</v>
      </c>
      <c r="I2078" s="23">
        <v>199.76</v>
      </c>
      <c r="J2078" s="24">
        <v>199.76</v>
      </c>
      <c r="K2078" s="21">
        <v>0</v>
      </c>
      <c r="L2078" s="21">
        <v>0</v>
      </c>
      <c r="M2078" s="21">
        <f>COUNTIF($A$2:$A$5481,A2078)</f>
        <v>1</v>
      </c>
      <c r="N2078" s="24">
        <f t="shared" si="32"/>
        <v>199.7602078</v>
      </c>
    </row>
    <row r="2079" spans="1:14">
      <c r="A2079" s="21" t="s">
        <v>2470</v>
      </c>
      <c r="B2079" s="21" t="s">
        <v>929</v>
      </c>
      <c r="C2079" s="21" t="s">
        <v>26</v>
      </c>
      <c r="D2079" s="21" t="s">
        <v>921</v>
      </c>
      <c r="E2079" s="21">
        <v>3</v>
      </c>
      <c r="F2079" s="22">
        <v>46057.5840046296</v>
      </c>
      <c r="G2079" s="22"/>
      <c r="H2079" s="23">
        <v>194.68</v>
      </c>
      <c r="I2079" s="23">
        <v>86.8566666667</v>
      </c>
      <c r="J2079" s="24">
        <v>260.58</v>
      </c>
      <c r="K2079" s="21">
        <v>0</v>
      </c>
      <c r="L2079" s="21">
        <v>0</v>
      </c>
      <c r="M2079" s="21">
        <f>COUNTIF($A$2:$A$5481,A2079)</f>
        <v>1</v>
      </c>
      <c r="N2079" s="24">
        <f t="shared" si="32"/>
        <v>260.5802079</v>
      </c>
    </row>
    <row r="2080" spans="1:14">
      <c r="A2080" s="21" t="s">
        <v>2471</v>
      </c>
      <c r="B2080" s="21" t="s">
        <v>920</v>
      </c>
      <c r="C2080" s="21" t="s">
        <v>26</v>
      </c>
      <c r="D2080" s="21" t="s">
        <v>921</v>
      </c>
      <c r="E2080" s="21">
        <v>13</v>
      </c>
      <c r="F2080" s="22">
        <v>45643.3855324074</v>
      </c>
      <c r="G2080" s="22"/>
      <c r="H2080" s="23">
        <v>519.1</v>
      </c>
      <c r="I2080" s="23">
        <v>51.91</v>
      </c>
      <c r="J2080" s="24">
        <v>674.83</v>
      </c>
      <c r="K2080" s="21">
        <v>0</v>
      </c>
      <c r="L2080" s="21">
        <v>0</v>
      </c>
      <c r="M2080" s="21">
        <f>COUNTIF($A$2:$A$5481,A2080)</f>
        <v>1</v>
      </c>
      <c r="N2080" s="24">
        <f t="shared" si="32"/>
        <v>674.830208</v>
      </c>
    </row>
    <row r="2081" spans="1:14">
      <c r="A2081" s="21" t="s">
        <v>2472</v>
      </c>
      <c r="B2081" s="21" t="s">
        <v>926</v>
      </c>
      <c r="C2081" s="21" t="s">
        <v>38</v>
      </c>
      <c r="D2081" s="21" t="s">
        <v>1309</v>
      </c>
      <c r="E2081" s="21">
        <v>8</v>
      </c>
      <c r="F2081" s="22">
        <v>45896.617337963</v>
      </c>
      <c r="G2081" s="22"/>
      <c r="H2081" s="23">
        <v>522.64</v>
      </c>
      <c r="I2081" s="23">
        <v>65.33</v>
      </c>
      <c r="J2081" s="24">
        <v>522.64</v>
      </c>
      <c r="K2081" s="21">
        <v>0</v>
      </c>
      <c r="L2081" s="21">
        <v>0</v>
      </c>
      <c r="M2081" s="21">
        <f>COUNTIF($A$2:$A$5481,A2081)</f>
        <v>1</v>
      </c>
      <c r="N2081" s="24">
        <f t="shared" si="32"/>
        <v>522.6402081</v>
      </c>
    </row>
    <row r="2082" spans="1:14">
      <c r="A2082" s="21" t="s">
        <v>2473</v>
      </c>
      <c r="B2082" s="21" t="s">
        <v>920</v>
      </c>
      <c r="C2082" s="21" t="s">
        <v>26</v>
      </c>
      <c r="D2082" s="21" t="s">
        <v>921</v>
      </c>
      <c r="E2082" s="21">
        <v>32</v>
      </c>
      <c r="F2082" s="22">
        <v>46163.6570486111</v>
      </c>
      <c r="G2082" s="22"/>
      <c r="H2082" s="23">
        <v>133.12</v>
      </c>
      <c r="I2082" s="23">
        <v>31.0725</v>
      </c>
      <c r="J2082" s="24">
        <v>994.24</v>
      </c>
      <c r="K2082" s="21">
        <v>0</v>
      </c>
      <c r="L2082" s="21">
        <v>0</v>
      </c>
      <c r="M2082" s="21">
        <f>COUNTIF($A$2:$A$5481,A2082)</f>
        <v>1</v>
      </c>
      <c r="N2082" s="24">
        <f t="shared" si="32"/>
        <v>994.2402082</v>
      </c>
    </row>
    <row r="2083" spans="1:14">
      <c r="A2083" s="21" t="s">
        <v>2474</v>
      </c>
      <c r="B2083" s="21" t="s">
        <v>926</v>
      </c>
      <c r="C2083" s="21" t="s">
        <v>38</v>
      </c>
      <c r="D2083" s="21" t="s">
        <v>921</v>
      </c>
      <c r="E2083" s="21">
        <v>2</v>
      </c>
      <c r="F2083" s="22">
        <v>45286.6402083333</v>
      </c>
      <c r="G2083" s="22"/>
      <c r="H2083" s="23">
        <v>1314</v>
      </c>
      <c r="I2083" s="23">
        <v>657</v>
      </c>
      <c r="J2083" s="24">
        <v>1314</v>
      </c>
      <c r="K2083" s="21">
        <v>0</v>
      </c>
      <c r="L2083" s="21">
        <v>0</v>
      </c>
      <c r="M2083" s="21">
        <f>COUNTIF($A$2:$A$5481,A2083)</f>
        <v>1</v>
      </c>
      <c r="N2083" s="24">
        <f t="shared" si="32"/>
        <v>1314.0002083</v>
      </c>
    </row>
    <row r="2084" spans="1:14">
      <c r="A2084" s="21" t="s">
        <v>2475</v>
      </c>
      <c r="B2084" s="21" t="s">
        <v>920</v>
      </c>
      <c r="C2084" s="21" t="s">
        <v>26</v>
      </c>
      <c r="D2084" s="21" t="s">
        <v>921</v>
      </c>
      <c r="E2084" s="21">
        <v>1</v>
      </c>
      <c r="F2084" s="22">
        <v>45526.4375810185</v>
      </c>
      <c r="G2084" s="22">
        <v>45469.5801157407</v>
      </c>
      <c r="H2084" s="23">
        <v>39.6</v>
      </c>
      <c r="I2084" s="23">
        <v>39.6</v>
      </c>
      <c r="J2084" s="24">
        <v>39.6</v>
      </c>
      <c r="K2084" s="21">
        <v>0</v>
      </c>
      <c r="L2084" s="21">
        <v>0</v>
      </c>
      <c r="M2084" s="21">
        <f>COUNTIF($A$2:$A$5481,A2084)</f>
        <v>1</v>
      </c>
      <c r="N2084" s="24">
        <f t="shared" si="32"/>
        <v>39.6002084</v>
      </c>
    </row>
    <row r="2085" spans="1:14">
      <c r="A2085" s="21" t="s">
        <v>2476</v>
      </c>
      <c r="B2085" s="21" t="s">
        <v>920</v>
      </c>
      <c r="C2085" s="21" t="s">
        <v>26</v>
      </c>
      <c r="D2085" s="21" t="s">
        <v>921</v>
      </c>
      <c r="E2085" s="21">
        <v>2</v>
      </c>
      <c r="F2085" s="22">
        <v>46092.4666666667</v>
      </c>
      <c r="G2085" s="22"/>
      <c r="H2085" s="23">
        <v>32.48</v>
      </c>
      <c r="I2085" s="23">
        <v>16.24</v>
      </c>
      <c r="J2085" s="24">
        <v>32.48</v>
      </c>
      <c r="K2085" s="21">
        <v>0</v>
      </c>
      <c r="L2085" s="21">
        <v>0</v>
      </c>
      <c r="M2085" s="21">
        <f>COUNTIF($A$2:$A$5481,A2085)</f>
        <v>1</v>
      </c>
      <c r="N2085" s="24">
        <f t="shared" si="32"/>
        <v>32.4802085</v>
      </c>
    </row>
    <row r="2086" spans="1:14">
      <c r="A2086" s="21" t="s">
        <v>2477</v>
      </c>
      <c r="B2086" s="21" t="s">
        <v>920</v>
      </c>
      <c r="C2086" s="21" t="s">
        <v>26</v>
      </c>
      <c r="D2086" s="21" t="s">
        <v>921</v>
      </c>
      <c r="E2086" s="21">
        <v>7</v>
      </c>
      <c r="F2086" s="22">
        <v>45974.5764583333</v>
      </c>
      <c r="G2086" s="22"/>
      <c r="H2086" s="23">
        <v>107.8</v>
      </c>
      <c r="I2086" s="23">
        <v>46.0671428571</v>
      </c>
      <c r="J2086" s="24">
        <v>322.49</v>
      </c>
      <c r="K2086" s="21">
        <v>0</v>
      </c>
      <c r="L2086" s="21">
        <v>0</v>
      </c>
      <c r="M2086" s="21">
        <f>COUNTIF($A$2:$A$5481,A2086)</f>
        <v>1</v>
      </c>
      <c r="N2086" s="24">
        <f t="shared" si="32"/>
        <v>322.4902086</v>
      </c>
    </row>
    <row r="2087" spans="1:14">
      <c r="A2087" s="21" t="s">
        <v>2478</v>
      </c>
      <c r="B2087" s="21" t="s">
        <v>26</v>
      </c>
      <c r="C2087" s="21" t="s">
        <v>26</v>
      </c>
      <c r="D2087" s="21" t="s">
        <v>921</v>
      </c>
      <c r="E2087" s="21">
        <v>1</v>
      </c>
      <c r="F2087" s="22">
        <v>45504.3860069444</v>
      </c>
      <c r="G2087" s="22"/>
      <c r="H2087" s="23">
        <v>52.01</v>
      </c>
      <c r="I2087" s="23">
        <v>52.01</v>
      </c>
      <c r="J2087" s="24">
        <v>52.01</v>
      </c>
      <c r="K2087" s="21">
        <v>0</v>
      </c>
      <c r="L2087" s="21">
        <v>0</v>
      </c>
      <c r="M2087" s="21">
        <f>COUNTIF($A$2:$A$5481,A2087)</f>
        <v>1</v>
      </c>
      <c r="N2087" s="24">
        <f t="shared" si="32"/>
        <v>52.0102087</v>
      </c>
    </row>
    <row r="2088" spans="1:14">
      <c r="A2088" s="21" t="s">
        <v>2479</v>
      </c>
      <c r="B2088" s="21" t="s">
        <v>929</v>
      </c>
      <c r="C2088" s="21" t="s">
        <v>26</v>
      </c>
      <c r="D2088" s="21" t="s">
        <v>921</v>
      </c>
      <c r="E2088" s="21">
        <v>1</v>
      </c>
      <c r="F2088" s="22">
        <v>46048.5820486111</v>
      </c>
      <c r="G2088" s="22"/>
      <c r="H2088" s="23">
        <v>44.9</v>
      </c>
      <c r="I2088" s="23">
        <v>44.9</v>
      </c>
      <c r="J2088" s="24">
        <v>44.9</v>
      </c>
      <c r="K2088" s="21">
        <v>0</v>
      </c>
      <c r="L2088" s="21">
        <v>0</v>
      </c>
      <c r="M2088" s="21">
        <f>COUNTIF($A$2:$A$5481,A2088)</f>
        <v>1</v>
      </c>
      <c r="N2088" s="24">
        <f t="shared" si="32"/>
        <v>44.9002088</v>
      </c>
    </row>
    <row r="2089" spans="1:14">
      <c r="A2089" s="21" t="s">
        <v>2480</v>
      </c>
      <c r="B2089" s="21" t="s">
        <v>920</v>
      </c>
      <c r="C2089" s="21" t="s">
        <v>26</v>
      </c>
      <c r="D2089" s="21" t="s">
        <v>921</v>
      </c>
      <c r="E2089" s="21">
        <v>2</v>
      </c>
      <c r="F2089" s="22">
        <v>45399.3293865741</v>
      </c>
      <c r="G2089" s="22"/>
      <c r="H2089" s="23">
        <v>235.8</v>
      </c>
      <c r="I2089" s="23">
        <v>117.9</v>
      </c>
      <c r="J2089" s="24">
        <v>235.8</v>
      </c>
      <c r="K2089" s="21">
        <v>0</v>
      </c>
      <c r="L2089" s="21">
        <v>0</v>
      </c>
      <c r="M2089" s="21">
        <f>COUNTIF($A$2:$A$5481,A2089)</f>
        <v>1</v>
      </c>
      <c r="N2089" s="24">
        <f t="shared" si="32"/>
        <v>235.8002089</v>
      </c>
    </row>
    <row r="2090" spans="1:14">
      <c r="A2090" s="21" t="s">
        <v>2481</v>
      </c>
      <c r="B2090" s="21" t="s">
        <v>26</v>
      </c>
      <c r="C2090" s="21" t="s">
        <v>26</v>
      </c>
      <c r="D2090" s="21" t="s">
        <v>921</v>
      </c>
      <c r="E2090" s="21">
        <v>1</v>
      </c>
      <c r="F2090" s="22">
        <v>45502.3696875</v>
      </c>
      <c r="G2090" s="22"/>
      <c r="H2090" s="23">
        <v>42.83</v>
      </c>
      <c r="I2090" s="23">
        <v>42.83</v>
      </c>
      <c r="J2090" s="24">
        <v>42.83</v>
      </c>
      <c r="K2090" s="21">
        <v>0</v>
      </c>
      <c r="L2090" s="21">
        <v>0</v>
      </c>
      <c r="M2090" s="21">
        <f>COUNTIF($A$2:$A$5481,A2090)</f>
        <v>1</v>
      </c>
      <c r="N2090" s="24">
        <f t="shared" si="32"/>
        <v>42.830209</v>
      </c>
    </row>
    <row r="2091" spans="1:14">
      <c r="A2091" s="21" t="s">
        <v>2482</v>
      </c>
      <c r="B2091" s="21" t="s">
        <v>1115</v>
      </c>
      <c r="C2091" s="21" t="s">
        <v>26</v>
      </c>
      <c r="D2091" s="21" t="s">
        <v>921</v>
      </c>
      <c r="E2091" s="21">
        <v>49</v>
      </c>
      <c r="F2091" s="22">
        <v>46142.4298611111</v>
      </c>
      <c r="G2091" s="22">
        <v>45842.4480671296</v>
      </c>
      <c r="H2091" s="23">
        <v>136</v>
      </c>
      <c r="I2091" s="23">
        <v>7.6226530612</v>
      </c>
      <c r="J2091" s="24">
        <v>373.38</v>
      </c>
      <c r="K2091" s="21">
        <v>0</v>
      </c>
      <c r="L2091" s="21">
        <v>0</v>
      </c>
      <c r="M2091" s="21">
        <f>COUNTIF($A$2:$A$5481,A2091)</f>
        <v>1</v>
      </c>
      <c r="N2091" s="24">
        <f t="shared" si="32"/>
        <v>373.3802091</v>
      </c>
    </row>
    <row r="2092" spans="1:14">
      <c r="A2092" s="21" t="s">
        <v>2483</v>
      </c>
      <c r="B2092" s="21" t="s">
        <v>26</v>
      </c>
      <c r="C2092" s="21" t="s">
        <v>547</v>
      </c>
      <c r="D2092" s="21" t="s">
        <v>921</v>
      </c>
      <c r="E2092" s="21">
        <v>1</v>
      </c>
      <c r="F2092" s="22">
        <v>45383.5756944444</v>
      </c>
      <c r="G2092" s="22"/>
      <c r="H2092" s="23">
        <v>59.9</v>
      </c>
      <c r="I2092" s="23">
        <v>59.9</v>
      </c>
      <c r="J2092" s="24">
        <v>59.9</v>
      </c>
      <c r="K2092" s="21">
        <v>0</v>
      </c>
      <c r="L2092" s="21">
        <v>0</v>
      </c>
      <c r="M2092" s="21">
        <f>COUNTIF($A$2:$A$5481,A2092)</f>
        <v>2</v>
      </c>
      <c r="N2092" s="24">
        <f t="shared" si="32"/>
        <v>59.9002092</v>
      </c>
    </row>
    <row r="2093" spans="1:14">
      <c r="A2093" s="21" t="s">
        <v>2483</v>
      </c>
      <c r="B2093" s="21" t="s">
        <v>26</v>
      </c>
      <c r="C2093" s="21" t="s">
        <v>26</v>
      </c>
      <c r="D2093" s="21" t="s">
        <v>921</v>
      </c>
      <c r="E2093" s="21">
        <v>8</v>
      </c>
      <c r="F2093" s="22">
        <v>46066.6060185185</v>
      </c>
      <c r="G2093" s="22"/>
      <c r="H2093" s="23">
        <v>95.22</v>
      </c>
      <c r="I2093" s="23">
        <v>39.385</v>
      </c>
      <c r="J2093" s="24">
        <v>315.12</v>
      </c>
      <c r="K2093" s="21">
        <v>0</v>
      </c>
      <c r="L2093" s="21">
        <v>0</v>
      </c>
      <c r="M2093" s="21">
        <f>COUNTIF($A$2:$A$5481,A2093)</f>
        <v>2</v>
      </c>
      <c r="N2093" s="24">
        <f t="shared" si="32"/>
        <v>315.1202093</v>
      </c>
    </row>
    <row r="2094" spans="1:14">
      <c r="A2094" s="21" t="s">
        <v>705</v>
      </c>
      <c r="B2094" s="21" t="s">
        <v>920</v>
      </c>
      <c r="C2094" s="21" t="s">
        <v>26</v>
      </c>
      <c r="D2094" s="21" t="s">
        <v>921</v>
      </c>
      <c r="E2094" s="21">
        <v>0</v>
      </c>
      <c r="F2094" s="22">
        <v>46067.3803935185</v>
      </c>
      <c r="G2094" s="22">
        <v>46252.5690162037</v>
      </c>
      <c r="H2094" s="23">
        <v>77.5</v>
      </c>
      <c r="I2094" s="23">
        <v>87.6366666667</v>
      </c>
      <c r="J2094" s="24">
        <v>0</v>
      </c>
      <c r="K2094" s="21">
        <v>0</v>
      </c>
      <c r="L2094" s="21">
        <v>0</v>
      </c>
      <c r="M2094" s="21">
        <f>COUNTIF($A$2:$A$5481,A2094)</f>
        <v>1</v>
      </c>
      <c r="N2094" s="24">
        <f t="shared" si="32"/>
        <v>0.0002094</v>
      </c>
    </row>
    <row r="2095" spans="1:14">
      <c r="A2095" s="21" t="s">
        <v>2484</v>
      </c>
      <c r="B2095" s="21" t="s">
        <v>929</v>
      </c>
      <c r="C2095" s="21" t="s">
        <v>414</v>
      </c>
      <c r="D2095" s="21" t="s">
        <v>921</v>
      </c>
      <c r="E2095" s="21">
        <v>6</v>
      </c>
      <c r="F2095" s="22">
        <v>45355.5729513889</v>
      </c>
      <c r="G2095" s="22"/>
      <c r="H2095" s="23">
        <v>41.64</v>
      </c>
      <c r="I2095" s="23">
        <v>6.94</v>
      </c>
      <c r="J2095" s="24">
        <v>41.64</v>
      </c>
      <c r="K2095" s="21">
        <v>0</v>
      </c>
      <c r="L2095" s="21">
        <v>0</v>
      </c>
      <c r="M2095" s="21">
        <f>COUNTIF($A$2:$A$5481,A2095)</f>
        <v>1</v>
      </c>
      <c r="N2095" s="24">
        <f t="shared" si="32"/>
        <v>41.6402095</v>
      </c>
    </row>
    <row r="2096" spans="1:14">
      <c r="A2096" s="21" t="s">
        <v>2485</v>
      </c>
      <c r="B2096" s="21" t="s">
        <v>26</v>
      </c>
      <c r="C2096" s="21" t="s">
        <v>26</v>
      </c>
      <c r="D2096" s="21" t="s">
        <v>921</v>
      </c>
      <c r="E2096" s="21">
        <v>1</v>
      </c>
      <c r="F2096" s="22">
        <v>45593.4128009259</v>
      </c>
      <c r="G2096" s="22"/>
      <c r="H2096" s="23">
        <v>36.9</v>
      </c>
      <c r="I2096" s="23">
        <v>36.9</v>
      </c>
      <c r="J2096" s="24">
        <v>36.9</v>
      </c>
      <c r="K2096" s="21">
        <v>0</v>
      </c>
      <c r="L2096" s="21">
        <v>0</v>
      </c>
      <c r="M2096" s="21">
        <f>COUNTIF($A$2:$A$5481,A2096)</f>
        <v>1</v>
      </c>
      <c r="N2096" s="24">
        <f t="shared" si="32"/>
        <v>36.9002096</v>
      </c>
    </row>
    <row r="2097" spans="1:14">
      <c r="A2097" s="21" t="s">
        <v>2486</v>
      </c>
      <c r="B2097" s="21" t="s">
        <v>920</v>
      </c>
      <c r="C2097" s="21" t="s">
        <v>26</v>
      </c>
      <c r="D2097" s="21" t="s">
        <v>931</v>
      </c>
      <c r="E2097" s="21">
        <v>1</v>
      </c>
      <c r="F2097" s="22">
        <v>45455.5555555556</v>
      </c>
      <c r="G2097" s="22"/>
      <c r="H2097" s="23">
        <v>43.41</v>
      </c>
      <c r="I2097" s="23">
        <v>43.41</v>
      </c>
      <c r="J2097" s="24">
        <v>43.41</v>
      </c>
      <c r="K2097" s="21">
        <v>0</v>
      </c>
      <c r="L2097" s="21">
        <v>0</v>
      </c>
      <c r="M2097" s="21">
        <f>COUNTIF($A$2:$A$5481,A2097)</f>
        <v>1</v>
      </c>
      <c r="N2097" s="24">
        <f t="shared" si="32"/>
        <v>43.4102097</v>
      </c>
    </row>
    <row r="2098" spans="1:14">
      <c r="A2098" s="21" t="s">
        <v>2487</v>
      </c>
      <c r="B2098" s="21" t="s">
        <v>920</v>
      </c>
      <c r="C2098" s="21" t="s">
        <v>26</v>
      </c>
      <c r="D2098" s="21" t="s">
        <v>921</v>
      </c>
      <c r="E2098" s="21">
        <v>1</v>
      </c>
      <c r="F2098" s="22">
        <v>45512.6583333333</v>
      </c>
      <c r="G2098" s="22"/>
      <c r="H2098" s="23">
        <v>96</v>
      </c>
      <c r="I2098" s="23">
        <v>96</v>
      </c>
      <c r="J2098" s="24">
        <v>96</v>
      </c>
      <c r="K2098" s="21">
        <v>0</v>
      </c>
      <c r="L2098" s="21">
        <v>0</v>
      </c>
      <c r="M2098" s="21">
        <f>COUNTIF($A$2:$A$5481,A2098)</f>
        <v>1</v>
      </c>
      <c r="N2098" s="24">
        <f t="shared" si="32"/>
        <v>96.0002098</v>
      </c>
    </row>
    <row r="2099" spans="1:14">
      <c r="A2099" s="21" t="s">
        <v>2488</v>
      </c>
      <c r="B2099" s="21" t="s">
        <v>26</v>
      </c>
      <c r="C2099" s="21" t="s">
        <v>26</v>
      </c>
      <c r="D2099" s="21" t="s">
        <v>921</v>
      </c>
      <c r="E2099" s="21">
        <v>1</v>
      </c>
      <c r="F2099" s="22">
        <v>45807.4678819445</v>
      </c>
      <c r="G2099" s="22"/>
      <c r="H2099" s="23">
        <v>1329.67</v>
      </c>
      <c r="I2099" s="23">
        <v>1329.67</v>
      </c>
      <c r="J2099" s="24">
        <v>1329.67</v>
      </c>
      <c r="K2099" s="21">
        <v>0</v>
      </c>
      <c r="L2099" s="21">
        <v>0</v>
      </c>
      <c r="M2099" s="21">
        <f>COUNTIF($A$2:$A$5481,A2099)</f>
        <v>1</v>
      </c>
      <c r="N2099" s="24">
        <f t="shared" si="32"/>
        <v>1329.6702099</v>
      </c>
    </row>
    <row r="2100" spans="1:14">
      <c r="A2100" s="21" t="s">
        <v>2489</v>
      </c>
      <c r="B2100" s="21" t="s">
        <v>929</v>
      </c>
      <c r="C2100" s="21" t="s">
        <v>26</v>
      </c>
      <c r="D2100" s="21" t="s">
        <v>921</v>
      </c>
      <c r="E2100" s="21">
        <v>3</v>
      </c>
      <c r="F2100" s="22">
        <v>46090.6089814815</v>
      </c>
      <c r="G2100" s="22"/>
      <c r="H2100" s="23">
        <v>54</v>
      </c>
      <c r="I2100" s="23">
        <v>54</v>
      </c>
      <c r="J2100" s="24">
        <v>162</v>
      </c>
      <c r="K2100" s="21">
        <v>0</v>
      </c>
      <c r="L2100" s="21">
        <v>0</v>
      </c>
      <c r="M2100" s="21">
        <f>COUNTIF($A$2:$A$5481,A2100)</f>
        <v>1</v>
      </c>
      <c r="N2100" s="24">
        <f t="shared" si="32"/>
        <v>162.00021</v>
      </c>
    </row>
    <row r="2101" spans="1:14">
      <c r="A2101" s="21" t="s">
        <v>429</v>
      </c>
      <c r="B2101" s="21" t="s">
        <v>26</v>
      </c>
      <c r="C2101" s="21" t="s">
        <v>26</v>
      </c>
      <c r="D2101" s="21" t="s">
        <v>921</v>
      </c>
      <c r="E2101" s="21">
        <v>11</v>
      </c>
      <c r="F2101" s="22">
        <v>45693.3615509259</v>
      </c>
      <c r="G2101" s="22">
        <v>46199.6757060185</v>
      </c>
      <c r="H2101" s="23">
        <v>19.8</v>
      </c>
      <c r="I2101" s="23">
        <v>1.65</v>
      </c>
      <c r="J2101" s="24">
        <v>18.15</v>
      </c>
      <c r="K2101" s="21">
        <v>0</v>
      </c>
      <c r="L2101" s="21">
        <v>0</v>
      </c>
      <c r="M2101" s="21">
        <f>COUNTIF($A$2:$A$5481,A2101)</f>
        <v>2</v>
      </c>
      <c r="N2101" s="24">
        <f t="shared" si="32"/>
        <v>18.1502101</v>
      </c>
    </row>
    <row r="2102" spans="1:14">
      <c r="A2102" s="21" t="s">
        <v>429</v>
      </c>
      <c r="B2102" s="21" t="s">
        <v>26</v>
      </c>
      <c r="C2102" s="21" t="s">
        <v>182</v>
      </c>
      <c r="D2102" s="21" t="s">
        <v>921</v>
      </c>
      <c r="E2102" s="21">
        <v>17</v>
      </c>
      <c r="F2102" s="22">
        <v>45953.4017708333</v>
      </c>
      <c r="G2102" s="22">
        <v>46253.3510416667</v>
      </c>
      <c r="H2102" s="23">
        <v>7.1</v>
      </c>
      <c r="I2102" s="23">
        <v>0.8166666667</v>
      </c>
      <c r="J2102" s="24">
        <v>13.94</v>
      </c>
      <c r="K2102" s="21">
        <v>0</v>
      </c>
      <c r="L2102" s="21">
        <v>0</v>
      </c>
      <c r="M2102" s="21">
        <f>COUNTIF($A$2:$A$5481,A2102)</f>
        <v>2</v>
      </c>
      <c r="N2102" s="24">
        <f t="shared" si="32"/>
        <v>13.9402102</v>
      </c>
    </row>
    <row r="2103" spans="1:14">
      <c r="A2103" s="21" t="s">
        <v>2490</v>
      </c>
      <c r="B2103" s="21" t="s">
        <v>1115</v>
      </c>
      <c r="C2103" s="21" t="s">
        <v>26</v>
      </c>
      <c r="D2103" s="21" t="s">
        <v>921</v>
      </c>
      <c r="E2103" s="21">
        <v>11</v>
      </c>
      <c r="F2103" s="22">
        <v>45693.3615509259</v>
      </c>
      <c r="G2103" s="22">
        <v>45855.4218634259</v>
      </c>
      <c r="H2103" s="23">
        <v>9.96</v>
      </c>
      <c r="I2103" s="23">
        <v>0.83</v>
      </c>
      <c r="J2103" s="24">
        <v>9.13</v>
      </c>
      <c r="K2103" s="21">
        <v>0</v>
      </c>
      <c r="L2103" s="21">
        <v>0</v>
      </c>
      <c r="M2103" s="21">
        <f>COUNTIF($A$2:$A$5481,A2103)</f>
        <v>2</v>
      </c>
      <c r="N2103" s="24">
        <f t="shared" si="32"/>
        <v>9.1302103</v>
      </c>
    </row>
    <row r="2104" spans="1:14">
      <c r="A2104" s="21" t="s">
        <v>2490</v>
      </c>
      <c r="B2104" s="21" t="s">
        <v>1115</v>
      </c>
      <c r="C2104" s="21" t="s">
        <v>182</v>
      </c>
      <c r="D2104" s="21" t="s">
        <v>921</v>
      </c>
      <c r="E2104" s="21">
        <v>10</v>
      </c>
      <c r="F2104" s="22">
        <v>45953.4017708333</v>
      </c>
      <c r="G2104" s="22"/>
      <c r="H2104" s="23">
        <v>7.1</v>
      </c>
      <c r="I2104" s="23">
        <v>0.71</v>
      </c>
      <c r="J2104" s="24">
        <v>7.1</v>
      </c>
      <c r="K2104" s="21">
        <v>0</v>
      </c>
      <c r="L2104" s="21">
        <v>0</v>
      </c>
      <c r="M2104" s="21">
        <f>COUNTIF($A$2:$A$5481,A2104)</f>
        <v>2</v>
      </c>
      <c r="N2104" s="24">
        <f t="shared" si="32"/>
        <v>7.1002104</v>
      </c>
    </row>
    <row r="2105" spans="1:14">
      <c r="A2105" s="21" t="s">
        <v>430</v>
      </c>
      <c r="B2105" s="21" t="s">
        <v>26</v>
      </c>
      <c r="C2105" s="21" t="s">
        <v>26</v>
      </c>
      <c r="D2105" s="21" t="s">
        <v>921</v>
      </c>
      <c r="E2105" s="21">
        <v>6</v>
      </c>
      <c r="F2105" s="22">
        <v>45693.3615509259</v>
      </c>
      <c r="G2105" s="22">
        <v>46280.5743634259</v>
      </c>
      <c r="H2105" s="23">
        <v>19.8</v>
      </c>
      <c r="I2105" s="23">
        <v>1.65</v>
      </c>
      <c r="J2105" s="24">
        <v>9.9</v>
      </c>
      <c r="K2105" s="21">
        <v>0</v>
      </c>
      <c r="L2105" s="21">
        <v>0</v>
      </c>
      <c r="M2105" s="21">
        <f>COUNTIF($A$2:$A$5481,A2105)</f>
        <v>3</v>
      </c>
      <c r="N2105" s="24">
        <f t="shared" si="32"/>
        <v>9.9002105</v>
      </c>
    </row>
    <row r="2106" spans="1:14">
      <c r="A2106" s="21" t="s">
        <v>430</v>
      </c>
      <c r="B2106" s="21" t="s">
        <v>26</v>
      </c>
      <c r="C2106" s="21" t="s">
        <v>51</v>
      </c>
      <c r="D2106" s="21" t="s">
        <v>921</v>
      </c>
      <c r="E2106" s="21">
        <v>10</v>
      </c>
      <c r="F2106" s="22">
        <v>45762.3576967593</v>
      </c>
      <c r="G2106" s="22"/>
      <c r="H2106" s="23">
        <v>7.1</v>
      </c>
      <c r="I2106" s="23">
        <v>0.71</v>
      </c>
      <c r="J2106" s="24">
        <v>7.1</v>
      </c>
      <c r="K2106" s="21">
        <v>0</v>
      </c>
      <c r="L2106" s="21">
        <v>0</v>
      </c>
      <c r="M2106" s="21">
        <f>COUNTIF($A$2:$A$5481,A2106)</f>
        <v>3</v>
      </c>
      <c r="N2106" s="24">
        <f t="shared" si="32"/>
        <v>7.1002106</v>
      </c>
    </row>
    <row r="2107" spans="1:14">
      <c r="A2107" s="21" t="s">
        <v>430</v>
      </c>
      <c r="B2107" s="21" t="s">
        <v>26</v>
      </c>
      <c r="C2107" s="21" t="s">
        <v>182</v>
      </c>
      <c r="D2107" s="21" t="s">
        <v>921</v>
      </c>
      <c r="E2107" s="21">
        <v>53</v>
      </c>
      <c r="F2107" s="22">
        <v>46064.4147453704</v>
      </c>
      <c r="G2107" s="22">
        <v>46268.6034027778</v>
      </c>
      <c r="H2107" s="23">
        <v>18.96</v>
      </c>
      <c r="I2107" s="23">
        <v>1.4932432432</v>
      </c>
      <c r="J2107" s="24">
        <v>78.97</v>
      </c>
      <c r="K2107" s="21">
        <v>0</v>
      </c>
      <c r="L2107" s="21">
        <v>0</v>
      </c>
      <c r="M2107" s="21">
        <f>COUNTIF($A$2:$A$5481,A2107)</f>
        <v>3</v>
      </c>
      <c r="N2107" s="24">
        <f t="shared" si="32"/>
        <v>78.9702107</v>
      </c>
    </row>
    <row r="2108" spans="1:14">
      <c r="A2108" s="21" t="s">
        <v>777</v>
      </c>
      <c r="B2108" s="21" t="s">
        <v>26</v>
      </c>
      <c r="C2108" s="21" t="s">
        <v>26</v>
      </c>
      <c r="D2108" s="21" t="s">
        <v>921</v>
      </c>
      <c r="E2108" s="21">
        <v>10</v>
      </c>
      <c r="F2108" s="22">
        <v>45693.3615509259</v>
      </c>
      <c r="G2108" s="22">
        <v>45890.4799305556</v>
      </c>
      <c r="H2108" s="23">
        <v>19.8</v>
      </c>
      <c r="I2108" s="23">
        <v>1.65</v>
      </c>
      <c r="J2108" s="24">
        <v>16.5</v>
      </c>
      <c r="K2108" s="21">
        <v>0</v>
      </c>
      <c r="L2108" s="21">
        <v>0</v>
      </c>
      <c r="M2108" s="21">
        <f>COUNTIF($A$2:$A$5481,A2108)</f>
        <v>2</v>
      </c>
      <c r="N2108" s="24">
        <f t="shared" si="32"/>
        <v>16.5002108</v>
      </c>
    </row>
    <row r="2109" spans="1:14">
      <c r="A2109" s="21" t="s">
        <v>777</v>
      </c>
      <c r="B2109" s="21" t="s">
        <v>26</v>
      </c>
      <c r="C2109" s="21" t="s">
        <v>182</v>
      </c>
      <c r="D2109" s="21" t="s">
        <v>921</v>
      </c>
      <c r="E2109" s="21">
        <v>19</v>
      </c>
      <c r="F2109" s="22">
        <v>45953.4017708333</v>
      </c>
      <c r="G2109" s="22">
        <v>46253.3510300926</v>
      </c>
      <c r="H2109" s="23">
        <v>7.1</v>
      </c>
      <c r="I2109" s="23">
        <v>0.83</v>
      </c>
      <c r="J2109" s="24">
        <v>15.77</v>
      </c>
      <c r="K2109" s="21">
        <v>0</v>
      </c>
      <c r="L2109" s="21">
        <v>0</v>
      </c>
      <c r="M2109" s="21">
        <f>COUNTIF($A$2:$A$5481,A2109)</f>
        <v>2</v>
      </c>
      <c r="N2109" s="24">
        <f t="shared" si="32"/>
        <v>15.7702109</v>
      </c>
    </row>
    <row r="2110" spans="1:14">
      <c r="A2110" s="21" t="s">
        <v>2491</v>
      </c>
      <c r="B2110" s="21" t="s">
        <v>948</v>
      </c>
      <c r="C2110" s="21" t="s">
        <v>26</v>
      </c>
      <c r="D2110" s="21" t="s">
        <v>921</v>
      </c>
      <c r="E2110" s="21">
        <v>3</v>
      </c>
      <c r="F2110" s="22">
        <v>46027.6726388889</v>
      </c>
      <c r="G2110" s="22"/>
      <c r="H2110" s="23">
        <v>162</v>
      </c>
      <c r="I2110" s="23">
        <v>54</v>
      </c>
      <c r="J2110" s="24">
        <v>162</v>
      </c>
      <c r="K2110" s="21">
        <v>0</v>
      </c>
      <c r="L2110" s="21">
        <v>0</v>
      </c>
      <c r="M2110" s="21">
        <f>COUNTIF($A$2:$A$5481,A2110)</f>
        <v>1</v>
      </c>
      <c r="N2110" s="24">
        <f t="shared" si="32"/>
        <v>162.000211</v>
      </c>
    </row>
    <row r="2111" spans="1:14">
      <c r="A2111" s="21" t="s">
        <v>2492</v>
      </c>
      <c r="B2111" s="21" t="s">
        <v>920</v>
      </c>
      <c r="C2111" s="21" t="s">
        <v>26</v>
      </c>
      <c r="D2111" s="21" t="s">
        <v>921</v>
      </c>
      <c r="E2111" s="21">
        <v>0</v>
      </c>
      <c r="F2111" s="22">
        <v>45824.4087037037</v>
      </c>
      <c r="G2111" s="22">
        <v>45824.4211458333</v>
      </c>
      <c r="H2111" s="23">
        <v>260</v>
      </c>
      <c r="I2111" s="23">
        <v>130</v>
      </c>
      <c r="J2111" s="24">
        <v>0</v>
      </c>
      <c r="K2111" s="21">
        <v>0</v>
      </c>
      <c r="L2111" s="21">
        <v>0</v>
      </c>
      <c r="M2111" s="21">
        <f>COUNTIF($A$2:$A$5481,A2111)</f>
        <v>1</v>
      </c>
      <c r="N2111" s="24">
        <f t="shared" si="32"/>
        <v>0.0002111</v>
      </c>
    </row>
    <row r="2112" spans="1:14">
      <c r="A2112" s="21" t="s">
        <v>2493</v>
      </c>
      <c r="B2112" s="21" t="s">
        <v>920</v>
      </c>
      <c r="C2112" s="21" t="s">
        <v>26</v>
      </c>
      <c r="D2112" s="21" t="s">
        <v>921</v>
      </c>
      <c r="E2112" s="21">
        <v>0</v>
      </c>
      <c r="F2112" s="22">
        <v>45502.8061574074</v>
      </c>
      <c r="G2112" s="22">
        <v>45502.8081828704</v>
      </c>
      <c r="H2112" s="23">
        <v>157.94</v>
      </c>
      <c r="I2112" s="23">
        <v>157.94</v>
      </c>
      <c r="J2112" s="24">
        <v>0</v>
      </c>
      <c r="K2112" s="21">
        <v>0</v>
      </c>
      <c r="L2112" s="21">
        <v>0</v>
      </c>
      <c r="M2112" s="21">
        <f>COUNTIF($A$2:$A$5481,A2112)</f>
        <v>1</v>
      </c>
      <c r="N2112" s="24">
        <f t="shared" si="32"/>
        <v>0.0002112</v>
      </c>
    </row>
    <row r="2113" spans="1:14">
      <c r="A2113" s="21" t="s">
        <v>2494</v>
      </c>
      <c r="B2113" s="21" t="s">
        <v>920</v>
      </c>
      <c r="C2113" s="21" t="s">
        <v>26</v>
      </c>
      <c r="D2113" s="21" t="s">
        <v>921</v>
      </c>
      <c r="E2113" s="21">
        <v>0</v>
      </c>
      <c r="F2113" s="22">
        <v>45443.8509143519</v>
      </c>
      <c r="G2113" s="22">
        <v>45909.4488541667</v>
      </c>
      <c r="H2113" s="23">
        <v>293.34</v>
      </c>
      <c r="I2113" s="23">
        <v>146.67</v>
      </c>
      <c r="J2113" s="24">
        <v>0</v>
      </c>
      <c r="K2113" s="21">
        <v>0</v>
      </c>
      <c r="L2113" s="21">
        <v>0</v>
      </c>
      <c r="M2113" s="21">
        <f>COUNTIF($A$2:$A$5481,A2113)</f>
        <v>1</v>
      </c>
      <c r="N2113" s="24">
        <f t="shared" si="32"/>
        <v>0.0002113</v>
      </c>
    </row>
    <row r="2114" spans="1:14">
      <c r="A2114" s="21" t="s">
        <v>2495</v>
      </c>
      <c r="B2114" s="21" t="s">
        <v>26</v>
      </c>
      <c r="C2114" s="21" t="s">
        <v>26</v>
      </c>
      <c r="D2114" s="21" t="s">
        <v>921</v>
      </c>
      <c r="E2114" s="21">
        <v>1</v>
      </c>
      <c r="F2114" s="22">
        <v>45666.4355787037</v>
      </c>
      <c r="G2114" s="22"/>
      <c r="H2114" s="23">
        <v>298.64</v>
      </c>
      <c r="I2114" s="23">
        <v>298.64</v>
      </c>
      <c r="J2114" s="24">
        <v>298.64</v>
      </c>
      <c r="K2114" s="21">
        <v>0</v>
      </c>
      <c r="L2114" s="21">
        <v>0</v>
      </c>
      <c r="M2114" s="21">
        <f>COUNTIF($A$2:$A$5481,A2114)</f>
        <v>1</v>
      </c>
      <c r="N2114" s="24">
        <f t="shared" ref="N2114:N2177" si="33">J2114+ROW()/10000000</f>
        <v>298.6402114</v>
      </c>
    </row>
    <row r="2115" spans="1:14">
      <c r="A2115" s="21" t="s">
        <v>2496</v>
      </c>
      <c r="B2115" s="21" t="s">
        <v>920</v>
      </c>
      <c r="C2115" s="21" t="s">
        <v>26</v>
      </c>
      <c r="D2115" s="21" t="s">
        <v>921</v>
      </c>
      <c r="E2115" s="21">
        <v>1</v>
      </c>
      <c r="F2115" s="22">
        <v>46223.7322800926</v>
      </c>
      <c r="G2115" s="22"/>
      <c r="H2115" s="23">
        <v>180</v>
      </c>
      <c r="I2115" s="23">
        <v>180</v>
      </c>
      <c r="J2115" s="24">
        <v>180</v>
      </c>
      <c r="K2115" s="21">
        <v>0</v>
      </c>
      <c r="L2115" s="21">
        <v>0</v>
      </c>
      <c r="M2115" s="21">
        <f>COUNTIF($A$2:$A$5481,A2115)</f>
        <v>1</v>
      </c>
      <c r="N2115" s="24">
        <f t="shared" si="33"/>
        <v>180.0002115</v>
      </c>
    </row>
    <row r="2116" spans="1:14">
      <c r="A2116" s="21" t="s">
        <v>2497</v>
      </c>
      <c r="B2116" s="21" t="s">
        <v>920</v>
      </c>
      <c r="C2116" s="21" t="s">
        <v>35</v>
      </c>
      <c r="D2116" s="21" t="s">
        <v>921</v>
      </c>
      <c r="E2116" s="21">
        <v>2</v>
      </c>
      <c r="F2116" s="22">
        <v>45322.8520023148</v>
      </c>
      <c r="G2116" s="22"/>
      <c r="H2116" s="23">
        <v>30</v>
      </c>
      <c r="I2116" s="23">
        <v>40</v>
      </c>
      <c r="J2116" s="24">
        <v>80</v>
      </c>
      <c r="K2116" s="21">
        <v>0</v>
      </c>
      <c r="L2116" s="21">
        <v>0</v>
      </c>
      <c r="M2116" s="21">
        <f>COUNTIF($A$2:$A$5481,A2116)</f>
        <v>1</v>
      </c>
      <c r="N2116" s="24">
        <f t="shared" si="33"/>
        <v>80.0002116</v>
      </c>
    </row>
    <row r="2117" spans="1:14">
      <c r="A2117" s="21" t="s">
        <v>2498</v>
      </c>
      <c r="B2117" s="21" t="s">
        <v>1394</v>
      </c>
      <c r="C2117" s="21" t="s">
        <v>182</v>
      </c>
      <c r="D2117" s="21" t="s">
        <v>921</v>
      </c>
      <c r="E2117" s="21">
        <v>1</v>
      </c>
      <c r="F2117" s="22">
        <v>45377.8069444444</v>
      </c>
      <c r="G2117" s="22"/>
      <c r="H2117" s="23">
        <v>3039.53</v>
      </c>
      <c r="I2117" s="23">
        <v>3039.53</v>
      </c>
      <c r="J2117" s="24">
        <v>3039.53</v>
      </c>
      <c r="K2117" s="21">
        <v>0</v>
      </c>
      <c r="L2117" s="21">
        <v>0</v>
      </c>
      <c r="M2117" s="21">
        <f>COUNTIF($A$2:$A$5481,A2117)</f>
        <v>1</v>
      </c>
      <c r="N2117" s="24">
        <f t="shared" si="33"/>
        <v>3039.5302117</v>
      </c>
    </row>
    <row r="2118" spans="1:14">
      <c r="A2118" s="21" t="s">
        <v>2499</v>
      </c>
      <c r="B2118" s="21" t="s">
        <v>929</v>
      </c>
      <c r="C2118" s="21" t="s">
        <v>26</v>
      </c>
      <c r="D2118" s="21" t="s">
        <v>921</v>
      </c>
      <c r="E2118" s="21">
        <v>30</v>
      </c>
      <c r="F2118" s="22">
        <v>45441.8099768519</v>
      </c>
      <c r="G2118" s="22"/>
      <c r="H2118" s="23">
        <v>243.6</v>
      </c>
      <c r="I2118" s="23">
        <v>8.12</v>
      </c>
      <c r="J2118" s="24">
        <v>243.6</v>
      </c>
      <c r="K2118" s="21">
        <v>0</v>
      </c>
      <c r="L2118" s="21">
        <v>0</v>
      </c>
      <c r="M2118" s="21">
        <f>COUNTIF($A$2:$A$5481,A2118)</f>
        <v>1</v>
      </c>
      <c r="N2118" s="24">
        <f t="shared" si="33"/>
        <v>243.6002118</v>
      </c>
    </row>
    <row r="2119" spans="1:14">
      <c r="A2119" s="21" t="s">
        <v>2500</v>
      </c>
      <c r="B2119" s="21" t="s">
        <v>929</v>
      </c>
      <c r="C2119" s="21" t="s">
        <v>26</v>
      </c>
      <c r="D2119" s="21" t="s">
        <v>1309</v>
      </c>
      <c r="E2119" s="21">
        <v>6</v>
      </c>
      <c r="F2119" s="22">
        <v>45929.6523263889</v>
      </c>
      <c r="G2119" s="22"/>
      <c r="H2119" s="23">
        <v>1399.5</v>
      </c>
      <c r="I2119" s="23">
        <v>277.3083333333</v>
      </c>
      <c r="J2119" s="24">
        <v>1663.86</v>
      </c>
      <c r="K2119" s="21">
        <v>0</v>
      </c>
      <c r="L2119" s="21">
        <v>0</v>
      </c>
      <c r="M2119" s="21">
        <f>COUNTIF($A$2:$A$5481,A2119)</f>
        <v>1</v>
      </c>
      <c r="N2119" s="24">
        <f t="shared" si="33"/>
        <v>1663.8602119</v>
      </c>
    </row>
    <row r="2120" spans="1:14">
      <c r="A2120" s="21" t="s">
        <v>2501</v>
      </c>
      <c r="B2120" s="21" t="s">
        <v>920</v>
      </c>
      <c r="C2120" s="21" t="s">
        <v>35</v>
      </c>
      <c r="D2120" s="21" t="s">
        <v>1068</v>
      </c>
      <c r="E2120" s="21">
        <v>0</v>
      </c>
      <c r="F2120" s="22">
        <v>45433.5425347222</v>
      </c>
      <c r="G2120" s="22">
        <v>45433.5874768519</v>
      </c>
      <c r="H2120" s="23">
        <v>110</v>
      </c>
      <c r="I2120" s="23">
        <v>0</v>
      </c>
      <c r="J2120" s="24">
        <v>0</v>
      </c>
      <c r="K2120" s="21">
        <v>0</v>
      </c>
      <c r="L2120" s="21">
        <v>0</v>
      </c>
      <c r="M2120" s="21">
        <f>COUNTIF($A$2:$A$5481,A2120)</f>
        <v>1</v>
      </c>
      <c r="N2120" s="24">
        <f t="shared" si="33"/>
        <v>0.000212</v>
      </c>
    </row>
    <row r="2121" spans="1:14">
      <c r="A2121" s="21" t="s">
        <v>2502</v>
      </c>
      <c r="B2121" s="21" t="s">
        <v>26</v>
      </c>
      <c r="C2121" s="21" t="s">
        <v>26</v>
      </c>
      <c r="D2121" s="21" t="s">
        <v>921</v>
      </c>
      <c r="E2121" s="21">
        <v>0</v>
      </c>
      <c r="F2121" s="22">
        <v>45567.4838888889</v>
      </c>
      <c r="G2121" s="22">
        <v>45666.464224537</v>
      </c>
      <c r="H2121" s="23">
        <v>35</v>
      </c>
      <c r="I2121" s="23">
        <v>35</v>
      </c>
      <c r="J2121" s="24">
        <v>0</v>
      </c>
      <c r="K2121" s="21">
        <v>0</v>
      </c>
      <c r="L2121" s="21">
        <v>0</v>
      </c>
      <c r="M2121" s="21">
        <f>COUNTIF($A$2:$A$5481,A2121)</f>
        <v>1</v>
      </c>
      <c r="N2121" s="24">
        <f t="shared" si="33"/>
        <v>0.0002121</v>
      </c>
    </row>
    <row r="2122" spans="1:14">
      <c r="A2122" s="21" t="s">
        <v>2503</v>
      </c>
      <c r="B2122" s="21" t="s">
        <v>920</v>
      </c>
      <c r="C2122" s="21" t="s">
        <v>26</v>
      </c>
      <c r="D2122" s="21" t="s">
        <v>931</v>
      </c>
      <c r="E2122" s="21">
        <v>0</v>
      </c>
      <c r="F2122" s="22">
        <v>45791.5841666667</v>
      </c>
      <c r="G2122" s="22">
        <v>45793.4892361111</v>
      </c>
      <c r="H2122" s="23">
        <v>180.33</v>
      </c>
      <c r="I2122" s="23">
        <v>180.33</v>
      </c>
      <c r="J2122" s="24">
        <v>0</v>
      </c>
      <c r="K2122" s="21">
        <v>0</v>
      </c>
      <c r="L2122" s="21">
        <v>0</v>
      </c>
      <c r="M2122" s="21">
        <f>COUNTIF($A$2:$A$5481,A2122)</f>
        <v>2</v>
      </c>
      <c r="N2122" s="24">
        <f t="shared" si="33"/>
        <v>0.0002122</v>
      </c>
    </row>
    <row r="2123" spans="1:14">
      <c r="A2123" s="21" t="s">
        <v>2503</v>
      </c>
      <c r="B2123" s="21" t="s">
        <v>920</v>
      </c>
      <c r="C2123" s="21" t="s">
        <v>35</v>
      </c>
      <c r="D2123" s="21" t="s">
        <v>931</v>
      </c>
      <c r="E2123" s="21">
        <v>1</v>
      </c>
      <c r="F2123" s="22">
        <v>46021.5372685185</v>
      </c>
      <c r="G2123" s="22"/>
      <c r="H2123" s="23">
        <v>1992.14</v>
      </c>
      <c r="I2123" s="23">
        <v>1992.14</v>
      </c>
      <c r="J2123" s="24">
        <v>1992.14</v>
      </c>
      <c r="K2123" s="21">
        <v>0</v>
      </c>
      <c r="L2123" s="21">
        <v>0</v>
      </c>
      <c r="M2123" s="21">
        <f>COUNTIF($A$2:$A$5481,A2123)</f>
        <v>2</v>
      </c>
      <c r="N2123" s="24">
        <f t="shared" si="33"/>
        <v>1992.1402123</v>
      </c>
    </row>
    <row r="2124" spans="1:14">
      <c r="A2124" s="21" t="s">
        <v>465</v>
      </c>
      <c r="B2124" s="21" t="s">
        <v>920</v>
      </c>
      <c r="C2124" s="21" t="s">
        <v>35</v>
      </c>
      <c r="D2124" s="21" t="s">
        <v>921</v>
      </c>
      <c r="E2124" s="21">
        <v>0</v>
      </c>
      <c r="F2124" s="22">
        <v>46206.4472222222</v>
      </c>
      <c r="G2124" s="22">
        <v>46212.4498726852</v>
      </c>
      <c r="H2124" s="23">
        <v>2304</v>
      </c>
      <c r="I2124" s="23">
        <v>2304</v>
      </c>
      <c r="J2124" s="24">
        <v>0</v>
      </c>
      <c r="K2124" s="21">
        <v>0</v>
      </c>
      <c r="L2124" s="21">
        <v>0</v>
      </c>
      <c r="M2124" s="21">
        <f>COUNTIF($A$2:$A$5481,A2124)</f>
        <v>1</v>
      </c>
      <c r="N2124" s="24">
        <f t="shared" si="33"/>
        <v>0.0002124</v>
      </c>
    </row>
    <row r="2125" spans="1:14">
      <c r="A2125" s="21" t="s">
        <v>2504</v>
      </c>
      <c r="B2125" s="21" t="s">
        <v>920</v>
      </c>
      <c r="C2125" s="21" t="s">
        <v>35</v>
      </c>
      <c r="D2125" s="21" t="s">
        <v>921</v>
      </c>
      <c r="E2125" s="21">
        <v>1</v>
      </c>
      <c r="F2125" s="22">
        <v>45999.8281018519</v>
      </c>
      <c r="G2125" s="22">
        <v>46002.4118981482</v>
      </c>
      <c r="H2125" s="23">
        <v>520</v>
      </c>
      <c r="I2125" s="23">
        <v>260</v>
      </c>
      <c r="J2125" s="24">
        <v>260</v>
      </c>
      <c r="K2125" s="21">
        <v>0</v>
      </c>
      <c r="L2125" s="21">
        <v>0</v>
      </c>
      <c r="M2125" s="21">
        <f>COUNTIF($A$2:$A$5481,A2125)</f>
        <v>1</v>
      </c>
      <c r="N2125" s="24">
        <f t="shared" si="33"/>
        <v>260.0002125</v>
      </c>
    </row>
    <row r="2126" spans="1:14">
      <c r="A2126" s="21" t="s">
        <v>2505</v>
      </c>
      <c r="B2126" s="21" t="s">
        <v>920</v>
      </c>
      <c r="C2126" s="21" t="s">
        <v>26</v>
      </c>
      <c r="D2126" s="21" t="s">
        <v>921</v>
      </c>
      <c r="E2126" s="21">
        <v>6</v>
      </c>
      <c r="F2126" s="22">
        <v>45516.7194444445</v>
      </c>
      <c r="G2126" s="22">
        <v>45845.4088310185</v>
      </c>
      <c r="H2126" s="23">
        <v>249.95</v>
      </c>
      <c r="I2126" s="23">
        <v>53.69375</v>
      </c>
      <c r="J2126" s="24">
        <v>322.14</v>
      </c>
      <c r="K2126" s="21">
        <v>0</v>
      </c>
      <c r="L2126" s="21">
        <v>0</v>
      </c>
      <c r="M2126" s="21">
        <f>COUNTIF($A$2:$A$5481,A2126)</f>
        <v>1</v>
      </c>
      <c r="N2126" s="24">
        <f t="shared" si="33"/>
        <v>322.1402126</v>
      </c>
    </row>
    <row r="2127" spans="1:14">
      <c r="A2127" s="21" t="s">
        <v>2506</v>
      </c>
      <c r="B2127" s="21" t="s">
        <v>26</v>
      </c>
      <c r="C2127" s="21" t="s">
        <v>26</v>
      </c>
      <c r="D2127" s="21" t="s">
        <v>921</v>
      </c>
      <c r="E2127" s="21">
        <v>1</v>
      </c>
      <c r="F2127" s="22">
        <v>45664.3908796296</v>
      </c>
      <c r="G2127" s="22">
        <v>45664.4471990741</v>
      </c>
      <c r="H2127" s="23">
        <v>135</v>
      </c>
      <c r="I2127" s="23">
        <v>94.68</v>
      </c>
      <c r="J2127" s="24">
        <v>94.68</v>
      </c>
      <c r="K2127" s="21">
        <v>0</v>
      </c>
      <c r="L2127" s="21">
        <v>0</v>
      </c>
      <c r="M2127" s="21">
        <f>COUNTIF($A$2:$A$5481,A2127)</f>
        <v>1</v>
      </c>
      <c r="N2127" s="24">
        <f t="shared" si="33"/>
        <v>94.6802127</v>
      </c>
    </row>
    <row r="2128" spans="1:14">
      <c r="A2128" s="21" t="s">
        <v>2507</v>
      </c>
      <c r="B2128" s="21" t="s">
        <v>929</v>
      </c>
      <c r="C2128" s="21" t="s">
        <v>26</v>
      </c>
      <c r="D2128" s="21" t="s">
        <v>931</v>
      </c>
      <c r="E2128" s="21">
        <v>1</v>
      </c>
      <c r="F2128" s="22">
        <v>45826.3582986111</v>
      </c>
      <c r="G2128" s="22"/>
      <c r="H2128" s="23">
        <v>35</v>
      </c>
      <c r="I2128" s="23">
        <v>35</v>
      </c>
      <c r="J2128" s="24">
        <v>35</v>
      </c>
      <c r="K2128" s="21">
        <v>0</v>
      </c>
      <c r="L2128" s="21">
        <v>0</v>
      </c>
      <c r="M2128" s="21">
        <f>COUNTIF($A$2:$A$5481,A2128)</f>
        <v>1</v>
      </c>
      <c r="N2128" s="24">
        <f t="shared" si="33"/>
        <v>35.0002128</v>
      </c>
    </row>
    <row r="2129" spans="1:14">
      <c r="A2129" s="21" t="s">
        <v>2508</v>
      </c>
      <c r="B2129" s="21" t="s">
        <v>920</v>
      </c>
      <c r="C2129" s="21" t="s">
        <v>26</v>
      </c>
      <c r="D2129" s="21" t="s">
        <v>921</v>
      </c>
      <c r="E2129" s="21">
        <v>2</v>
      </c>
      <c r="F2129" s="22">
        <v>46197.7237847222</v>
      </c>
      <c r="G2129" s="22"/>
      <c r="H2129" s="23">
        <v>14</v>
      </c>
      <c r="I2129" s="23">
        <v>7</v>
      </c>
      <c r="J2129" s="24">
        <v>14</v>
      </c>
      <c r="K2129" s="21">
        <v>0</v>
      </c>
      <c r="L2129" s="21">
        <v>0</v>
      </c>
      <c r="M2129" s="21">
        <f>COUNTIF($A$2:$A$5481,A2129)</f>
        <v>1</v>
      </c>
      <c r="N2129" s="24">
        <f t="shared" si="33"/>
        <v>14.0002129</v>
      </c>
    </row>
    <row r="2130" spans="1:14">
      <c r="A2130" s="21" t="s">
        <v>2509</v>
      </c>
      <c r="B2130" s="21" t="s">
        <v>920</v>
      </c>
      <c r="C2130" s="21" t="s">
        <v>26</v>
      </c>
      <c r="D2130" s="21" t="s">
        <v>921</v>
      </c>
      <c r="E2130" s="21">
        <v>0</v>
      </c>
      <c r="F2130" s="22">
        <v>45824.4087037037</v>
      </c>
      <c r="G2130" s="22">
        <v>45824.4211574074</v>
      </c>
      <c r="H2130" s="23">
        <v>30</v>
      </c>
      <c r="I2130" s="23">
        <v>15</v>
      </c>
      <c r="J2130" s="24">
        <v>0</v>
      </c>
      <c r="K2130" s="21">
        <v>0</v>
      </c>
      <c r="L2130" s="21">
        <v>0</v>
      </c>
      <c r="M2130" s="21">
        <f>COUNTIF($A$2:$A$5481,A2130)</f>
        <v>1</v>
      </c>
      <c r="N2130" s="24">
        <f t="shared" si="33"/>
        <v>0.000213</v>
      </c>
    </row>
    <row r="2131" spans="1:14">
      <c r="A2131" s="21" t="s">
        <v>314</v>
      </c>
      <c r="B2131" s="21" t="s">
        <v>920</v>
      </c>
      <c r="C2131" s="21" t="s">
        <v>26</v>
      </c>
      <c r="D2131" s="21" t="s">
        <v>921</v>
      </c>
      <c r="E2131" s="21">
        <v>11</v>
      </c>
      <c r="F2131" s="22">
        <v>45902.6649074074</v>
      </c>
      <c r="G2131" s="22">
        <v>46097.4645833333</v>
      </c>
      <c r="H2131" s="23">
        <v>205.2</v>
      </c>
      <c r="I2131" s="23">
        <v>20.85</v>
      </c>
      <c r="J2131" s="24">
        <v>229.35</v>
      </c>
      <c r="K2131" s="21">
        <v>0</v>
      </c>
      <c r="L2131" s="21">
        <v>0</v>
      </c>
      <c r="M2131" s="21">
        <f>COUNTIF($A$2:$A$5481,A2131)</f>
        <v>1</v>
      </c>
      <c r="N2131" s="24">
        <f t="shared" si="33"/>
        <v>229.3502131</v>
      </c>
    </row>
    <row r="2132" spans="1:14">
      <c r="A2132" s="21" t="s">
        <v>2510</v>
      </c>
      <c r="B2132" s="21" t="s">
        <v>920</v>
      </c>
      <c r="C2132" s="21" t="s">
        <v>26</v>
      </c>
      <c r="D2132" s="21" t="s">
        <v>921</v>
      </c>
      <c r="E2132" s="21">
        <v>1</v>
      </c>
      <c r="F2132" s="22">
        <v>45558.8220486111</v>
      </c>
      <c r="G2132" s="22"/>
      <c r="H2132" s="23">
        <v>125</v>
      </c>
      <c r="I2132" s="23">
        <v>125</v>
      </c>
      <c r="J2132" s="24">
        <v>125</v>
      </c>
      <c r="K2132" s="21">
        <v>0</v>
      </c>
      <c r="L2132" s="21">
        <v>0</v>
      </c>
      <c r="M2132" s="21">
        <f>COUNTIF($A$2:$A$5481,A2132)</f>
        <v>1</v>
      </c>
      <c r="N2132" s="24">
        <f t="shared" si="33"/>
        <v>125.0002132</v>
      </c>
    </row>
    <row r="2133" spans="1:14">
      <c r="A2133" s="21" t="s">
        <v>2511</v>
      </c>
      <c r="B2133" s="21" t="s">
        <v>920</v>
      </c>
      <c r="C2133" s="21" t="s">
        <v>26</v>
      </c>
      <c r="D2133" s="21" t="s">
        <v>921</v>
      </c>
      <c r="E2133" s="21">
        <v>40</v>
      </c>
      <c r="F2133" s="22">
        <v>46245.6186342593</v>
      </c>
      <c r="G2133" s="22"/>
      <c r="H2133" s="23">
        <v>116</v>
      </c>
      <c r="I2133" s="23">
        <v>5.8</v>
      </c>
      <c r="J2133" s="24">
        <v>232</v>
      </c>
      <c r="K2133" s="21">
        <v>0</v>
      </c>
      <c r="L2133" s="21">
        <v>0</v>
      </c>
      <c r="M2133" s="21">
        <f>COUNTIF($A$2:$A$5481,A2133)</f>
        <v>1</v>
      </c>
      <c r="N2133" s="24">
        <f t="shared" si="33"/>
        <v>232.0002133</v>
      </c>
    </row>
    <row r="2134" spans="1:14">
      <c r="A2134" s="21" t="s">
        <v>251</v>
      </c>
      <c r="B2134" s="21" t="s">
        <v>920</v>
      </c>
      <c r="C2134" s="21" t="s">
        <v>35</v>
      </c>
      <c r="D2134" s="21" t="s">
        <v>921</v>
      </c>
      <c r="E2134" s="21">
        <v>0</v>
      </c>
      <c r="F2134" s="22">
        <v>46105.5243055556</v>
      </c>
      <c r="G2134" s="22">
        <v>46119.3754398148</v>
      </c>
      <c r="H2134" s="23">
        <v>500.86</v>
      </c>
      <c r="I2134" s="23">
        <v>500.86</v>
      </c>
      <c r="J2134" s="24">
        <v>0</v>
      </c>
      <c r="K2134" s="21">
        <v>0</v>
      </c>
      <c r="L2134" s="21">
        <v>0</v>
      </c>
      <c r="M2134" s="21">
        <f>COUNTIF($A$2:$A$5481,A2134)</f>
        <v>1</v>
      </c>
      <c r="N2134" s="24">
        <f t="shared" si="33"/>
        <v>0.0002134</v>
      </c>
    </row>
    <row r="2135" spans="1:14">
      <c r="A2135" s="21" t="s">
        <v>2512</v>
      </c>
      <c r="B2135" s="21" t="s">
        <v>929</v>
      </c>
      <c r="C2135" s="21" t="s">
        <v>26</v>
      </c>
      <c r="D2135" s="21" t="s">
        <v>921</v>
      </c>
      <c r="E2135" s="21">
        <v>3</v>
      </c>
      <c r="F2135" s="22">
        <v>46248.550775463</v>
      </c>
      <c r="G2135" s="22"/>
      <c r="H2135" s="23">
        <v>6.03</v>
      </c>
      <c r="I2135" s="23">
        <v>6.2766666667</v>
      </c>
      <c r="J2135" s="24">
        <v>18.84</v>
      </c>
      <c r="K2135" s="21">
        <v>0</v>
      </c>
      <c r="L2135" s="21">
        <v>0</v>
      </c>
      <c r="M2135" s="21">
        <f>COUNTIF($A$2:$A$5481,A2135)</f>
        <v>1</v>
      </c>
      <c r="N2135" s="24">
        <f t="shared" si="33"/>
        <v>18.8402135</v>
      </c>
    </row>
    <row r="2136" spans="1:14">
      <c r="A2136" s="21" t="s">
        <v>2513</v>
      </c>
      <c r="B2136" s="21" t="s">
        <v>26</v>
      </c>
      <c r="C2136" s="21" t="s">
        <v>26</v>
      </c>
      <c r="D2136" s="21" t="s">
        <v>921</v>
      </c>
      <c r="E2136" s="21">
        <v>8</v>
      </c>
      <c r="F2136" s="22">
        <v>45947.362962963</v>
      </c>
      <c r="G2136" s="22"/>
      <c r="H2136" s="23">
        <v>43.12</v>
      </c>
      <c r="I2136" s="23">
        <v>5.39</v>
      </c>
      <c r="J2136" s="24">
        <v>43.12</v>
      </c>
      <c r="K2136" s="21">
        <v>0</v>
      </c>
      <c r="L2136" s="21">
        <v>0</v>
      </c>
      <c r="M2136" s="21">
        <f>COUNTIF($A$2:$A$5481,A2136)</f>
        <v>1</v>
      </c>
      <c r="N2136" s="24">
        <f t="shared" si="33"/>
        <v>43.1202136</v>
      </c>
    </row>
    <row r="2137" spans="1:14">
      <c r="A2137" s="21" t="s">
        <v>2514</v>
      </c>
      <c r="B2137" s="21" t="s">
        <v>26</v>
      </c>
      <c r="C2137" s="21" t="s">
        <v>26</v>
      </c>
      <c r="D2137" s="21" t="s">
        <v>921</v>
      </c>
      <c r="E2137" s="21">
        <v>5</v>
      </c>
      <c r="F2137" s="22">
        <v>45568.3607638889</v>
      </c>
      <c r="G2137" s="22"/>
      <c r="H2137" s="23">
        <v>300.75</v>
      </c>
      <c r="I2137" s="23">
        <v>60.15</v>
      </c>
      <c r="J2137" s="24">
        <v>300.75</v>
      </c>
      <c r="K2137" s="21">
        <v>0</v>
      </c>
      <c r="L2137" s="21">
        <v>0</v>
      </c>
      <c r="M2137" s="21">
        <f>COUNTIF($A$2:$A$5481,A2137)</f>
        <v>1</v>
      </c>
      <c r="N2137" s="24">
        <f t="shared" si="33"/>
        <v>300.7502137</v>
      </c>
    </row>
    <row r="2138" spans="1:14">
      <c r="A2138" s="21" t="s">
        <v>252</v>
      </c>
      <c r="B2138" s="21" t="s">
        <v>920</v>
      </c>
      <c r="C2138" s="21" t="s">
        <v>35</v>
      </c>
      <c r="D2138" s="21" t="s">
        <v>921</v>
      </c>
      <c r="E2138" s="21">
        <v>0</v>
      </c>
      <c r="F2138" s="22">
        <v>46065.560787037</v>
      </c>
      <c r="G2138" s="22">
        <v>46072.4096759259</v>
      </c>
      <c r="H2138" s="23">
        <v>2945.48</v>
      </c>
      <c r="I2138" s="23">
        <v>2945.48</v>
      </c>
      <c r="J2138" s="24">
        <v>0</v>
      </c>
      <c r="K2138" s="21">
        <v>0</v>
      </c>
      <c r="L2138" s="21">
        <v>0</v>
      </c>
      <c r="M2138" s="21">
        <f>COUNTIF($A$2:$A$5481,A2138)</f>
        <v>1</v>
      </c>
      <c r="N2138" s="24">
        <f t="shared" si="33"/>
        <v>0.0002138</v>
      </c>
    </row>
    <row r="2139" spans="1:14">
      <c r="A2139" s="21" t="s">
        <v>2515</v>
      </c>
      <c r="B2139" s="21" t="s">
        <v>920</v>
      </c>
      <c r="C2139" s="21" t="s">
        <v>35</v>
      </c>
      <c r="D2139" s="21" t="s">
        <v>921</v>
      </c>
      <c r="E2139" s="21">
        <v>1</v>
      </c>
      <c r="F2139" s="22">
        <v>45315.3743055556</v>
      </c>
      <c r="G2139" s="22"/>
      <c r="H2139" s="23">
        <v>30</v>
      </c>
      <c r="I2139" s="23">
        <v>30</v>
      </c>
      <c r="J2139" s="24">
        <v>30</v>
      </c>
      <c r="K2139" s="21">
        <v>0</v>
      </c>
      <c r="L2139" s="21">
        <v>0</v>
      </c>
      <c r="M2139" s="21">
        <f>COUNTIF($A$2:$A$5481,A2139)</f>
        <v>1</v>
      </c>
      <c r="N2139" s="24">
        <f t="shared" si="33"/>
        <v>30.0002139</v>
      </c>
    </row>
    <row r="2140" spans="1:14">
      <c r="A2140" s="21" t="s">
        <v>2516</v>
      </c>
      <c r="B2140" s="21" t="s">
        <v>920</v>
      </c>
      <c r="C2140" s="21" t="s">
        <v>35</v>
      </c>
      <c r="D2140" s="21" t="s">
        <v>921</v>
      </c>
      <c r="E2140" s="21">
        <v>2</v>
      </c>
      <c r="F2140" s="22">
        <v>45315.3743055556</v>
      </c>
      <c r="G2140" s="22"/>
      <c r="H2140" s="23">
        <v>116</v>
      </c>
      <c r="I2140" s="23">
        <v>58</v>
      </c>
      <c r="J2140" s="24">
        <v>116</v>
      </c>
      <c r="K2140" s="21">
        <v>0</v>
      </c>
      <c r="L2140" s="21">
        <v>0</v>
      </c>
      <c r="M2140" s="21">
        <f>COUNTIF($A$2:$A$5481,A2140)</f>
        <v>1</v>
      </c>
      <c r="N2140" s="24">
        <f t="shared" si="33"/>
        <v>116.000214</v>
      </c>
    </row>
    <row r="2141" spans="1:14">
      <c r="A2141" s="21" t="s">
        <v>2517</v>
      </c>
      <c r="B2141" s="21" t="s">
        <v>920</v>
      </c>
      <c r="C2141" s="21" t="s">
        <v>26</v>
      </c>
      <c r="D2141" s="21" t="s">
        <v>1068</v>
      </c>
      <c r="E2141" s="21">
        <v>5</v>
      </c>
      <c r="F2141" s="22">
        <v>45932.5523726852</v>
      </c>
      <c r="G2141" s="22"/>
      <c r="H2141" s="23">
        <v>50</v>
      </c>
      <c r="I2141" s="23">
        <v>10</v>
      </c>
      <c r="J2141" s="24">
        <v>50</v>
      </c>
      <c r="K2141" s="21">
        <v>0</v>
      </c>
      <c r="L2141" s="21">
        <v>0</v>
      </c>
      <c r="M2141" s="21">
        <f>COUNTIF($A$2:$A$5481,A2141)</f>
        <v>1</v>
      </c>
      <c r="N2141" s="24">
        <f t="shared" si="33"/>
        <v>50.0002141</v>
      </c>
    </row>
    <row r="2142" spans="1:14">
      <c r="A2142" s="21" t="s">
        <v>2518</v>
      </c>
      <c r="B2142" s="21" t="s">
        <v>920</v>
      </c>
      <c r="C2142" s="21" t="s">
        <v>26</v>
      </c>
      <c r="D2142" s="21" t="s">
        <v>921</v>
      </c>
      <c r="E2142" s="21">
        <v>1</v>
      </c>
      <c r="F2142" s="22">
        <v>45450.7569444445</v>
      </c>
      <c r="G2142" s="22">
        <v>45454.8286342593</v>
      </c>
      <c r="H2142" s="23">
        <v>920</v>
      </c>
      <c r="I2142" s="23">
        <v>460</v>
      </c>
      <c r="J2142" s="24">
        <v>460</v>
      </c>
      <c r="K2142" s="21">
        <v>0</v>
      </c>
      <c r="L2142" s="21">
        <v>0</v>
      </c>
      <c r="M2142" s="21">
        <f>COUNTIF($A$2:$A$5481,A2142)</f>
        <v>1</v>
      </c>
      <c r="N2142" s="24">
        <f t="shared" si="33"/>
        <v>460.0002142</v>
      </c>
    </row>
    <row r="2143" spans="1:14">
      <c r="A2143" s="21" t="s">
        <v>2519</v>
      </c>
      <c r="B2143" s="21" t="s">
        <v>948</v>
      </c>
      <c r="C2143" s="21" t="s">
        <v>26</v>
      </c>
      <c r="D2143" s="21" t="s">
        <v>1068</v>
      </c>
      <c r="E2143" s="21">
        <v>50</v>
      </c>
      <c r="F2143" s="22">
        <v>45898.590162037</v>
      </c>
      <c r="G2143" s="22"/>
      <c r="H2143" s="23">
        <v>807</v>
      </c>
      <c r="I2143" s="23">
        <v>16.14</v>
      </c>
      <c r="J2143" s="24">
        <v>807</v>
      </c>
      <c r="K2143" s="21">
        <v>0</v>
      </c>
      <c r="L2143" s="21">
        <v>0</v>
      </c>
      <c r="M2143" s="21">
        <f>COUNTIF($A$2:$A$5481,A2143)</f>
        <v>1</v>
      </c>
      <c r="N2143" s="24">
        <f t="shared" si="33"/>
        <v>807.0002143</v>
      </c>
    </row>
    <row r="2144" spans="1:14">
      <c r="A2144" s="21" t="s">
        <v>2520</v>
      </c>
      <c r="B2144" s="21" t="s">
        <v>920</v>
      </c>
      <c r="C2144" s="21" t="s">
        <v>26</v>
      </c>
      <c r="D2144" s="21" t="s">
        <v>921</v>
      </c>
      <c r="E2144" s="21">
        <v>1</v>
      </c>
      <c r="F2144" s="22">
        <v>45553.3771990741</v>
      </c>
      <c r="G2144" s="22"/>
      <c r="H2144" s="23">
        <v>90</v>
      </c>
      <c r="I2144" s="23">
        <v>90</v>
      </c>
      <c r="J2144" s="24">
        <v>90</v>
      </c>
      <c r="K2144" s="21">
        <v>0</v>
      </c>
      <c r="L2144" s="21">
        <v>0</v>
      </c>
      <c r="M2144" s="21">
        <f>COUNTIF($A$2:$A$5481,A2144)</f>
        <v>1</v>
      </c>
      <c r="N2144" s="24">
        <f t="shared" si="33"/>
        <v>90.0002144</v>
      </c>
    </row>
    <row r="2145" spans="1:14">
      <c r="A2145" s="21" t="s">
        <v>2521</v>
      </c>
      <c r="B2145" s="21" t="s">
        <v>920</v>
      </c>
      <c r="C2145" s="21" t="s">
        <v>26</v>
      </c>
      <c r="D2145" s="21" t="s">
        <v>921</v>
      </c>
      <c r="E2145" s="21">
        <v>1</v>
      </c>
      <c r="F2145" s="22">
        <v>45869.4673148148</v>
      </c>
      <c r="G2145" s="22"/>
      <c r="H2145" s="23">
        <v>630</v>
      </c>
      <c r="I2145" s="23">
        <v>630</v>
      </c>
      <c r="J2145" s="24">
        <v>630</v>
      </c>
      <c r="K2145" s="21">
        <v>0</v>
      </c>
      <c r="L2145" s="21">
        <v>0</v>
      </c>
      <c r="M2145" s="21">
        <f>COUNTIF($A$2:$A$5481,A2145)</f>
        <v>1</v>
      </c>
      <c r="N2145" s="24">
        <f t="shared" si="33"/>
        <v>630.0002145</v>
      </c>
    </row>
    <row r="2146" spans="1:14">
      <c r="A2146" s="21" t="s">
        <v>2522</v>
      </c>
      <c r="B2146" s="21" t="s">
        <v>920</v>
      </c>
      <c r="C2146" s="21" t="s">
        <v>26</v>
      </c>
      <c r="D2146" s="21" t="s">
        <v>921</v>
      </c>
      <c r="E2146" s="21">
        <v>1</v>
      </c>
      <c r="F2146" s="22">
        <v>45869.4673148148</v>
      </c>
      <c r="G2146" s="22"/>
      <c r="H2146" s="23">
        <v>790</v>
      </c>
      <c r="I2146" s="23">
        <v>790</v>
      </c>
      <c r="J2146" s="24">
        <v>790</v>
      </c>
      <c r="K2146" s="21">
        <v>0</v>
      </c>
      <c r="L2146" s="21">
        <v>0</v>
      </c>
      <c r="M2146" s="21">
        <f>COUNTIF($A$2:$A$5481,A2146)</f>
        <v>1</v>
      </c>
      <c r="N2146" s="24">
        <f t="shared" si="33"/>
        <v>790.0002146</v>
      </c>
    </row>
    <row r="2147" spans="1:14">
      <c r="A2147" s="21" t="s">
        <v>2523</v>
      </c>
      <c r="B2147" s="21" t="s">
        <v>920</v>
      </c>
      <c r="C2147" s="21" t="s">
        <v>26</v>
      </c>
      <c r="D2147" s="21" t="s">
        <v>921</v>
      </c>
      <c r="E2147" s="21">
        <v>3</v>
      </c>
      <c r="F2147" s="22">
        <v>45565.3603356482</v>
      </c>
      <c r="G2147" s="22"/>
      <c r="H2147" s="23">
        <v>380</v>
      </c>
      <c r="I2147" s="23">
        <v>171.66667</v>
      </c>
      <c r="J2147" s="24">
        <v>515.01</v>
      </c>
      <c r="K2147" s="21">
        <v>0</v>
      </c>
      <c r="L2147" s="21">
        <v>0</v>
      </c>
      <c r="M2147" s="21">
        <f>COUNTIF($A$2:$A$5481,A2147)</f>
        <v>1</v>
      </c>
      <c r="N2147" s="24">
        <f t="shared" si="33"/>
        <v>515.0102147</v>
      </c>
    </row>
    <row r="2148" spans="1:14">
      <c r="A2148" s="21" t="s">
        <v>2524</v>
      </c>
      <c r="B2148" s="21" t="s">
        <v>920</v>
      </c>
      <c r="C2148" s="21" t="s">
        <v>26</v>
      </c>
      <c r="D2148" s="21" t="s">
        <v>921</v>
      </c>
      <c r="E2148" s="21">
        <v>1</v>
      </c>
      <c r="F2148" s="22">
        <v>45565.3603356482</v>
      </c>
      <c r="G2148" s="22"/>
      <c r="H2148" s="23">
        <v>358</v>
      </c>
      <c r="I2148" s="23">
        <v>358</v>
      </c>
      <c r="J2148" s="24">
        <v>358</v>
      </c>
      <c r="K2148" s="21">
        <v>0</v>
      </c>
      <c r="L2148" s="21">
        <v>0</v>
      </c>
      <c r="M2148" s="21">
        <f>COUNTIF($A$2:$A$5481,A2148)</f>
        <v>1</v>
      </c>
      <c r="N2148" s="24">
        <f t="shared" si="33"/>
        <v>358.0002148</v>
      </c>
    </row>
    <row r="2149" spans="1:14">
      <c r="A2149" s="21" t="s">
        <v>392</v>
      </c>
      <c r="B2149" s="21" t="s">
        <v>1510</v>
      </c>
      <c r="C2149" s="21" t="s">
        <v>26</v>
      </c>
      <c r="D2149" s="21" t="s">
        <v>921</v>
      </c>
      <c r="E2149" s="21">
        <v>0</v>
      </c>
      <c r="F2149" s="22">
        <v>46170.6090277778</v>
      </c>
      <c r="G2149" s="22">
        <v>46171.6456828704</v>
      </c>
      <c r="H2149" s="23">
        <v>150</v>
      </c>
      <c r="I2149" s="23">
        <v>150</v>
      </c>
      <c r="J2149" s="24">
        <v>0</v>
      </c>
      <c r="K2149" s="21">
        <v>0</v>
      </c>
      <c r="L2149" s="21">
        <v>0</v>
      </c>
      <c r="M2149" s="21">
        <f>COUNTIF($A$2:$A$5481,A2149)</f>
        <v>1</v>
      </c>
      <c r="N2149" s="24">
        <f t="shared" si="33"/>
        <v>0.0002149</v>
      </c>
    </row>
    <row r="2150" spans="1:14">
      <c r="A2150" s="21" t="s">
        <v>2525</v>
      </c>
      <c r="B2150" s="21" t="s">
        <v>920</v>
      </c>
      <c r="C2150" s="21" t="s">
        <v>26</v>
      </c>
      <c r="D2150" s="21" t="s">
        <v>1068</v>
      </c>
      <c r="E2150" s="21">
        <v>57</v>
      </c>
      <c r="F2150" s="22">
        <v>45784.8474884259</v>
      </c>
      <c r="G2150" s="22"/>
      <c r="H2150" s="23">
        <v>150</v>
      </c>
      <c r="I2150" s="23">
        <v>3.21053</v>
      </c>
      <c r="J2150" s="24">
        <v>182.97</v>
      </c>
      <c r="K2150" s="21">
        <v>0</v>
      </c>
      <c r="L2150" s="21">
        <v>0</v>
      </c>
      <c r="M2150" s="21">
        <f>COUNTIF($A$2:$A$5481,A2150)</f>
        <v>1</v>
      </c>
      <c r="N2150" s="24">
        <f t="shared" si="33"/>
        <v>182.970215</v>
      </c>
    </row>
    <row r="2151" spans="1:14">
      <c r="A2151" s="21" t="s">
        <v>2526</v>
      </c>
      <c r="B2151" s="21" t="s">
        <v>920</v>
      </c>
      <c r="C2151" s="21" t="s">
        <v>35</v>
      </c>
      <c r="D2151" s="21" t="s">
        <v>921</v>
      </c>
      <c r="E2151" s="21">
        <v>6</v>
      </c>
      <c r="F2151" s="22">
        <v>46227.6493055556</v>
      </c>
      <c r="G2151" s="22"/>
      <c r="H2151" s="23">
        <v>240</v>
      </c>
      <c r="I2151" s="23">
        <v>60</v>
      </c>
      <c r="J2151" s="24">
        <v>360</v>
      </c>
      <c r="K2151" s="21">
        <v>0</v>
      </c>
      <c r="L2151" s="21">
        <v>0</v>
      </c>
      <c r="M2151" s="21">
        <f>COUNTIF($A$2:$A$5481,A2151)</f>
        <v>1</v>
      </c>
      <c r="N2151" s="24">
        <f t="shared" si="33"/>
        <v>360.0002151</v>
      </c>
    </row>
    <row r="2152" spans="1:14">
      <c r="A2152" s="21" t="s">
        <v>2527</v>
      </c>
      <c r="B2152" s="21" t="s">
        <v>929</v>
      </c>
      <c r="C2152" s="21" t="s">
        <v>26</v>
      </c>
      <c r="D2152" s="21" t="s">
        <v>921</v>
      </c>
      <c r="E2152" s="21">
        <v>1</v>
      </c>
      <c r="F2152" s="22">
        <v>45390.7929398148</v>
      </c>
      <c r="G2152" s="22"/>
      <c r="H2152" s="23">
        <v>7.39</v>
      </c>
      <c r="I2152" s="23">
        <v>7.39</v>
      </c>
      <c r="J2152" s="24">
        <v>7.39</v>
      </c>
      <c r="K2152" s="21">
        <v>0</v>
      </c>
      <c r="L2152" s="21">
        <v>0</v>
      </c>
      <c r="M2152" s="21">
        <f>COUNTIF($A$2:$A$5481,A2152)</f>
        <v>1</v>
      </c>
      <c r="N2152" s="24">
        <f t="shared" si="33"/>
        <v>7.3902152</v>
      </c>
    </row>
    <row r="2153" spans="1:14">
      <c r="A2153" s="21" t="s">
        <v>2528</v>
      </c>
      <c r="B2153" s="21" t="s">
        <v>26</v>
      </c>
      <c r="C2153" s="21" t="s">
        <v>26</v>
      </c>
      <c r="D2153" s="21" t="s">
        <v>921</v>
      </c>
      <c r="E2153" s="21">
        <v>104</v>
      </c>
      <c r="F2153" s="22">
        <v>45568.3607638889</v>
      </c>
      <c r="G2153" s="22"/>
      <c r="H2153" s="23">
        <v>199.5</v>
      </c>
      <c r="I2153" s="23">
        <v>7.7249</v>
      </c>
      <c r="J2153" s="24">
        <v>802.88</v>
      </c>
      <c r="K2153" s="21">
        <v>0</v>
      </c>
      <c r="L2153" s="21">
        <v>0</v>
      </c>
      <c r="M2153" s="21">
        <f>COUNTIF($A$2:$A$5481,A2153)</f>
        <v>1</v>
      </c>
      <c r="N2153" s="24">
        <f t="shared" si="33"/>
        <v>802.8802153</v>
      </c>
    </row>
    <row r="2154" spans="1:14">
      <c r="A2154" s="21" t="s">
        <v>2529</v>
      </c>
      <c r="B2154" s="21" t="s">
        <v>920</v>
      </c>
      <c r="C2154" s="21" t="s">
        <v>26</v>
      </c>
      <c r="D2154" s="21" t="s">
        <v>921</v>
      </c>
      <c r="E2154" s="21">
        <v>1</v>
      </c>
      <c r="F2154" s="22">
        <v>45345.4534722222</v>
      </c>
      <c r="G2154" s="22"/>
      <c r="H2154" s="23">
        <v>30</v>
      </c>
      <c r="I2154" s="23">
        <v>30</v>
      </c>
      <c r="J2154" s="24">
        <v>30</v>
      </c>
      <c r="K2154" s="21">
        <v>0</v>
      </c>
      <c r="L2154" s="21">
        <v>0</v>
      </c>
      <c r="M2154" s="21">
        <f>COUNTIF($A$2:$A$5481,A2154)</f>
        <v>1</v>
      </c>
      <c r="N2154" s="24">
        <f t="shared" si="33"/>
        <v>30.0002154</v>
      </c>
    </row>
    <row r="2155" spans="1:14">
      <c r="A2155" s="21" t="s">
        <v>2530</v>
      </c>
      <c r="B2155" s="21" t="s">
        <v>920</v>
      </c>
      <c r="C2155" s="21" t="s">
        <v>26</v>
      </c>
      <c r="D2155" s="21" t="s">
        <v>921</v>
      </c>
      <c r="E2155" s="21">
        <v>2</v>
      </c>
      <c r="F2155" s="22">
        <v>45678.8103472222</v>
      </c>
      <c r="G2155" s="22">
        <v>45785.3938888889</v>
      </c>
      <c r="H2155" s="23">
        <v>435</v>
      </c>
      <c r="I2155" s="23">
        <v>145</v>
      </c>
      <c r="J2155" s="24">
        <v>290</v>
      </c>
      <c r="K2155" s="21">
        <v>0</v>
      </c>
      <c r="L2155" s="21">
        <v>0</v>
      </c>
      <c r="M2155" s="21">
        <f>COUNTIF($A$2:$A$5481,A2155)</f>
        <v>1</v>
      </c>
      <c r="N2155" s="24">
        <f t="shared" si="33"/>
        <v>290.0002155</v>
      </c>
    </row>
    <row r="2156" spans="1:14">
      <c r="A2156" s="21" t="s">
        <v>2531</v>
      </c>
      <c r="B2156" s="21" t="s">
        <v>920</v>
      </c>
      <c r="C2156" s="21" t="s">
        <v>26</v>
      </c>
      <c r="D2156" s="21" t="s">
        <v>931</v>
      </c>
      <c r="E2156" s="21">
        <v>0</v>
      </c>
      <c r="F2156" s="22">
        <v>45862.4879398148</v>
      </c>
      <c r="G2156" s="22">
        <v>45862.4930555556</v>
      </c>
      <c r="H2156" s="23">
        <v>196</v>
      </c>
      <c r="I2156" s="23">
        <v>196</v>
      </c>
      <c r="J2156" s="24">
        <v>0</v>
      </c>
      <c r="K2156" s="21">
        <v>0</v>
      </c>
      <c r="L2156" s="21">
        <v>0</v>
      </c>
      <c r="M2156" s="21">
        <f>COUNTIF($A$2:$A$5481,A2156)</f>
        <v>1</v>
      </c>
      <c r="N2156" s="24">
        <f t="shared" si="33"/>
        <v>0.0002156</v>
      </c>
    </row>
    <row r="2157" spans="1:14">
      <c r="A2157" s="21" t="s">
        <v>2532</v>
      </c>
      <c r="B2157" s="21" t="s">
        <v>920</v>
      </c>
      <c r="C2157" s="21" t="s">
        <v>26</v>
      </c>
      <c r="D2157" s="21" t="s">
        <v>1068</v>
      </c>
      <c r="E2157" s="21">
        <v>15</v>
      </c>
      <c r="F2157" s="22">
        <v>45693.8441666667</v>
      </c>
      <c r="G2157" s="22"/>
      <c r="H2157" s="23">
        <v>30</v>
      </c>
      <c r="I2157" s="23">
        <v>3.33333</v>
      </c>
      <c r="J2157" s="24">
        <v>49.95</v>
      </c>
      <c r="K2157" s="21">
        <v>0</v>
      </c>
      <c r="L2157" s="21">
        <v>0</v>
      </c>
      <c r="M2157" s="21">
        <f>COUNTIF($A$2:$A$5481,A2157)</f>
        <v>1</v>
      </c>
      <c r="N2157" s="24">
        <f t="shared" si="33"/>
        <v>49.9502157</v>
      </c>
    </row>
    <row r="2158" spans="1:14">
      <c r="A2158" s="21" t="s">
        <v>377</v>
      </c>
      <c r="B2158" s="21" t="s">
        <v>920</v>
      </c>
      <c r="C2158" s="21" t="s">
        <v>26</v>
      </c>
      <c r="D2158" s="21" t="s">
        <v>921</v>
      </c>
      <c r="E2158" s="21">
        <v>1</v>
      </c>
      <c r="F2158" s="22">
        <v>46121.6375231482</v>
      </c>
      <c r="G2158" s="22">
        <v>46146.6456712963</v>
      </c>
      <c r="H2158" s="23">
        <v>130</v>
      </c>
      <c r="I2158" s="23">
        <v>65</v>
      </c>
      <c r="J2158" s="24">
        <v>65</v>
      </c>
      <c r="K2158" s="21">
        <v>0</v>
      </c>
      <c r="L2158" s="21">
        <v>0</v>
      </c>
      <c r="M2158" s="21">
        <f>COUNTIF($A$2:$A$5481,A2158)</f>
        <v>1</v>
      </c>
      <c r="N2158" s="24">
        <f t="shared" si="33"/>
        <v>65.0002158</v>
      </c>
    </row>
    <row r="2159" spans="1:14">
      <c r="A2159" s="21" t="s">
        <v>2533</v>
      </c>
      <c r="B2159" s="21" t="s">
        <v>920</v>
      </c>
      <c r="C2159" s="21" t="s">
        <v>26</v>
      </c>
      <c r="D2159" s="21" t="s">
        <v>921</v>
      </c>
      <c r="E2159" s="21">
        <v>1</v>
      </c>
      <c r="F2159" s="22">
        <v>46146.5712615741</v>
      </c>
      <c r="G2159" s="22"/>
      <c r="H2159" s="23">
        <v>496</v>
      </c>
      <c r="I2159" s="23">
        <v>496</v>
      </c>
      <c r="J2159" s="24">
        <v>496</v>
      </c>
      <c r="K2159" s="21">
        <v>0</v>
      </c>
      <c r="L2159" s="21">
        <v>0</v>
      </c>
      <c r="M2159" s="21">
        <f>COUNTIF($A$2:$A$5481,A2159)</f>
        <v>1</v>
      </c>
      <c r="N2159" s="24">
        <f t="shared" si="33"/>
        <v>496.0002159</v>
      </c>
    </row>
    <row r="2160" spans="1:14">
      <c r="A2160" s="21" t="s">
        <v>167</v>
      </c>
      <c r="B2160" s="21" t="s">
        <v>920</v>
      </c>
      <c r="C2160" s="21" t="s">
        <v>35</v>
      </c>
      <c r="D2160" s="21" t="s">
        <v>921</v>
      </c>
      <c r="E2160" s="21">
        <v>0</v>
      </c>
      <c r="F2160" s="22">
        <v>45308.4531134259</v>
      </c>
      <c r="G2160" s="22">
        <v>45317.4474884259</v>
      </c>
      <c r="H2160" s="23">
        <v>150</v>
      </c>
      <c r="I2160" s="23">
        <v>150</v>
      </c>
      <c r="J2160" s="24">
        <v>0</v>
      </c>
      <c r="K2160" s="21">
        <v>0</v>
      </c>
      <c r="L2160" s="21">
        <v>0</v>
      </c>
      <c r="M2160" s="21">
        <f>COUNTIF($A$2:$A$5481,A2160)</f>
        <v>2</v>
      </c>
      <c r="N2160" s="24">
        <f t="shared" si="33"/>
        <v>0.000216</v>
      </c>
    </row>
    <row r="2161" spans="1:14">
      <c r="A2161" s="21" t="s">
        <v>167</v>
      </c>
      <c r="B2161" s="21" t="s">
        <v>920</v>
      </c>
      <c r="C2161" s="21" t="s">
        <v>26</v>
      </c>
      <c r="D2161" s="21" t="s">
        <v>921</v>
      </c>
      <c r="E2161" s="21">
        <v>4</v>
      </c>
      <c r="F2161" s="22">
        <v>46028.3370833333</v>
      </c>
      <c r="G2161" s="22">
        <v>46036.3614814815</v>
      </c>
      <c r="H2161" s="23">
        <v>150</v>
      </c>
      <c r="I2161" s="23">
        <v>105.2</v>
      </c>
      <c r="J2161" s="24">
        <v>420.8</v>
      </c>
      <c r="K2161" s="21">
        <v>0</v>
      </c>
      <c r="L2161" s="21">
        <v>0</v>
      </c>
      <c r="M2161" s="21">
        <f>COUNTIF($A$2:$A$5481,A2161)</f>
        <v>2</v>
      </c>
      <c r="N2161" s="24">
        <f t="shared" si="33"/>
        <v>420.8002161</v>
      </c>
    </row>
    <row r="2162" spans="1:14">
      <c r="A2162" s="21" t="s">
        <v>254</v>
      </c>
      <c r="B2162" s="21" t="s">
        <v>920</v>
      </c>
      <c r="C2162" s="21" t="s">
        <v>26</v>
      </c>
      <c r="D2162" s="21" t="s">
        <v>921</v>
      </c>
      <c r="E2162" s="21">
        <v>3</v>
      </c>
      <c r="F2162" s="22">
        <v>46129.6563541667</v>
      </c>
      <c r="G2162" s="22">
        <v>46090.4240740741</v>
      </c>
      <c r="H2162" s="23">
        <v>179</v>
      </c>
      <c r="I2162" s="23">
        <v>103</v>
      </c>
      <c r="J2162" s="24">
        <v>309</v>
      </c>
      <c r="K2162" s="21">
        <v>0</v>
      </c>
      <c r="L2162" s="21">
        <v>0</v>
      </c>
      <c r="M2162" s="21">
        <f>COUNTIF($A$2:$A$5481,A2162)</f>
        <v>1</v>
      </c>
      <c r="N2162" s="24">
        <f t="shared" si="33"/>
        <v>309.0002162</v>
      </c>
    </row>
    <row r="2163" spans="1:14">
      <c r="A2163" s="21" t="s">
        <v>2534</v>
      </c>
      <c r="B2163" s="21" t="s">
        <v>920</v>
      </c>
      <c r="C2163" s="21" t="s">
        <v>26</v>
      </c>
      <c r="D2163" s="21" t="s">
        <v>1068</v>
      </c>
      <c r="E2163" s="21">
        <v>1</v>
      </c>
      <c r="F2163" s="22">
        <v>45910.5752199074</v>
      </c>
      <c r="G2163" s="22"/>
      <c r="H2163" s="23">
        <v>500</v>
      </c>
      <c r="I2163" s="23">
        <v>500</v>
      </c>
      <c r="J2163" s="24">
        <v>500</v>
      </c>
      <c r="K2163" s="21">
        <v>0</v>
      </c>
      <c r="L2163" s="21">
        <v>0</v>
      </c>
      <c r="M2163" s="21">
        <f>COUNTIF($A$2:$A$5481,A2163)</f>
        <v>1</v>
      </c>
      <c r="N2163" s="24">
        <f t="shared" si="33"/>
        <v>500.0002163</v>
      </c>
    </row>
    <row r="2164" spans="1:14">
      <c r="A2164" s="21" t="s">
        <v>2535</v>
      </c>
      <c r="B2164" s="21" t="s">
        <v>920</v>
      </c>
      <c r="C2164" s="21" t="s">
        <v>26</v>
      </c>
      <c r="D2164" s="21" t="s">
        <v>931</v>
      </c>
      <c r="E2164" s="21">
        <v>1</v>
      </c>
      <c r="F2164" s="22">
        <v>45946.559537037</v>
      </c>
      <c r="G2164" s="22"/>
      <c r="H2164" s="23">
        <v>45.8</v>
      </c>
      <c r="I2164" s="23">
        <v>45.8</v>
      </c>
      <c r="J2164" s="24">
        <v>45.8</v>
      </c>
      <c r="K2164" s="21">
        <v>0</v>
      </c>
      <c r="L2164" s="21">
        <v>0</v>
      </c>
      <c r="M2164" s="21">
        <f>COUNTIF($A$2:$A$5481,A2164)</f>
        <v>1</v>
      </c>
      <c r="N2164" s="24">
        <f t="shared" si="33"/>
        <v>45.8002164</v>
      </c>
    </row>
    <row r="2165" spans="1:14">
      <c r="A2165" s="21" t="s">
        <v>2536</v>
      </c>
      <c r="B2165" s="21" t="s">
        <v>929</v>
      </c>
      <c r="C2165" s="21" t="s">
        <v>26</v>
      </c>
      <c r="D2165" s="21" t="s">
        <v>921</v>
      </c>
      <c r="E2165" s="21">
        <v>2</v>
      </c>
      <c r="F2165" s="22">
        <v>45714.8446064815</v>
      </c>
      <c r="G2165" s="22"/>
      <c r="H2165" s="23">
        <v>5.18</v>
      </c>
      <c r="I2165" s="23">
        <v>2.59</v>
      </c>
      <c r="J2165" s="24">
        <v>5.18</v>
      </c>
      <c r="K2165" s="21">
        <v>0</v>
      </c>
      <c r="L2165" s="21">
        <v>0</v>
      </c>
      <c r="M2165" s="21">
        <f>COUNTIF($A$2:$A$5481,A2165)</f>
        <v>1</v>
      </c>
      <c r="N2165" s="24">
        <f t="shared" si="33"/>
        <v>5.1802165</v>
      </c>
    </row>
    <row r="2166" spans="1:14">
      <c r="A2166" s="21" t="s">
        <v>2537</v>
      </c>
      <c r="B2166" s="21" t="s">
        <v>920</v>
      </c>
      <c r="C2166" s="21" t="s">
        <v>26</v>
      </c>
      <c r="D2166" s="21" t="s">
        <v>921</v>
      </c>
      <c r="E2166" s="21">
        <v>1</v>
      </c>
      <c r="F2166" s="22">
        <v>46034.5979976852</v>
      </c>
      <c r="G2166" s="22"/>
      <c r="H2166" s="23">
        <v>30</v>
      </c>
      <c r="I2166" s="23">
        <v>30</v>
      </c>
      <c r="J2166" s="24">
        <v>30</v>
      </c>
      <c r="K2166" s="21">
        <v>0</v>
      </c>
      <c r="L2166" s="21">
        <v>0</v>
      </c>
      <c r="M2166" s="21">
        <f>COUNTIF($A$2:$A$5481,A2166)</f>
        <v>1</v>
      </c>
      <c r="N2166" s="24">
        <f t="shared" si="33"/>
        <v>30.0002166</v>
      </c>
    </row>
    <row r="2167" spans="1:14">
      <c r="A2167" s="21" t="s">
        <v>2538</v>
      </c>
      <c r="B2167" s="21" t="s">
        <v>948</v>
      </c>
      <c r="C2167" s="21" t="s">
        <v>641</v>
      </c>
      <c r="D2167" s="21" t="s">
        <v>921</v>
      </c>
      <c r="E2167" s="21">
        <v>0</v>
      </c>
      <c r="F2167" s="22">
        <v>45287.7916898148</v>
      </c>
      <c r="G2167" s="22">
        <v>45288.8324421296</v>
      </c>
      <c r="H2167" s="23">
        <v>138.25</v>
      </c>
      <c r="I2167" s="23">
        <v>138.25</v>
      </c>
      <c r="J2167" s="24">
        <v>0</v>
      </c>
      <c r="K2167" s="21">
        <v>0</v>
      </c>
      <c r="L2167" s="21">
        <v>2</v>
      </c>
      <c r="M2167" s="21">
        <f>COUNTIF($A$2:$A$5481,A2167)</f>
        <v>1</v>
      </c>
      <c r="N2167" s="24">
        <f t="shared" si="33"/>
        <v>0.0002167</v>
      </c>
    </row>
    <row r="2168" spans="1:14">
      <c r="A2168" s="21" t="s">
        <v>2539</v>
      </c>
      <c r="B2168" s="21" t="s">
        <v>949</v>
      </c>
      <c r="C2168" s="21" t="s">
        <v>414</v>
      </c>
      <c r="D2168" s="21" t="s">
        <v>921</v>
      </c>
      <c r="E2168" s="21">
        <v>2</v>
      </c>
      <c r="F2168" s="22">
        <v>45370.8187268519</v>
      </c>
      <c r="G2168" s="22"/>
      <c r="H2168" s="23">
        <v>68</v>
      </c>
      <c r="I2168" s="23">
        <v>34</v>
      </c>
      <c r="J2168" s="24">
        <v>68</v>
      </c>
      <c r="K2168" s="21">
        <v>0</v>
      </c>
      <c r="L2168" s="21">
        <v>0</v>
      </c>
      <c r="M2168" s="21">
        <f>COUNTIF($A$2:$A$5481,A2168)</f>
        <v>2</v>
      </c>
      <c r="N2168" s="24">
        <f t="shared" si="33"/>
        <v>68.0002168</v>
      </c>
    </row>
    <row r="2169" spans="1:14">
      <c r="A2169" s="21" t="s">
        <v>2539</v>
      </c>
      <c r="B2169" s="21" t="s">
        <v>949</v>
      </c>
      <c r="C2169" s="21" t="s">
        <v>26</v>
      </c>
      <c r="D2169" s="21" t="s">
        <v>921</v>
      </c>
      <c r="E2169" s="21">
        <v>2</v>
      </c>
      <c r="F2169" s="22">
        <v>45901.7662384259</v>
      </c>
      <c r="G2169" s="22"/>
      <c r="H2169" s="23">
        <v>47.88</v>
      </c>
      <c r="I2169" s="23">
        <v>41.94</v>
      </c>
      <c r="J2169" s="24">
        <v>83.88</v>
      </c>
      <c r="K2169" s="21">
        <v>0</v>
      </c>
      <c r="L2169" s="21">
        <v>0</v>
      </c>
      <c r="M2169" s="21">
        <f>COUNTIF($A$2:$A$5481,A2169)</f>
        <v>2</v>
      </c>
      <c r="N2169" s="24">
        <f t="shared" si="33"/>
        <v>83.8802169</v>
      </c>
    </row>
    <row r="2170" spans="1:14">
      <c r="A2170" s="21" t="s">
        <v>517</v>
      </c>
      <c r="B2170" s="21" t="s">
        <v>920</v>
      </c>
      <c r="C2170" s="21" t="s">
        <v>35</v>
      </c>
      <c r="D2170" s="21" t="s">
        <v>921</v>
      </c>
      <c r="E2170" s="21">
        <v>0</v>
      </c>
      <c r="F2170" s="22">
        <v>45383.5520833333</v>
      </c>
      <c r="G2170" s="22">
        <v>45492.484212963</v>
      </c>
      <c r="H2170" s="23">
        <v>152</v>
      </c>
      <c r="I2170" s="23">
        <v>77</v>
      </c>
      <c r="J2170" s="24">
        <v>0</v>
      </c>
      <c r="K2170" s="21">
        <v>1</v>
      </c>
      <c r="L2170" s="21">
        <v>10</v>
      </c>
      <c r="M2170" s="21">
        <f>COUNTIF($A$2:$A$5481,A2170)</f>
        <v>2</v>
      </c>
      <c r="N2170" s="24">
        <f t="shared" si="33"/>
        <v>0.000217</v>
      </c>
    </row>
    <row r="2171" spans="1:14">
      <c r="A2171" s="21" t="s">
        <v>517</v>
      </c>
      <c r="B2171" s="21" t="s">
        <v>920</v>
      </c>
      <c r="C2171" s="21" t="s">
        <v>26</v>
      </c>
      <c r="D2171" s="21" t="s">
        <v>921</v>
      </c>
      <c r="E2171" s="21">
        <v>1</v>
      </c>
      <c r="F2171" s="22">
        <v>45950.5730671296</v>
      </c>
      <c r="G2171" s="22">
        <v>46244.5804861111</v>
      </c>
      <c r="H2171" s="23">
        <v>363</v>
      </c>
      <c r="I2171" s="23">
        <v>116.8333375</v>
      </c>
      <c r="J2171" s="24">
        <v>116.83</v>
      </c>
      <c r="K2171" s="21">
        <v>1</v>
      </c>
      <c r="L2171" s="21">
        <v>10</v>
      </c>
      <c r="M2171" s="21">
        <f>COUNTIF($A$2:$A$5481,A2171)</f>
        <v>2</v>
      </c>
      <c r="N2171" s="24">
        <f t="shared" si="33"/>
        <v>116.8302171</v>
      </c>
    </row>
    <row r="2172" spans="1:14">
      <c r="A2172" s="21" t="s">
        <v>2540</v>
      </c>
      <c r="B2172" s="21" t="s">
        <v>920</v>
      </c>
      <c r="C2172" s="21" t="s">
        <v>35</v>
      </c>
      <c r="D2172" s="21" t="s">
        <v>1068</v>
      </c>
      <c r="E2172" s="21">
        <v>0.5</v>
      </c>
      <c r="F2172" s="22">
        <v>45289.5920833333</v>
      </c>
      <c r="G2172" s="22"/>
      <c r="H2172" s="23">
        <v>9.5</v>
      </c>
      <c r="I2172" s="23">
        <v>19</v>
      </c>
      <c r="J2172" s="24">
        <v>9.5</v>
      </c>
      <c r="K2172" s="21">
        <v>0</v>
      </c>
      <c r="L2172" s="21">
        <v>0</v>
      </c>
      <c r="M2172" s="21">
        <f>COUNTIF($A$2:$A$5481,A2172)</f>
        <v>2</v>
      </c>
      <c r="N2172" s="24">
        <f t="shared" si="33"/>
        <v>9.5002172</v>
      </c>
    </row>
    <row r="2173" spans="1:14">
      <c r="A2173" s="21" t="s">
        <v>2540</v>
      </c>
      <c r="B2173" s="21" t="s">
        <v>920</v>
      </c>
      <c r="C2173" s="21" t="s">
        <v>26</v>
      </c>
      <c r="D2173" s="21" t="s">
        <v>1068</v>
      </c>
      <c r="E2173" s="21">
        <v>0.5</v>
      </c>
      <c r="F2173" s="22">
        <v>45310.6805555556</v>
      </c>
      <c r="G2173" s="22"/>
      <c r="H2173" s="23">
        <v>9.5</v>
      </c>
      <c r="I2173" s="23">
        <v>19</v>
      </c>
      <c r="J2173" s="24">
        <v>9.5</v>
      </c>
      <c r="K2173" s="21">
        <v>0</v>
      </c>
      <c r="L2173" s="21">
        <v>0</v>
      </c>
      <c r="M2173" s="21">
        <f>COUNTIF($A$2:$A$5481,A2173)</f>
        <v>2</v>
      </c>
      <c r="N2173" s="24">
        <f t="shared" si="33"/>
        <v>9.5002173</v>
      </c>
    </row>
    <row r="2174" spans="1:14">
      <c r="A2174" s="21" t="s">
        <v>2541</v>
      </c>
      <c r="B2174" s="21" t="s">
        <v>920</v>
      </c>
      <c r="C2174" s="21" t="s">
        <v>35</v>
      </c>
      <c r="D2174" s="21" t="s">
        <v>1068</v>
      </c>
      <c r="E2174" s="21">
        <v>20</v>
      </c>
      <c r="F2174" s="22">
        <v>45316.5657060185</v>
      </c>
      <c r="G2174" s="22"/>
      <c r="H2174" s="23">
        <v>1250</v>
      </c>
      <c r="I2174" s="23">
        <v>62.5</v>
      </c>
      <c r="J2174" s="24">
        <v>1250</v>
      </c>
      <c r="K2174" s="21">
        <v>0</v>
      </c>
      <c r="L2174" s="21">
        <v>0</v>
      </c>
      <c r="M2174" s="21">
        <f>COUNTIF($A$2:$A$5481,A2174)</f>
        <v>2</v>
      </c>
      <c r="N2174" s="24">
        <f t="shared" si="33"/>
        <v>1250.0002174</v>
      </c>
    </row>
    <row r="2175" spans="1:14">
      <c r="A2175" s="21" t="s">
        <v>2541</v>
      </c>
      <c r="B2175" s="21" t="s">
        <v>920</v>
      </c>
      <c r="C2175" s="21" t="s">
        <v>26</v>
      </c>
      <c r="D2175" s="21" t="s">
        <v>1068</v>
      </c>
      <c r="E2175" s="21">
        <v>1</v>
      </c>
      <c r="F2175" s="22">
        <v>45392.5832986111</v>
      </c>
      <c r="G2175" s="22"/>
      <c r="H2175" s="23">
        <v>980</v>
      </c>
      <c r="I2175" s="23">
        <v>980</v>
      </c>
      <c r="J2175" s="24">
        <v>980</v>
      </c>
      <c r="K2175" s="21">
        <v>0</v>
      </c>
      <c r="L2175" s="21">
        <v>0</v>
      </c>
      <c r="M2175" s="21">
        <f>COUNTIF($A$2:$A$5481,A2175)</f>
        <v>2</v>
      </c>
      <c r="N2175" s="24">
        <f t="shared" si="33"/>
        <v>980.0002175</v>
      </c>
    </row>
    <row r="2176" spans="1:14">
      <c r="A2176" s="21" t="s">
        <v>195</v>
      </c>
      <c r="B2176" s="21" t="s">
        <v>920</v>
      </c>
      <c r="C2176" s="21" t="s">
        <v>26</v>
      </c>
      <c r="D2176" s="21" t="s">
        <v>921</v>
      </c>
      <c r="E2176" s="21">
        <v>30</v>
      </c>
      <c r="F2176" s="22">
        <v>46063.5922337963</v>
      </c>
      <c r="G2176" s="22">
        <v>46065.4500810185</v>
      </c>
      <c r="H2176" s="23">
        <v>480</v>
      </c>
      <c r="I2176" s="23">
        <v>44.1825132258</v>
      </c>
      <c r="J2176" s="24">
        <v>1325.4</v>
      </c>
      <c r="K2176" s="21">
        <v>0</v>
      </c>
      <c r="L2176" s="21">
        <v>0</v>
      </c>
      <c r="M2176" s="21">
        <f>COUNTIF($A$2:$A$5481,A2176)</f>
        <v>1</v>
      </c>
      <c r="N2176" s="24">
        <f t="shared" si="33"/>
        <v>1325.4002176</v>
      </c>
    </row>
    <row r="2177" spans="1:14">
      <c r="A2177" s="21" t="s">
        <v>2542</v>
      </c>
      <c r="B2177" s="21" t="s">
        <v>929</v>
      </c>
      <c r="C2177" s="21" t="s">
        <v>414</v>
      </c>
      <c r="D2177" s="21" t="s">
        <v>921</v>
      </c>
      <c r="E2177" s="21">
        <v>7</v>
      </c>
      <c r="F2177" s="22">
        <v>45314.4539930556</v>
      </c>
      <c r="G2177" s="22"/>
      <c r="H2177" s="23">
        <v>67.97</v>
      </c>
      <c r="I2177" s="23">
        <v>9.71</v>
      </c>
      <c r="J2177" s="24">
        <v>67.97</v>
      </c>
      <c r="K2177" s="21">
        <v>0</v>
      </c>
      <c r="L2177" s="21">
        <v>0</v>
      </c>
      <c r="M2177" s="21">
        <f>COUNTIF($A$2:$A$5481,A2177)</f>
        <v>2</v>
      </c>
      <c r="N2177" s="24">
        <f t="shared" si="33"/>
        <v>67.9702177</v>
      </c>
    </row>
    <row r="2178" spans="1:14">
      <c r="A2178" s="21" t="s">
        <v>2542</v>
      </c>
      <c r="B2178" s="21" t="s">
        <v>929</v>
      </c>
      <c r="C2178" s="21" t="s">
        <v>26</v>
      </c>
      <c r="D2178" s="21" t="s">
        <v>921</v>
      </c>
      <c r="E2178" s="21">
        <v>3</v>
      </c>
      <c r="F2178" s="22">
        <v>46056.3476157407</v>
      </c>
      <c r="G2178" s="22"/>
      <c r="H2178" s="23">
        <v>20</v>
      </c>
      <c r="I2178" s="23">
        <v>17.6666666667</v>
      </c>
      <c r="J2178" s="24">
        <v>53.01</v>
      </c>
      <c r="K2178" s="21">
        <v>0</v>
      </c>
      <c r="L2178" s="21">
        <v>0</v>
      </c>
      <c r="M2178" s="21">
        <f>COUNTIF($A$2:$A$5481,A2178)</f>
        <v>2</v>
      </c>
      <c r="N2178" s="24">
        <f t="shared" ref="N2178:N2241" si="34">J2178+ROW()/10000000</f>
        <v>53.0102178</v>
      </c>
    </row>
    <row r="2179" spans="1:14">
      <c r="A2179" s="21" t="s">
        <v>2543</v>
      </c>
      <c r="B2179" s="21" t="s">
        <v>929</v>
      </c>
      <c r="C2179" s="21" t="s">
        <v>414</v>
      </c>
      <c r="D2179" s="21" t="s">
        <v>1068</v>
      </c>
      <c r="E2179" s="21">
        <v>7</v>
      </c>
      <c r="F2179" s="22">
        <v>45314.7866782407</v>
      </c>
      <c r="G2179" s="22"/>
      <c r="H2179" s="23">
        <v>56.84</v>
      </c>
      <c r="I2179" s="23">
        <v>8.12</v>
      </c>
      <c r="J2179" s="24">
        <v>56.84</v>
      </c>
      <c r="K2179" s="21">
        <v>0</v>
      </c>
      <c r="L2179" s="21">
        <v>50</v>
      </c>
      <c r="M2179" s="21">
        <f>COUNTIF($A$2:$A$5481,A2179)</f>
        <v>3</v>
      </c>
      <c r="N2179" s="24">
        <f t="shared" si="34"/>
        <v>56.8402179</v>
      </c>
    </row>
    <row r="2180" spans="1:14">
      <c r="A2180" s="21" t="s">
        <v>2543</v>
      </c>
      <c r="B2180" s="21" t="s">
        <v>929</v>
      </c>
      <c r="C2180" s="21" t="s">
        <v>35</v>
      </c>
      <c r="D2180" s="21" t="s">
        <v>1068</v>
      </c>
      <c r="E2180" s="21">
        <v>1.5</v>
      </c>
      <c r="F2180" s="22">
        <v>45321.6532175926</v>
      </c>
      <c r="G2180" s="22"/>
      <c r="H2180" s="23">
        <v>11.73</v>
      </c>
      <c r="I2180" s="23">
        <v>7.82</v>
      </c>
      <c r="J2180" s="24">
        <v>11.73</v>
      </c>
      <c r="K2180" s="21">
        <v>0</v>
      </c>
      <c r="L2180" s="21">
        <v>50</v>
      </c>
      <c r="M2180" s="21">
        <f>COUNTIF($A$2:$A$5481,A2180)</f>
        <v>3</v>
      </c>
      <c r="N2180" s="24">
        <f t="shared" si="34"/>
        <v>11.730218</v>
      </c>
    </row>
    <row r="2181" spans="1:14">
      <c r="A2181" s="21" t="s">
        <v>2543</v>
      </c>
      <c r="B2181" s="21" t="s">
        <v>929</v>
      </c>
      <c r="C2181" s="21" t="s">
        <v>26</v>
      </c>
      <c r="D2181" s="21" t="s">
        <v>1068</v>
      </c>
      <c r="E2181" s="21">
        <v>2</v>
      </c>
      <c r="F2181" s="22">
        <v>45455.5541666667</v>
      </c>
      <c r="G2181" s="22">
        <v>45637.4320949074</v>
      </c>
      <c r="H2181" s="23">
        <v>24.36</v>
      </c>
      <c r="I2181" s="23">
        <v>8.12</v>
      </c>
      <c r="J2181" s="24">
        <v>16.24</v>
      </c>
      <c r="K2181" s="21">
        <v>0</v>
      </c>
      <c r="L2181" s="21">
        <v>50</v>
      </c>
      <c r="M2181" s="21">
        <f>COUNTIF($A$2:$A$5481,A2181)</f>
        <v>3</v>
      </c>
      <c r="N2181" s="24">
        <f t="shared" si="34"/>
        <v>16.2402181</v>
      </c>
    </row>
    <row r="2182" spans="1:14">
      <c r="A2182" s="21" t="s">
        <v>2544</v>
      </c>
      <c r="B2182" s="21" t="s">
        <v>920</v>
      </c>
      <c r="C2182" s="21" t="s">
        <v>26</v>
      </c>
      <c r="D2182" s="21" t="s">
        <v>921</v>
      </c>
      <c r="E2182" s="21">
        <v>3</v>
      </c>
      <c r="F2182" s="22">
        <v>46248.550775463</v>
      </c>
      <c r="G2182" s="22"/>
      <c r="H2182" s="23">
        <v>27.78</v>
      </c>
      <c r="I2182" s="23">
        <v>9.26</v>
      </c>
      <c r="J2182" s="24">
        <v>27.78</v>
      </c>
      <c r="K2182" s="21">
        <v>0</v>
      </c>
      <c r="L2182" s="21">
        <v>0</v>
      </c>
      <c r="M2182" s="21">
        <f>COUNTIF($A$2:$A$5481,A2182)</f>
        <v>1</v>
      </c>
      <c r="N2182" s="24">
        <f t="shared" si="34"/>
        <v>27.7802182</v>
      </c>
    </row>
    <row r="2183" spans="1:14">
      <c r="A2183" s="21" t="s">
        <v>2545</v>
      </c>
      <c r="B2183" s="21" t="s">
        <v>929</v>
      </c>
      <c r="C2183" s="21" t="s">
        <v>414</v>
      </c>
      <c r="D2183" s="21" t="s">
        <v>1068</v>
      </c>
      <c r="E2183" s="21">
        <v>7</v>
      </c>
      <c r="F2183" s="22">
        <v>45314.7845949074</v>
      </c>
      <c r="G2183" s="22"/>
      <c r="H2183" s="23">
        <v>40.32</v>
      </c>
      <c r="I2183" s="23">
        <v>5.76</v>
      </c>
      <c r="J2183" s="24">
        <v>40.32</v>
      </c>
      <c r="K2183" s="21">
        <v>0</v>
      </c>
      <c r="L2183" s="21">
        <v>50</v>
      </c>
      <c r="M2183" s="21">
        <f>COUNTIF($A$2:$A$5481,A2183)</f>
        <v>3</v>
      </c>
      <c r="N2183" s="24">
        <f t="shared" si="34"/>
        <v>40.3202183</v>
      </c>
    </row>
    <row r="2184" spans="1:14">
      <c r="A2184" s="21" t="s">
        <v>2545</v>
      </c>
      <c r="B2184" s="21" t="s">
        <v>929</v>
      </c>
      <c r="C2184" s="21" t="s">
        <v>35</v>
      </c>
      <c r="D2184" s="21" t="s">
        <v>1068</v>
      </c>
      <c r="E2184" s="21">
        <v>5</v>
      </c>
      <c r="F2184" s="22">
        <v>45456.3520833333</v>
      </c>
      <c r="G2184" s="22"/>
      <c r="H2184" s="23">
        <v>34.05</v>
      </c>
      <c r="I2184" s="23">
        <v>6.81</v>
      </c>
      <c r="J2184" s="24">
        <v>34.05</v>
      </c>
      <c r="K2184" s="21">
        <v>0</v>
      </c>
      <c r="L2184" s="21">
        <v>50</v>
      </c>
      <c r="M2184" s="21">
        <f>COUNTIF($A$2:$A$5481,A2184)</f>
        <v>3</v>
      </c>
      <c r="N2184" s="24">
        <f t="shared" si="34"/>
        <v>34.0502184</v>
      </c>
    </row>
    <row r="2185" spans="1:14">
      <c r="A2185" s="21" t="s">
        <v>2545</v>
      </c>
      <c r="B2185" s="21" t="s">
        <v>929</v>
      </c>
      <c r="C2185" s="21" t="s">
        <v>26</v>
      </c>
      <c r="D2185" s="21" t="s">
        <v>1068</v>
      </c>
      <c r="E2185" s="21">
        <v>2</v>
      </c>
      <c r="F2185" s="22">
        <v>45925.5633680556</v>
      </c>
      <c r="G2185" s="22"/>
      <c r="H2185" s="23">
        <v>13.88</v>
      </c>
      <c r="I2185" s="23">
        <v>6.94</v>
      </c>
      <c r="J2185" s="24">
        <v>13.88</v>
      </c>
      <c r="K2185" s="21">
        <v>0</v>
      </c>
      <c r="L2185" s="21">
        <v>50</v>
      </c>
      <c r="M2185" s="21">
        <f>COUNTIF($A$2:$A$5481,A2185)</f>
        <v>3</v>
      </c>
      <c r="N2185" s="24">
        <f t="shared" si="34"/>
        <v>13.8802185</v>
      </c>
    </row>
    <row r="2186" spans="1:14">
      <c r="A2186" s="21" t="s">
        <v>2546</v>
      </c>
      <c r="B2186" s="21" t="s">
        <v>920</v>
      </c>
      <c r="C2186" s="21" t="s">
        <v>35</v>
      </c>
      <c r="D2186" s="21" t="s">
        <v>921</v>
      </c>
      <c r="E2186" s="21">
        <v>4</v>
      </c>
      <c r="F2186" s="22">
        <v>46065.560787037</v>
      </c>
      <c r="G2186" s="22"/>
      <c r="H2186" s="23">
        <v>2042</v>
      </c>
      <c r="I2186" s="23">
        <v>921.535</v>
      </c>
      <c r="J2186" s="24">
        <v>3686.16</v>
      </c>
      <c r="K2186" s="21">
        <v>0</v>
      </c>
      <c r="L2186" s="21">
        <v>0</v>
      </c>
      <c r="M2186" s="21">
        <f>COUNTIF($A$2:$A$5481,A2186)</f>
        <v>1</v>
      </c>
      <c r="N2186" s="24">
        <f t="shared" si="34"/>
        <v>3686.1602186</v>
      </c>
    </row>
    <row r="2187" spans="1:14">
      <c r="A2187" s="21" t="s">
        <v>2547</v>
      </c>
      <c r="B2187" s="21" t="s">
        <v>920</v>
      </c>
      <c r="C2187" s="21" t="s">
        <v>35</v>
      </c>
      <c r="D2187" s="21" t="s">
        <v>921</v>
      </c>
      <c r="E2187" s="21">
        <v>2</v>
      </c>
      <c r="F2187" s="22">
        <v>45355.4159722222</v>
      </c>
      <c r="G2187" s="22"/>
      <c r="H2187" s="23">
        <v>1300</v>
      </c>
      <c r="I2187" s="23">
        <v>650</v>
      </c>
      <c r="J2187" s="24">
        <v>1300</v>
      </c>
      <c r="K2187" s="21">
        <v>0</v>
      </c>
      <c r="L2187" s="21">
        <v>0</v>
      </c>
      <c r="M2187" s="21">
        <f>COUNTIF($A$2:$A$5481,A2187)</f>
        <v>1</v>
      </c>
      <c r="N2187" s="24">
        <f t="shared" si="34"/>
        <v>1300.0002187</v>
      </c>
    </row>
    <row r="2188" spans="1:14">
      <c r="A2188" s="21" t="s">
        <v>2548</v>
      </c>
      <c r="B2188" s="21" t="s">
        <v>26</v>
      </c>
      <c r="C2188" s="21" t="s">
        <v>26</v>
      </c>
      <c r="D2188" s="21" t="s">
        <v>921</v>
      </c>
      <c r="E2188" s="21">
        <v>2</v>
      </c>
      <c r="F2188" s="22">
        <v>46009.3491782407</v>
      </c>
      <c r="G2188" s="22"/>
      <c r="H2188" s="23">
        <v>9.5</v>
      </c>
      <c r="I2188" s="23">
        <v>14.25</v>
      </c>
      <c r="J2188" s="24">
        <v>28.5</v>
      </c>
      <c r="K2188" s="21">
        <v>0</v>
      </c>
      <c r="L2188" s="21">
        <v>0</v>
      </c>
      <c r="M2188" s="21">
        <f>COUNTIF($A$2:$A$5481,A2188)</f>
        <v>1</v>
      </c>
      <c r="N2188" s="24">
        <f t="shared" si="34"/>
        <v>28.5002188</v>
      </c>
    </row>
    <row r="2189" spans="1:14">
      <c r="A2189" s="21" t="s">
        <v>2549</v>
      </c>
      <c r="B2189" s="21" t="s">
        <v>920</v>
      </c>
      <c r="C2189" s="21" t="s">
        <v>35</v>
      </c>
      <c r="D2189" s="21" t="s">
        <v>921</v>
      </c>
      <c r="E2189" s="21">
        <v>1</v>
      </c>
      <c r="F2189" s="22">
        <v>45387.8655439815</v>
      </c>
      <c r="G2189" s="22"/>
      <c r="H2189" s="23">
        <v>3678.05</v>
      </c>
      <c r="I2189" s="23">
        <v>3678.05</v>
      </c>
      <c r="J2189" s="24">
        <v>3678.05</v>
      </c>
      <c r="K2189" s="21">
        <v>0</v>
      </c>
      <c r="L2189" s="21">
        <v>0</v>
      </c>
      <c r="M2189" s="21">
        <f>COUNTIF($A$2:$A$5481,A2189)</f>
        <v>1</v>
      </c>
      <c r="N2189" s="24">
        <f t="shared" si="34"/>
        <v>3678.0502189</v>
      </c>
    </row>
    <row r="2190" spans="1:14">
      <c r="A2190" s="21" t="s">
        <v>878</v>
      </c>
      <c r="B2190" s="21" t="s">
        <v>920</v>
      </c>
      <c r="C2190" s="21" t="s">
        <v>35</v>
      </c>
      <c r="D2190" s="21" t="s">
        <v>921</v>
      </c>
      <c r="E2190" s="21">
        <v>1</v>
      </c>
      <c r="F2190" s="22">
        <v>46261.3493055556</v>
      </c>
      <c r="G2190" s="22">
        <v>46269.6771990741</v>
      </c>
      <c r="H2190" s="23">
        <v>500</v>
      </c>
      <c r="I2190" s="23">
        <v>250</v>
      </c>
      <c r="J2190" s="24">
        <v>250</v>
      </c>
      <c r="K2190" s="21">
        <v>0</v>
      </c>
      <c r="L2190" s="21">
        <v>0</v>
      </c>
      <c r="M2190" s="21">
        <f>COUNTIF($A$2:$A$5481,A2190)</f>
        <v>1</v>
      </c>
      <c r="N2190" s="24">
        <f t="shared" si="34"/>
        <v>250.000219</v>
      </c>
    </row>
    <row r="2191" spans="1:14">
      <c r="A2191" s="21" t="s">
        <v>2550</v>
      </c>
      <c r="B2191" s="21" t="s">
        <v>26</v>
      </c>
      <c r="C2191" s="21" t="s">
        <v>35</v>
      </c>
      <c r="D2191" s="21" t="s">
        <v>921</v>
      </c>
      <c r="E2191" s="21">
        <v>4</v>
      </c>
      <c r="F2191" s="22">
        <v>45608.3634259259</v>
      </c>
      <c r="G2191" s="22"/>
      <c r="H2191" s="23">
        <v>640</v>
      </c>
      <c r="I2191" s="23">
        <v>160</v>
      </c>
      <c r="J2191" s="24">
        <v>640</v>
      </c>
      <c r="K2191" s="21">
        <v>0</v>
      </c>
      <c r="L2191" s="21">
        <v>0</v>
      </c>
      <c r="M2191" s="21">
        <f>COUNTIF($A$2:$A$5481,A2191)</f>
        <v>1</v>
      </c>
      <c r="N2191" s="24">
        <f t="shared" si="34"/>
        <v>640.0002191</v>
      </c>
    </row>
    <row r="2192" spans="1:14">
      <c r="A2192" s="21" t="s">
        <v>2551</v>
      </c>
      <c r="B2192" s="21" t="s">
        <v>920</v>
      </c>
      <c r="C2192" s="21" t="s">
        <v>35</v>
      </c>
      <c r="D2192" s="21" t="s">
        <v>921</v>
      </c>
      <c r="E2192" s="21">
        <v>0</v>
      </c>
      <c r="F2192" s="22">
        <v>45707.8306018519</v>
      </c>
      <c r="G2192" s="22">
        <v>45712.5834143519</v>
      </c>
      <c r="H2192" s="23">
        <v>160</v>
      </c>
      <c r="I2192" s="23">
        <v>160</v>
      </c>
      <c r="J2192" s="24">
        <v>0</v>
      </c>
      <c r="K2192" s="21">
        <v>0</v>
      </c>
      <c r="L2192" s="21">
        <v>0</v>
      </c>
      <c r="M2192" s="21">
        <f>COUNTIF($A$2:$A$5481,A2192)</f>
        <v>1</v>
      </c>
      <c r="N2192" s="24">
        <f t="shared" si="34"/>
        <v>0.0002192</v>
      </c>
    </row>
    <row r="2193" spans="1:14">
      <c r="A2193" s="21" t="s">
        <v>2552</v>
      </c>
      <c r="B2193" s="21" t="s">
        <v>26</v>
      </c>
      <c r="C2193" s="21" t="s">
        <v>182</v>
      </c>
      <c r="D2193" s="21" t="s">
        <v>921</v>
      </c>
      <c r="E2193" s="21">
        <v>1</v>
      </c>
      <c r="F2193" s="22">
        <v>45379.7927199074</v>
      </c>
      <c r="G2193" s="22"/>
      <c r="H2193" s="23">
        <v>33.64</v>
      </c>
      <c r="I2193" s="23">
        <v>33.64</v>
      </c>
      <c r="J2193" s="24">
        <v>33.64</v>
      </c>
      <c r="K2193" s="21">
        <v>0</v>
      </c>
      <c r="L2193" s="21">
        <v>0</v>
      </c>
      <c r="M2193" s="21">
        <f>COUNTIF($A$2:$A$5481,A2193)</f>
        <v>1</v>
      </c>
      <c r="N2193" s="24">
        <f t="shared" si="34"/>
        <v>33.6402193</v>
      </c>
    </row>
    <row r="2194" spans="1:14">
      <c r="A2194" s="21" t="s">
        <v>235</v>
      </c>
      <c r="B2194" s="21" t="s">
        <v>26</v>
      </c>
      <c r="C2194" s="21" t="s">
        <v>26</v>
      </c>
      <c r="D2194" s="21" t="s">
        <v>921</v>
      </c>
      <c r="E2194" s="21">
        <v>4</v>
      </c>
      <c r="F2194" s="22">
        <v>46063.5922337963</v>
      </c>
      <c r="G2194" s="22">
        <v>46175.646412037</v>
      </c>
      <c r="H2194" s="23">
        <v>384</v>
      </c>
      <c r="I2194" s="23">
        <v>95.4666666667</v>
      </c>
      <c r="J2194" s="24">
        <v>381.88</v>
      </c>
      <c r="K2194" s="21">
        <v>0</v>
      </c>
      <c r="L2194" s="21">
        <v>0</v>
      </c>
      <c r="M2194" s="21">
        <f>COUNTIF($A$2:$A$5481,A2194)</f>
        <v>1</v>
      </c>
      <c r="N2194" s="24">
        <f t="shared" si="34"/>
        <v>381.8802194</v>
      </c>
    </row>
    <row r="2195" spans="1:14">
      <c r="A2195" s="21" t="s">
        <v>371</v>
      </c>
      <c r="B2195" s="21" t="s">
        <v>26</v>
      </c>
      <c r="C2195" s="21" t="s">
        <v>26</v>
      </c>
      <c r="D2195" s="21" t="s">
        <v>921</v>
      </c>
      <c r="E2195" s="21">
        <v>3</v>
      </c>
      <c r="F2195" s="22">
        <v>46007.562037037</v>
      </c>
      <c r="G2195" s="22">
        <v>46139.3724884259</v>
      </c>
      <c r="H2195" s="23">
        <v>120</v>
      </c>
      <c r="I2195" s="23">
        <v>76.6666666667</v>
      </c>
      <c r="J2195" s="24">
        <v>230.01</v>
      </c>
      <c r="K2195" s="21">
        <v>0</v>
      </c>
      <c r="L2195" s="21">
        <v>0</v>
      </c>
      <c r="M2195" s="21">
        <f>COUNTIF($A$2:$A$5481,A2195)</f>
        <v>1</v>
      </c>
      <c r="N2195" s="24">
        <f t="shared" si="34"/>
        <v>230.0102195</v>
      </c>
    </row>
    <row r="2196" spans="1:14">
      <c r="A2196" s="21" t="s">
        <v>2553</v>
      </c>
      <c r="B2196" s="21" t="s">
        <v>949</v>
      </c>
      <c r="C2196" s="21" t="s">
        <v>26</v>
      </c>
      <c r="D2196" s="21" t="s">
        <v>921</v>
      </c>
      <c r="E2196" s="21">
        <v>0</v>
      </c>
      <c r="F2196" s="22">
        <v>45323.3923611111</v>
      </c>
      <c r="G2196" s="22">
        <v>45324.4904398148</v>
      </c>
      <c r="H2196" s="23">
        <v>8.0385</v>
      </c>
      <c r="I2196" s="23">
        <v>6.99</v>
      </c>
      <c r="J2196" s="24">
        <v>0</v>
      </c>
      <c r="K2196" s="21">
        <v>0</v>
      </c>
      <c r="L2196" s="21">
        <v>0</v>
      </c>
      <c r="M2196" s="21">
        <f>COUNTIF($A$2:$A$5481,A2196)</f>
        <v>1</v>
      </c>
      <c r="N2196" s="24">
        <f t="shared" si="34"/>
        <v>0.0002196</v>
      </c>
    </row>
    <row r="2197" spans="1:14">
      <c r="A2197" s="21" t="s">
        <v>2554</v>
      </c>
      <c r="B2197" s="21" t="s">
        <v>920</v>
      </c>
      <c r="C2197" s="21" t="s">
        <v>26</v>
      </c>
      <c r="D2197" s="21" t="s">
        <v>931</v>
      </c>
      <c r="E2197" s="21">
        <v>1</v>
      </c>
      <c r="F2197" s="22">
        <v>45804.3898611111</v>
      </c>
      <c r="G2197" s="22"/>
      <c r="H2197" s="23">
        <v>742.52</v>
      </c>
      <c r="I2197" s="23">
        <v>742.52</v>
      </c>
      <c r="J2197" s="24">
        <v>742.52</v>
      </c>
      <c r="K2197" s="21">
        <v>0</v>
      </c>
      <c r="L2197" s="21">
        <v>0</v>
      </c>
      <c r="M2197" s="21">
        <f>COUNTIF($A$2:$A$5481,A2197)</f>
        <v>1</v>
      </c>
      <c r="N2197" s="24">
        <f t="shared" si="34"/>
        <v>742.5202197</v>
      </c>
    </row>
    <row r="2198" spans="1:14">
      <c r="A2198" s="21" t="s">
        <v>2555</v>
      </c>
      <c r="B2198" s="21" t="s">
        <v>920</v>
      </c>
      <c r="C2198" s="21" t="s">
        <v>26</v>
      </c>
      <c r="D2198" s="21" t="s">
        <v>921</v>
      </c>
      <c r="E2198" s="21">
        <v>1</v>
      </c>
      <c r="F2198" s="22">
        <v>46195.7577199074</v>
      </c>
      <c r="G2198" s="22"/>
      <c r="H2198" s="23">
        <v>45</v>
      </c>
      <c r="I2198" s="23">
        <v>45</v>
      </c>
      <c r="J2198" s="24">
        <v>45</v>
      </c>
      <c r="K2198" s="21">
        <v>0</v>
      </c>
      <c r="L2198" s="21">
        <v>0</v>
      </c>
      <c r="M2198" s="21">
        <f>COUNTIF($A$2:$A$5481,A2198)</f>
        <v>1</v>
      </c>
      <c r="N2198" s="24">
        <f t="shared" si="34"/>
        <v>45.0002198</v>
      </c>
    </row>
    <row r="2199" spans="1:14">
      <c r="A2199" s="21" t="s">
        <v>2556</v>
      </c>
      <c r="B2199" s="21" t="s">
        <v>920</v>
      </c>
      <c r="C2199" s="21" t="s">
        <v>26</v>
      </c>
      <c r="D2199" s="21" t="s">
        <v>921</v>
      </c>
      <c r="E2199" s="21">
        <v>1</v>
      </c>
      <c r="F2199" s="22">
        <v>46136.6348263889</v>
      </c>
      <c r="G2199" s="22"/>
      <c r="H2199" s="23">
        <v>60</v>
      </c>
      <c r="I2199" s="23">
        <v>60</v>
      </c>
      <c r="J2199" s="24">
        <v>60</v>
      </c>
      <c r="K2199" s="21">
        <v>0</v>
      </c>
      <c r="L2199" s="21">
        <v>0</v>
      </c>
      <c r="M2199" s="21">
        <f>COUNTIF($A$2:$A$5481,A2199)</f>
        <v>1</v>
      </c>
      <c r="N2199" s="24">
        <f t="shared" si="34"/>
        <v>60.0002199</v>
      </c>
    </row>
    <row r="2200" spans="1:14">
      <c r="A2200" s="21" t="s">
        <v>2557</v>
      </c>
      <c r="B2200" s="21" t="s">
        <v>920</v>
      </c>
      <c r="C2200" s="21" t="s">
        <v>26</v>
      </c>
      <c r="D2200" s="21" t="s">
        <v>921</v>
      </c>
      <c r="E2200" s="21">
        <v>0</v>
      </c>
      <c r="F2200" s="22">
        <v>45825.4801041667</v>
      </c>
      <c r="G2200" s="22">
        <v>45825.4412615741</v>
      </c>
      <c r="H2200" s="23">
        <v>298</v>
      </c>
      <c r="I2200" s="23">
        <v>0</v>
      </c>
      <c r="J2200" s="24">
        <v>0</v>
      </c>
      <c r="K2200" s="21">
        <v>0</v>
      </c>
      <c r="L2200" s="21">
        <v>0</v>
      </c>
      <c r="M2200" s="21">
        <f>COUNTIF($A$2:$A$5481,A2200)</f>
        <v>1</v>
      </c>
      <c r="N2200" s="24">
        <f t="shared" si="34"/>
        <v>0.00022</v>
      </c>
    </row>
    <row r="2201" spans="1:14">
      <c r="A2201" s="21" t="s">
        <v>2558</v>
      </c>
      <c r="B2201" s="21" t="s">
        <v>920</v>
      </c>
      <c r="C2201" s="21" t="s">
        <v>35</v>
      </c>
      <c r="D2201" s="21" t="s">
        <v>921</v>
      </c>
      <c r="E2201" s="21">
        <v>2</v>
      </c>
      <c r="F2201" s="22">
        <v>45426.8578472222</v>
      </c>
      <c r="G2201" s="22"/>
      <c r="H2201" s="23">
        <v>58.72</v>
      </c>
      <c r="I2201" s="23">
        <v>58.72</v>
      </c>
      <c r="J2201" s="24">
        <v>117.44</v>
      </c>
      <c r="K2201" s="21">
        <v>0</v>
      </c>
      <c r="L2201" s="21">
        <v>0</v>
      </c>
      <c r="M2201" s="21">
        <f>COUNTIF($A$2:$A$5481,A2201)</f>
        <v>1</v>
      </c>
      <c r="N2201" s="24">
        <f t="shared" si="34"/>
        <v>117.4402201</v>
      </c>
    </row>
    <row r="2202" spans="1:14">
      <c r="A2202" s="21" t="s">
        <v>2559</v>
      </c>
      <c r="B2202" s="21" t="s">
        <v>920</v>
      </c>
      <c r="C2202" s="21" t="s">
        <v>26</v>
      </c>
      <c r="D2202" s="21" t="s">
        <v>921</v>
      </c>
      <c r="E2202" s="21">
        <v>6</v>
      </c>
      <c r="F2202" s="22">
        <v>46111.3541666667</v>
      </c>
      <c r="G2202" s="22"/>
      <c r="H2202" s="23">
        <v>97.5</v>
      </c>
      <c r="I2202" s="23">
        <v>97.2333333333</v>
      </c>
      <c r="J2202" s="24">
        <v>583.38</v>
      </c>
      <c r="K2202" s="21">
        <v>0</v>
      </c>
      <c r="L2202" s="21">
        <v>0</v>
      </c>
      <c r="M2202" s="21">
        <f>COUNTIF($A$2:$A$5481,A2202)</f>
        <v>1</v>
      </c>
      <c r="N2202" s="24">
        <f t="shared" si="34"/>
        <v>583.3802202</v>
      </c>
    </row>
    <row r="2203" spans="1:14">
      <c r="A2203" s="21" t="s">
        <v>2560</v>
      </c>
      <c r="B2203" s="21" t="s">
        <v>920</v>
      </c>
      <c r="C2203" s="21" t="s">
        <v>26</v>
      </c>
      <c r="D2203" s="21" t="s">
        <v>921</v>
      </c>
      <c r="E2203" s="21">
        <v>1</v>
      </c>
      <c r="F2203" s="22">
        <v>46104.6801851852</v>
      </c>
      <c r="G2203" s="22"/>
      <c r="H2203" s="23">
        <v>124.5</v>
      </c>
      <c r="I2203" s="23">
        <v>124.5</v>
      </c>
      <c r="J2203" s="24">
        <v>124.5</v>
      </c>
      <c r="K2203" s="21">
        <v>0</v>
      </c>
      <c r="L2203" s="21">
        <v>0</v>
      </c>
      <c r="M2203" s="21">
        <f>COUNTIF($A$2:$A$5481,A2203)</f>
        <v>1</v>
      </c>
      <c r="N2203" s="24">
        <f t="shared" si="34"/>
        <v>124.5002203</v>
      </c>
    </row>
    <row r="2204" spans="1:14">
      <c r="A2204" s="21" t="s">
        <v>2561</v>
      </c>
      <c r="B2204" s="21" t="s">
        <v>26</v>
      </c>
      <c r="C2204" s="21" t="s">
        <v>26</v>
      </c>
      <c r="D2204" s="21" t="s">
        <v>921</v>
      </c>
      <c r="E2204" s="21">
        <v>3</v>
      </c>
      <c r="F2204" s="22">
        <v>45973.5521296296</v>
      </c>
      <c r="G2204" s="22">
        <v>45973.5505902778</v>
      </c>
      <c r="H2204" s="23">
        <v>238</v>
      </c>
      <c r="I2204" s="23">
        <v>139</v>
      </c>
      <c r="J2204" s="24">
        <v>417</v>
      </c>
      <c r="K2204" s="21">
        <v>0</v>
      </c>
      <c r="L2204" s="21">
        <v>0</v>
      </c>
      <c r="M2204" s="21">
        <f>COUNTIF($A$2:$A$5481,A2204)</f>
        <v>1</v>
      </c>
      <c r="N2204" s="24">
        <f t="shared" si="34"/>
        <v>417.0002204</v>
      </c>
    </row>
    <row r="2205" spans="1:14">
      <c r="A2205" s="21" t="s">
        <v>2562</v>
      </c>
      <c r="B2205" s="21" t="s">
        <v>920</v>
      </c>
      <c r="C2205" s="21" t="s">
        <v>35</v>
      </c>
      <c r="D2205" s="21" t="s">
        <v>931</v>
      </c>
      <c r="E2205" s="21">
        <v>0</v>
      </c>
      <c r="F2205" s="22">
        <v>45804.3716435185</v>
      </c>
      <c r="G2205" s="22">
        <v>45814.4985069444</v>
      </c>
      <c r="H2205" s="23">
        <v>1000</v>
      </c>
      <c r="I2205" s="23">
        <v>1000</v>
      </c>
      <c r="J2205" s="24">
        <v>0</v>
      </c>
      <c r="K2205" s="21">
        <v>0</v>
      </c>
      <c r="L2205" s="21">
        <v>0</v>
      </c>
      <c r="M2205" s="21">
        <f>COUNTIF($A$2:$A$5481,A2205)</f>
        <v>1</v>
      </c>
      <c r="N2205" s="24">
        <f t="shared" si="34"/>
        <v>0.0002205</v>
      </c>
    </row>
    <row r="2206" spans="1:14">
      <c r="A2206" s="21" t="s">
        <v>2563</v>
      </c>
      <c r="B2206" s="21" t="s">
        <v>920</v>
      </c>
      <c r="C2206" s="21" t="s">
        <v>35</v>
      </c>
      <c r="D2206" s="21" t="s">
        <v>931</v>
      </c>
      <c r="E2206" s="21">
        <v>1</v>
      </c>
      <c r="F2206" s="22">
        <v>45274.5650462963</v>
      </c>
      <c r="G2206" s="22"/>
      <c r="H2206" s="23">
        <v>655</v>
      </c>
      <c r="I2206" s="23">
        <v>655</v>
      </c>
      <c r="J2206" s="24">
        <v>655</v>
      </c>
      <c r="K2206" s="21">
        <v>0</v>
      </c>
      <c r="L2206" s="21">
        <v>0</v>
      </c>
      <c r="M2206" s="21">
        <f>COUNTIF($A$2:$A$5481,A2206)</f>
        <v>1</v>
      </c>
      <c r="N2206" s="24">
        <f t="shared" si="34"/>
        <v>655.0002206</v>
      </c>
    </row>
    <row r="2207" spans="1:14">
      <c r="A2207" s="21" t="s">
        <v>2564</v>
      </c>
      <c r="B2207" s="21" t="s">
        <v>26</v>
      </c>
      <c r="C2207" s="21" t="s">
        <v>35</v>
      </c>
      <c r="D2207" s="21" t="s">
        <v>921</v>
      </c>
      <c r="E2207" s="21">
        <v>2</v>
      </c>
      <c r="F2207" s="22">
        <v>45483.387025463</v>
      </c>
      <c r="G2207" s="22"/>
      <c r="H2207" s="23">
        <v>40</v>
      </c>
      <c r="I2207" s="23">
        <v>20</v>
      </c>
      <c r="J2207" s="24">
        <v>40</v>
      </c>
      <c r="K2207" s="21">
        <v>0</v>
      </c>
      <c r="L2207" s="21">
        <v>0</v>
      </c>
      <c r="M2207" s="21">
        <f>COUNTIF($A$2:$A$5481,A2207)</f>
        <v>1</v>
      </c>
      <c r="N2207" s="24">
        <f t="shared" si="34"/>
        <v>40.0002207</v>
      </c>
    </row>
    <row r="2208" spans="1:14">
      <c r="A2208" s="21" t="s">
        <v>2565</v>
      </c>
      <c r="B2208" s="21" t="s">
        <v>920</v>
      </c>
      <c r="C2208" s="21" t="s">
        <v>26</v>
      </c>
      <c r="D2208" s="21" t="s">
        <v>921</v>
      </c>
      <c r="E2208" s="21">
        <v>0</v>
      </c>
      <c r="F2208" s="22">
        <v>45512.6833333333</v>
      </c>
      <c r="G2208" s="22">
        <v>45540.8080439815</v>
      </c>
      <c r="H2208" s="23">
        <v>656</v>
      </c>
      <c r="I2208" s="23">
        <v>328</v>
      </c>
      <c r="J2208" s="24">
        <v>0</v>
      </c>
      <c r="K2208" s="21">
        <v>0</v>
      </c>
      <c r="L2208" s="21">
        <v>0</v>
      </c>
      <c r="M2208" s="21">
        <f>COUNTIF($A$2:$A$5481,A2208)</f>
        <v>1</v>
      </c>
      <c r="N2208" s="24">
        <f t="shared" si="34"/>
        <v>0.0002208</v>
      </c>
    </row>
    <row r="2209" spans="1:14">
      <c r="A2209" s="21" t="s">
        <v>2566</v>
      </c>
      <c r="B2209" s="21" t="s">
        <v>920</v>
      </c>
      <c r="C2209" s="21" t="s">
        <v>35</v>
      </c>
      <c r="D2209" s="21" t="s">
        <v>931</v>
      </c>
      <c r="E2209" s="21">
        <v>0</v>
      </c>
      <c r="F2209" s="22">
        <v>45929.3753472222</v>
      </c>
      <c r="G2209" s="22">
        <v>45932.3623726852</v>
      </c>
      <c r="H2209" s="23">
        <v>1000</v>
      </c>
      <c r="I2209" s="23">
        <v>250</v>
      </c>
      <c r="J2209" s="24">
        <v>0</v>
      </c>
      <c r="K2209" s="21">
        <v>0</v>
      </c>
      <c r="L2209" s="21">
        <v>0</v>
      </c>
      <c r="M2209" s="21">
        <f>COUNTIF($A$2:$A$5481,A2209)</f>
        <v>1</v>
      </c>
      <c r="N2209" s="24">
        <f t="shared" si="34"/>
        <v>0.0002209</v>
      </c>
    </row>
    <row r="2210" spans="1:14">
      <c r="A2210" s="21" t="s">
        <v>2567</v>
      </c>
      <c r="B2210" s="21" t="s">
        <v>920</v>
      </c>
      <c r="C2210" s="21" t="s">
        <v>35</v>
      </c>
      <c r="D2210" s="21" t="s">
        <v>931</v>
      </c>
      <c r="E2210" s="21">
        <v>0</v>
      </c>
      <c r="F2210" s="22">
        <v>45929.3753472222</v>
      </c>
      <c r="G2210" s="22">
        <v>45932.3623958333</v>
      </c>
      <c r="H2210" s="23">
        <v>880</v>
      </c>
      <c r="I2210" s="23">
        <v>220</v>
      </c>
      <c r="J2210" s="24">
        <v>0</v>
      </c>
      <c r="K2210" s="21">
        <v>0</v>
      </c>
      <c r="L2210" s="21">
        <v>0</v>
      </c>
      <c r="M2210" s="21">
        <f>COUNTIF($A$2:$A$5481,A2210)</f>
        <v>1</v>
      </c>
      <c r="N2210" s="24">
        <f t="shared" si="34"/>
        <v>0.000221</v>
      </c>
    </row>
    <row r="2211" spans="1:14">
      <c r="A2211" s="21" t="s">
        <v>2568</v>
      </c>
      <c r="B2211" s="21" t="s">
        <v>26</v>
      </c>
      <c r="C2211" s="21" t="s">
        <v>26</v>
      </c>
      <c r="D2211" s="21" t="s">
        <v>931</v>
      </c>
      <c r="E2211" s="21">
        <v>0</v>
      </c>
      <c r="F2211" s="22">
        <v>45692.4510069444</v>
      </c>
      <c r="G2211" s="22">
        <v>45692.6138310185</v>
      </c>
      <c r="H2211" s="23">
        <v>385.08</v>
      </c>
      <c r="I2211" s="23">
        <v>192.54</v>
      </c>
      <c r="J2211" s="24">
        <v>0</v>
      </c>
      <c r="K2211" s="21">
        <v>0</v>
      </c>
      <c r="L2211" s="21">
        <v>0</v>
      </c>
      <c r="M2211" s="21">
        <f>COUNTIF($A$2:$A$5481,A2211)</f>
        <v>1</v>
      </c>
      <c r="N2211" s="24">
        <f t="shared" si="34"/>
        <v>0.0002211</v>
      </c>
    </row>
    <row r="2212" spans="1:14">
      <c r="A2212" s="21" t="s">
        <v>2569</v>
      </c>
      <c r="B2212" s="21" t="s">
        <v>949</v>
      </c>
      <c r="C2212" s="21" t="s">
        <v>182</v>
      </c>
      <c r="D2212" s="21" t="s">
        <v>921</v>
      </c>
      <c r="E2212" s="21">
        <v>1</v>
      </c>
      <c r="F2212" s="22">
        <v>45300.8318865741</v>
      </c>
      <c r="G2212" s="22"/>
      <c r="H2212" s="23">
        <v>39</v>
      </c>
      <c r="I2212" s="23">
        <v>39</v>
      </c>
      <c r="J2212" s="24">
        <v>39</v>
      </c>
      <c r="K2212" s="21">
        <v>0</v>
      </c>
      <c r="L2212" s="21">
        <v>5</v>
      </c>
      <c r="M2212" s="21">
        <f>COUNTIF($A$2:$A$5481,A2212)</f>
        <v>2</v>
      </c>
      <c r="N2212" s="24">
        <f t="shared" si="34"/>
        <v>39.0002212</v>
      </c>
    </row>
    <row r="2213" spans="1:14">
      <c r="A2213" s="21" t="s">
        <v>2569</v>
      </c>
      <c r="B2213" s="21" t="s">
        <v>949</v>
      </c>
      <c r="C2213" s="21" t="s">
        <v>26</v>
      </c>
      <c r="D2213" s="21" t="s">
        <v>921</v>
      </c>
      <c r="E2213" s="21">
        <v>2</v>
      </c>
      <c r="F2213" s="22">
        <v>46119.5264930556</v>
      </c>
      <c r="G2213" s="22"/>
      <c r="H2213" s="23">
        <v>59.9</v>
      </c>
      <c r="I2213" s="23">
        <v>44.945</v>
      </c>
      <c r="J2213" s="24">
        <v>89.9</v>
      </c>
      <c r="K2213" s="21">
        <v>0</v>
      </c>
      <c r="L2213" s="21">
        <v>5</v>
      </c>
      <c r="M2213" s="21">
        <f>COUNTIF($A$2:$A$5481,A2213)</f>
        <v>2</v>
      </c>
      <c r="N2213" s="24">
        <f t="shared" si="34"/>
        <v>89.9002213</v>
      </c>
    </row>
    <row r="2214" spans="1:14">
      <c r="A2214" s="21" t="s">
        <v>2570</v>
      </c>
      <c r="B2214" s="21" t="s">
        <v>26</v>
      </c>
      <c r="C2214" s="21" t="s">
        <v>26</v>
      </c>
      <c r="D2214" s="21" t="s">
        <v>921</v>
      </c>
      <c r="E2214" s="21">
        <v>1</v>
      </c>
      <c r="F2214" s="22">
        <v>45467.8197569445</v>
      </c>
      <c r="G2214" s="22"/>
      <c r="H2214" s="23">
        <v>9</v>
      </c>
      <c r="I2214" s="23">
        <v>9</v>
      </c>
      <c r="J2214" s="24">
        <v>9</v>
      </c>
      <c r="K2214" s="21">
        <v>0</v>
      </c>
      <c r="L2214" s="21">
        <v>0</v>
      </c>
      <c r="M2214" s="21">
        <f>COUNTIF($A$2:$A$5481,A2214)</f>
        <v>1</v>
      </c>
      <c r="N2214" s="24">
        <f t="shared" si="34"/>
        <v>9.0002214</v>
      </c>
    </row>
    <row r="2215" spans="1:14">
      <c r="A2215" s="21" t="s">
        <v>2571</v>
      </c>
      <c r="B2215" s="21" t="s">
        <v>929</v>
      </c>
      <c r="C2215" s="21" t="s">
        <v>26</v>
      </c>
      <c r="D2215" s="21" t="s">
        <v>921</v>
      </c>
      <c r="E2215" s="21">
        <v>0</v>
      </c>
      <c r="F2215" s="22">
        <v>45560.5771875</v>
      </c>
      <c r="G2215" s="22">
        <v>45560.5788773148</v>
      </c>
      <c r="H2215" s="23">
        <v>181.41</v>
      </c>
      <c r="I2215" s="23">
        <v>181.41</v>
      </c>
      <c r="J2215" s="24">
        <v>0</v>
      </c>
      <c r="K2215" s="21">
        <v>0</v>
      </c>
      <c r="L2215" s="21">
        <v>0</v>
      </c>
      <c r="M2215" s="21">
        <f>COUNTIF($A$2:$A$5481,A2215)</f>
        <v>1</v>
      </c>
      <c r="N2215" s="24">
        <f t="shared" si="34"/>
        <v>0.0002215</v>
      </c>
    </row>
    <row r="2216" spans="1:14">
      <c r="A2216" s="21" t="s">
        <v>2572</v>
      </c>
      <c r="B2216" s="21" t="s">
        <v>26</v>
      </c>
      <c r="C2216" s="21" t="s">
        <v>26</v>
      </c>
      <c r="D2216" s="21" t="s">
        <v>921</v>
      </c>
      <c r="E2216" s="21">
        <v>1</v>
      </c>
      <c r="F2216" s="22">
        <v>45673.4146759259</v>
      </c>
      <c r="G2216" s="22"/>
      <c r="H2216" s="23">
        <v>45</v>
      </c>
      <c r="I2216" s="23">
        <v>45</v>
      </c>
      <c r="J2216" s="24">
        <v>45</v>
      </c>
      <c r="K2216" s="21">
        <v>0</v>
      </c>
      <c r="L2216" s="21">
        <v>0</v>
      </c>
      <c r="M2216" s="21">
        <f>COUNTIF($A$2:$A$5481,A2216)</f>
        <v>1</v>
      </c>
      <c r="N2216" s="24">
        <f t="shared" si="34"/>
        <v>45.0002216</v>
      </c>
    </row>
    <row r="2217" spans="1:14">
      <c r="A2217" s="21" t="s">
        <v>2573</v>
      </c>
      <c r="B2217" s="21" t="s">
        <v>929</v>
      </c>
      <c r="C2217" s="21" t="s">
        <v>26</v>
      </c>
      <c r="D2217" s="21" t="s">
        <v>921</v>
      </c>
      <c r="E2217" s="21">
        <v>4</v>
      </c>
      <c r="F2217" s="22">
        <v>45548.55625</v>
      </c>
      <c r="G2217" s="22"/>
      <c r="H2217" s="23">
        <v>159.8</v>
      </c>
      <c r="I2217" s="23">
        <v>79.9</v>
      </c>
      <c r="J2217" s="24">
        <v>319.6</v>
      </c>
      <c r="K2217" s="21">
        <v>0</v>
      </c>
      <c r="L2217" s="21">
        <v>0</v>
      </c>
      <c r="M2217" s="21">
        <f>COUNTIF($A$2:$A$5481,A2217)</f>
        <v>1</v>
      </c>
      <c r="N2217" s="24">
        <f t="shared" si="34"/>
        <v>319.6002217</v>
      </c>
    </row>
    <row r="2218" spans="1:14">
      <c r="A2218" s="21" t="s">
        <v>2574</v>
      </c>
      <c r="B2218" s="21" t="s">
        <v>929</v>
      </c>
      <c r="C2218" s="21" t="s">
        <v>26</v>
      </c>
      <c r="D2218" s="21" t="s">
        <v>921</v>
      </c>
      <c r="E2218" s="21">
        <v>9</v>
      </c>
      <c r="F2218" s="22">
        <v>45994.6784490741</v>
      </c>
      <c r="G2218" s="22"/>
      <c r="H2218" s="23">
        <v>509.7</v>
      </c>
      <c r="I2218" s="23">
        <v>169.9</v>
      </c>
      <c r="J2218" s="24">
        <v>1529.1</v>
      </c>
      <c r="K2218" s="21">
        <v>0</v>
      </c>
      <c r="L2218" s="21">
        <v>0</v>
      </c>
      <c r="M2218" s="21">
        <f>COUNTIF($A$2:$A$5481,A2218)</f>
        <v>1</v>
      </c>
      <c r="N2218" s="24">
        <f t="shared" si="34"/>
        <v>1529.1002218</v>
      </c>
    </row>
    <row r="2219" spans="1:14">
      <c r="A2219" s="21" t="s">
        <v>2575</v>
      </c>
      <c r="B2219" s="21" t="s">
        <v>26</v>
      </c>
      <c r="C2219" s="21" t="s">
        <v>26</v>
      </c>
      <c r="D2219" s="21" t="s">
        <v>921</v>
      </c>
      <c r="E2219" s="21">
        <v>2</v>
      </c>
      <c r="F2219" s="22">
        <v>45958.7342592593</v>
      </c>
      <c r="G2219" s="22"/>
      <c r="H2219" s="23">
        <v>89.57</v>
      </c>
      <c r="I2219" s="23">
        <v>135.785</v>
      </c>
      <c r="J2219" s="24">
        <v>271.58</v>
      </c>
      <c r="K2219" s="21">
        <v>0</v>
      </c>
      <c r="L2219" s="21">
        <v>0</v>
      </c>
      <c r="M2219" s="21">
        <f>COUNTIF($A$2:$A$5481,A2219)</f>
        <v>1</v>
      </c>
      <c r="N2219" s="24">
        <f t="shared" si="34"/>
        <v>271.5802219</v>
      </c>
    </row>
    <row r="2220" spans="1:14">
      <c r="A2220" s="21" t="s">
        <v>2576</v>
      </c>
      <c r="B2220" s="21" t="s">
        <v>920</v>
      </c>
      <c r="C2220" s="21" t="s">
        <v>26</v>
      </c>
      <c r="D2220" s="21" t="s">
        <v>921</v>
      </c>
      <c r="E2220" s="21">
        <v>1</v>
      </c>
      <c r="F2220" s="22">
        <v>45958.7342592593</v>
      </c>
      <c r="G2220" s="22"/>
      <c r="H2220" s="23">
        <v>235.68</v>
      </c>
      <c r="I2220" s="23">
        <v>235.68</v>
      </c>
      <c r="J2220" s="24">
        <v>235.68</v>
      </c>
      <c r="K2220" s="21">
        <v>0</v>
      </c>
      <c r="L2220" s="21">
        <v>0</v>
      </c>
      <c r="M2220" s="21">
        <f>COUNTIF($A$2:$A$5481,A2220)</f>
        <v>1</v>
      </c>
      <c r="N2220" s="24">
        <f t="shared" si="34"/>
        <v>235.680222</v>
      </c>
    </row>
    <row r="2221" spans="1:14">
      <c r="A2221" s="21" t="s">
        <v>2577</v>
      </c>
      <c r="B2221" s="21" t="s">
        <v>949</v>
      </c>
      <c r="C2221" s="21" t="s">
        <v>182</v>
      </c>
      <c r="D2221" s="21" t="s">
        <v>921</v>
      </c>
      <c r="E2221" s="21">
        <v>10</v>
      </c>
      <c r="F2221" s="22">
        <v>45323.3763888889</v>
      </c>
      <c r="G2221" s="22"/>
      <c r="H2221" s="23">
        <v>45.9</v>
      </c>
      <c r="I2221" s="23">
        <v>4.59</v>
      </c>
      <c r="J2221" s="24">
        <v>45.9</v>
      </c>
      <c r="K2221" s="21">
        <v>0</v>
      </c>
      <c r="L2221" s="21">
        <v>0</v>
      </c>
      <c r="M2221" s="21">
        <f>COUNTIF($A$2:$A$5481,A2221)</f>
        <v>1</v>
      </c>
      <c r="N2221" s="24">
        <f t="shared" si="34"/>
        <v>45.9002221</v>
      </c>
    </row>
    <row r="2222" spans="1:14">
      <c r="A2222" s="21" t="s">
        <v>2578</v>
      </c>
      <c r="B2222" s="21" t="s">
        <v>949</v>
      </c>
      <c r="C2222" s="21" t="s">
        <v>182</v>
      </c>
      <c r="D2222" s="21" t="s">
        <v>921</v>
      </c>
      <c r="E2222" s="21">
        <v>0</v>
      </c>
      <c r="F2222" s="22">
        <v>45310.6805555556</v>
      </c>
      <c r="G2222" s="22">
        <v>45316.4557175926</v>
      </c>
      <c r="H2222" s="23">
        <v>12.78</v>
      </c>
      <c r="I2222" s="23">
        <v>6.39</v>
      </c>
      <c r="J2222" s="24">
        <v>0</v>
      </c>
      <c r="K2222" s="21">
        <v>0</v>
      </c>
      <c r="L2222" s="21">
        <v>0</v>
      </c>
      <c r="M2222" s="21">
        <f>COUNTIF($A$2:$A$5481,A2222)</f>
        <v>1</v>
      </c>
      <c r="N2222" s="24">
        <f t="shared" si="34"/>
        <v>0.0002222</v>
      </c>
    </row>
    <row r="2223" spans="1:14">
      <c r="A2223" s="21" t="s">
        <v>2579</v>
      </c>
      <c r="B2223" s="21" t="s">
        <v>949</v>
      </c>
      <c r="C2223" s="21" t="s">
        <v>182</v>
      </c>
      <c r="D2223" s="21" t="s">
        <v>921</v>
      </c>
      <c r="E2223" s="21">
        <v>0</v>
      </c>
      <c r="F2223" s="22">
        <v>45310.6805555556</v>
      </c>
      <c r="G2223" s="22">
        <v>45316.4557060185</v>
      </c>
      <c r="H2223" s="23">
        <v>27.95</v>
      </c>
      <c r="I2223" s="23">
        <v>5.59</v>
      </c>
      <c r="J2223" s="24">
        <v>0</v>
      </c>
      <c r="K2223" s="21">
        <v>0</v>
      </c>
      <c r="L2223" s="21">
        <v>0</v>
      </c>
      <c r="M2223" s="21">
        <f>COUNTIF($A$2:$A$5481,A2223)</f>
        <v>1</v>
      </c>
      <c r="N2223" s="24">
        <f t="shared" si="34"/>
        <v>0.0002223</v>
      </c>
    </row>
    <row r="2224" spans="1:14">
      <c r="A2224" s="21" t="s">
        <v>154</v>
      </c>
      <c r="B2224" s="21" t="s">
        <v>26</v>
      </c>
      <c r="C2224" s="21" t="s">
        <v>26</v>
      </c>
      <c r="D2224" s="21" t="s">
        <v>921</v>
      </c>
      <c r="E2224" s="21">
        <v>14</v>
      </c>
      <c r="F2224" s="22">
        <v>46254.7157060185</v>
      </c>
      <c r="G2224" s="22">
        <v>46273.6975462963</v>
      </c>
      <c r="H2224" s="23">
        <v>104.92</v>
      </c>
      <c r="I2224" s="23">
        <v>26.2283789473</v>
      </c>
      <c r="J2224" s="24">
        <v>367.22</v>
      </c>
      <c r="K2224" s="21">
        <v>0</v>
      </c>
      <c r="L2224" s="21">
        <v>0</v>
      </c>
      <c r="M2224" s="21">
        <f>COUNTIF($A$2:$A$5481,A2224)</f>
        <v>1</v>
      </c>
      <c r="N2224" s="24">
        <f t="shared" si="34"/>
        <v>367.2202224</v>
      </c>
    </row>
    <row r="2225" spans="1:14">
      <c r="A2225" s="21" t="s">
        <v>161</v>
      </c>
      <c r="B2225" s="21" t="s">
        <v>920</v>
      </c>
      <c r="C2225" s="21" t="s">
        <v>26</v>
      </c>
      <c r="D2225" s="21" t="s">
        <v>921</v>
      </c>
      <c r="E2225" s="21">
        <v>26</v>
      </c>
      <c r="F2225" s="22">
        <v>46225.6417361111</v>
      </c>
      <c r="G2225" s="22">
        <v>46266.7182638889</v>
      </c>
      <c r="H2225" s="23">
        <v>174</v>
      </c>
      <c r="I2225" s="23">
        <v>26.5265811094</v>
      </c>
      <c r="J2225" s="24">
        <v>689.78</v>
      </c>
      <c r="K2225" s="21">
        <v>0</v>
      </c>
      <c r="L2225" s="21">
        <v>0</v>
      </c>
      <c r="M2225" s="21">
        <f>COUNTIF($A$2:$A$5481,A2225)</f>
        <v>1</v>
      </c>
      <c r="N2225" s="24">
        <f t="shared" si="34"/>
        <v>689.7802225</v>
      </c>
    </row>
    <row r="2226" spans="1:14">
      <c r="A2226" s="21" t="s">
        <v>2580</v>
      </c>
      <c r="B2226" s="21" t="s">
        <v>920</v>
      </c>
      <c r="C2226" s="21" t="s">
        <v>35</v>
      </c>
      <c r="D2226" s="21" t="s">
        <v>921</v>
      </c>
      <c r="E2226" s="21">
        <v>0</v>
      </c>
      <c r="F2226" s="22">
        <v>45555.3865509259</v>
      </c>
      <c r="G2226" s="22">
        <v>45595.3573726852</v>
      </c>
      <c r="H2226" s="23">
        <v>265</v>
      </c>
      <c r="I2226" s="23">
        <v>265</v>
      </c>
      <c r="J2226" s="24">
        <v>0</v>
      </c>
      <c r="K2226" s="21">
        <v>0</v>
      </c>
      <c r="L2226" s="21">
        <v>0</v>
      </c>
      <c r="M2226" s="21">
        <f>COUNTIF($A$2:$A$5481,A2226)</f>
        <v>1</v>
      </c>
      <c r="N2226" s="24">
        <f t="shared" si="34"/>
        <v>0.0002226</v>
      </c>
    </row>
    <row r="2227" spans="1:14">
      <c r="A2227" s="21" t="s">
        <v>2581</v>
      </c>
      <c r="B2227" s="21" t="s">
        <v>920</v>
      </c>
      <c r="C2227" s="21" t="s">
        <v>35</v>
      </c>
      <c r="D2227" s="21" t="s">
        <v>921</v>
      </c>
      <c r="E2227" s="21">
        <v>0</v>
      </c>
      <c r="F2227" s="22">
        <v>45555.3865509259</v>
      </c>
      <c r="G2227" s="22">
        <v>45918.425787037</v>
      </c>
      <c r="H2227" s="23">
        <v>220</v>
      </c>
      <c r="I2227" s="23">
        <v>220</v>
      </c>
      <c r="J2227" s="24">
        <v>0</v>
      </c>
      <c r="K2227" s="21">
        <v>0</v>
      </c>
      <c r="L2227" s="21">
        <v>0</v>
      </c>
      <c r="M2227" s="21">
        <f>COUNTIF($A$2:$A$5481,A2227)</f>
        <v>1</v>
      </c>
      <c r="N2227" s="24">
        <f t="shared" si="34"/>
        <v>0.0002227</v>
      </c>
    </row>
    <row r="2228" spans="1:14">
      <c r="A2228" s="21" t="s">
        <v>697</v>
      </c>
      <c r="B2228" s="21" t="s">
        <v>920</v>
      </c>
      <c r="C2228" s="21" t="s">
        <v>26</v>
      </c>
      <c r="D2228" s="21" t="s">
        <v>921</v>
      </c>
      <c r="E2228" s="21">
        <v>0</v>
      </c>
      <c r="F2228" s="22">
        <v>46127.6906481482</v>
      </c>
      <c r="G2228" s="22">
        <v>46252.5689236111</v>
      </c>
      <c r="H2228" s="23">
        <v>192</v>
      </c>
      <c r="I2228" s="23">
        <v>179.49</v>
      </c>
      <c r="J2228" s="24">
        <v>0</v>
      </c>
      <c r="K2228" s="21">
        <v>0</v>
      </c>
      <c r="L2228" s="21">
        <v>0</v>
      </c>
      <c r="M2228" s="21">
        <f>COUNTIF($A$2:$A$5481,A2228)</f>
        <v>1</v>
      </c>
      <c r="N2228" s="24">
        <f t="shared" si="34"/>
        <v>0.0002228</v>
      </c>
    </row>
    <row r="2229" spans="1:14">
      <c r="A2229" s="21" t="s">
        <v>2582</v>
      </c>
      <c r="B2229" s="21" t="s">
        <v>920</v>
      </c>
      <c r="C2229" s="21" t="s">
        <v>26</v>
      </c>
      <c r="D2229" s="21" t="s">
        <v>921</v>
      </c>
      <c r="E2229" s="21">
        <v>2</v>
      </c>
      <c r="F2229" s="22">
        <v>45729.5604513889</v>
      </c>
      <c r="G2229" s="22"/>
      <c r="H2229" s="23">
        <v>178</v>
      </c>
      <c r="I2229" s="23">
        <v>163.5</v>
      </c>
      <c r="J2229" s="24">
        <v>327</v>
      </c>
      <c r="K2229" s="21">
        <v>0</v>
      </c>
      <c r="L2229" s="21">
        <v>0</v>
      </c>
      <c r="M2229" s="21">
        <f>COUNTIF($A$2:$A$5481,A2229)</f>
        <v>1</v>
      </c>
      <c r="N2229" s="24">
        <f t="shared" si="34"/>
        <v>327.0002229</v>
      </c>
    </row>
    <row r="2230" spans="1:14">
      <c r="A2230" s="21" t="s">
        <v>2583</v>
      </c>
      <c r="B2230" s="21" t="s">
        <v>920</v>
      </c>
      <c r="C2230" s="21" t="s">
        <v>35</v>
      </c>
      <c r="D2230" s="21" t="s">
        <v>921</v>
      </c>
      <c r="E2230" s="21">
        <v>1</v>
      </c>
      <c r="F2230" s="22">
        <v>45834.7430671296</v>
      </c>
      <c r="G2230" s="22"/>
      <c r="H2230" s="23">
        <v>1400</v>
      </c>
      <c r="I2230" s="23">
        <v>1400</v>
      </c>
      <c r="J2230" s="24">
        <v>1400</v>
      </c>
      <c r="K2230" s="21">
        <v>0</v>
      </c>
      <c r="L2230" s="21">
        <v>0</v>
      </c>
      <c r="M2230" s="21">
        <f>COUNTIF($A$2:$A$5481,A2230)</f>
        <v>1</v>
      </c>
      <c r="N2230" s="24">
        <f t="shared" si="34"/>
        <v>1400.000223</v>
      </c>
    </row>
    <row r="2231" spans="1:14">
      <c r="A2231" s="21" t="s">
        <v>2584</v>
      </c>
      <c r="B2231" s="21" t="s">
        <v>26</v>
      </c>
      <c r="C2231" s="21" t="s">
        <v>26</v>
      </c>
      <c r="D2231" s="21" t="s">
        <v>921</v>
      </c>
      <c r="E2231" s="21">
        <v>0</v>
      </c>
      <c r="F2231" s="22">
        <v>45558.3809722222</v>
      </c>
      <c r="G2231" s="22">
        <v>45568.4261342593</v>
      </c>
      <c r="H2231" s="23">
        <v>199.42</v>
      </c>
      <c r="I2231" s="23">
        <v>199.42</v>
      </c>
      <c r="J2231" s="24">
        <v>0</v>
      </c>
      <c r="K2231" s="21">
        <v>0</v>
      </c>
      <c r="L2231" s="21">
        <v>0</v>
      </c>
      <c r="M2231" s="21">
        <f>COUNTIF($A$2:$A$5481,A2231)</f>
        <v>1</v>
      </c>
      <c r="N2231" s="24">
        <f t="shared" si="34"/>
        <v>0.0002231</v>
      </c>
    </row>
    <row r="2232" spans="1:14">
      <c r="A2232" s="21" t="s">
        <v>2585</v>
      </c>
      <c r="B2232" s="21" t="s">
        <v>920</v>
      </c>
      <c r="C2232" s="21" t="s">
        <v>35</v>
      </c>
      <c r="D2232" s="21" t="s">
        <v>921</v>
      </c>
      <c r="E2232" s="21">
        <v>1</v>
      </c>
      <c r="F2232" s="22">
        <v>45485.6423611111</v>
      </c>
      <c r="G2232" s="22">
        <v>45278.3909722222</v>
      </c>
      <c r="H2232" s="23">
        <v>5565</v>
      </c>
      <c r="I2232" s="23">
        <v>5565</v>
      </c>
      <c r="J2232" s="24">
        <v>5565</v>
      </c>
      <c r="K2232" s="21">
        <v>0</v>
      </c>
      <c r="L2232" s="21">
        <v>0</v>
      </c>
      <c r="M2232" s="21">
        <f>COUNTIF($A$2:$A$5481,A2232)</f>
        <v>1</v>
      </c>
      <c r="N2232" s="24">
        <f t="shared" si="34"/>
        <v>5565.0002232</v>
      </c>
    </row>
    <row r="2233" spans="1:14">
      <c r="A2233" s="21" t="s">
        <v>2586</v>
      </c>
      <c r="B2233" s="21" t="s">
        <v>920</v>
      </c>
      <c r="C2233" s="21" t="s">
        <v>35</v>
      </c>
      <c r="D2233" s="21" t="s">
        <v>921</v>
      </c>
      <c r="E2233" s="21">
        <v>1</v>
      </c>
      <c r="F2233" s="22">
        <v>45926.3721759259</v>
      </c>
      <c r="G2233" s="22"/>
      <c r="H2233" s="23">
        <v>4850</v>
      </c>
      <c r="I2233" s="23">
        <v>4850</v>
      </c>
      <c r="J2233" s="24">
        <v>4850</v>
      </c>
      <c r="K2233" s="21">
        <v>0</v>
      </c>
      <c r="L2233" s="21">
        <v>0</v>
      </c>
      <c r="M2233" s="21">
        <f>COUNTIF($A$2:$A$5481,A2233)</f>
        <v>1</v>
      </c>
      <c r="N2233" s="24">
        <f t="shared" si="34"/>
        <v>4850.0002233</v>
      </c>
    </row>
    <row r="2234" spans="1:14">
      <c r="A2234" s="21" t="s">
        <v>2587</v>
      </c>
      <c r="B2234" s="21" t="s">
        <v>920</v>
      </c>
      <c r="C2234" s="21" t="s">
        <v>26</v>
      </c>
      <c r="D2234" s="21" t="s">
        <v>921</v>
      </c>
      <c r="E2234" s="21">
        <v>0</v>
      </c>
      <c r="F2234" s="22">
        <v>45425.8374652778</v>
      </c>
      <c r="G2234" s="22">
        <v>45425.8388888889</v>
      </c>
      <c r="H2234" s="23">
        <v>63.45</v>
      </c>
      <c r="I2234" s="23">
        <v>0</v>
      </c>
      <c r="J2234" s="24">
        <v>0</v>
      </c>
      <c r="K2234" s="21">
        <v>0</v>
      </c>
      <c r="L2234" s="21">
        <v>0</v>
      </c>
      <c r="M2234" s="21">
        <f>COUNTIF($A$2:$A$5481,A2234)</f>
        <v>1</v>
      </c>
      <c r="N2234" s="24">
        <f t="shared" si="34"/>
        <v>0.0002234</v>
      </c>
    </row>
    <row r="2235" spans="1:14">
      <c r="A2235" s="21" t="s">
        <v>2588</v>
      </c>
      <c r="B2235" s="21" t="s">
        <v>26</v>
      </c>
      <c r="C2235" s="21" t="s">
        <v>26</v>
      </c>
      <c r="D2235" s="21" t="s">
        <v>921</v>
      </c>
      <c r="E2235" s="21">
        <v>20</v>
      </c>
      <c r="F2235" s="22">
        <v>45603.4764583333</v>
      </c>
      <c r="G2235" s="22"/>
      <c r="H2235" s="23">
        <v>40</v>
      </c>
      <c r="I2235" s="23">
        <v>2</v>
      </c>
      <c r="J2235" s="24">
        <v>40</v>
      </c>
      <c r="K2235" s="21">
        <v>0</v>
      </c>
      <c r="L2235" s="21">
        <v>0</v>
      </c>
      <c r="M2235" s="21">
        <f>COUNTIF($A$2:$A$5481,A2235)</f>
        <v>1</v>
      </c>
      <c r="N2235" s="24">
        <f t="shared" si="34"/>
        <v>40.0002235</v>
      </c>
    </row>
    <row r="2236" spans="1:14">
      <c r="A2236" s="21" t="s">
        <v>2589</v>
      </c>
      <c r="B2236" s="21" t="s">
        <v>929</v>
      </c>
      <c r="C2236" s="21" t="s">
        <v>26</v>
      </c>
      <c r="D2236" s="21" t="s">
        <v>921</v>
      </c>
      <c r="E2236" s="21">
        <v>1</v>
      </c>
      <c r="F2236" s="22">
        <v>45769.8021412037</v>
      </c>
      <c r="G2236" s="22"/>
      <c r="H2236" s="23">
        <v>18.71</v>
      </c>
      <c r="I2236" s="23">
        <v>18.71</v>
      </c>
      <c r="J2236" s="24">
        <v>18.71</v>
      </c>
      <c r="K2236" s="21">
        <v>0</v>
      </c>
      <c r="L2236" s="21">
        <v>0</v>
      </c>
      <c r="M2236" s="21">
        <f>COUNTIF($A$2:$A$5481,A2236)</f>
        <v>1</v>
      </c>
      <c r="N2236" s="24">
        <f t="shared" si="34"/>
        <v>18.7102236</v>
      </c>
    </row>
    <row r="2237" spans="1:14">
      <c r="A2237" s="21" t="s">
        <v>730</v>
      </c>
      <c r="B2237" s="21" t="s">
        <v>1115</v>
      </c>
      <c r="C2237" s="21" t="s">
        <v>26</v>
      </c>
      <c r="D2237" s="21" t="s">
        <v>921</v>
      </c>
      <c r="E2237" s="21">
        <v>0</v>
      </c>
      <c r="F2237" s="22">
        <v>45932.7030555556</v>
      </c>
      <c r="G2237" s="22">
        <v>46252.5693055556</v>
      </c>
      <c r="H2237" s="23">
        <v>365.28</v>
      </c>
      <c r="I2237" s="23">
        <v>91.32</v>
      </c>
      <c r="J2237" s="24">
        <v>0</v>
      </c>
      <c r="K2237" s="21">
        <v>0</v>
      </c>
      <c r="L2237" s="21">
        <v>0</v>
      </c>
      <c r="M2237" s="21">
        <f>COUNTIF($A$2:$A$5481,A2237)</f>
        <v>1</v>
      </c>
      <c r="N2237" s="24">
        <f t="shared" si="34"/>
        <v>0.0002237</v>
      </c>
    </row>
    <row r="2238" spans="1:14">
      <c r="A2238" s="21" t="s">
        <v>2590</v>
      </c>
      <c r="B2238" s="21" t="s">
        <v>929</v>
      </c>
      <c r="C2238" s="21" t="s">
        <v>26</v>
      </c>
      <c r="D2238" s="21" t="s">
        <v>921</v>
      </c>
      <c r="E2238" s="21">
        <v>1</v>
      </c>
      <c r="F2238" s="22">
        <v>46031.3832407407</v>
      </c>
      <c r="G2238" s="22"/>
      <c r="H2238" s="23">
        <v>3.62</v>
      </c>
      <c r="I2238" s="23">
        <v>3.62</v>
      </c>
      <c r="J2238" s="24">
        <v>3.62</v>
      </c>
      <c r="K2238" s="21">
        <v>0</v>
      </c>
      <c r="L2238" s="21">
        <v>0</v>
      </c>
      <c r="M2238" s="21">
        <f>COUNTIF($A$2:$A$5481,A2238)</f>
        <v>1</v>
      </c>
      <c r="N2238" s="24">
        <f t="shared" si="34"/>
        <v>3.6202238</v>
      </c>
    </row>
    <row r="2239" spans="1:14">
      <c r="A2239" s="21" t="s">
        <v>2591</v>
      </c>
      <c r="B2239" s="21" t="s">
        <v>929</v>
      </c>
      <c r="C2239" s="21" t="s">
        <v>26</v>
      </c>
      <c r="D2239" s="21" t="s">
        <v>921</v>
      </c>
      <c r="E2239" s="21">
        <v>6</v>
      </c>
      <c r="F2239" s="22">
        <v>46031.3832407407</v>
      </c>
      <c r="G2239" s="22"/>
      <c r="H2239" s="23">
        <v>16.2</v>
      </c>
      <c r="I2239" s="23">
        <v>2.7</v>
      </c>
      <c r="J2239" s="24">
        <v>16.2</v>
      </c>
      <c r="K2239" s="21">
        <v>0</v>
      </c>
      <c r="L2239" s="21">
        <v>0</v>
      </c>
      <c r="M2239" s="21">
        <f>COUNTIF($A$2:$A$5481,A2239)</f>
        <v>1</v>
      </c>
      <c r="N2239" s="24">
        <f t="shared" si="34"/>
        <v>16.2002239</v>
      </c>
    </row>
    <row r="2240" spans="1:14">
      <c r="A2240" s="21" t="s">
        <v>2592</v>
      </c>
      <c r="B2240" s="21" t="s">
        <v>929</v>
      </c>
      <c r="C2240" s="21" t="s">
        <v>26</v>
      </c>
      <c r="D2240" s="21" t="s">
        <v>921</v>
      </c>
      <c r="E2240" s="21">
        <v>4</v>
      </c>
      <c r="F2240" s="22">
        <v>46238.5636689815</v>
      </c>
      <c r="G2240" s="22"/>
      <c r="H2240" s="23">
        <v>7.66</v>
      </c>
      <c r="I2240" s="23">
        <v>3.83</v>
      </c>
      <c r="J2240" s="24">
        <v>15.32</v>
      </c>
      <c r="K2240" s="21">
        <v>0</v>
      </c>
      <c r="L2240" s="21">
        <v>0</v>
      </c>
      <c r="M2240" s="21">
        <f>COUNTIF($A$2:$A$5481,A2240)</f>
        <v>1</v>
      </c>
      <c r="N2240" s="24">
        <f t="shared" si="34"/>
        <v>15.320224</v>
      </c>
    </row>
    <row r="2241" spans="1:14">
      <c r="A2241" s="21" t="s">
        <v>692</v>
      </c>
      <c r="B2241" s="21" t="s">
        <v>1115</v>
      </c>
      <c r="C2241" s="21" t="s">
        <v>26</v>
      </c>
      <c r="D2241" s="21" t="s">
        <v>921</v>
      </c>
      <c r="E2241" s="21">
        <v>4</v>
      </c>
      <c r="F2241" s="22">
        <v>46190.6131944444</v>
      </c>
      <c r="G2241" s="22">
        <v>46252.5688541667</v>
      </c>
      <c r="H2241" s="23">
        <v>491.08</v>
      </c>
      <c r="I2241" s="23">
        <v>162.0592592593</v>
      </c>
      <c r="J2241" s="24">
        <v>648.24</v>
      </c>
      <c r="K2241" s="21">
        <v>0</v>
      </c>
      <c r="L2241" s="21">
        <v>0</v>
      </c>
      <c r="M2241" s="21">
        <f>COUNTIF($A$2:$A$5481,A2241)</f>
        <v>1</v>
      </c>
      <c r="N2241" s="24">
        <f t="shared" si="34"/>
        <v>648.2402241</v>
      </c>
    </row>
    <row r="2242" spans="1:14">
      <c r="A2242" s="21" t="s">
        <v>2593</v>
      </c>
      <c r="B2242" s="21" t="s">
        <v>26</v>
      </c>
      <c r="C2242" s="21" t="s">
        <v>182</v>
      </c>
      <c r="D2242" s="21" t="s">
        <v>921</v>
      </c>
      <c r="E2242" s="21">
        <v>2</v>
      </c>
      <c r="F2242" s="22">
        <v>45379.791712963</v>
      </c>
      <c r="G2242" s="22"/>
      <c r="H2242" s="23">
        <v>33.56</v>
      </c>
      <c r="I2242" s="23">
        <v>16.78</v>
      </c>
      <c r="J2242" s="24">
        <v>33.56</v>
      </c>
      <c r="K2242" s="21">
        <v>0</v>
      </c>
      <c r="L2242" s="21">
        <v>0</v>
      </c>
      <c r="M2242" s="21">
        <f>COUNTIF($A$2:$A$5481,A2242)</f>
        <v>2</v>
      </c>
      <c r="N2242" s="24">
        <f t="shared" ref="N2242:N2305" si="35">J2242+ROW()/10000000</f>
        <v>33.5602242</v>
      </c>
    </row>
    <row r="2243" spans="1:14">
      <c r="A2243" s="21" t="s">
        <v>2593</v>
      </c>
      <c r="B2243" s="21" t="s">
        <v>26</v>
      </c>
      <c r="C2243" s="21" t="s">
        <v>26</v>
      </c>
      <c r="D2243" s="21" t="s">
        <v>921</v>
      </c>
      <c r="E2243" s="21">
        <v>5</v>
      </c>
      <c r="F2243" s="22">
        <v>45722.5901273148</v>
      </c>
      <c r="G2243" s="22"/>
      <c r="H2243" s="23">
        <v>58.3</v>
      </c>
      <c r="I2243" s="23">
        <v>22.768</v>
      </c>
      <c r="J2243" s="24">
        <v>113.85</v>
      </c>
      <c r="K2243" s="21">
        <v>0</v>
      </c>
      <c r="L2243" s="21">
        <v>0</v>
      </c>
      <c r="M2243" s="21">
        <f>COUNTIF($A$2:$A$5481,A2243)</f>
        <v>2</v>
      </c>
      <c r="N2243" s="24">
        <f t="shared" si="35"/>
        <v>113.8502243</v>
      </c>
    </row>
    <row r="2244" spans="1:14">
      <c r="A2244" s="21" t="s">
        <v>2594</v>
      </c>
      <c r="B2244" s="21" t="s">
        <v>929</v>
      </c>
      <c r="C2244" s="21" t="s">
        <v>26</v>
      </c>
      <c r="D2244" s="21" t="s">
        <v>921</v>
      </c>
      <c r="E2244" s="21">
        <v>1</v>
      </c>
      <c r="F2244" s="22">
        <v>46044.3632986111</v>
      </c>
      <c r="G2244" s="22"/>
      <c r="H2244" s="23">
        <v>1.75</v>
      </c>
      <c r="I2244" s="23">
        <v>1.75</v>
      </c>
      <c r="J2244" s="24">
        <v>1.75</v>
      </c>
      <c r="K2244" s="21">
        <v>0</v>
      </c>
      <c r="L2244" s="21">
        <v>0</v>
      </c>
      <c r="M2244" s="21">
        <f>COUNTIF($A$2:$A$5481,A2244)</f>
        <v>1</v>
      </c>
      <c r="N2244" s="24">
        <f t="shared" si="35"/>
        <v>1.7502244</v>
      </c>
    </row>
    <row r="2245" spans="1:14">
      <c r="A2245" s="21" t="s">
        <v>530</v>
      </c>
      <c r="B2245" s="21" t="s">
        <v>1115</v>
      </c>
      <c r="C2245" s="21" t="s">
        <v>26</v>
      </c>
      <c r="D2245" s="21" t="s">
        <v>921</v>
      </c>
      <c r="E2245" s="21">
        <v>410</v>
      </c>
      <c r="F2245" s="22">
        <v>45996.4235763889</v>
      </c>
      <c r="G2245" s="22">
        <v>46283.7715162037</v>
      </c>
      <c r="H2245" s="23">
        <v>448.5</v>
      </c>
      <c r="I2245" s="23">
        <v>2.9627378947</v>
      </c>
      <c r="J2245" s="24">
        <v>1213.6</v>
      </c>
      <c r="K2245" s="21">
        <v>10</v>
      </c>
      <c r="L2245" s="21">
        <v>2000</v>
      </c>
      <c r="M2245" s="21">
        <f>COUNTIF($A$2:$A$5481,A2245)</f>
        <v>1</v>
      </c>
      <c r="N2245" s="24">
        <f t="shared" si="35"/>
        <v>1213.6002245</v>
      </c>
    </row>
    <row r="2246" spans="1:14">
      <c r="A2246" s="21" t="s">
        <v>550</v>
      </c>
      <c r="B2246" s="21" t="s">
        <v>26</v>
      </c>
      <c r="C2246" s="21" t="s">
        <v>547</v>
      </c>
      <c r="D2246" s="21" t="s">
        <v>921</v>
      </c>
      <c r="E2246" s="21">
        <v>0</v>
      </c>
      <c r="F2246" s="22">
        <v>45267.5734259259</v>
      </c>
      <c r="G2246" s="22">
        <v>45842.4481365741</v>
      </c>
      <c r="H2246" s="23">
        <v>1745</v>
      </c>
      <c r="I2246" s="23">
        <v>34.9</v>
      </c>
      <c r="J2246" s="24">
        <v>0</v>
      </c>
      <c r="K2246" s="21">
        <v>0</v>
      </c>
      <c r="L2246" s="21">
        <v>0</v>
      </c>
      <c r="M2246" s="21">
        <f>COUNTIF($A$2:$A$5481,A2246)</f>
        <v>2</v>
      </c>
      <c r="N2246" s="24">
        <f t="shared" si="35"/>
        <v>0.0002246</v>
      </c>
    </row>
    <row r="2247" spans="1:14">
      <c r="A2247" s="21" t="s">
        <v>550</v>
      </c>
      <c r="B2247" s="21" t="s">
        <v>26</v>
      </c>
      <c r="C2247" s="21" t="s">
        <v>26</v>
      </c>
      <c r="D2247" s="21" t="s">
        <v>921</v>
      </c>
      <c r="E2247" s="21">
        <v>187</v>
      </c>
      <c r="F2247" s="22">
        <v>45996.4235763889</v>
      </c>
      <c r="G2247" s="22">
        <v>46269.6131134259</v>
      </c>
      <c r="H2247" s="23">
        <v>1945</v>
      </c>
      <c r="I2247" s="23">
        <v>38.9</v>
      </c>
      <c r="J2247" s="24">
        <v>7274.3</v>
      </c>
      <c r="K2247" s="21">
        <v>0</v>
      </c>
      <c r="L2247" s="21">
        <v>0</v>
      </c>
      <c r="M2247" s="21">
        <f>COUNTIF($A$2:$A$5481,A2247)</f>
        <v>2</v>
      </c>
      <c r="N2247" s="24">
        <f t="shared" si="35"/>
        <v>7274.3002247</v>
      </c>
    </row>
    <row r="2248" spans="1:14">
      <c r="A2248" s="21" t="s">
        <v>492</v>
      </c>
      <c r="B2248" s="21" t="s">
        <v>1115</v>
      </c>
      <c r="C2248" s="21" t="s">
        <v>26</v>
      </c>
      <c r="D2248" s="21" t="s">
        <v>921</v>
      </c>
      <c r="E2248" s="21">
        <v>2</v>
      </c>
      <c r="F2248" s="22">
        <v>46237.5708333333</v>
      </c>
      <c r="G2248" s="22">
        <v>46252.5688657407</v>
      </c>
      <c r="H2248" s="23">
        <v>253.16</v>
      </c>
      <c r="I2248" s="23">
        <v>126.58</v>
      </c>
      <c r="J2248" s="24">
        <v>253.16</v>
      </c>
      <c r="K2248" s="21">
        <v>0</v>
      </c>
      <c r="L2248" s="21">
        <v>0</v>
      </c>
      <c r="M2248" s="21">
        <f>COUNTIF($A$2:$A$5481,A2248)</f>
        <v>1</v>
      </c>
      <c r="N2248" s="24">
        <f t="shared" si="35"/>
        <v>253.1602248</v>
      </c>
    </row>
    <row r="2249" spans="1:14">
      <c r="A2249" s="21" t="s">
        <v>637</v>
      </c>
      <c r="B2249" s="21" t="s">
        <v>26</v>
      </c>
      <c r="C2249" s="21" t="s">
        <v>26</v>
      </c>
      <c r="D2249" s="21" t="s">
        <v>921</v>
      </c>
      <c r="E2249" s="21">
        <v>18</v>
      </c>
      <c r="F2249" s="22">
        <v>45758.4478009259</v>
      </c>
      <c r="G2249" s="22">
        <v>46276.5583333333</v>
      </c>
      <c r="H2249" s="23">
        <v>1125</v>
      </c>
      <c r="I2249" s="23">
        <v>22.15379</v>
      </c>
      <c r="J2249" s="24">
        <v>398.7</v>
      </c>
      <c r="K2249" s="21">
        <v>0</v>
      </c>
      <c r="L2249" s="21">
        <v>0</v>
      </c>
      <c r="M2249" s="21">
        <f>COUNTIF($A$2:$A$5481,A2249)</f>
        <v>1</v>
      </c>
      <c r="N2249" s="24">
        <f t="shared" si="35"/>
        <v>398.7002249</v>
      </c>
    </row>
    <row r="2250" spans="1:14">
      <c r="A2250" s="21" t="s">
        <v>485</v>
      </c>
      <c r="B2250" s="21" t="s">
        <v>26</v>
      </c>
      <c r="C2250" s="21" t="s">
        <v>547</v>
      </c>
      <c r="D2250" s="21" t="s">
        <v>921</v>
      </c>
      <c r="E2250" s="21">
        <v>0</v>
      </c>
      <c r="F2250" s="22">
        <v>45351.5898263889</v>
      </c>
      <c r="G2250" s="22">
        <v>46251.6525231482</v>
      </c>
      <c r="H2250" s="23">
        <v>1488</v>
      </c>
      <c r="I2250" s="23">
        <v>17.30111</v>
      </c>
      <c r="J2250" s="24">
        <v>0</v>
      </c>
      <c r="K2250" s="21">
        <v>0</v>
      </c>
      <c r="L2250" s="21">
        <v>0</v>
      </c>
      <c r="M2250" s="21">
        <f>COUNTIF($A$2:$A$5481,A2250)</f>
        <v>2</v>
      </c>
      <c r="N2250" s="24">
        <f t="shared" si="35"/>
        <v>0.000225</v>
      </c>
    </row>
    <row r="2251" spans="1:14">
      <c r="A2251" s="21" t="s">
        <v>485</v>
      </c>
      <c r="B2251" s="21" t="s">
        <v>26</v>
      </c>
      <c r="C2251" s="21" t="s">
        <v>26</v>
      </c>
      <c r="D2251" s="21" t="s">
        <v>921</v>
      </c>
      <c r="E2251" s="21">
        <v>179</v>
      </c>
      <c r="F2251" s="22">
        <v>46233.55</v>
      </c>
      <c r="G2251" s="22">
        <v>46279.6607638889</v>
      </c>
      <c r="H2251" s="23">
        <v>4398</v>
      </c>
      <c r="I2251" s="23">
        <v>21.3655794991</v>
      </c>
      <c r="J2251" s="24">
        <v>3825.23</v>
      </c>
      <c r="K2251" s="21">
        <v>0</v>
      </c>
      <c r="L2251" s="21">
        <v>0</v>
      </c>
      <c r="M2251" s="21">
        <f>COUNTIF($A$2:$A$5481,A2251)</f>
        <v>2</v>
      </c>
      <c r="N2251" s="24">
        <f t="shared" si="35"/>
        <v>3825.2302251</v>
      </c>
    </row>
    <row r="2252" spans="1:14">
      <c r="A2252" s="21" t="s">
        <v>639</v>
      </c>
      <c r="B2252" s="21" t="s">
        <v>926</v>
      </c>
      <c r="C2252" s="21" t="s">
        <v>26</v>
      </c>
      <c r="D2252" s="21" t="s">
        <v>921</v>
      </c>
      <c r="E2252" s="21">
        <v>0</v>
      </c>
      <c r="F2252" s="22">
        <v>46185.6130902778</v>
      </c>
      <c r="G2252" s="22">
        <v>46252.4914583333</v>
      </c>
      <c r="H2252" s="23">
        <v>3798</v>
      </c>
      <c r="I2252" s="23">
        <v>18.99</v>
      </c>
      <c r="J2252" s="24">
        <v>0</v>
      </c>
      <c r="K2252" s="21">
        <v>0</v>
      </c>
      <c r="L2252" s="21">
        <v>0</v>
      </c>
      <c r="M2252" s="21">
        <f>COUNTIF($A$2:$A$5481,A2252)</f>
        <v>1</v>
      </c>
      <c r="N2252" s="24">
        <f t="shared" si="35"/>
        <v>0.0002252</v>
      </c>
    </row>
    <row r="2253" spans="1:14">
      <c r="A2253" s="21" t="s">
        <v>638</v>
      </c>
      <c r="B2253" s="21" t="s">
        <v>1115</v>
      </c>
      <c r="C2253" s="21" t="s">
        <v>26</v>
      </c>
      <c r="D2253" s="21" t="s">
        <v>921</v>
      </c>
      <c r="E2253" s="21">
        <v>0</v>
      </c>
      <c r="F2253" s="22">
        <v>45467.608287037</v>
      </c>
      <c r="G2253" s="22">
        <v>46252.4914467593</v>
      </c>
      <c r="H2253" s="23">
        <v>1559.4</v>
      </c>
      <c r="I2253" s="23">
        <v>25.99</v>
      </c>
      <c r="J2253" s="24">
        <v>0</v>
      </c>
      <c r="K2253" s="21">
        <v>0</v>
      </c>
      <c r="L2253" s="21">
        <v>0</v>
      </c>
      <c r="M2253" s="21">
        <f>COUNTIF($A$2:$A$5481,A2253)</f>
        <v>1</v>
      </c>
      <c r="N2253" s="24">
        <f t="shared" si="35"/>
        <v>0.0002253</v>
      </c>
    </row>
    <row r="2254" spans="1:14">
      <c r="A2254" s="21" t="s">
        <v>543</v>
      </c>
      <c r="B2254" s="21" t="s">
        <v>26</v>
      </c>
      <c r="C2254" s="21" t="s">
        <v>26</v>
      </c>
      <c r="D2254" s="21" t="s">
        <v>921</v>
      </c>
      <c r="E2254" s="21">
        <v>7</v>
      </c>
      <c r="F2254" s="22">
        <v>45568.3917476852</v>
      </c>
      <c r="G2254" s="22">
        <v>46251.429525463</v>
      </c>
      <c r="H2254" s="23">
        <v>101</v>
      </c>
      <c r="I2254" s="23">
        <v>10.1</v>
      </c>
      <c r="J2254" s="24">
        <v>70.7</v>
      </c>
      <c r="K2254" s="21">
        <v>0</v>
      </c>
      <c r="L2254" s="21">
        <v>0</v>
      </c>
      <c r="M2254" s="21">
        <f>COUNTIF($A$2:$A$5481,A2254)</f>
        <v>1</v>
      </c>
      <c r="N2254" s="24">
        <f t="shared" si="35"/>
        <v>70.7002254</v>
      </c>
    </row>
    <row r="2255" spans="1:14">
      <c r="A2255" s="21" t="s">
        <v>2595</v>
      </c>
      <c r="B2255" s="21" t="s">
        <v>26</v>
      </c>
      <c r="C2255" s="21" t="s">
        <v>26</v>
      </c>
      <c r="D2255" s="21" t="s">
        <v>921</v>
      </c>
      <c r="E2255" s="21">
        <v>58</v>
      </c>
      <c r="F2255" s="22">
        <v>45996.4235763889</v>
      </c>
      <c r="G2255" s="22">
        <v>45852.4572337963</v>
      </c>
      <c r="H2255" s="23">
        <v>299.5</v>
      </c>
      <c r="I2255" s="23">
        <v>5.7578148276</v>
      </c>
      <c r="J2255" s="24">
        <v>334.08</v>
      </c>
      <c r="K2255" s="21">
        <v>0</v>
      </c>
      <c r="L2255" s="21">
        <v>0</v>
      </c>
      <c r="M2255" s="21">
        <f>COUNTIF($A$2:$A$5481,A2255)</f>
        <v>1</v>
      </c>
      <c r="N2255" s="24">
        <f t="shared" si="35"/>
        <v>334.0802255</v>
      </c>
    </row>
    <row r="2256" spans="1:14">
      <c r="A2256" s="21" t="s">
        <v>2596</v>
      </c>
      <c r="B2256" s="21" t="s">
        <v>26</v>
      </c>
      <c r="C2256" s="21" t="s">
        <v>26</v>
      </c>
      <c r="D2256" s="21" t="s">
        <v>921</v>
      </c>
      <c r="E2256" s="21">
        <v>1</v>
      </c>
      <c r="F2256" s="22">
        <v>45432.8194328704</v>
      </c>
      <c r="G2256" s="22"/>
      <c r="H2256" s="23">
        <v>35.5</v>
      </c>
      <c r="I2256" s="23">
        <v>35.5</v>
      </c>
      <c r="J2256" s="24">
        <v>35.5</v>
      </c>
      <c r="K2256" s="21">
        <v>0</v>
      </c>
      <c r="L2256" s="21">
        <v>0</v>
      </c>
      <c r="M2256" s="21">
        <f>COUNTIF($A$2:$A$5481,A2256)</f>
        <v>1</v>
      </c>
      <c r="N2256" s="24">
        <f t="shared" si="35"/>
        <v>35.5002256</v>
      </c>
    </row>
    <row r="2257" spans="1:14">
      <c r="A2257" s="21" t="s">
        <v>2597</v>
      </c>
      <c r="B2257" s="21" t="s">
        <v>920</v>
      </c>
      <c r="C2257" s="21" t="s">
        <v>26</v>
      </c>
      <c r="D2257" s="21" t="s">
        <v>931</v>
      </c>
      <c r="E2257" s="21">
        <v>0</v>
      </c>
      <c r="F2257" s="22">
        <v>45736.4490046296</v>
      </c>
      <c r="G2257" s="22">
        <v>45747.4620138889</v>
      </c>
      <c r="H2257" s="23">
        <v>868.25</v>
      </c>
      <c r="I2257" s="23">
        <v>868.25</v>
      </c>
      <c r="J2257" s="24">
        <v>0</v>
      </c>
      <c r="K2257" s="21">
        <v>0</v>
      </c>
      <c r="L2257" s="21">
        <v>0</v>
      </c>
      <c r="M2257" s="21">
        <f>COUNTIF($A$2:$A$5481,A2257)</f>
        <v>1</v>
      </c>
      <c r="N2257" s="24">
        <f t="shared" si="35"/>
        <v>0.0002257</v>
      </c>
    </row>
    <row r="2258" spans="1:14">
      <c r="A2258" s="21" t="s">
        <v>2598</v>
      </c>
      <c r="B2258" s="21" t="s">
        <v>920</v>
      </c>
      <c r="C2258" s="21" t="s">
        <v>26</v>
      </c>
      <c r="D2258" s="21" t="s">
        <v>921</v>
      </c>
      <c r="E2258" s="21">
        <v>0</v>
      </c>
      <c r="F2258" s="22">
        <v>45715.8104166667</v>
      </c>
      <c r="G2258" s="22">
        <v>45733.3651967593</v>
      </c>
      <c r="H2258" s="23">
        <v>521.83</v>
      </c>
      <c r="I2258" s="23">
        <v>521.83</v>
      </c>
      <c r="J2258" s="24">
        <v>0</v>
      </c>
      <c r="K2258" s="21">
        <v>0</v>
      </c>
      <c r="L2258" s="21">
        <v>0</v>
      </c>
      <c r="M2258" s="21">
        <f>COUNTIF($A$2:$A$5481,A2258)</f>
        <v>1</v>
      </c>
      <c r="N2258" s="24">
        <f t="shared" si="35"/>
        <v>0.0002258</v>
      </c>
    </row>
    <row r="2259" spans="1:14">
      <c r="A2259" s="21" t="s">
        <v>2599</v>
      </c>
      <c r="B2259" s="21" t="s">
        <v>920</v>
      </c>
      <c r="C2259" s="21" t="s">
        <v>26</v>
      </c>
      <c r="D2259" s="21" t="s">
        <v>921</v>
      </c>
      <c r="E2259" s="21">
        <v>5</v>
      </c>
      <c r="F2259" s="22">
        <v>46198.6467013889</v>
      </c>
      <c r="G2259" s="22"/>
      <c r="H2259" s="23">
        <v>35.6</v>
      </c>
      <c r="I2259" s="23">
        <v>8.9</v>
      </c>
      <c r="J2259" s="24">
        <v>44.5</v>
      </c>
      <c r="K2259" s="21">
        <v>0</v>
      </c>
      <c r="L2259" s="21">
        <v>0</v>
      </c>
      <c r="M2259" s="21">
        <f>COUNTIF($A$2:$A$5481,A2259)</f>
        <v>1</v>
      </c>
      <c r="N2259" s="24">
        <f t="shared" si="35"/>
        <v>44.5002259</v>
      </c>
    </row>
    <row r="2260" spans="1:14">
      <c r="A2260" s="21" t="s">
        <v>2600</v>
      </c>
      <c r="B2260" s="21" t="s">
        <v>26</v>
      </c>
      <c r="C2260" s="21" t="s">
        <v>26</v>
      </c>
      <c r="D2260" s="21" t="s">
        <v>921</v>
      </c>
      <c r="E2260" s="21">
        <v>6</v>
      </c>
      <c r="F2260" s="22">
        <v>45435.4884375</v>
      </c>
      <c r="G2260" s="22"/>
      <c r="H2260" s="23">
        <v>20.46</v>
      </c>
      <c r="I2260" s="23">
        <v>3.41</v>
      </c>
      <c r="J2260" s="24">
        <v>20.46</v>
      </c>
      <c r="K2260" s="21">
        <v>0</v>
      </c>
      <c r="L2260" s="21">
        <v>0</v>
      </c>
      <c r="M2260" s="21">
        <f>COUNTIF($A$2:$A$5481,A2260)</f>
        <v>1</v>
      </c>
      <c r="N2260" s="24">
        <f t="shared" si="35"/>
        <v>20.460226</v>
      </c>
    </row>
    <row r="2261" spans="1:14">
      <c r="A2261" s="21" t="s">
        <v>2601</v>
      </c>
      <c r="B2261" s="21" t="s">
        <v>929</v>
      </c>
      <c r="C2261" s="21" t="s">
        <v>26</v>
      </c>
      <c r="D2261" s="21" t="s">
        <v>921</v>
      </c>
      <c r="E2261" s="21">
        <v>4</v>
      </c>
      <c r="F2261" s="22">
        <v>45432.8531134259</v>
      </c>
      <c r="G2261" s="22"/>
      <c r="H2261" s="23">
        <v>32.7</v>
      </c>
      <c r="I2261" s="23">
        <v>9.4</v>
      </c>
      <c r="J2261" s="24">
        <v>37.6</v>
      </c>
      <c r="K2261" s="21">
        <v>0</v>
      </c>
      <c r="L2261" s="21">
        <v>0</v>
      </c>
      <c r="M2261" s="21">
        <f>COUNTIF($A$2:$A$5481,A2261)</f>
        <v>1</v>
      </c>
      <c r="N2261" s="24">
        <f t="shared" si="35"/>
        <v>37.6002261</v>
      </c>
    </row>
    <row r="2262" spans="1:14">
      <c r="A2262" s="21" t="s">
        <v>2602</v>
      </c>
      <c r="B2262" s="21" t="s">
        <v>26</v>
      </c>
      <c r="C2262" s="21" t="s">
        <v>26</v>
      </c>
      <c r="D2262" s="21" t="s">
        <v>921</v>
      </c>
      <c r="E2262" s="21">
        <v>10</v>
      </c>
      <c r="F2262" s="22">
        <v>45495.3808333333</v>
      </c>
      <c r="G2262" s="22"/>
      <c r="H2262" s="23">
        <v>339.9</v>
      </c>
      <c r="I2262" s="23">
        <v>33.99</v>
      </c>
      <c r="J2262" s="24">
        <v>339.9</v>
      </c>
      <c r="K2262" s="21">
        <v>0</v>
      </c>
      <c r="L2262" s="21">
        <v>0</v>
      </c>
      <c r="M2262" s="21">
        <f>COUNTIF($A$2:$A$5481,A2262)</f>
        <v>1</v>
      </c>
      <c r="N2262" s="24">
        <f t="shared" si="35"/>
        <v>339.9002262</v>
      </c>
    </row>
    <row r="2263" spans="1:14">
      <c r="A2263" s="21" t="s">
        <v>2603</v>
      </c>
      <c r="B2263" s="21" t="s">
        <v>920</v>
      </c>
      <c r="C2263" s="21" t="s">
        <v>26</v>
      </c>
      <c r="D2263" s="21" t="s">
        <v>931</v>
      </c>
      <c r="E2263" s="21">
        <v>1</v>
      </c>
      <c r="F2263" s="22">
        <v>45748.4476157407</v>
      </c>
      <c r="G2263" s="22"/>
      <c r="H2263" s="23">
        <v>64.39</v>
      </c>
      <c r="I2263" s="23">
        <v>64.39</v>
      </c>
      <c r="J2263" s="24">
        <v>64.39</v>
      </c>
      <c r="K2263" s="21">
        <v>0</v>
      </c>
      <c r="L2263" s="21">
        <v>0</v>
      </c>
      <c r="M2263" s="21">
        <f>COUNTIF($A$2:$A$5481,A2263)</f>
        <v>1</v>
      </c>
      <c r="N2263" s="24">
        <f t="shared" si="35"/>
        <v>64.3902263</v>
      </c>
    </row>
    <row r="2264" spans="1:14">
      <c r="A2264" s="21" t="s">
        <v>2604</v>
      </c>
      <c r="B2264" s="21" t="s">
        <v>929</v>
      </c>
      <c r="C2264" s="21" t="s">
        <v>26</v>
      </c>
      <c r="D2264" s="21" t="s">
        <v>921</v>
      </c>
      <c r="E2264" s="21">
        <v>4</v>
      </c>
      <c r="F2264" s="22">
        <v>45345.5030208333</v>
      </c>
      <c r="G2264" s="22"/>
      <c r="H2264" s="23">
        <v>28</v>
      </c>
      <c r="I2264" s="23">
        <v>7</v>
      </c>
      <c r="J2264" s="24">
        <v>28</v>
      </c>
      <c r="K2264" s="21">
        <v>0</v>
      </c>
      <c r="L2264" s="21">
        <v>0</v>
      </c>
      <c r="M2264" s="21">
        <f>COUNTIF($A$2:$A$5481,A2264)</f>
        <v>1</v>
      </c>
      <c r="N2264" s="24">
        <f t="shared" si="35"/>
        <v>28.0002264</v>
      </c>
    </row>
    <row r="2265" spans="1:14">
      <c r="A2265" s="21" t="s">
        <v>2605</v>
      </c>
      <c r="B2265" s="21" t="s">
        <v>929</v>
      </c>
      <c r="C2265" s="21" t="s">
        <v>26</v>
      </c>
      <c r="D2265" s="21" t="s">
        <v>921</v>
      </c>
      <c r="E2265" s="21">
        <v>3</v>
      </c>
      <c r="F2265" s="22">
        <v>45552.8465625</v>
      </c>
      <c r="G2265" s="22"/>
      <c r="H2265" s="23">
        <v>34.95</v>
      </c>
      <c r="I2265" s="23">
        <v>11.65</v>
      </c>
      <c r="J2265" s="24">
        <v>34.95</v>
      </c>
      <c r="K2265" s="21">
        <v>0</v>
      </c>
      <c r="L2265" s="21">
        <v>0</v>
      </c>
      <c r="M2265" s="21">
        <f>COUNTIF($A$2:$A$5481,A2265)</f>
        <v>1</v>
      </c>
      <c r="N2265" s="24">
        <f t="shared" si="35"/>
        <v>34.9502265</v>
      </c>
    </row>
    <row r="2266" spans="1:14">
      <c r="A2266" s="21" t="s">
        <v>2606</v>
      </c>
      <c r="B2266" s="21" t="s">
        <v>929</v>
      </c>
      <c r="C2266" s="21" t="s">
        <v>26</v>
      </c>
      <c r="D2266" s="21" t="s">
        <v>921</v>
      </c>
      <c r="E2266" s="21">
        <v>1</v>
      </c>
      <c r="F2266" s="22">
        <v>45345.5030208333</v>
      </c>
      <c r="G2266" s="22"/>
      <c r="H2266" s="23">
        <v>10</v>
      </c>
      <c r="I2266" s="23">
        <v>10</v>
      </c>
      <c r="J2266" s="24">
        <v>10</v>
      </c>
      <c r="K2266" s="21">
        <v>0</v>
      </c>
      <c r="L2266" s="21">
        <v>0</v>
      </c>
      <c r="M2266" s="21">
        <f>COUNTIF($A$2:$A$5481,A2266)</f>
        <v>1</v>
      </c>
      <c r="N2266" s="24">
        <f t="shared" si="35"/>
        <v>10.0002266</v>
      </c>
    </row>
    <row r="2267" spans="1:14">
      <c r="A2267" s="21" t="s">
        <v>2607</v>
      </c>
      <c r="B2267" s="21" t="s">
        <v>926</v>
      </c>
      <c r="C2267" s="21" t="s">
        <v>38</v>
      </c>
      <c r="D2267" s="21" t="s">
        <v>921</v>
      </c>
      <c r="E2267" s="21">
        <v>2</v>
      </c>
      <c r="F2267" s="22">
        <v>45429.3317476852</v>
      </c>
      <c r="G2267" s="22"/>
      <c r="H2267" s="23">
        <v>17.98</v>
      </c>
      <c r="I2267" s="23">
        <v>8.99</v>
      </c>
      <c r="J2267" s="24">
        <v>17.98</v>
      </c>
      <c r="K2267" s="21">
        <v>0</v>
      </c>
      <c r="L2267" s="21">
        <v>0</v>
      </c>
      <c r="M2267" s="21">
        <f>COUNTIF($A$2:$A$5481,A2267)</f>
        <v>1</v>
      </c>
      <c r="N2267" s="24">
        <f t="shared" si="35"/>
        <v>17.9802267</v>
      </c>
    </row>
    <row r="2268" spans="1:14">
      <c r="A2268" s="21" t="s">
        <v>2608</v>
      </c>
      <c r="B2268" s="21" t="s">
        <v>26</v>
      </c>
      <c r="C2268" s="21" t="s">
        <v>414</v>
      </c>
      <c r="D2268" s="21" t="s">
        <v>921</v>
      </c>
      <c r="E2268" s="21">
        <v>2</v>
      </c>
      <c r="F2268" s="22">
        <v>45631.4231597222</v>
      </c>
      <c r="G2268" s="22"/>
      <c r="H2268" s="23">
        <v>98</v>
      </c>
      <c r="I2268" s="23">
        <v>49</v>
      </c>
      <c r="J2268" s="24">
        <v>98</v>
      </c>
      <c r="K2268" s="21">
        <v>0</v>
      </c>
      <c r="L2268" s="21">
        <v>0</v>
      </c>
      <c r="M2268" s="21">
        <f>COUNTIF($A$2:$A$5481,A2268)</f>
        <v>1</v>
      </c>
      <c r="N2268" s="24">
        <f t="shared" si="35"/>
        <v>98.0002268</v>
      </c>
    </row>
    <row r="2269" spans="1:14">
      <c r="A2269" s="21" t="s">
        <v>2609</v>
      </c>
      <c r="B2269" s="21" t="s">
        <v>929</v>
      </c>
      <c r="C2269" s="21" t="s">
        <v>414</v>
      </c>
      <c r="D2269" s="21" t="s">
        <v>921</v>
      </c>
      <c r="E2269" s="21">
        <v>2</v>
      </c>
      <c r="F2269" s="22">
        <v>45337.8054398148</v>
      </c>
      <c r="G2269" s="22"/>
      <c r="H2269" s="23">
        <v>204.48</v>
      </c>
      <c r="I2269" s="23">
        <v>102.24</v>
      </c>
      <c r="J2269" s="24">
        <v>204.48</v>
      </c>
      <c r="K2269" s="21">
        <v>0</v>
      </c>
      <c r="L2269" s="21">
        <v>0</v>
      </c>
      <c r="M2269" s="21">
        <f>COUNTIF($A$2:$A$5481,A2269)</f>
        <v>1</v>
      </c>
      <c r="N2269" s="24">
        <f t="shared" si="35"/>
        <v>204.4802269</v>
      </c>
    </row>
    <row r="2270" spans="1:14">
      <c r="A2270" s="21" t="s">
        <v>2610</v>
      </c>
      <c r="B2270" s="21" t="s">
        <v>929</v>
      </c>
      <c r="C2270" s="21" t="s">
        <v>26</v>
      </c>
      <c r="D2270" s="21" t="s">
        <v>921</v>
      </c>
      <c r="E2270" s="21">
        <v>0</v>
      </c>
      <c r="F2270" s="22">
        <v>45401.8086342593</v>
      </c>
      <c r="G2270" s="22">
        <v>45404.8687152778</v>
      </c>
      <c r="H2270" s="23">
        <v>846.6</v>
      </c>
      <c r="I2270" s="23">
        <v>211.65</v>
      </c>
      <c r="J2270" s="24">
        <v>0</v>
      </c>
      <c r="K2270" s="21">
        <v>0</v>
      </c>
      <c r="L2270" s="21">
        <v>0</v>
      </c>
      <c r="M2270" s="21">
        <f>COUNTIF($A$2:$A$5481,A2270)</f>
        <v>1</v>
      </c>
      <c r="N2270" s="24">
        <f t="shared" si="35"/>
        <v>0.000227</v>
      </c>
    </row>
    <row r="2271" spans="1:14">
      <c r="A2271" s="21" t="s">
        <v>2611</v>
      </c>
      <c r="B2271" s="21" t="s">
        <v>929</v>
      </c>
      <c r="C2271" s="21" t="s">
        <v>26</v>
      </c>
      <c r="D2271" s="21" t="s">
        <v>921</v>
      </c>
      <c r="E2271" s="21">
        <v>10</v>
      </c>
      <c r="F2271" s="22">
        <v>46079.5686574074</v>
      </c>
      <c r="G2271" s="22"/>
      <c r="H2271" s="23">
        <v>64</v>
      </c>
      <c r="I2271" s="23">
        <v>43.035</v>
      </c>
      <c r="J2271" s="24">
        <v>430.4</v>
      </c>
      <c r="K2271" s="21">
        <v>0</v>
      </c>
      <c r="L2271" s="21">
        <v>0</v>
      </c>
      <c r="M2271" s="21">
        <f>COUNTIF($A$2:$A$5481,A2271)</f>
        <v>1</v>
      </c>
      <c r="N2271" s="24">
        <f t="shared" si="35"/>
        <v>430.4002271</v>
      </c>
    </row>
    <row r="2272" spans="1:14">
      <c r="A2272" s="21" t="s">
        <v>2612</v>
      </c>
      <c r="B2272" s="21" t="s">
        <v>929</v>
      </c>
      <c r="C2272" s="21" t="s">
        <v>414</v>
      </c>
      <c r="D2272" s="21" t="s">
        <v>921</v>
      </c>
      <c r="E2272" s="21">
        <v>2</v>
      </c>
      <c r="F2272" s="22">
        <v>45337.8078009259</v>
      </c>
      <c r="G2272" s="22"/>
      <c r="H2272" s="23">
        <v>178</v>
      </c>
      <c r="I2272" s="23">
        <v>89</v>
      </c>
      <c r="J2272" s="24">
        <v>178</v>
      </c>
      <c r="K2272" s="21">
        <v>0</v>
      </c>
      <c r="L2272" s="21">
        <v>0</v>
      </c>
      <c r="M2272" s="21">
        <f>COUNTIF($A$2:$A$5481,A2272)</f>
        <v>1</v>
      </c>
      <c r="N2272" s="24">
        <f t="shared" si="35"/>
        <v>178.0002272</v>
      </c>
    </row>
    <row r="2273" spans="1:14">
      <c r="A2273" s="21" t="s">
        <v>2613</v>
      </c>
      <c r="B2273" s="21" t="s">
        <v>926</v>
      </c>
      <c r="C2273" s="21" t="s">
        <v>26</v>
      </c>
      <c r="D2273" s="21" t="s">
        <v>921</v>
      </c>
      <c r="E2273" s="21">
        <v>3</v>
      </c>
      <c r="F2273" s="22">
        <v>46196.647662037</v>
      </c>
      <c r="G2273" s="22"/>
      <c r="H2273" s="23">
        <v>347.16</v>
      </c>
      <c r="I2273" s="23">
        <v>115.72</v>
      </c>
      <c r="J2273" s="24">
        <v>347.16</v>
      </c>
      <c r="K2273" s="21">
        <v>0</v>
      </c>
      <c r="L2273" s="21">
        <v>0</v>
      </c>
      <c r="M2273" s="21">
        <f>COUNTIF($A$2:$A$5481,A2273)</f>
        <v>1</v>
      </c>
      <c r="N2273" s="24">
        <f t="shared" si="35"/>
        <v>347.1602273</v>
      </c>
    </row>
    <row r="2274" spans="1:14">
      <c r="A2274" s="21" t="s">
        <v>2614</v>
      </c>
      <c r="B2274" s="21" t="s">
        <v>920</v>
      </c>
      <c r="C2274" s="21" t="s">
        <v>26</v>
      </c>
      <c r="D2274" s="21" t="s">
        <v>921</v>
      </c>
      <c r="E2274" s="21">
        <v>24</v>
      </c>
      <c r="F2274" s="22">
        <v>46216.6027777778</v>
      </c>
      <c r="G2274" s="22"/>
      <c r="H2274" s="23">
        <v>390</v>
      </c>
      <c r="I2274" s="23">
        <v>16.25</v>
      </c>
      <c r="J2274" s="24">
        <v>390</v>
      </c>
      <c r="K2274" s="21">
        <v>0</v>
      </c>
      <c r="L2274" s="21">
        <v>0</v>
      </c>
      <c r="M2274" s="21">
        <f>COUNTIF($A$2:$A$5481,A2274)</f>
        <v>1</v>
      </c>
      <c r="N2274" s="24">
        <f t="shared" si="35"/>
        <v>390.0002274</v>
      </c>
    </row>
    <row r="2275" spans="1:14">
      <c r="A2275" s="21" t="s">
        <v>2615</v>
      </c>
      <c r="B2275" s="21" t="s">
        <v>26</v>
      </c>
      <c r="C2275" s="21" t="s">
        <v>26</v>
      </c>
      <c r="D2275" s="21" t="s">
        <v>921</v>
      </c>
      <c r="E2275" s="21">
        <v>20</v>
      </c>
      <c r="F2275" s="22">
        <v>46057.7937731482</v>
      </c>
      <c r="G2275" s="22"/>
      <c r="H2275" s="23">
        <v>776</v>
      </c>
      <c r="I2275" s="23">
        <v>38.8</v>
      </c>
      <c r="J2275" s="24">
        <v>776</v>
      </c>
      <c r="K2275" s="21">
        <v>0</v>
      </c>
      <c r="L2275" s="21">
        <v>0</v>
      </c>
      <c r="M2275" s="21">
        <f>COUNTIF($A$2:$A$5481,A2275)</f>
        <v>1</v>
      </c>
      <c r="N2275" s="24">
        <f t="shared" si="35"/>
        <v>776.0002275</v>
      </c>
    </row>
    <row r="2276" spans="1:14">
      <c r="A2276" s="21" t="s">
        <v>2616</v>
      </c>
      <c r="B2276" s="21" t="s">
        <v>26</v>
      </c>
      <c r="C2276" s="21" t="s">
        <v>35</v>
      </c>
      <c r="D2276" s="21" t="s">
        <v>931</v>
      </c>
      <c r="E2276" s="21">
        <v>1</v>
      </c>
      <c r="F2276" s="22">
        <v>45420.3513888889</v>
      </c>
      <c r="G2276" s="22"/>
      <c r="H2276" s="23">
        <v>700</v>
      </c>
      <c r="I2276" s="23">
        <v>700</v>
      </c>
      <c r="J2276" s="24">
        <v>700</v>
      </c>
      <c r="K2276" s="21">
        <v>0</v>
      </c>
      <c r="L2276" s="21">
        <v>0</v>
      </c>
      <c r="M2276" s="21">
        <f>COUNTIF($A$2:$A$5481,A2276)</f>
        <v>1</v>
      </c>
      <c r="N2276" s="24">
        <f t="shared" si="35"/>
        <v>700.0002276</v>
      </c>
    </row>
    <row r="2277" spans="1:14">
      <c r="A2277" s="21" t="s">
        <v>2617</v>
      </c>
      <c r="B2277" s="21" t="s">
        <v>920</v>
      </c>
      <c r="C2277" s="21" t="s">
        <v>35</v>
      </c>
      <c r="D2277" s="21" t="s">
        <v>921</v>
      </c>
      <c r="E2277" s="21">
        <v>1</v>
      </c>
      <c r="F2277" s="22">
        <v>46136.5631944445</v>
      </c>
      <c r="G2277" s="22"/>
      <c r="H2277" s="23">
        <v>1300</v>
      </c>
      <c r="I2277" s="23">
        <v>1300</v>
      </c>
      <c r="J2277" s="24">
        <v>1300</v>
      </c>
      <c r="K2277" s="21">
        <v>0</v>
      </c>
      <c r="L2277" s="21">
        <v>0</v>
      </c>
      <c r="M2277" s="21">
        <f>COUNTIF($A$2:$A$5481,A2277)</f>
        <v>1</v>
      </c>
      <c r="N2277" s="24">
        <f t="shared" si="35"/>
        <v>1300.0002277</v>
      </c>
    </row>
    <row r="2278" spans="1:14">
      <c r="A2278" s="21" t="s">
        <v>2618</v>
      </c>
      <c r="B2278" s="21" t="s">
        <v>920</v>
      </c>
      <c r="C2278" s="21" t="s">
        <v>35</v>
      </c>
      <c r="D2278" s="21" t="s">
        <v>931</v>
      </c>
      <c r="E2278" s="21">
        <v>1</v>
      </c>
      <c r="F2278" s="22">
        <v>46254.5826388889</v>
      </c>
      <c r="G2278" s="22"/>
      <c r="H2278" s="23">
        <v>940</v>
      </c>
      <c r="I2278" s="23">
        <v>940</v>
      </c>
      <c r="J2278" s="24">
        <v>940</v>
      </c>
      <c r="K2278" s="21">
        <v>0</v>
      </c>
      <c r="L2278" s="21">
        <v>0</v>
      </c>
      <c r="M2278" s="21">
        <f>COUNTIF($A$2:$A$5481,A2278)</f>
        <v>1</v>
      </c>
      <c r="N2278" s="24">
        <f t="shared" si="35"/>
        <v>940.0002278</v>
      </c>
    </row>
    <row r="2279" spans="1:14">
      <c r="A2279" s="21" t="s">
        <v>2619</v>
      </c>
      <c r="B2279" s="21" t="s">
        <v>920</v>
      </c>
      <c r="C2279" s="21" t="s">
        <v>35</v>
      </c>
      <c r="D2279" s="21" t="s">
        <v>921</v>
      </c>
      <c r="E2279" s="21">
        <v>5</v>
      </c>
      <c r="F2279" s="22">
        <v>46184.733912037</v>
      </c>
      <c r="G2279" s="22"/>
      <c r="H2279" s="23">
        <v>1445</v>
      </c>
      <c r="I2279" s="23">
        <v>289</v>
      </c>
      <c r="J2279" s="24">
        <v>1445</v>
      </c>
      <c r="K2279" s="21">
        <v>0</v>
      </c>
      <c r="L2279" s="21">
        <v>0</v>
      </c>
      <c r="M2279" s="21">
        <f>COUNTIF($A$2:$A$5481,A2279)</f>
        <v>1</v>
      </c>
      <c r="N2279" s="24">
        <f t="shared" si="35"/>
        <v>1445.0002279</v>
      </c>
    </row>
    <row r="2280" spans="1:14">
      <c r="A2280" s="21" t="s">
        <v>468</v>
      </c>
      <c r="B2280" s="21" t="s">
        <v>26</v>
      </c>
      <c r="C2280" s="21" t="s">
        <v>35</v>
      </c>
      <c r="D2280" s="21" t="s">
        <v>921</v>
      </c>
      <c r="E2280" s="21">
        <v>1</v>
      </c>
      <c r="F2280" s="22">
        <v>45510.370462963</v>
      </c>
      <c r="G2280" s="22">
        <v>46212.7097453704</v>
      </c>
      <c r="H2280" s="23">
        <v>510</v>
      </c>
      <c r="I2280" s="23">
        <v>255</v>
      </c>
      <c r="J2280" s="24">
        <v>255</v>
      </c>
      <c r="K2280" s="21">
        <v>0</v>
      </c>
      <c r="L2280" s="21">
        <v>0</v>
      </c>
      <c r="M2280" s="21">
        <f>COUNTIF($A$2:$A$5481,A2280)</f>
        <v>1</v>
      </c>
      <c r="N2280" s="24">
        <f t="shared" si="35"/>
        <v>255.000228</v>
      </c>
    </row>
    <row r="2281" spans="1:14">
      <c r="A2281" s="21" t="s">
        <v>2620</v>
      </c>
      <c r="B2281" s="21" t="s">
        <v>920</v>
      </c>
      <c r="C2281" s="21" t="s">
        <v>35</v>
      </c>
      <c r="D2281" s="21" t="s">
        <v>921</v>
      </c>
      <c r="E2281" s="21">
        <v>1</v>
      </c>
      <c r="F2281" s="22">
        <v>46206.6576388889</v>
      </c>
      <c r="G2281" s="22"/>
      <c r="H2281" s="23">
        <v>775</v>
      </c>
      <c r="I2281" s="23">
        <v>775</v>
      </c>
      <c r="J2281" s="24">
        <v>775</v>
      </c>
      <c r="K2281" s="21">
        <v>0</v>
      </c>
      <c r="L2281" s="21">
        <v>0</v>
      </c>
      <c r="M2281" s="21">
        <f>COUNTIF($A$2:$A$5481,A2281)</f>
        <v>1</v>
      </c>
      <c r="N2281" s="24">
        <f t="shared" si="35"/>
        <v>775.0002281</v>
      </c>
    </row>
    <row r="2282" spans="1:14">
      <c r="A2282" s="21" t="s">
        <v>303</v>
      </c>
      <c r="B2282" s="21" t="s">
        <v>920</v>
      </c>
      <c r="C2282" s="21" t="s">
        <v>35</v>
      </c>
      <c r="D2282" s="21" t="s">
        <v>921</v>
      </c>
      <c r="E2282" s="21">
        <v>0</v>
      </c>
      <c r="F2282" s="22">
        <v>46085.4340277778</v>
      </c>
      <c r="G2282" s="22">
        <v>46090.5750578704</v>
      </c>
      <c r="H2282" s="23">
        <v>739.88</v>
      </c>
      <c r="I2282" s="23">
        <v>369.94</v>
      </c>
      <c r="J2282" s="24">
        <v>0</v>
      </c>
      <c r="K2282" s="21">
        <v>0</v>
      </c>
      <c r="L2282" s="21">
        <v>0</v>
      </c>
      <c r="M2282" s="21">
        <f>COUNTIF($A$2:$A$5481,A2282)</f>
        <v>1</v>
      </c>
      <c r="N2282" s="24">
        <f t="shared" si="35"/>
        <v>0.0002282</v>
      </c>
    </row>
    <row r="2283" spans="1:14">
      <c r="A2283" s="21" t="s">
        <v>352</v>
      </c>
      <c r="B2283" s="21" t="s">
        <v>920</v>
      </c>
      <c r="C2283" s="21" t="s">
        <v>26</v>
      </c>
      <c r="D2283" s="21" t="s">
        <v>921</v>
      </c>
      <c r="E2283" s="21">
        <v>2</v>
      </c>
      <c r="F2283" s="22">
        <v>46122.3888425926</v>
      </c>
      <c r="G2283" s="22">
        <v>46122.3901736111</v>
      </c>
      <c r="H2283" s="23">
        <v>132</v>
      </c>
      <c r="I2283" s="23">
        <v>44</v>
      </c>
      <c r="J2283" s="24">
        <v>88</v>
      </c>
      <c r="K2283" s="21">
        <v>0</v>
      </c>
      <c r="L2283" s="21">
        <v>0</v>
      </c>
      <c r="M2283" s="21">
        <f>COUNTIF($A$2:$A$5481,A2283)</f>
        <v>1</v>
      </c>
      <c r="N2283" s="24">
        <f t="shared" si="35"/>
        <v>88.0002283</v>
      </c>
    </row>
    <row r="2284" spans="1:14">
      <c r="A2284" s="21" t="s">
        <v>2621</v>
      </c>
      <c r="B2284" s="21" t="s">
        <v>920</v>
      </c>
      <c r="C2284" s="21" t="s">
        <v>35</v>
      </c>
      <c r="D2284" s="21" t="s">
        <v>921</v>
      </c>
      <c r="E2284" s="21">
        <v>1</v>
      </c>
      <c r="F2284" s="22">
        <v>46184.733912037</v>
      </c>
      <c r="G2284" s="22"/>
      <c r="H2284" s="23">
        <v>610</v>
      </c>
      <c r="I2284" s="23">
        <v>610</v>
      </c>
      <c r="J2284" s="24">
        <v>610</v>
      </c>
      <c r="K2284" s="21">
        <v>0</v>
      </c>
      <c r="L2284" s="21">
        <v>0</v>
      </c>
      <c r="M2284" s="21">
        <f>COUNTIF($A$2:$A$5481,A2284)</f>
        <v>1</v>
      </c>
      <c r="N2284" s="24">
        <f t="shared" si="35"/>
        <v>610.0002284</v>
      </c>
    </row>
    <row r="2285" spans="1:14">
      <c r="A2285" s="21" t="s">
        <v>2622</v>
      </c>
      <c r="B2285" s="21" t="s">
        <v>920</v>
      </c>
      <c r="C2285" s="21" t="s">
        <v>35</v>
      </c>
      <c r="D2285" s="21" t="s">
        <v>921</v>
      </c>
      <c r="E2285" s="21">
        <v>0</v>
      </c>
      <c r="F2285" s="22">
        <v>45915.5961458333</v>
      </c>
      <c r="G2285" s="22">
        <v>45923.4677662037</v>
      </c>
      <c r="H2285" s="23">
        <v>1150</v>
      </c>
      <c r="I2285" s="23">
        <v>1150</v>
      </c>
      <c r="J2285" s="24">
        <v>0</v>
      </c>
      <c r="K2285" s="21">
        <v>0</v>
      </c>
      <c r="L2285" s="21">
        <v>0</v>
      </c>
      <c r="M2285" s="21">
        <f>COUNTIF($A$2:$A$5481,A2285)</f>
        <v>1</v>
      </c>
      <c r="N2285" s="24">
        <f t="shared" si="35"/>
        <v>0.0002285</v>
      </c>
    </row>
    <row r="2286" spans="1:14">
      <c r="A2286" s="21" t="s">
        <v>2623</v>
      </c>
      <c r="B2286" s="21" t="s">
        <v>949</v>
      </c>
      <c r="C2286" s="21" t="s">
        <v>182</v>
      </c>
      <c r="D2286" s="21" t="s">
        <v>921</v>
      </c>
      <c r="E2286" s="21">
        <v>0</v>
      </c>
      <c r="F2286" s="22">
        <v>45307.3745601852</v>
      </c>
      <c r="G2286" s="22">
        <v>45310.4238541667</v>
      </c>
      <c r="H2286" s="23">
        <v>1.69</v>
      </c>
      <c r="I2286" s="23">
        <v>1.69</v>
      </c>
      <c r="J2286" s="24">
        <v>0</v>
      </c>
      <c r="K2286" s="21">
        <v>0</v>
      </c>
      <c r="L2286" s="21">
        <v>0</v>
      </c>
      <c r="M2286" s="21">
        <f>COUNTIF($A$2:$A$5481,A2286)</f>
        <v>2</v>
      </c>
      <c r="N2286" s="24">
        <f t="shared" si="35"/>
        <v>0.0002286</v>
      </c>
    </row>
    <row r="2287" spans="1:14">
      <c r="A2287" s="21" t="s">
        <v>2623</v>
      </c>
      <c r="B2287" s="21" t="s">
        <v>949</v>
      </c>
      <c r="C2287" s="21" t="s">
        <v>26</v>
      </c>
      <c r="D2287" s="21" t="s">
        <v>921</v>
      </c>
      <c r="E2287" s="21">
        <v>1</v>
      </c>
      <c r="F2287" s="22">
        <v>45338.3729166667</v>
      </c>
      <c r="G2287" s="22">
        <v>45324.4904050926</v>
      </c>
      <c r="H2287" s="23">
        <v>1.69</v>
      </c>
      <c r="I2287" s="23">
        <v>1.69</v>
      </c>
      <c r="J2287" s="24">
        <v>1.69</v>
      </c>
      <c r="K2287" s="21">
        <v>0</v>
      </c>
      <c r="L2287" s="21">
        <v>0</v>
      </c>
      <c r="M2287" s="21">
        <f>COUNTIF($A$2:$A$5481,A2287)</f>
        <v>2</v>
      </c>
      <c r="N2287" s="24">
        <f t="shared" si="35"/>
        <v>1.6902287</v>
      </c>
    </row>
    <row r="2288" spans="1:14">
      <c r="A2288" s="21" t="s">
        <v>2624</v>
      </c>
      <c r="B2288" s="21" t="s">
        <v>1115</v>
      </c>
      <c r="C2288" s="21" t="s">
        <v>26</v>
      </c>
      <c r="D2288" s="21" t="s">
        <v>921</v>
      </c>
      <c r="E2288" s="21">
        <v>20</v>
      </c>
      <c r="F2288" s="22">
        <v>46147.6977314815</v>
      </c>
      <c r="G2288" s="22"/>
      <c r="H2288" s="23">
        <v>3800</v>
      </c>
      <c r="I2288" s="23">
        <v>190</v>
      </c>
      <c r="J2288" s="24">
        <v>3800</v>
      </c>
      <c r="K2288" s="21">
        <v>0</v>
      </c>
      <c r="L2288" s="21">
        <v>0</v>
      </c>
      <c r="M2288" s="21">
        <f>COUNTIF($A$2:$A$5481,A2288)</f>
        <v>1</v>
      </c>
      <c r="N2288" s="24">
        <f t="shared" si="35"/>
        <v>3800.0002288</v>
      </c>
    </row>
    <row r="2289" spans="1:14">
      <c r="A2289" s="21" t="s">
        <v>2625</v>
      </c>
      <c r="B2289" s="21" t="s">
        <v>920</v>
      </c>
      <c r="C2289" s="21" t="s">
        <v>35</v>
      </c>
      <c r="D2289" s="21" t="s">
        <v>921</v>
      </c>
      <c r="E2289" s="21">
        <v>1</v>
      </c>
      <c r="F2289" s="22">
        <v>45267.5895138889</v>
      </c>
      <c r="G2289" s="22"/>
      <c r="H2289" s="23">
        <v>106.5</v>
      </c>
      <c r="I2289" s="23">
        <v>106.5</v>
      </c>
      <c r="J2289" s="24">
        <v>106.5</v>
      </c>
      <c r="K2289" s="21">
        <v>0</v>
      </c>
      <c r="L2289" s="21">
        <v>0</v>
      </c>
      <c r="M2289" s="21">
        <f>COUNTIF($A$2:$A$5481,A2289)</f>
        <v>1</v>
      </c>
      <c r="N2289" s="24">
        <f t="shared" si="35"/>
        <v>106.5002289</v>
      </c>
    </row>
    <row r="2290" spans="1:14">
      <c r="A2290" s="21" t="s">
        <v>2626</v>
      </c>
      <c r="B2290" s="21" t="s">
        <v>920</v>
      </c>
      <c r="C2290" s="21" t="s">
        <v>35</v>
      </c>
      <c r="D2290" s="21" t="s">
        <v>921</v>
      </c>
      <c r="E2290" s="21">
        <v>16</v>
      </c>
      <c r="F2290" s="22">
        <v>46253.5736111111</v>
      </c>
      <c r="G2290" s="22">
        <v>45812.3897222222</v>
      </c>
      <c r="H2290" s="23">
        <v>1050</v>
      </c>
      <c r="I2290" s="23">
        <v>115.08</v>
      </c>
      <c r="J2290" s="24">
        <v>1841.28</v>
      </c>
      <c r="K2290" s="21">
        <v>0</v>
      </c>
      <c r="L2290" s="21">
        <v>0</v>
      </c>
      <c r="M2290" s="21">
        <f>COUNTIF($A$2:$A$5481,A2290)</f>
        <v>1</v>
      </c>
      <c r="N2290" s="24">
        <f t="shared" si="35"/>
        <v>1841.280229</v>
      </c>
    </row>
    <row r="2291" spans="1:14">
      <c r="A2291" s="21" t="s">
        <v>2627</v>
      </c>
      <c r="B2291" s="21" t="s">
        <v>26</v>
      </c>
      <c r="C2291" s="21" t="s">
        <v>35</v>
      </c>
      <c r="D2291" s="21" t="s">
        <v>921</v>
      </c>
      <c r="E2291" s="21">
        <v>6</v>
      </c>
      <c r="F2291" s="22">
        <v>45490.3836342593</v>
      </c>
      <c r="G2291" s="22">
        <v>45638.4318865741</v>
      </c>
      <c r="H2291" s="23">
        <v>941.31</v>
      </c>
      <c r="I2291" s="23">
        <v>104.59</v>
      </c>
      <c r="J2291" s="24">
        <v>627.54</v>
      </c>
      <c r="K2291" s="21">
        <v>0</v>
      </c>
      <c r="L2291" s="21">
        <v>0</v>
      </c>
      <c r="M2291" s="21">
        <f>COUNTIF($A$2:$A$5481,A2291)</f>
        <v>1</v>
      </c>
      <c r="N2291" s="24">
        <f t="shared" si="35"/>
        <v>627.5402291</v>
      </c>
    </row>
    <row r="2292" spans="1:14">
      <c r="A2292" s="21" t="s">
        <v>2628</v>
      </c>
      <c r="B2292" s="21" t="s">
        <v>26</v>
      </c>
      <c r="C2292" s="21" t="s">
        <v>26</v>
      </c>
      <c r="D2292" s="21" t="s">
        <v>921</v>
      </c>
      <c r="E2292" s="21">
        <v>4</v>
      </c>
      <c r="F2292" s="22">
        <v>45915.6371875</v>
      </c>
      <c r="G2292" s="22"/>
      <c r="H2292" s="23">
        <v>255</v>
      </c>
      <c r="I2292" s="23">
        <v>85</v>
      </c>
      <c r="J2292" s="24">
        <v>340</v>
      </c>
      <c r="K2292" s="21">
        <v>0</v>
      </c>
      <c r="L2292" s="21">
        <v>0</v>
      </c>
      <c r="M2292" s="21">
        <f>COUNTIF($A$2:$A$5481,A2292)</f>
        <v>1</v>
      </c>
      <c r="N2292" s="24">
        <f t="shared" si="35"/>
        <v>340.0002292</v>
      </c>
    </row>
    <row r="2293" spans="1:14">
      <c r="A2293" s="21" t="s">
        <v>2629</v>
      </c>
      <c r="B2293" s="21" t="s">
        <v>929</v>
      </c>
      <c r="C2293" s="21" t="s">
        <v>26</v>
      </c>
      <c r="D2293" s="21" t="s">
        <v>921</v>
      </c>
      <c r="E2293" s="21">
        <v>1</v>
      </c>
      <c r="F2293" s="22">
        <v>45504.7806365741</v>
      </c>
      <c r="G2293" s="22"/>
      <c r="H2293" s="23">
        <v>153</v>
      </c>
      <c r="I2293" s="23">
        <v>153</v>
      </c>
      <c r="J2293" s="24">
        <v>153</v>
      </c>
      <c r="K2293" s="21">
        <v>0</v>
      </c>
      <c r="L2293" s="21">
        <v>0</v>
      </c>
      <c r="M2293" s="21">
        <f>COUNTIF($A$2:$A$5481,A2293)</f>
        <v>1</v>
      </c>
      <c r="N2293" s="24">
        <f t="shared" si="35"/>
        <v>153.0002293</v>
      </c>
    </row>
    <row r="2294" spans="1:14">
      <c r="A2294" s="21" t="s">
        <v>2630</v>
      </c>
      <c r="B2294" s="21" t="s">
        <v>26</v>
      </c>
      <c r="C2294" s="21" t="s">
        <v>182</v>
      </c>
      <c r="D2294" s="21" t="s">
        <v>921</v>
      </c>
      <c r="E2294" s="21">
        <v>3</v>
      </c>
      <c r="F2294" s="22">
        <v>45279.4993865741</v>
      </c>
      <c r="G2294" s="22"/>
      <c r="H2294" s="23">
        <v>209.7</v>
      </c>
      <c r="I2294" s="23">
        <v>69.9</v>
      </c>
      <c r="J2294" s="24">
        <v>209.7</v>
      </c>
      <c r="K2294" s="21">
        <v>0</v>
      </c>
      <c r="L2294" s="21">
        <v>0</v>
      </c>
      <c r="M2294" s="21">
        <f>COUNTIF($A$2:$A$5481,A2294)</f>
        <v>2</v>
      </c>
      <c r="N2294" s="24">
        <f t="shared" si="35"/>
        <v>209.7002294</v>
      </c>
    </row>
    <row r="2295" spans="1:14">
      <c r="A2295" s="21" t="s">
        <v>2630</v>
      </c>
      <c r="B2295" s="21" t="s">
        <v>26</v>
      </c>
      <c r="C2295" s="21" t="s">
        <v>26</v>
      </c>
      <c r="D2295" s="21" t="s">
        <v>921</v>
      </c>
      <c r="E2295" s="21">
        <v>2</v>
      </c>
      <c r="F2295" s="22">
        <v>46209.5528819444</v>
      </c>
      <c r="G2295" s="22"/>
      <c r="H2295" s="23">
        <v>309</v>
      </c>
      <c r="I2295" s="23">
        <v>154.5</v>
      </c>
      <c r="J2295" s="24">
        <v>309</v>
      </c>
      <c r="K2295" s="21">
        <v>0</v>
      </c>
      <c r="L2295" s="21">
        <v>0</v>
      </c>
      <c r="M2295" s="21">
        <f>COUNTIF($A$2:$A$5481,A2295)</f>
        <v>2</v>
      </c>
      <c r="N2295" s="24">
        <f t="shared" si="35"/>
        <v>309.0002295</v>
      </c>
    </row>
    <row r="2296" spans="1:14">
      <c r="A2296" s="21" t="s">
        <v>2631</v>
      </c>
      <c r="B2296" s="21" t="s">
        <v>26</v>
      </c>
      <c r="C2296" s="21" t="s">
        <v>26</v>
      </c>
      <c r="D2296" s="21" t="s">
        <v>921</v>
      </c>
      <c r="E2296" s="21">
        <v>1</v>
      </c>
      <c r="F2296" s="22">
        <v>45596.3467939815</v>
      </c>
      <c r="G2296" s="22"/>
      <c r="H2296" s="23">
        <v>29.9</v>
      </c>
      <c r="I2296" s="23">
        <v>29.9</v>
      </c>
      <c r="J2296" s="24">
        <v>29.9</v>
      </c>
      <c r="K2296" s="21">
        <v>0</v>
      </c>
      <c r="L2296" s="21">
        <v>0</v>
      </c>
      <c r="M2296" s="21">
        <f>COUNTIF($A$2:$A$5481,A2296)</f>
        <v>1</v>
      </c>
      <c r="N2296" s="24">
        <f t="shared" si="35"/>
        <v>29.9002296</v>
      </c>
    </row>
    <row r="2297" spans="1:14">
      <c r="A2297" s="21" t="s">
        <v>761</v>
      </c>
      <c r="B2297" s="21" t="s">
        <v>1115</v>
      </c>
      <c r="C2297" s="21" t="s">
        <v>26</v>
      </c>
      <c r="D2297" s="21" t="s">
        <v>931</v>
      </c>
      <c r="E2297" s="21">
        <v>0</v>
      </c>
      <c r="F2297" s="22">
        <v>45692.4534259259</v>
      </c>
      <c r="G2297" s="22">
        <v>46252.6096064815</v>
      </c>
      <c r="H2297" s="23">
        <v>39.2</v>
      </c>
      <c r="I2297" s="23">
        <v>39.2</v>
      </c>
      <c r="J2297" s="24">
        <v>0</v>
      </c>
      <c r="K2297" s="21">
        <v>0</v>
      </c>
      <c r="L2297" s="21">
        <v>0</v>
      </c>
      <c r="M2297" s="21">
        <f>COUNTIF($A$2:$A$5481,A2297)</f>
        <v>1</v>
      </c>
      <c r="N2297" s="24">
        <f t="shared" si="35"/>
        <v>0.0002297</v>
      </c>
    </row>
    <row r="2298" spans="1:14">
      <c r="A2298" s="21" t="s">
        <v>2632</v>
      </c>
      <c r="B2298" s="21" t="s">
        <v>26</v>
      </c>
      <c r="C2298" s="21" t="s">
        <v>26</v>
      </c>
      <c r="D2298" s="21" t="s">
        <v>921</v>
      </c>
      <c r="E2298" s="21">
        <v>1</v>
      </c>
      <c r="F2298" s="22">
        <v>45328.6590277778</v>
      </c>
      <c r="G2298" s="22"/>
      <c r="H2298" s="23">
        <v>299</v>
      </c>
      <c r="I2298" s="23">
        <v>299</v>
      </c>
      <c r="J2298" s="24">
        <v>299</v>
      </c>
      <c r="K2298" s="21">
        <v>0</v>
      </c>
      <c r="L2298" s="21">
        <v>0</v>
      </c>
      <c r="M2298" s="21">
        <f>COUNTIF($A$2:$A$5481,A2298)</f>
        <v>1</v>
      </c>
      <c r="N2298" s="24">
        <f t="shared" si="35"/>
        <v>299.0002298</v>
      </c>
    </row>
    <row r="2299" spans="1:14">
      <c r="A2299" s="21" t="s">
        <v>2633</v>
      </c>
      <c r="B2299" s="21" t="s">
        <v>966</v>
      </c>
      <c r="C2299" s="21" t="s">
        <v>26</v>
      </c>
      <c r="D2299" s="21" t="s">
        <v>921</v>
      </c>
      <c r="E2299" s="21">
        <v>4</v>
      </c>
      <c r="F2299" s="22">
        <v>45316.5659722222</v>
      </c>
      <c r="G2299" s="22"/>
      <c r="H2299" s="23">
        <v>198.04</v>
      </c>
      <c r="I2299" s="23">
        <v>49.51</v>
      </c>
      <c r="J2299" s="24">
        <v>198.04</v>
      </c>
      <c r="K2299" s="21">
        <v>0</v>
      </c>
      <c r="L2299" s="21">
        <v>0</v>
      </c>
      <c r="M2299" s="21">
        <f>COUNTIF($A$2:$A$5481,A2299)</f>
        <v>1</v>
      </c>
      <c r="N2299" s="24">
        <f t="shared" si="35"/>
        <v>198.0402299</v>
      </c>
    </row>
    <row r="2300" spans="1:14">
      <c r="A2300" s="21" t="s">
        <v>2634</v>
      </c>
      <c r="B2300" s="21" t="s">
        <v>926</v>
      </c>
      <c r="C2300" s="21" t="s">
        <v>26</v>
      </c>
      <c r="D2300" s="21" t="s">
        <v>931</v>
      </c>
      <c r="E2300" s="21">
        <v>2</v>
      </c>
      <c r="F2300" s="22">
        <v>45693.4185069444</v>
      </c>
      <c r="G2300" s="22"/>
      <c r="H2300" s="23">
        <v>218.83</v>
      </c>
      <c r="I2300" s="23">
        <v>218.83</v>
      </c>
      <c r="J2300" s="24">
        <v>437.66</v>
      </c>
      <c r="K2300" s="21">
        <v>0</v>
      </c>
      <c r="L2300" s="21">
        <v>0</v>
      </c>
      <c r="M2300" s="21">
        <f>COUNTIF($A$2:$A$5481,A2300)</f>
        <v>1</v>
      </c>
      <c r="N2300" s="24">
        <f t="shared" si="35"/>
        <v>437.66023</v>
      </c>
    </row>
    <row r="2301" spans="1:14">
      <c r="A2301" s="21" t="s">
        <v>2635</v>
      </c>
      <c r="B2301" s="21" t="s">
        <v>920</v>
      </c>
      <c r="C2301" s="21" t="s">
        <v>26</v>
      </c>
      <c r="D2301" s="21" t="s">
        <v>921</v>
      </c>
      <c r="E2301" s="21">
        <v>1</v>
      </c>
      <c r="F2301" s="22">
        <v>46161.4270833333</v>
      </c>
      <c r="G2301" s="22"/>
      <c r="H2301" s="23">
        <v>599</v>
      </c>
      <c r="I2301" s="23">
        <v>599</v>
      </c>
      <c r="J2301" s="24">
        <v>599</v>
      </c>
      <c r="K2301" s="21">
        <v>0</v>
      </c>
      <c r="L2301" s="21">
        <v>0</v>
      </c>
      <c r="M2301" s="21">
        <f>COUNTIF($A$2:$A$5481,A2301)</f>
        <v>1</v>
      </c>
      <c r="N2301" s="24">
        <f t="shared" si="35"/>
        <v>599.0002301</v>
      </c>
    </row>
    <row r="2302" spans="1:14">
      <c r="A2302" s="21" t="s">
        <v>2636</v>
      </c>
      <c r="B2302" s="21" t="s">
        <v>920</v>
      </c>
      <c r="C2302" s="21" t="s">
        <v>26</v>
      </c>
      <c r="D2302" s="21" t="s">
        <v>921</v>
      </c>
      <c r="E2302" s="21">
        <v>132</v>
      </c>
      <c r="F2302" s="22">
        <v>45722.5858333333</v>
      </c>
      <c r="G2302" s="22"/>
      <c r="H2302" s="23">
        <v>433.5</v>
      </c>
      <c r="I2302" s="23">
        <v>4.21818</v>
      </c>
      <c r="J2302" s="24">
        <v>557.04</v>
      </c>
      <c r="K2302" s="21">
        <v>0</v>
      </c>
      <c r="L2302" s="21">
        <v>0</v>
      </c>
      <c r="M2302" s="21">
        <f>COUNTIF($A$2:$A$5481,A2302)</f>
        <v>1</v>
      </c>
      <c r="N2302" s="24">
        <f t="shared" si="35"/>
        <v>557.0402302</v>
      </c>
    </row>
    <row r="2303" spans="1:14">
      <c r="A2303" s="21" t="s">
        <v>2637</v>
      </c>
      <c r="B2303" s="21" t="s">
        <v>26</v>
      </c>
      <c r="C2303" s="21" t="s">
        <v>26</v>
      </c>
      <c r="D2303" s="21" t="s">
        <v>921</v>
      </c>
      <c r="E2303" s="21">
        <v>30</v>
      </c>
      <c r="F2303" s="22">
        <v>45797.3438425926</v>
      </c>
      <c r="G2303" s="22"/>
      <c r="H2303" s="23">
        <v>55</v>
      </c>
      <c r="I2303" s="23">
        <v>4.57333</v>
      </c>
      <c r="J2303" s="24">
        <v>137.1</v>
      </c>
      <c r="K2303" s="21">
        <v>0</v>
      </c>
      <c r="L2303" s="21">
        <v>0</v>
      </c>
      <c r="M2303" s="21">
        <f>COUNTIF($A$2:$A$5481,A2303)</f>
        <v>1</v>
      </c>
      <c r="N2303" s="24">
        <f t="shared" si="35"/>
        <v>137.1002303</v>
      </c>
    </row>
    <row r="2304" spans="1:14">
      <c r="A2304" s="21" t="s">
        <v>2638</v>
      </c>
      <c r="B2304" s="21" t="s">
        <v>26</v>
      </c>
      <c r="C2304" s="21" t="s">
        <v>26</v>
      </c>
      <c r="D2304" s="21" t="s">
        <v>921</v>
      </c>
      <c r="E2304" s="21">
        <v>10</v>
      </c>
      <c r="F2304" s="22">
        <v>45797.3438425926</v>
      </c>
      <c r="G2304" s="22"/>
      <c r="H2304" s="23">
        <v>59</v>
      </c>
      <c r="I2304" s="23">
        <v>5.9</v>
      </c>
      <c r="J2304" s="24">
        <v>59</v>
      </c>
      <c r="K2304" s="21">
        <v>0</v>
      </c>
      <c r="L2304" s="21">
        <v>0</v>
      </c>
      <c r="M2304" s="21">
        <f>COUNTIF($A$2:$A$5481,A2304)</f>
        <v>1</v>
      </c>
      <c r="N2304" s="24">
        <f t="shared" si="35"/>
        <v>59.0002304</v>
      </c>
    </row>
    <row r="2305" spans="1:14">
      <c r="A2305" s="21" t="s">
        <v>2639</v>
      </c>
      <c r="B2305" s="21" t="s">
        <v>26</v>
      </c>
      <c r="C2305" s="21" t="s">
        <v>26</v>
      </c>
      <c r="D2305" s="21" t="s">
        <v>921</v>
      </c>
      <c r="E2305" s="21">
        <v>17</v>
      </c>
      <c r="F2305" s="22">
        <v>46161.6085069445</v>
      </c>
      <c r="G2305" s="22">
        <v>45932.3745949074</v>
      </c>
      <c r="H2305" s="23">
        <v>28</v>
      </c>
      <c r="I2305" s="23">
        <v>2.2111764706</v>
      </c>
      <c r="J2305" s="24">
        <v>37.57</v>
      </c>
      <c r="K2305" s="21">
        <v>0</v>
      </c>
      <c r="L2305" s="21">
        <v>0</v>
      </c>
      <c r="M2305" s="21">
        <f>COUNTIF($A$2:$A$5481,A2305)</f>
        <v>1</v>
      </c>
      <c r="N2305" s="24">
        <f t="shared" si="35"/>
        <v>37.5702305</v>
      </c>
    </row>
    <row r="2306" spans="1:14">
      <c r="A2306" s="21" t="s">
        <v>2640</v>
      </c>
      <c r="B2306" s="21" t="s">
        <v>26</v>
      </c>
      <c r="C2306" s="21" t="s">
        <v>26</v>
      </c>
      <c r="D2306" s="21" t="s">
        <v>921</v>
      </c>
      <c r="E2306" s="21">
        <v>6</v>
      </c>
      <c r="F2306" s="22">
        <v>45797.3438425926</v>
      </c>
      <c r="G2306" s="22">
        <v>45932.3745833333</v>
      </c>
      <c r="H2306" s="23">
        <v>109</v>
      </c>
      <c r="I2306" s="23">
        <v>10.9</v>
      </c>
      <c r="J2306" s="24">
        <v>65.4</v>
      </c>
      <c r="K2306" s="21">
        <v>0</v>
      </c>
      <c r="L2306" s="21">
        <v>0</v>
      </c>
      <c r="M2306" s="21">
        <f>COUNTIF($A$2:$A$5481,A2306)</f>
        <v>1</v>
      </c>
      <c r="N2306" s="24">
        <f t="shared" ref="N2306:N2369" si="36">J2306+ROW()/10000000</f>
        <v>65.4002306</v>
      </c>
    </row>
    <row r="2307" spans="1:14">
      <c r="A2307" s="21" t="s">
        <v>2641</v>
      </c>
      <c r="B2307" s="21" t="s">
        <v>26</v>
      </c>
      <c r="C2307" s="21" t="s">
        <v>26</v>
      </c>
      <c r="D2307" s="21" t="s">
        <v>921</v>
      </c>
      <c r="E2307" s="21">
        <v>10</v>
      </c>
      <c r="F2307" s="22">
        <v>45797.3438425926</v>
      </c>
      <c r="G2307" s="22"/>
      <c r="H2307" s="23">
        <v>79.1</v>
      </c>
      <c r="I2307" s="23">
        <v>7.91</v>
      </c>
      <c r="J2307" s="24">
        <v>79.1</v>
      </c>
      <c r="K2307" s="21">
        <v>0</v>
      </c>
      <c r="L2307" s="21">
        <v>0</v>
      </c>
      <c r="M2307" s="21">
        <f>COUNTIF($A$2:$A$5481,A2307)</f>
        <v>1</v>
      </c>
      <c r="N2307" s="24">
        <f t="shared" si="36"/>
        <v>79.1002307</v>
      </c>
    </row>
    <row r="2308" spans="1:14">
      <c r="A2308" s="21" t="s">
        <v>2642</v>
      </c>
      <c r="B2308" s="21" t="s">
        <v>26</v>
      </c>
      <c r="C2308" s="21" t="s">
        <v>26</v>
      </c>
      <c r="D2308" s="21" t="s">
        <v>921</v>
      </c>
      <c r="E2308" s="21">
        <v>10</v>
      </c>
      <c r="F2308" s="22">
        <v>45527.3571180556</v>
      </c>
      <c r="G2308" s="22"/>
      <c r="H2308" s="23">
        <v>61.5</v>
      </c>
      <c r="I2308" s="23">
        <v>6.15</v>
      </c>
      <c r="J2308" s="24">
        <v>61.5</v>
      </c>
      <c r="K2308" s="21">
        <v>0</v>
      </c>
      <c r="L2308" s="21">
        <v>0</v>
      </c>
      <c r="M2308" s="21">
        <f>COUNTIF($A$2:$A$5481,A2308)</f>
        <v>1</v>
      </c>
      <c r="N2308" s="24">
        <f t="shared" si="36"/>
        <v>61.5002308</v>
      </c>
    </row>
    <row r="2309" spans="1:14">
      <c r="A2309" s="21" t="s">
        <v>2643</v>
      </c>
      <c r="B2309" s="21" t="s">
        <v>26</v>
      </c>
      <c r="C2309" s="21" t="s">
        <v>26</v>
      </c>
      <c r="D2309" s="21" t="s">
        <v>921</v>
      </c>
      <c r="E2309" s="21">
        <v>10</v>
      </c>
      <c r="F2309" s="22">
        <v>45527.3571180556</v>
      </c>
      <c r="G2309" s="22"/>
      <c r="H2309" s="23">
        <v>22.7</v>
      </c>
      <c r="I2309" s="23">
        <v>2.27</v>
      </c>
      <c r="J2309" s="24">
        <v>22.7</v>
      </c>
      <c r="K2309" s="21">
        <v>0</v>
      </c>
      <c r="L2309" s="21">
        <v>0</v>
      </c>
      <c r="M2309" s="21">
        <f>COUNTIF($A$2:$A$5481,A2309)</f>
        <v>1</v>
      </c>
      <c r="N2309" s="24">
        <f t="shared" si="36"/>
        <v>22.7002309</v>
      </c>
    </row>
    <row r="2310" spans="1:14">
      <c r="A2310" s="21" t="s">
        <v>2644</v>
      </c>
      <c r="B2310" s="21" t="s">
        <v>26</v>
      </c>
      <c r="C2310" s="21" t="s">
        <v>26</v>
      </c>
      <c r="D2310" s="21" t="s">
        <v>921</v>
      </c>
      <c r="E2310" s="21">
        <v>3</v>
      </c>
      <c r="F2310" s="22">
        <v>45646.3497222222</v>
      </c>
      <c r="G2310" s="22"/>
      <c r="H2310" s="23">
        <v>60.6</v>
      </c>
      <c r="I2310" s="23">
        <v>20.2</v>
      </c>
      <c r="J2310" s="24">
        <v>60.6</v>
      </c>
      <c r="K2310" s="21">
        <v>0</v>
      </c>
      <c r="L2310" s="21">
        <v>0</v>
      </c>
      <c r="M2310" s="21">
        <f>COUNTIF($A$2:$A$5481,A2310)</f>
        <v>1</v>
      </c>
      <c r="N2310" s="24">
        <f t="shared" si="36"/>
        <v>60.600231</v>
      </c>
    </row>
    <row r="2311" spans="1:14">
      <c r="A2311" s="21" t="s">
        <v>2645</v>
      </c>
      <c r="B2311" s="21" t="s">
        <v>26</v>
      </c>
      <c r="C2311" s="21" t="s">
        <v>26</v>
      </c>
      <c r="D2311" s="21" t="s">
        <v>921</v>
      </c>
      <c r="E2311" s="21">
        <v>1</v>
      </c>
      <c r="F2311" s="22">
        <v>45401.8100810185</v>
      </c>
      <c r="G2311" s="22"/>
      <c r="H2311" s="23">
        <v>42</v>
      </c>
      <c r="I2311" s="23">
        <v>42</v>
      </c>
      <c r="J2311" s="24">
        <v>42</v>
      </c>
      <c r="K2311" s="21">
        <v>0</v>
      </c>
      <c r="L2311" s="21">
        <v>0</v>
      </c>
      <c r="M2311" s="21">
        <f>COUNTIF($A$2:$A$5481,A2311)</f>
        <v>1</v>
      </c>
      <c r="N2311" s="24">
        <f t="shared" si="36"/>
        <v>42.0002311</v>
      </c>
    </row>
    <row r="2312" spans="1:14">
      <c r="A2312" s="21" t="s">
        <v>2646</v>
      </c>
      <c r="B2312" s="21" t="s">
        <v>948</v>
      </c>
      <c r="C2312" s="21" t="s">
        <v>26</v>
      </c>
      <c r="D2312" s="21" t="s">
        <v>921</v>
      </c>
      <c r="E2312" s="21">
        <v>2</v>
      </c>
      <c r="F2312" s="22">
        <v>45992.5750694444</v>
      </c>
      <c r="G2312" s="22"/>
      <c r="H2312" s="23">
        <v>60</v>
      </c>
      <c r="I2312" s="23">
        <v>30</v>
      </c>
      <c r="J2312" s="24">
        <v>60</v>
      </c>
      <c r="K2312" s="21">
        <v>0</v>
      </c>
      <c r="L2312" s="21">
        <v>0</v>
      </c>
      <c r="M2312" s="21">
        <f>COUNTIF($A$2:$A$5481,A2312)</f>
        <v>1</v>
      </c>
      <c r="N2312" s="24">
        <f t="shared" si="36"/>
        <v>60.0002312</v>
      </c>
    </row>
    <row r="2313" spans="1:14">
      <c r="A2313" s="21" t="s">
        <v>2647</v>
      </c>
      <c r="B2313" s="21" t="s">
        <v>920</v>
      </c>
      <c r="C2313" s="21" t="s">
        <v>26</v>
      </c>
      <c r="D2313" s="21" t="s">
        <v>921</v>
      </c>
      <c r="E2313" s="21">
        <v>2</v>
      </c>
      <c r="F2313" s="22">
        <v>45916.709375</v>
      </c>
      <c r="G2313" s="22"/>
      <c r="H2313" s="23">
        <v>34.59</v>
      </c>
      <c r="I2313" s="23">
        <v>40.665</v>
      </c>
      <c r="J2313" s="24">
        <v>81.34</v>
      </c>
      <c r="K2313" s="21">
        <v>0</v>
      </c>
      <c r="L2313" s="21">
        <v>0</v>
      </c>
      <c r="M2313" s="21">
        <f>COUNTIF($A$2:$A$5481,A2313)</f>
        <v>1</v>
      </c>
      <c r="N2313" s="24">
        <f t="shared" si="36"/>
        <v>81.3402313</v>
      </c>
    </row>
    <row r="2314" spans="1:14">
      <c r="A2314" s="21" t="s">
        <v>2648</v>
      </c>
      <c r="B2314" s="21" t="s">
        <v>920</v>
      </c>
      <c r="C2314" s="21" t="s">
        <v>26</v>
      </c>
      <c r="D2314" s="21" t="s">
        <v>921</v>
      </c>
      <c r="E2314" s="21">
        <v>1</v>
      </c>
      <c r="F2314" s="22">
        <v>45526.4375810185</v>
      </c>
      <c r="G2314" s="22"/>
      <c r="H2314" s="23">
        <v>167.65</v>
      </c>
      <c r="I2314" s="23">
        <v>167.65</v>
      </c>
      <c r="J2314" s="24">
        <v>167.65</v>
      </c>
      <c r="K2314" s="21">
        <v>0</v>
      </c>
      <c r="L2314" s="21">
        <v>0</v>
      </c>
      <c r="M2314" s="21">
        <f>COUNTIF($A$2:$A$5481,A2314)</f>
        <v>1</v>
      </c>
      <c r="N2314" s="24">
        <f t="shared" si="36"/>
        <v>167.6502314</v>
      </c>
    </row>
    <row r="2315" spans="1:14">
      <c r="A2315" s="21" t="s">
        <v>2649</v>
      </c>
      <c r="B2315" s="21" t="s">
        <v>920</v>
      </c>
      <c r="C2315" s="21" t="s">
        <v>35</v>
      </c>
      <c r="D2315" s="21" t="s">
        <v>921</v>
      </c>
      <c r="E2315" s="21">
        <v>1</v>
      </c>
      <c r="F2315" s="22">
        <v>46021.5372685185</v>
      </c>
      <c r="G2315" s="22"/>
      <c r="H2315" s="23">
        <v>112.05</v>
      </c>
      <c r="I2315" s="23">
        <v>112.05</v>
      </c>
      <c r="J2315" s="24">
        <v>112.05</v>
      </c>
      <c r="K2315" s="21">
        <v>0</v>
      </c>
      <c r="L2315" s="21">
        <v>0</v>
      </c>
      <c r="M2315" s="21">
        <f>COUNTIF($A$2:$A$5481,A2315)</f>
        <v>1</v>
      </c>
      <c r="N2315" s="24">
        <f t="shared" si="36"/>
        <v>112.0502315</v>
      </c>
    </row>
    <row r="2316" spans="1:14">
      <c r="A2316" s="21" t="s">
        <v>2650</v>
      </c>
      <c r="B2316" s="21" t="s">
        <v>949</v>
      </c>
      <c r="C2316" s="21" t="s">
        <v>182</v>
      </c>
      <c r="D2316" s="21" t="s">
        <v>921</v>
      </c>
      <c r="E2316" s="21">
        <v>0</v>
      </c>
      <c r="F2316" s="22">
        <v>45307.3745601852</v>
      </c>
      <c r="G2316" s="22">
        <v>45324.3551041667</v>
      </c>
      <c r="H2316" s="23">
        <v>26.733</v>
      </c>
      <c r="I2316" s="23">
        <v>3.99</v>
      </c>
      <c r="J2316" s="24">
        <v>0</v>
      </c>
      <c r="K2316" s="21">
        <v>0</v>
      </c>
      <c r="L2316" s="21">
        <v>0</v>
      </c>
      <c r="M2316" s="21">
        <f>COUNTIF($A$2:$A$5481,A2316)</f>
        <v>2</v>
      </c>
      <c r="N2316" s="24">
        <f t="shared" si="36"/>
        <v>0.0002316</v>
      </c>
    </row>
    <row r="2317" spans="1:14">
      <c r="A2317" s="21" t="s">
        <v>2650</v>
      </c>
      <c r="B2317" s="21" t="s">
        <v>949</v>
      </c>
      <c r="C2317" s="21" t="s">
        <v>26</v>
      </c>
      <c r="D2317" s="21" t="s">
        <v>921</v>
      </c>
      <c r="E2317" s="21">
        <v>3.1</v>
      </c>
      <c r="F2317" s="22">
        <v>45338.3729166667</v>
      </c>
      <c r="G2317" s="22">
        <v>45324.4904513889</v>
      </c>
      <c r="H2317" s="23">
        <v>39.308</v>
      </c>
      <c r="I2317" s="23">
        <v>12.68</v>
      </c>
      <c r="J2317" s="24">
        <v>39.308</v>
      </c>
      <c r="K2317" s="21">
        <v>0</v>
      </c>
      <c r="L2317" s="21">
        <v>0</v>
      </c>
      <c r="M2317" s="21">
        <f>COUNTIF($A$2:$A$5481,A2317)</f>
        <v>2</v>
      </c>
      <c r="N2317" s="24">
        <f t="shared" si="36"/>
        <v>39.3082317</v>
      </c>
    </row>
    <row r="2318" spans="1:14">
      <c r="A2318" s="21" t="s">
        <v>2651</v>
      </c>
      <c r="B2318" s="21" t="s">
        <v>948</v>
      </c>
      <c r="C2318" s="21" t="s">
        <v>641</v>
      </c>
      <c r="D2318" s="21" t="s">
        <v>921</v>
      </c>
      <c r="E2318" s="21">
        <v>1</v>
      </c>
      <c r="F2318" s="22">
        <v>45383.5666550926</v>
      </c>
      <c r="G2318" s="22"/>
      <c r="H2318" s="23">
        <v>36</v>
      </c>
      <c r="I2318" s="23">
        <v>36</v>
      </c>
      <c r="J2318" s="24">
        <v>36</v>
      </c>
      <c r="K2318" s="21">
        <v>0</v>
      </c>
      <c r="L2318" s="21">
        <v>0</v>
      </c>
      <c r="M2318" s="21">
        <f>COUNTIF($A$2:$A$5481,A2318)</f>
        <v>1</v>
      </c>
      <c r="N2318" s="24">
        <f t="shared" si="36"/>
        <v>36.0002318</v>
      </c>
    </row>
    <row r="2319" spans="1:14">
      <c r="A2319" s="21" t="s">
        <v>2652</v>
      </c>
      <c r="B2319" s="21" t="s">
        <v>926</v>
      </c>
      <c r="C2319" s="21" t="s">
        <v>38</v>
      </c>
      <c r="D2319" s="21" t="s">
        <v>921</v>
      </c>
      <c r="E2319" s="21">
        <v>22</v>
      </c>
      <c r="F2319" s="22">
        <v>46001.3938773148</v>
      </c>
      <c r="G2319" s="22"/>
      <c r="H2319" s="23">
        <v>338.62</v>
      </c>
      <c r="I2319" s="23">
        <v>64.6863636364</v>
      </c>
      <c r="J2319" s="24">
        <v>1423.18</v>
      </c>
      <c r="K2319" s="21">
        <v>0</v>
      </c>
      <c r="L2319" s="21">
        <v>0</v>
      </c>
      <c r="M2319" s="21">
        <f>COUNTIF($A$2:$A$5481,A2319)</f>
        <v>2</v>
      </c>
      <c r="N2319" s="24">
        <f t="shared" si="36"/>
        <v>1423.1802319</v>
      </c>
    </row>
    <row r="2320" spans="1:14">
      <c r="A2320" s="21" t="s">
        <v>2652</v>
      </c>
      <c r="B2320" s="21" t="s">
        <v>926</v>
      </c>
      <c r="C2320" s="21" t="s">
        <v>182</v>
      </c>
      <c r="D2320" s="21" t="s">
        <v>921</v>
      </c>
      <c r="E2320" s="21">
        <v>4</v>
      </c>
      <c r="F2320" s="22">
        <v>46136.6605671296</v>
      </c>
      <c r="G2320" s="22"/>
      <c r="H2320" s="23">
        <v>226.32</v>
      </c>
      <c r="I2320" s="23">
        <v>56.58</v>
      </c>
      <c r="J2320" s="24">
        <v>226.32</v>
      </c>
      <c r="K2320" s="21">
        <v>0</v>
      </c>
      <c r="L2320" s="21">
        <v>0</v>
      </c>
      <c r="M2320" s="21">
        <f>COUNTIF($A$2:$A$5481,A2320)</f>
        <v>2</v>
      </c>
      <c r="N2320" s="24">
        <f t="shared" si="36"/>
        <v>226.320232</v>
      </c>
    </row>
    <row r="2321" spans="1:14">
      <c r="A2321" s="21" t="s">
        <v>2653</v>
      </c>
      <c r="B2321" s="21" t="s">
        <v>26</v>
      </c>
      <c r="C2321" s="21" t="s">
        <v>26</v>
      </c>
      <c r="D2321" s="21" t="s">
        <v>921</v>
      </c>
      <c r="E2321" s="21">
        <v>8</v>
      </c>
      <c r="F2321" s="22">
        <v>45901.5859953704</v>
      </c>
      <c r="G2321" s="22"/>
      <c r="H2321" s="23">
        <v>105.18</v>
      </c>
      <c r="I2321" s="23">
        <v>16.755</v>
      </c>
      <c r="J2321" s="24">
        <v>134.08</v>
      </c>
      <c r="K2321" s="21">
        <v>0</v>
      </c>
      <c r="L2321" s="21">
        <v>0</v>
      </c>
      <c r="M2321" s="21">
        <f>COUNTIF($A$2:$A$5481,A2321)</f>
        <v>1</v>
      </c>
      <c r="N2321" s="24">
        <f t="shared" si="36"/>
        <v>134.0802321</v>
      </c>
    </row>
    <row r="2322" spans="1:14">
      <c r="A2322" s="21" t="s">
        <v>2654</v>
      </c>
      <c r="B2322" s="21" t="s">
        <v>26</v>
      </c>
      <c r="C2322" s="21" t="s">
        <v>26</v>
      </c>
      <c r="D2322" s="21" t="s">
        <v>921</v>
      </c>
      <c r="E2322" s="21">
        <v>5</v>
      </c>
      <c r="F2322" s="22">
        <v>45574.8363657407</v>
      </c>
      <c r="G2322" s="22"/>
      <c r="H2322" s="23">
        <v>96.95</v>
      </c>
      <c r="I2322" s="23">
        <v>19.39</v>
      </c>
      <c r="J2322" s="24">
        <v>96.95</v>
      </c>
      <c r="K2322" s="21">
        <v>0</v>
      </c>
      <c r="L2322" s="21">
        <v>0</v>
      </c>
      <c r="M2322" s="21">
        <f>COUNTIF($A$2:$A$5481,A2322)</f>
        <v>1</v>
      </c>
      <c r="N2322" s="24">
        <f t="shared" si="36"/>
        <v>96.9502322</v>
      </c>
    </row>
    <row r="2323" spans="1:14">
      <c r="A2323" s="21" t="s">
        <v>802</v>
      </c>
      <c r="B2323" s="21" t="s">
        <v>920</v>
      </c>
      <c r="C2323" s="21" t="s">
        <v>35</v>
      </c>
      <c r="D2323" s="21" t="s">
        <v>921</v>
      </c>
      <c r="E2323" s="21">
        <v>11</v>
      </c>
      <c r="F2323" s="22">
        <v>45313.7501157407</v>
      </c>
      <c r="G2323" s="22">
        <v>46267.4094791667</v>
      </c>
      <c r="H2323" s="23">
        <v>225.0408</v>
      </c>
      <c r="I2323" s="23">
        <v>18.7534</v>
      </c>
      <c r="J2323" s="24">
        <v>206.25</v>
      </c>
      <c r="K2323" s="21">
        <v>0</v>
      </c>
      <c r="L2323" s="21">
        <v>0</v>
      </c>
      <c r="M2323" s="21">
        <f>COUNTIF($A$2:$A$5481,A2323)</f>
        <v>2</v>
      </c>
      <c r="N2323" s="24">
        <f t="shared" si="36"/>
        <v>206.2502323</v>
      </c>
    </row>
    <row r="2324" spans="1:14">
      <c r="A2324" s="21" t="s">
        <v>802</v>
      </c>
      <c r="B2324" s="21" t="s">
        <v>920</v>
      </c>
      <c r="C2324" s="21" t="s">
        <v>26</v>
      </c>
      <c r="D2324" s="21" t="s">
        <v>921</v>
      </c>
      <c r="E2324" s="21">
        <v>162</v>
      </c>
      <c r="F2324" s="22">
        <v>46216.6027777778</v>
      </c>
      <c r="G2324" s="22">
        <v>46258.6138888889</v>
      </c>
      <c r="H2324" s="23">
        <v>459.12</v>
      </c>
      <c r="I2324" s="23">
        <v>22.4738035746</v>
      </c>
      <c r="J2324" s="24">
        <v>3640.14</v>
      </c>
      <c r="K2324" s="21">
        <v>0</v>
      </c>
      <c r="L2324" s="21">
        <v>0</v>
      </c>
      <c r="M2324" s="21">
        <f>COUNTIF($A$2:$A$5481,A2324)</f>
        <v>2</v>
      </c>
      <c r="N2324" s="24">
        <f t="shared" si="36"/>
        <v>3640.1402324</v>
      </c>
    </row>
    <row r="2325" spans="1:14">
      <c r="A2325" s="21" t="s">
        <v>513</v>
      </c>
      <c r="B2325" s="21" t="s">
        <v>920</v>
      </c>
      <c r="C2325" s="21" t="s">
        <v>26</v>
      </c>
      <c r="D2325" s="21" t="s">
        <v>921</v>
      </c>
      <c r="E2325" s="21">
        <v>11</v>
      </c>
      <c r="F2325" s="22">
        <v>46216.6027777778</v>
      </c>
      <c r="G2325" s="22">
        <v>46240.6714236111</v>
      </c>
      <c r="H2325" s="23">
        <v>319.2</v>
      </c>
      <c r="I2325" s="23">
        <v>26.6</v>
      </c>
      <c r="J2325" s="24">
        <v>292.6</v>
      </c>
      <c r="K2325" s="21">
        <v>0</v>
      </c>
      <c r="L2325" s="21">
        <v>0</v>
      </c>
      <c r="M2325" s="21">
        <f>COUNTIF($A$2:$A$5481,A2325)</f>
        <v>1</v>
      </c>
      <c r="N2325" s="24">
        <f t="shared" si="36"/>
        <v>292.6002325</v>
      </c>
    </row>
    <row r="2326" spans="1:14">
      <c r="A2326" s="21" t="s">
        <v>2655</v>
      </c>
      <c r="B2326" s="21" t="s">
        <v>926</v>
      </c>
      <c r="C2326" s="21" t="s">
        <v>38</v>
      </c>
      <c r="D2326" s="21" t="s">
        <v>921</v>
      </c>
      <c r="E2326" s="21">
        <v>4</v>
      </c>
      <c r="F2326" s="22">
        <v>46001.3938773148</v>
      </c>
      <c r="G2326" s="22"/>
      <c r="H2326" s="23">
        <v>140.92</v>
      </c>
      <c r="I2326" s="23">
        <v>35.23</v>
      </c>
      <c r="J2326" s="24">
        <v>140.92</v>
      </c>
      <c r="K2326" s="21">
        <v>0</v>
      </c>
      <c r="L2326" s="21">
        <v>0</v>
      </c>
      <c r="M2326" s="21">
        <f>COUNTIF($A$2:$A$5481,A2326)</f>
        <v>1</v>
      </c>
      <c r="N2326" s="24">
        <f t="shared" si="36"/>
        <v>140.9202326</v>
      </c>
    </row>
    <row r="2327" spans="1:14">
      <c r="A2327" s="21" t="s">
        <v>2656</v>
      </c>
      <c r="B2327" s="21" t="s">
        <v>920</v>
      </c>
      <c r="C2327" s="21" t="s">
        <v>26</v>
      </c>
      <c r="D2327" s="21" t="s">
        <v>931</v>
      </c>
      <c r="E2327" s="21">
        <v>1</v>
      </c>
      <c r="F2327" s="22">
        <v>45483.5669675926</v>
      </c>
      <c r="G2327" s="22">
        <v>45782.3767361111</v>
      </c>
      <c r="H2327" s="23">
        <v>243</v>
      </c>
      <c r="I2327" s="23">
        <v>81</v>
      </c>
      <c r="J2327" s="24">
        <v>81</v>
      </c>
      <c r="K2327" s="21">
        <v>0</v>
      </c>
      <c r="L2327" s="21">
        <v>0</v>
      </c>
      <c r="M2327" s="21">
        <f>COUNTIF($A$2:$A$5481,A2327)</f>
        <v>1</v>
      </c>
      <c r="N2327" s="24">
        <f t="shared" si="36"/>
        <v>81.0002327</v>
      </c>
    </row>
    <row r="2328" spans="1:14">
      <c r="A2328" s="21" t="s">
        <v>2657</v>
      </c>
      <c r="B2328" s="21" t="s">
        <v>920</v>
      </c>
      <c r="C2328" s="21" t="s">
        <v>26</v>
      </c>
      <c r="D2328" s="21" t="s">
        <v>931</v>
      </c>
      <c r="E2328" s="21">
        <v>0</v>
      </c>
      <c r="F2328" s="22">
        <v>45483.5669675926</v>
      </c>
      <c r="G2328" s="22">
        <v>45987.4082523148</v>
      </c>
      <c r="H2328" s="23">
        <v>243</v>
      </c>
      <c r="I2328" s="23">
        <v>81</v>
      </c>
      <c r="J2328" s="24">
        <v>0</v>
      </c>
      <c r="K2328" s="21">
        <v>0</v>
      </c>
      <c r="L2328" s="21">
        <v>0</v>
      </c>
      <c r="M2328" s="21">
        <f>COUNTIF($A$2:$A$5481,A2328)</f>
        <v>1</v>
      </c>
      <c r="N2328" s="24">
        <f t="shared" si="36"/>
        <v>0.0002328</v>
      </c>
    </row>
    <row r="2329" spans="1:14">
      <c r="A2329" s="21" t="s">
        <v>2658</v>
      </c>
      <c r="B2329" s="21" t="s">
        <v>26</v>
      </c>
      <c r="C2329" s="21" t="s">
        <v>26</v>
      </c>
      <c r="D2329" s="21" t="s">
        <v>921</v>
      </c>
      <c r="E2329" s="21">
        <v>5</v>
      </c>
      <c r="F2329" s="22">
        <v>45973.5481597222</v>
      </c>
      <c r="G2329" s="22"/>
      <c r="H2329" s="23">
        <v>26</v>
      </c>
      <c r="I2329" s="23">
        <v>23.6</v>
      </c>
      <c r="J2329" s="24">
        <v>118</v>
      </c>
      <c r="K2329" s="21">
        <v>0</v>
      </c>
      <c r="L2329" s="21">
        <v>0</v>
      </c>
      <c r="M2329" s="21">
        <f>COUNTIF($A$2:$A$5481,A2329)</f>
        <v>1</v>
      </c>
      <c r="N2329" s="24">
        <f t="shared" si="36"/>
        <v>118.0002329</v>
      </c>
    </row>
    <row r="2330" spans="1:14">
      <c r="A2330" s="21" t="s">
        <v>2659</v>
      </c>
      <c r="B2330" s="21" t="s">
        <v>26</v>
      </c>
      <c r="C2330" s="21" t="s">
        <v>26</v>
      </c>
      <c r="D2330" s="21" t="s">
        <v>921</v>
      </c>
      <c r="E2330" s="21">
        <v>2</v>
      </c>
      <c r="F2330" s="22">
        <v>45818.3865162037</v>
      </c>
      <c r="G2330" s="22"/>
      <c r="H2330" s="23">
        <v>28</v>
      </c>
      <c r="I2330" s="23">
        <v>14</v>
      </c>
      <c r="J2330" s="24">
        <v>28</v>
      </c>
      <c r="K2330" s="21">
        <v>0</v>
      </c>
      <c r="L2330" s="21">
        <v>0</v>
      </c>
      <c r="M2330" s="21">
        <f>COUNTIF($A$2:$A$5481,A2330)</f>
        <v>1</v>
      </c>
      <c r="N2330" s="24">
        <f t="shared" si="36"/>
        <v>28.000233</v>
      </c>
    </row>
    <row r="2331" spans="1:14">
      <c r="A2331" s="21" t="s">
        <v>2660</v>
      </c>
      <c r="B2331" s="21" t="s">
        <v>926</v>
      </c>
      <c r="C2331" s="21" t="s">
        <v>26</v>
      </c>
      <c r="D2331" s="21" t="s">
        <v>921</v>
      </c>
      <c r="E2331" s="21">
        <v>2</v>
      </c>
      <c r="F2331" s="22">
        <v>46233.5557638889</v>
      </c>
      <c r="G2331" s="22"/>
      <c r="H2331" s="23">
        <v>944.48</v>
      </c>
      <c r="I2331" s="23">
        <v>944.48</v>
      </c>
      <c r="J2331" s="24">
        <v>1888.96</v>
      </c>
      <c r="K2331" s="21">
        <v>0</v>
      </c>
      <c r="L2331" s="21">
        <v>0</v>
      </c>
      <c r="M2331" s="21">
        <f>COUNTIF($A$2:$A$5481,A2331)</f>
        <v>1</v>
      </c>
      <c r="N2331" s="24">
        <f t="shared" si="36"/>
        <v>1888.9602331</v>
      </c>
    </row>
    <row r="2332" spans="1:14">
      <c r="A2332" s="21" t="s">
        <v>2661</v>
      </c>
      <c r="B2332" s="21" t="s">
        <v>926</v>
      </c>
      <c r="C2332" s="21" t="s">
        <v>26</v>
      </c>
      <c r="D2332" s="21" t="s">
        <v>921</v>
      </c>
      <c r="E2332" s="21">
        <v>1</v>
      </c>
      <c r="F2332" s="22">
        <v>46210.7104166667</v>
      </c>
      <c r="G2332" s="22"/>
      <c r="H2332" s="23">
        <v>657.33</v>
      </c>
      <c r="I2332" s="23">
        <v>657.33</v>
      </c>
      <c r="J2332" s="24">
        <v>657.33</v>
      </c>
      <c r="K2332" s="21">
        <v>0</v>
      </c>
      <c r="L2332" s="21">
        <v>0</v>
      </c>
      <c r="M2332" s="21">
        <f>COUNTIF($A$2:$A$5481,A2332)</f>
        <v>1</v>
      </c>
      <c r="N2332" s="24">
        <f t="shared" si="36"/>
        <v>657.3302332</v>
      </c>
    </row>
    <row r="2333" spans="1:14">
      <c r="A2333" s="21" t="s">
        <v>2662</v>
      </c>
      <c r="B2333" s="21" t="s">
        <v>948</v>
      </c>
      <c r="C2333" s="21" t="s">
        <v>26</v>
      </c>
      <c r="D2333" s="21" t="s">
        <v>921</v>
      </c>
      <c r="E2333" s="21">
        <v>1</v>
      </c>
      <c r="F2333" s="22">
        <v>45919.4195486111</v>
      </c>
      <c r="G2333" s="22"/>
      <c r="H2333" s="23">
        <v>18</v>
      </c>
      <c r="I2333" s="23">
        <v>18</v>
      </c>
      <c r="J2333" s="24">
        <v>18</v>
      </c>
      <c r="K2333" s="21">
        <v>0</v>
      </c>
      <c r="L2333" s="21">
        <v>0</v>
      </c>
      <c r="M2333" s="21">
        <f>COUNTIF($A$2:$A$5481,A2333)</f>
        <v>1</v>
      </c>
      <c r="N2333" s="24">
        <f t="shared" si="36"/>
        <v>18.0002333</v>
      </c>
    </row>
    <row r="2334" spans="1:14">
      <c r="A2334" s="21" t="s">
        <v>2663</v>
      </c>
      <c r="B2334" s="21" t="s">
        <v>948</v>
      </c>
      <c r="C2334" s="21" t="s">
        <v>641</v>
      </c>
      <c r="D2334" s="21" t="s">
        <v>921</v>
      </c>
      <c r="E2334" s="21">
        <v>3</v>
      </c>
      <c r="F2334" s="22">
        <v>45441.4573611111</v>
      </c>
      <c r="G2334" s="22"/>
      <c r="H2334" s="23">
        <v>132</v>
      </c>
      <c r="I2334" s="23">
        <v>44</v>
      </c>
      <c r="J2334" s="24">
        <v>132</v>
      </c>
      <c r="K2334" s="21">
        <v>0</v>
      </c>
      <c r="L2334" s="21">
        <v>0</v>
      </c>
      <c r="M2334" s="21">
        <f>COUNTIF($A$2:$A$5481,A2334)</f>
        <v>1</v>
      </c>
      <c r="N2334" s="24">
        <f t="shared" si="36"/>
        <v>132.0002334</v>
      </c>
    </row>
    <row r="2335" spans="1:14">
      <c r="A2335" s="21" t="s">
        <v>363</v>
      </c>
      <c r="B2335" s="21" t="s">
        <v>920</v>
      </c>
      <c r="C2335" s="21" t="s">
        <v>26</v>
      </c>
      <c r="D2335" s="21" t="s">
        <v>921</v>
      </c>
      <c r="E2335" s="21">
        <v>12</v>
      </c>
      <c r="F2335" s="22">
        <v>46231.4368055556</v>
      </c>
      <c r="G2335" s="22">
        <v>46122.4071875</v>
      </c>
      <c r="H2335" s="23">
        <v>100</v>
      </c>
      <c r="I2335" s="23">
        <v>25</v>
      </c>
      <c r="J2335" s="24">
        <v>300</v>
      </c>
      <c r="K2335" s="21">
        <v>0</v>
      </c>
      <c r="L2335" s="21">
        <v>0</v>
      </c>
      <c r="M2335" s="21">
        <f>COUNTIF($A$2:$A$5481,A2335)</f>
        <v>1</v>
      </c>
      <c r="N2335" s="24">
        <f t="shared" si="36"/>
        <v>300.0002335</v>
      </c>
    </row>
    <row r="2336" spans="1:14">
      <c r="A2336" s="21" t="s">
        <v>2664</v>
      </c>
      <c r="B2336" s="21" t="s">
        <v>920</v>
      </c>
      <c r="C2336" s="21" t="s">
        <v>26</v>
      </c>
      <c r="D2336" s="21" t="s">
        <v>921</v>
      </c>
      <c r="E2336" s="21">
        <v>4</v>
      </c>
      <c r="F2336" s="22">
        <v>45659.7159722222</v>
      </c>
      <c r="G2336" s="22">
        <v>45937.8134490741</v>
      </c>
      <c r="H2336" s="23">
        <v>354</v>
      </c>
      <c r="I2336" s="23">
        <v>59</v>
      </c>
      <c r="J2336" s="24">
        <v>236</v>
      </c>
      <c r="K2336" s="21">
        <v>0</v>
      </c>
      <c r="L2336" s="21">
        <v>0</v>
      </c>
      <c r="M2336" s="21">
        <f>COUNTIF($A$2:$A$5481,A2336)</f>
        <v>1</v>
      </c>
      <c r="N2336" s="24">
        <f t="shared" si="36"/>
        <v>236.0002336</v>
      </c>
    </row>
    <row r="2337" spans="1:14">
      <c r="A2337" s="21" t="s">
        <v>2665</v>
      </c>
      <c r="B2337" s="21" t="s">
        <v>920</v>
      </c>
      <c r="C2337" s="21" t="s">
        <v>26</v>
      </c>
      <c r="D2337" s="21" t="s">
        <v>921</v>
      </c>
      <c r="E2337" s="21">
        <v>0</v>
      </c>
      <c r="F2337" s="22">
        <v>45811.6516898148</v>
      </c>
      <c r="G2337" s="22">
        <v>46002.4259259259</v>
      </c>
      <c r="H2337" s="23">
        <v>250</v>
      </c>
      <c r="I2337" s="23">
        <v>24.96248</v>
      </c>
      <c r="J2337" s="24">
        <v>0</v>
      </c>
      <c r="K2337" s="21">
        <v>0</v>
      </c>
      <c r="L2337" s="21">
        <v>0</v>
      </c>
      <c r="M2337" s="21">
        <f>COUNTIF($A$2:$A$5481,A2337)</f>
        <v>1</v>
      </c>
      <c r="N2337" s="24">
        <f t="shared" si="36"/>
        <v>0.0002337</v>
      </c>
    </row>
    <row r="2338" spans="1:14">
      <c r="A2338" s="21" t="s">
        <v>2666</v>
      </c>
      <c r="B2338" s="21" t="s">
        <v>920</v>
      </c>
      <c r="C2338" s="21" t="s">
        <v>26</v>
      </c>
      <c r="D2338" s="21" t="s">
        <v>921</v>
      </c>
      <c r="E2338" s="21">
        <v>8</v>
      </c>
      <c r="F2338" s="22">
        <v>46198.6385069444</v>
      </c>
      <c r="G2338" s="22"/>
      <c r="H2338" s="23">
        <v>48</v>
      </c>
      <c r="I2338" s="23">
        <v>12</v>
      </c>
      <c r="J2338" s="24">
        <v>96</v>
      </c>
      <c r="K2338" s="21">
        <v>0</v>
      </c>
      <c r="L2338" s="21">
        <v>0</v>
      </c>
      <c r="M2338" s="21">
        <f>COUNTIF($A$2:$A$5481,A2338)</f>
        <v>1</v>
      </c>
      <c r="N2338" s="24">
        <f t="shared" si="36"/>
        <v>96.0002338</v>
      </c>
    </row>
    <row r="2339" spans="1:14">
      <c r="A2339" s="21" t="s">
        <v>247</v>
      </c>
      <c r="B2339" s="21" t="s">
        <v>26</v>
      </c>
      <c r="C2339" s="21" t="s">
        <v>35</v>
      </c>
      <c r="D2339" s="21" t="s">
        <v>921</v>
      </c>
      <c r="E2339" s="21">
        <v>2</v>
      </c>
      <c r="F2339" s="22">
        <v>45589.3610648148</v>
      </c>
      <c r="G2339" s="22">
        <v>45852.4392592593</v>
      </c>
      <c r="H2339" s="23">
        <v>123.12</v>
      </c>
      <c r="I2339" s="23">
        <v>15.39</v>
      </c>
      <c r="J2339" s="24">
        <v>30.78</v>
      </c>
      <c r="K2339" s="21">
        <v>0</v>
      </c>
      <c r="L2339" s="21">
        <v>0</v>
      </c>
      <c r="M2339" s="21">
        <f>COUNTIF($A$2:$A$5481,A2339)</f>
        <v>2</v>
      </c>
      <c r="N2339" s="24">
        <f t="shared" si="36"/>
        <v>30.7802339</v>
      </c>
    </row>
    <row r="2340" spans="1:14">
      <c r="A2340" s="21" t="s">
        <v>247</v>
      </c>
      <c r="B2340" s="21" t="s">
        <v>26</v>
      </c>
      <c r="C2340" s="21" t="s">
        <v>26</v>
      </c>
      <c r="D2340" s="21" t="s">
        <v>921</v>
      </c>
      <c r="E2340" s="21">
        <v>20</v>
      </c>
      <c r="F2340" s="22">
        <v>46164.5487037037</v>
      </c>
      <c r="G2340" s="22">
        <v>46142.571412037</v>
      </c>
      <c r="H2340" s="23">
        <v>250</v>
      </c>
      <c r="I2340" s="23">
        <v>24.25</v>
      </c>
      <c r="J2340" s="24">
        <v>485</v>
      </c>
      <c r="K2340" s="21">
        <v>0</v>
      </c>
      <c r="L2340" s="21">
        <v>0</v>
      </c>
      <c r="M2340" s="21">
        <f>COUNTIF($A$2:$A$5481,A2340)</f>
        <v>2</v>
      </c>
      <c r="N2340" s="24">
        <f t="shared" si="36"/>
        <v>485.000234</v>
      </c>
    </row>
    <row r="2341" spans="1:14">
      <c r="A2341" s="21" t="s">
        <v>300</v>
      </c>
      <c r="B2341" s="21" t="s">
        <v>920</v>
      </c>
      <c r="C2341" s="21" t="s">
        <v>26</v>
      </c>
      <c r="D2341" s="21" t="s">
        <v>921</v>
      </c>
      <c r="E2341" s="21">
        <v>9</v>
      </c>
      <c r="F2341" s="22">
        <v>46086.7057291667</v>
      </c>
      <c r="G2341" s="22">
        <v>46090.4697800926</v>
      </c>
      <c r="H2341" s="23">
        <v>550</v>
      </c>
      <c r="I2341" s="23">
        <v>66.06</v>
      </c>
      <c r="J2341" s="24">
        <v>594.54</v>
      </c>
      <c r="K2341" s="21">
        <v>0</v>
      </c>
      <c r="L2341" s="21">
        <v>0</v>
      </c>
      <c r="M2341" s="21">
        <f>COUNTIF($A$2:$A$5481,A2341)</f>
        <v>1</v>
      </c>
      <c r="N2341" s="24">
        <f t="shared" si="36"/>
        <v>594.5402341</v>
      </c>
    </row>
    <row r="2342" spans="1:14">
      <c r="A2342" s="21" t="s">
        <v>2667</v>
      </c>
      <c r="B2342" s="21" t="s">
        <v>920</v>
      </c>
      <c r="C2342" s="21" t="s">
        <v>26</v>
      </c>
      <c r="D2342" s="21" t="s">
        <v>921</v>
      </c>
      <c r="E2342" s="21">
        <v>2</v>
      </c>
      <c r="F2342" s="22">
        <v>45407.7394444444</v>
      </c>
      <c r="G2342" s="22"/>
      <c r="H2342" s="23">
        <v>12</v>
      </c>
      <c r="I2342" s="23">
        <v>6</v>
      </c>
      <c r="J2342" s="24">
        <v>12</v>
      </c>
      <c r="K2342" s="21">
        <v>0</v>
      </c>
      <c r="L2342" s="21">
        <v>0</v>
      </c>
      <c r="M2342" s="21">
        <f>COUNTIF($A$2:$A$5481,A2342)</f>
        <v>1</v>
      </c>
      <c r="N2342" s="24">
        <f t="shared" si="36"/>
        <v>12.0002342</v>
      </c>
    </row>
    <row r="2343" spans="1:14">
      <c r="A2343" s="21" t="s">
        <v>2668</v>
      </c>
      <c r="B2343" s="21" t="s">
        <v>929</v>
      </c>
      <c r="C2343" s="21" t="s">
        <v>26</v>
      </c>
      <c r="D2343" s="21" t="s">
        <v>1068</v>
      </c>
      <c r="E2343" s="21">
        <v>6</v>
      </c>
      <c r="F2343" s="22">
        <v>45573.6024421296</v>
      </c>
      <c r="G2343" s="22"/>
      <c r="H2343" s="23">
        <v>777.96</v>
      </c>
      <c r="I2343" s="23">
        <v>129.66</v>
      </c>
      <c r="J2343" s="24">
        <v>777.96</v>
      </c>
      <c r="K2343" s="21">
        <v>0</v>
      </c>
      <c r="L2343" s="21">
        <v>0</v>
      </c>
      <c r="M2343" s="21">
        <f>COUNTIF($A$2:$A$5481,A2343)</f>
        <v>1</v>
      </c>
      <c r="N2343" s="24">
        <f t="shared" si="36"/>
        <v>777.9602343</v>
      </c>
    </row>
    <row r="2344" spans="1:14">
      <c r="A2344" s="21" t="s">
        <v>2669</v>
      </c>
      <c r="B2344" s="21" t="s">
        <v>949</v>
      </c>
      <c r="C2344" s="21" t="s">
        <v>26</v>
      </c>
      <c r="D2344" s="21" t="s">
        <v>921</v>
      </c>
      <c r="E2344" s="21">
        <v>6</v>
      </c>
      <c r="F2344" s="22">
        <v>45460.7237962963</v>
      </c>
      <c r="G2344" s="22"/>
      <c r="H2344" s="23">
        <v>23.94</v>
      </c>
      <c r="I2344" s="23">
        <v>3.99</v>
      </c>
      <c r="J2344" s="24">
        <v>23.94</v>
      </c>
      <c r="K2344" s="21">
        <v>0</v>
      </c>
      <c r="L2344" s="21">
        <v>0</v>
      </c>
      <c r="M2344" s="21">
        <f>COUNTIF($A$2:$A$5481,A2344)</f>
        <v>1</v>
      </c>
      <c r="N2344" s="24">
        <f t="shared" si="36"/>
        <v>23.9402344</v>
      </c>
    </row>
    <row r="2345" spans="1:14">
      <c r="A2345" s="21" t="s">
        <v>418</v>
      </c>
      <c r="B2345" s="21" t="s">
        <v>920</v>
      </c>
      <c r="C2345" s="21" t="s">
        <v>26</v>
      </c>
      <c r="D2345" s="21" t="s">
        <v>921</v>
      </c>
      <c r="E2345" s="21">
        <v>0</v>
      </c>
      <c r="F2345" s="22">
        <v>46190.6121643519</v>
      </c>
      <c r="G2345" s="22">
        <v>46195.6798611111</v>
      </c>
      <c r="H2345" s="23">
        <v>339</v>
      </c>
      <c r="I2345" s="23">
        <v>339</v>
      </c>
      <c r="J2345" s="24">
        <v>0</v>
      </c>
      <c r="K2345" s="21">
        <v>0</v>
      </c>
      <c r="L2345" s="21">
        <v>0</v>
      </c>
      <c r="M2345" s="21">
        <f>COUNTIF($A$2:$A$5481,A2345)</f>
        <v>1</v>
      </c>
      <c r="N2345" s="24">
        <f t="shared" si="36"/>
        <v>0.0002345</v>
      </c>
    </row>
    <row r="2346" spans="1:14">
      <c r="A2346" s="21" t="s">
        <v>2670</v>
      </c>
      <c r="B2346" s="21" t="s">
        <v>920</v>
      </c>
      <c r="C2346" s="21" t="s">
        <v>26</v>
      </c>
      <c r="D2346" s="21" t="s">
        <v>921</v>
      </c>
      <c r="E2346" s="21">
        <v>1</v>
      </c>
      <c r="F2346" s="22">
        <v>46190.5922685185</v>
      </c>
      <c r="G2346" s="22"/>
      <c r="H2346" s="23">
        <v>339</v>
      </c>
      <c r="I2346" s="23">
        <v>339</v>
      </c>
      <c r="J2346" s="24">
        <v>339</v>
      </c>
      <c r="K2346" s="21">
        <v>0</v>
      </c>
      <c r="L2346" s="21">
        <v>0</v>
      </c>
      <c r="M2346" s="21">
        <f>COUNTIF($A$2:$A$5481,A2346)</f>
        <v>1</v>
      </c>
      <c r="N2346" s="24">
        <f t="shared" si="36"/>
        <v>339.0002346</v>
      </c>
    </row>
    <row r="2347" spans="1:14">
      <c r="A2347" s="21" t="s">
        <v>2671</v>
      </c>
      <c r="B2347" s="21" t="s">
        <v>920</v>
      </c>
      <c r="C2347" s="21" t="s">
        <v>26</v>
      </c>
      <c r="D2347" s="21" t="s">
        <v>921</v>
      </c>
      <c r="E2347" s="21">
        <v>1</v>
      </c>
      <c r="F2347" s="22">
        <v>46216.6027777778</v>
      </c>
      <c r="G2347" s="22"/>
      <c r="H2347" s="23">
        <v>191</v>
      </c>
      <c r="I2347" s="23">
        <v>191</v>
      </c>
      <c r="J2347" s="24">
        <v>191</v>
      </c>
      <c r="K2347" s="21">
        <v>0</v>
      </c>
      <c r="L2347" s="21">
        <v>0</v>
      </c>
      <c r="M2347" s="21">
        <f>COUNTIF($A$2:$A$5481,A2347)</f>
        <v>1</v>
      </c>
      <c r="N2347" s="24">
        <f t="shared" si="36"/>
        <v>191.0002347</v>
      </c>
    </row>
    <row r="2348" spans="1:14">
      <c r="A2348" s="21" t="s">
        <v>2672</v>
      </c>
      <c r="B2348" s="21" t="s">
        <v>929</v>
      </c>
      <c r="C2348" s="21" t="s">
        <v>414</v>
      </c>
      <c r="D2348" s="21" t="s">
        <v>921</v>
      </c>
      <c r="E2348" s="21">
        <v>1</v>
      </c>
      <c r="F2348" s="22">
        <v>45281.8021180556</v>
      </c>
      <c r="G2348" s="22"/>
      <c r="H2348" s="23">
        <v>1522.11</v>
      </c>
      <c r="I2348" s="23">
        <v>1522.11</v>
      </c>
      <c r="J2348" s="24">
        <v>1522.11</v>
      </c>
      <c r="K2348" s="21">
        <v>0</v>
      </c>
      <c r="L2348" s="21">
        <v>1</v>
      </c>
      <c r="M2348" s="21">
        <f>COUNTIF($A$2:$A$5481,A2348)</f>
        <v>1</v>
      </c>
      <c r="N2348" s="24">
        <f t="shared" si="36"/>
        <v>1522.1102348</v>
      </c>
    </row>
    <row r="2349" spans="1:14">
      <c r="A2349" s="21" t="s">
        <v>2673</v>
      </c>
      <c r="B2349" s="21" t="s">
        <v>966</v>
      </c>
      <c r="C2349" s="21" t="s">
        <v>414</v>
      </c>
      <c r="D2349" s="21" t="s">
        <v>921</v>
      </c>
      <c r="E2349" s="21">
        <v>1</v>
      </c>
      <c r="F2349" s="22">
        <v>45747.3744328704</v>
      </c>
      <c r="G2349" s="22"/>
      <c r="H2349" s="23">
        <v>25000</v>
      </c>
      <c r="I2349" s="23">
        <v>25000</v>
      </c>
      <c r="J2349" s="24">
        <v>25000</v>
      </c>
      <c r="K2349" s="21">
        <v>0</v>
      </c>
      <c r="L2349" s="21">
        <v>0</v>
      </c>
      <c r="M2349" s="21">
        <f>COUNTIF($A$2:$A$5481,A2349)</f>
        <v>1</v>
      </c>
      <c r="N2349" s="24">
        <f t="shared" si="36"/>
        <v>25000.0002349</v>
      </c>
    </row>
    <row r="2350" spans="1:14">
      <c r="A2350" s="21" t="s">
        <v>2674</v>
      </c>
      <c r="B2350" s="21" t="s">
        <v>26</v>
      </c>
      <c r="C2350" s="21" t="s">
        <v>26</v>
      </c>
      <c r="D2350" s="21" t="s">
        <v>921</v>
      </c>
      <c r="E2350" s="21">
        <v>4</v>
      </c>
      <c r="F2350" s="22">
        <v>45750.4489351852</v>
      </c>
      <c r="G2350" s="22"/>
      <c r="H2350" s="23">
        <v>24.4</v>
      </c>
      <c r="I2350" s="23">
        <v>12.55</v>
      </c>
      <c r="J2350" s="24">
        <v>50.2</v>
      </c>
      <c r="K2350" s="21">
        <v>0</v>
      </c>
      <c r="L2350" s="21">
        <v>0</v>
      </c>
      <c r="M2350" s="21">
        <f>COUNTIF($A$2:$A$5481,A2350)</f>
        <v>1</v>
      </c>
      <c r="N2350" s="24">
        <f t="shared" si="36"/>
        <v>50.200235</v>
      </c>
    </row>
    <row r="2351" spans="1:14">
      <c r="A2351" s="21" t="s">
        <v>2675</v>
      </c>
      <c r="B2351" s="21" t="s">
        <v>966</v>
      </c>
      <c r="C2351" s="21" t="s">
        <v>26</v>
      </c>
      <c r="D2351" s="21" t="s">
        <v>921</v>
      </c>
      <c r="E2351" s="21">
        <v>1</v>
      </c>
      <c r="F2351" s="22">
        <v>45913.4460763889</v>
      </c>
      <c r="G2351" s="22"/>
      <c r="H2351" s="23">
        <v>7999</v>
      </c>
      <c r="I2351" s="23">
        <v>7999</v>
      </c>
      <c r="J2351" s="24">
        <v>7999</v>
      </c>
      <c r="K2351" s="21">
        <v>0</v>
      </c>
      <c r="L2351" s="21">
        <v>0</v>
      </c>
      <c r="M2351" s="21">
        <f>COUNTIF($A$2:$A$5481,A2351)</f>
        <v>1</v>
      </c>
      <c r="N2351" s="24">
        <f t="shared" si="36"/>
        <v>7999.0002351</v>
      </c>
    </row>
    <row r="2352" spans="1:14">
      <c r="A2352" s="21" t="s">
        <v>2676</v>
      </c>
      <c r="B2352" s="21" t="s">
        <v>926</v>
      </c>
      <c r="C2352" s="21" t="s">
        <v>38</v>
      </c>
      <c r="D2352" s="21" t="s">
        <v>921</v>
      </c>
      <c r="E2352" s="21">
        <v>6</v>
      </c>
      <c r="F2352" s="22">
        <v>46108.5423611111</v>
      </c>
      <c r="G2352" s="22"/>
      <c r="H2352" s="23">
        <v>851.18</v>
      </c>
      <c r="I2352" s="23">
        <v>424.8333333333</v>
      </c>
      <c r="J2352" s="24">
        <v>2548.98</v>
      </c>
      <c r="K2352" s="21">
        <v>0</v>
      </c>
      <c r="L2352" s="21">
        <v>0</v>
      </c>
      <c r="M2352" s="21">
        <f>COUNTIF($A$2:$A$5481,A2352)</f>
        <v>1</v>
      </c>
      <c r="N2352" s="24">
        <f t="shared" si="36"/>
        <v>2548.9802352</v>
      </c>
    </row>
    <row r="2353" spans="1:14">
      <c r="A2353" s="21" t="s">
        <v>2677</v>
      </c>
      <c r="B2353" s="21" t="s">
        <v>926</v>
      </c>
      <c r="C2353" s="21" t="s">
        <v>38</v>
      </c>
      <c r="D2353" s="21" t="s">
        <v>921</v>
      </c>
      <c r="E2353" s="21">
        <v>6</v>
      </c>
      <c r="F2353" s="22">
        <v>46108.5423611111</v>
      </c>
      <c r="G2353" s="22"/>
      <c r="H2353" s="23">
        <v>1091.46</v>
      </c>
      <c r="I2353" s="23">
        <v>544.2</v>
      </c>
      <c r="J2353" s="24">
        <v>3265.2</v>
      </c>
      <c r="K2353" s="21">
        <v>0</v>
      </c>
      <c r="L2353" s="21">
        <v>0</v>
      </c>
      <c r="M2353" s="21">
        <f>COUNTIF($A$2:$A$5481,A2353)</f>
        <v>1</v>
      </c>
      <c r="N2353" s="24">
        <f t="shared" si="36"/>
        <v>3265.2002353</v>
      </c>
    </row>
    <row r="2354" spans="1:14">
      <c r="A2354" s="21" t="s">
        <v>2678</v>
      </c>
      <c r="B2354" s="21" t="s">
        <v>926</v>
      </c>
      <c r="C2354" s="21" t="s">
        <v>38</v>
      </c>
      <c r="D2354" s="21" t="s">
        <v>921</v>
      </c>
      <c r="E2354" s="21">
        <v>1</v>
      </c>
      <c r="F2354" s="22">
        <v>45919.3923148148</v>
      </c>
      <c r="G2354" s="22"/>
      <c r="H2354" s="23">
        <v>407.3</v>
      </c>
      <c r="I2354" s="23">
        <v>407.3</v>
      </c>
      <c r="J2354" s="24">
        <v>407.3</v>
      </c>
      <c r="K2354" s="21">
        <v>0</v>
      </c>
      <c r="L2354" s="21">
        <v>0</v>
      </c>
      <c r="M2354" s="21">
        <f>COUNTIF($A$2:$A$5481,A2354)</f>
        <v>1</v>
      </c>
      <c r="N2354" s="24">
        <f t="shared" si="36"/>
        <v>407.3002354</v>
      </c>
    </row>
    <row r="2355" spans="1:14">
      <c r="A2355" s="21" t="s">
        <v>2679</v>
      </c>
      <c r="B2355" s="21" t="s">
        <v>926</v>
      </c>
      <c r="C2355" s="21" t="s">
        <v>38</v>
      </c>
      <c r="D2355" s="21" t="s">
        <v>921</v>
      </c>
      <c r="E2355" s="21">
        <v>6</v>
      </c>
      <c r="F2355" s="22">
        <v>46108.5423611111</v>
      </c>
      <c r="G2355" s="22"/>
      <c r="H2355" s="23">
        <v>1060</v>
      </c>
      <c r="I2355" s="23">
        <v>519.5216666667</v>
      </c>
      <c r="J2355" s="24">
        <v>3117.12</v>
      </c>
      <c r="K2355" s="21">
        <v>0</v>
      </c>
      <c r="L2355" s="21">
        <v>0</v>
      </c>
      <c r="M2355" s="21">
        <f>COUNTIF($A$2:$A$5481,A2355)</f>
        <v>1</v>
      </c>
      <c r="N2355" s="24">
        <f t="shared" si="36"/>
        <v>3117.1202355</v>
      </c>
    </row>
    <row r="2356" spans="1:14">
      <c r="A2356" s="21" t="s">
        <v>2680</v>
      </c>
      <c r="B2356" s="21" t="s">
        <v>926</v>
      </c>
      <c r="C2356" s="21" t="s">
        <v>38</v>
      </c>
      <c r="D2356" s="21" t="s">
        <v>921</v>
      </c>
      <c r="E2356" s="21">
        <v>1</v>
      </c>
      <c r="F2356" s="22">
        <v>45919.3923148148</v>
      </c>
      <c r="G2356" s="22"/>
      <c r="H2356" s="23">
        <v>388.95</v>
      </c>
      <c r="I2356" s="23">
        <v>388.95</v>
      </c>
      <c r="J2356" s="24">
        <v>388.95</v>
      </c>
      <c r="K2356" s="21">
        <v>0</v>
      </c>
      <c r="L2356" s="21">
        <v>0</v>
      </c>
      <c r="M2356" s="21">
        <f>COUNTIF($A$2:$A$5481,A2356)</f>
        <v>1</v>
      </c>
      <c r="N2356" s="24">
        <f t="shared" si="36"/>
        <v>388.9502356</v>
      </c>
    </row>
    <row r="2357" spans="1:14">
      <c r="A2357" s="21" t="s">
        <v>2681</v>
      </c>
      <c r="B2357" s="21" t="s">
        <v>1346</v>
      </c>
      <c r="C2357" s="21" t="s">
        <v>390</v>
      </c>
      <c r="D2357" s="21" t="s">
        <v>921</v>
      </c>
      <c r="E2357" s="21">
        <v>1</v>
      </c>
      <c r="F2357" s="22">
        <v>45486.7145833333</v>
      </c>
      <c r="G2357" s="22"/>
      <c r="H2357" s="23">
        <v>1127.79</v>
      </c>
      <c r="I2357" s="23">
        <v>1127.79</v>
      </c>
      <c r="J2357" s="24">
        <v>1127.79</v>
      </c>
      <c r="K2357" s="21">
        <v>0</v>
      </c>
      <c r="L2357" s="21">
        <v>0</v>
      </c>
      <c r="M2357" s="21">
        <f>COUNTIF($A$2:$A$5481,A2357)</f>
        <v>1</v>
      </c>
      <c r="N2357" s="24">
        <f t="shared" si="36"/>
        <v>1127.7902357</v>
      </c>
    </row>
    <row r="2358" spans="1:14">
      <c r="A2358" s="21" t="s">
        <v>2682</v>
      </c>
      <c r="B2358" s="21" t="s">
        <v>949</v>
      </c>
      <c r="C2358" s="21" t="s">
        <v>182</v>
      </c>
      <c r="D2358" s="21" t="s">
        <v>1584</v>
      </c>
      <c r="E2358" s="21">
        <v>0</v>
      </c>
      <c r="F2358" s="22">
        <v>45307.3745601852</v>
      </c>
      <c r="G2358" s="22">
        <v>45310.4237268519</v>
      </c>
      <c r="H2358" s="23">
        <v>69.9</v>
      </c>
      <c r="I2358" s="23">
        <v>69.9</v>
      </c>
      <c r="J2358" s="24">
        <v>0</v>
      </c>
      <c r="K2358" s="21">
        <v>0</v>
      </c>
      <c r="L2358" s="21">
        <v>0</v>
      </c>
      <c r="M2358" s="21">
        <f>COUNTIF($A$2:$A$5481,A2358)</f>
        <v>2</v>
      </c>
      <c r="N2358" s="24">
        <f t="shared" si="36"/>
        <v>0.0002358</v>
      </c>
    </row>
    <row r="2359" spans="1:14">
      <c r="A2359" s="21" t="s">
        <v>2682</v>
      </c>
      <c r="B2359" s="21" t="s">
        <v>949</v>
      </c>
      <c r="C2359" s="21" t="s">
        <v>26</v>
      </c>
      <c r="D2359" s="21" t="s">
        <v>1584</v>
      </c>
      <c r="E2359" s="21">
        <v>2</v>
      </c>
      <c r="F2359" s="22">
        <v>45338.3729166667</v>
      </c>
      <c r="G2359" s="22">
        <v>45324.4903240741</v>
      </c>
      <c r="H2359" s="23">
        <v>143.8</v>
      </c>
      <c r="I2359" s="23">
        <v>71.9</v>
      </c>
      <c r="J2359" s="24">
        <v>143.8</v>
      </c>
      <c r="K2359" s="21">
        <v>0</v>
      </c>
      <c r="L2359" s="21">
        <v>0</v>
      </c>
      <c r="M2359" s="21">
        <f>COUNTIF($A$2:$A$5481,A2359)</f>
        <v>2</v>
      </c>
      <c r="N2359" s="24">
        <f t="shared" si="36"/>
        <v>143.8002359</v>
      </c>
    </row>
    <row r="2360" spans="1:14">
      <c r="A2360" s="21" t="s">
        <v>615</v>
      </c>
      <c r="B2360" s="21" t="s">
        <v>26</v>
      </c>
      <c r="C2360" s="21" t="s">
        <v>182</v>
      </c>
      <c r="D2360" s="21" t="s">
        <v>921</v>
      </c>
      <c r="E2360" s="21">
        <v>12</v>
      </c>
      <c r="F2360" s="22">
        <v>46260.4125</v>
      </c>
      <c r="G2360" s="22">
        <v>46252.4519907407</v>
      </c>
      <c r="H2360" s="23">
        <v>35.68</v>
      </c>
      <c r="I2360" s="23">
        <v>4.6160606061</v>
      </c>
      <c r="J2360" s="24">
        <v>55.44</v>
      </c>
      <c r="K2360" s="21">
        <v>0</v>
      </c>
      <c r="L2360" s="21">
        <v>0</v>
      </c>
      <c r="M2360" s="21">
        <f>COUNTIF($A$2:$A$5481,A2360)</f>
        <v>1</v>
      </c>
      <c r="N2360" s="24">
        <f t="shared" si="36"/>
        <v>55.440236</v>
      </c>
    </row>
    <row r="2361" spans="1:14">
      <c r="A2361" s="21" t="s">
        <v>305</v>
      </c>
      <c r="B2361" s="21" t="s">
        <v>26</v>
      </c>
      <c r="C2361" s="21" t="s">
        <v>182</v>
      </c>
      <c r="D2361" s="21" t="s">
        <v>921</v>
      </c>
      <c r="E2361" s="21">
        <v>4</v>
      </c>
      <c r="F2361" s="22">
        <v>45979.4186921296</v>
      </c>
      <c r="G2361" s="22">
        <v>46253.3510763889</v>
      </c>
      <c r="H2361" s="23">
        <v>6.2</v>
      </c>
      <c r="I2361" s="23">
        <v>0.705</v>
      </c>
      <c r="J2361" s="24">
        <v>2.84</v>
      </c>
      <c r="K2361" s="21">
        <v>0</v>
      </c>
      <c r="L2361" s="21">
        <v>0</v>
      </c>
      <c r="M2361" s="21">
        <f>COUNTIF($A$2:$A$5481,A2361)</f>
        <v>1</v>
      </c>
      <c r="N2361" s="24">
        <f t="shared" si="36"/>
        <v>2.8402361</v>
      </c>
    </row>
    <row r="2362" spans="1:14">
      <c r="A2362" s="21" t="s">
        <v>2683</v>
      </c>
      <c r="B2362" s="21" t="s">
        <v>26</v>
      </c>
      <c r="C2362" s="21" t="s">
        <v>26</v>
      </c>
      <c r="D2362" s="21" t="s">
        <v>921</v>
      </c>
      <c r="E2362" s="21">
        <v>1</v>
      </c>
      <c r="F2362" s="22">
        <v>45901.7662384259</v>
      </c>
      <c r="G2362" s="22"/>
      <c r="H2362" s="23">
        <v>17.51</v>
      </c>
      <c r="I2362" s="23">
        <v>17.51</v>
      </c>
      <c r="J2362" s="24">
        <v>17.51</v>
      </c>
      <c r="K2362" s="21">
        <v>0</v>
      </c>
      <c r="L2362" s="21">
        <v>0</v>
      </c>
      <c r="M2362" s="21">
        <f>COUNTIF($A$2:$A$5481,A2362)</f>
        <v>1</v>
      </c>
      <c r="N2362" s="24">
        <f t="shared" si="36"/>
        <v>17.5102362</v>
      </c>
    </row>
    <row r="2363" spans="1:14">
      <c r="A2363" s="21" t="s">
        <v>2684</v>
      </c>
      <c r="B2363" s="21" t="s">
        <v>26</v>
      </c>
      <c r="C2363" s="21" t="s">
        <v>26</v>
      </c>
      <c r="D2363" s="21" t="s">
        <v>921</v>
      </c>
      <c r="E2363" s="21">
        <v>1</v>
      </c>
      <c r="F2363" s="22">
        <v>45901.7662384259</v>
      </c>
      <c r="G2363" s="22"/>
      <c r="H2363" s="23">
        <v>17.53</v>
      </c>
      <c r="I2363" s="23">
        <v>17.53</v>
      </c>
      <c r="J2363" s="24">
        <v>17.53</v>
      </c>
      <c r="K2363" s="21">
        <v>0</v>
      </c>
      <c r="L2363" s="21">
        <v>0</v>
      </c>
      <c r="M2363" s="21">
        <f>COUNTIF($A$2:$A$5481,A2363)</f>
        <v>1</v>
      </c>
      <c r="N2363" s="24">
        <f t="shared" si="36"/>
        <v>17.5302363</v>
      </c>
    </row>
    <row r="2364" spans="1:14">
      <c r="A2364" s="21" t="s">
        <v>2685</v>
      </c>
      <c r="B2364" s="21" t="s">
        <v>920</v>
      </c>
      <c r="C2364" s="21" t="s">
        <v>26</v>
      </c>
      <c r="D2364" s="21" t="s">
        <v>921</v>
      </c>
      <c r="E2364" s="21">
        <v>4</v>
      </c>
      <c r="F2364" s="22">
        <v>46247.5618055556</v>
      </c>
      <c r="G2364" s="22"/>
      <c r="H2364" s="23">
        <v>10</v>
      </c>
      <c r="I2364" s="23">
        <v>2.5</v>
      </c>
      <c r="J2364" s="24">
        <v>10</v>
      </c>
      <c r="K2364" s="21">
        <v>0</v>
      </c>
      <c r="L2364" s="21">
        <v>0</v>
      </c>
      <c r="M2364" s="21">
        <f>COUNTIF($A$2:$A$5481,A2364)</f>
        <v>1</v>
      </c>
      <c r="N2364" s="24">
        <f t="shared" si="36"/>
        <v>10.0002364</v>
      </c>
    </row>
    <row r="2365" spans="1:14">
      <c r="A2365" s="21" t="s">
        <v>822</v>
      </c>
      <c r="B2365" s="21" t="s">
        <v>920</v>
      </c>
      <c r="C2365" s="21" t="s">
        <v>26</v>
      </c>
      <c r="D2365" s="21" t="s">
        <v>931</v>
      </c>
      <c r="E2365" s="21">
        <v>7</v>
      </c>
      <c r="F2365" s="22">
        <v>46118.7173611111</v>
      </c>
      <c r="G2365" s="22">
        <v>46265.5706365741</v>
      </c>
      <c r="H2365" s="23">
        <v>560</v>
      </c>
      <c r="I2365" s="23">
        <v>141</v>
      </c>
      <c r="J2365" s="24">
        <v>987</v>
      </c>
      <c r="K2365" s="21">
        <v>0</v>
      </c>
      <c r="L2365" s="21">
        <v>0</v>
      </c>
      <c r="M2365" s="21">
        <f>COUNTIF($A$2:$A$5481,A2365)</f>
        <v>1</v>
      </c>
      <c r="N2365" s="24">
        <f t="shared" si="36"/>
        <v>987.0002365</v>
      </c>
    </row>
    <row r="2366" spans="1:14">
      <c r="A2366" s="21" t="s">
        <v>2686</v>
      </c>
      <c r="B2366" s="21" t="s">
        <v>920</v>
      </c>
      <c r="C2366" s="21" t="s">
        <v>26</v>
      </c>
      <c r="D2366" s="21" t="s">
        <v>921</v>
      </c>
      <c r="E2366" s="21">
        <v>4</v>
      </c>
      <c r="F2366" s="22">
        <v>46231.4368055556</v>
      </c>
      <c r="G2366" s="22"/>
      <c r="H2366" s="23">
        <v>520</v>
      </c>
      <c r="I2366" s="23">
        <v>130</v>
      </c>
      <c r="J2366" s="24">
        <v>520</v>
      </c>
      <c r="K2366" s="21">
        <v>0</v>
      </c>
      <c r="L2366" s="21">
        <v>0</v>
      </c>
      <c r="M2366" s="21">
        <f>COUNTIF($A$2:$A$5481,A2366)</f>
        <v>1</v>
      </c>
      <c r="N2366" s="24">
        <f t="shared" si="36"/>
        <v>520.0002366</v>
      </c>
    </row>
    <row r="2367" spans="1:14">
      <c r="A2367" s="21" t="s">
        <v>186</v>
      </c>
      <c r="B2367" s="21" t="s">
        <v>920</v>
      </c>
      <c r="C2367" s="21" t="s">
        <v>26</v>
      </c>
      <c r="D2367" s="21" t="s">
        <v>921</v>
      </c>
      <c r="E2367" s="21">
        <v>8</v>
      </c>
      <c r="F2367" s="22">
        <v>45967.6450347222</v>
      </c>
      <c r="G2367" s="22">
        <v>46044.4292361111</v>
      </c>
      <c r="H2367" s="23">
        <v>88</v>
      </c>
      <c r="I2367" s="23">
        <v>86.8</v>
      </c>
      <c r="J2367" s="24">
        <v>694.4</v>
      </c>
      <c r="K2367" s="21">
        <v>0</v>
      </c>
      <c r="L2367" s="21">
        <v>0</v>
      </c>
      <c r="M2367" s="21">
        <f>COUNTIF($A$2:$A$5481,A2367)</f>
        <v>1</v>
      </c>
      <c r="N2367" s="24">
        <f t="shared" si="36"/>
        <v>694.4002367</v>
      </c>
    </row>
    <row r="2368" spans="1:14">
      <c r="A2368" s="21" t="s">
        <v>2687</v>
      </c>
      <c r="B2368" s="21" t="s">
        <v>920</v>
      </c>
      <c r="C2368" s="21" t="s">
        <v>26</v>
      </c>
      <c r="D2368" s="21" t="s">
        <v>921</v>
      </c>
      <c r="E2368" s="21">
        <v>0</v>
      </c>
      <c r="F2368" s="22">
        <v>45810.8436342593</v>
      </c>
      <c r="G2368" s="22">
        <v>45975.3462615741</v>
      </c>
      <c r="H2368" s="23">
        <v>658</v>
      </c>
      <c r="I2368" s="23">
        <v>329</v>
      </c>
      <c r="J2368" s="24">
        <v>0</v>
      </c>
      <c r="K2368" s="21">
        <v>0</v>
      </c>
      <c r="L2368" s="21">
        <v>0</v>
      </c>
      <c r="M2368" s="21">
        <f>COUNTIF($A$2:$A$5481,A2368)</f>
        <v>1</v>
      </c>
      <c r="N2368" s="24">
        <f t="shared" si="36"/>
        <v>0.0002368</v>
      </c>
    </row>
    <row r="2369" spans="1:14">
      <c r="A2369" s="21" t="s">
        <v>2688</v>
      </c>
      <c r="B2369" s="21" t="s">
        <v>920</v>
      </c>
      <c r="C2369" s="21" t="s">
        <v>26</v>
      </c>
      <c r="D2369" s="21" t="s">
        <v>921</v>
      </c>
      <c r="E2369" s="21">
        <v>0</v>
      </c>
      <c r="F2369" s="22">
        <v>45699.8347222222</v>
      </c>
      <c r="G2369" s="22">
        <v>45854.3973263889</v>
      </c>
      <c r="H2369" s="23">
        <v>165</v>
      </c>
      <c r="I2369" s="23">
        <v>82.5</v>
      </c>
      <c r="J2369" s="24">
        <v>0</v>
      </c>
      <c r="K2369" s="21">
        <v>0</v>
      </c>
      <c r="L2369" s="21">
        <v>0</v>
      </c>
      <c r="M2369" s="21">
        <f>COUNTIF($A$2:$A$5481,A2369)</f>
        <v>1</v>
      </c>
      <c r="N2369" s="24">
        <f t="shared" si="36"/>
        <v>0.0002369</v>
      </c>
    </row>
    <row r="2370" spans="1:14">
      <c r="A2370" s="21" t="s">
        <v>174</v>
      </c>
      <c r="B2370" s="21" t="s">
        <v>920</v>
      </c>
      <c r="C2370" s="21" t="s">
        <v>35</v>
      </c>
      <c r="D2370" s="21" t="s">
        <v>921</v>
      </c>
      <c r="E2370" s="21">
        <v>1</v>
      </c>
      <c r="F2370" s="22">
        <v>45344.8555208333</v>
      </c>
      <c r="G2370" s="22">
        <v>45659.4057638889</v>
      </c>
      <c r="H2370" s="23">
        <v>80</v>
      </c>
      <c r="I2370" s="23">
        <v>20</v>
      </c>
      <c r="J2370" s="24">
        <v>20</v>
      </c>
      <c r="K2370" s="21">
        <v>1</v>
      </c>
      <c r="L2370" s="21">
        <v>20</v>
      </c>
      <c r="M2370" s="21">
        <f>COUNTIF($A$2:$A$5481,A2370)</f>
        <v>2</v>
      </c>
      <c r="N2370" s="24">
        <f t="shared" ref="N2370:N2433" si="37">J2370+ROW()/10000000</f>
        <v>20.000237</v>
      </c>
    </row>
    <row r="2371" spans="1:14">
      <c r="A2371" s="21" t="s">
        <v>174</v>
      </c>
      <c r="B2371" s="21" t="s">
        <v>920</v>
      </c>
      <c r="C2371" s="21" t="s">
        <v>26</v>
      </c>
      <c r="D2371" s="21" t="s">
        <v>921</v>
      </c>
      <c r="E2371" s="21">
        <v>22</v>
      </c>
      <c r="F2371" s="22">
        <v>45937.6374768519</v>
      </c>
      <c r="G2371" s="22">
        <v>46097.4669097222</v>
      </c>
      <c r="H2371" s="23">
        <v>300</v>
      </c>
      <c r="I2371" s="23">
        <v>21.2666664706</v>
      </c>
      <c r="J2371" s="24">
        <v>467.94</v>
      </c>
      <c r="K2371" s="21">
        <v>1</v>
      </c>
      <c r="L2371" s="21">
        <v>20</v>
      </c>
      <c r="M2371" s="21">
        <f>COUNTIF($A$2:$A$5481,A2371)</f>
        <v>2</v>
      </c>
      <c r="N2371" s="24">
        <f t="shared" si="37"/>
        <v>467.9402371</v>
      </c>
    </row>
    <row r="2372" spans="1:14">
      <c r="A2372" s="21" t="s">
        <v>433</v>
      </c>
      <c r="B2372" s="21" t="s">
        <v>920</v>
      </c>
      <c r="C2372" s="21" t="s">
        <v>35</v>
      </c>
      <c r="D2372" s="21" t="s">
        <v>921</v>
      </c>
      <c r="E2372" s="21">
        <v>0</v>
      </c>
      <c r="F2372" s="22">
        <v>45344.8566550926</v>
      </c>
      <c r="G2372" s="22">
        <v>45362.4507407407</v>
      </c>
      <c r="H2372" s="23">
        <v>80</v>
      </c>
      <c r="I2372" s="23">
        <v>20</v>
      </c>
      <c r="J2372" s="24">
        <v>0</v>
      </c>
      <c r="K2372" s="21">
        <v>1</v>
      </c>
      <c r="L2372" s="21">
        <v>20</v>
      </c>
      <c r="M2372" s="21">
        <f>COUNTIF($A$2:$A$5481,A2372)</f>
        <v>2</v>
      </c>
      <c r="N2372" s="24">
        <f t="shared" si="37"/>
        <v>0.0002372</v>
      </c>
    </row>
    <row r="2373" spans="1:14">
      <c r="A2373" s="21" t="s">
        <v>433</v>
      </c>
      <c r="B2373" s="21" t="s">
        <v>920</v>
      </c>
      <c r="C2373" s="21" t="s">
        <v>26</v>
      </c>
      <c r="D2373" s="21" t="s">
        <v>921</v>
      </c>
      <c r="E2373" s="21">
        <v>16</v>
      </c>
      <c r="F2373" s="22">
        <v>46164.5487037037</v>
      </c>
      <c r="G2373" s="22">
        <v>46266.711099537</v>
      </c>
      <c r="H2373" s="23">
        <v>200</v>
      </c>
      <c r="I2373" s="23">
        <v>20</v>
      </c>
      <c r="J2373" s="24">
        <v>320</v>
      </c>
      <c r="K2373" s="21">
        <v>1</v>
      </c>
      <c r="L2373" s="21">
        <v>20</v>
      </c>
      <c r="M2373" s="21">
        <f>COUNTIF($A$2:$A$5481,A2373)</f>
        <v>2</v>
      </c>
      <c r="N2373" s="24">
        <f t="shared" si="37"/>
        <v>320.0002373</v>
      </c>
    </row>
    <row r="2374" spans="1:14">
      <c r="A2374" s="21" t="s">
        <v>2689</v>
      </c>
      <c r="B2374" s="21" t="s">
        <v>26</v>
      </c>
      <c r="C2374" s="21" t="s">
        <v>26</v>
      </c>
      <c r="D2374" s="21" t="s">
        <v>921</v>
      </c>
      <c r="E2374" s="21">
        <v>3</v>
      </c>
      <c r="F2374" s="22">
        <v>45492.4109722222</v>
      </c>
      <c r="G2374" s="22"/>
      <c r="H2374" s="23">
        <v>105</v>
      </c>
      <c r="I2374" s="23">
        <v>35</v>
      </c>
      <c r="J2374" s="24">
        <v>105</v>
      </c>
      <c r="K2374" s="21">
        <v>0</v>
      </c>
      <c r="L2374" s="21">
        <v>0</v>
      </c>
      <c r="M2374" s="21">
        <f>COUNTIF($A$2:$A$5481,A2374)</f>
        <v>1</v>
      </c>
      <c r="N2374" s="24">
        <f t="shared" si="37"/>
        <v>105.0002374</v>
      </c>
    </row>
    <row r="2375" spans="1:14">
      <c r="A2375" s="21" t="s">
        <v>334</v>
      </c>
      <c r="B2375" s="21" t="s">
        <v>920</v>
      </c>
      <c r="C2375" s="21" t="s">
        <v>26</v>
      </c>
      <c r="D2375" s="21" t="s">
        <v>921</v>
      </c>
      <c r="E2375" s="21">
        <v>0</v>
      </c>
      <c r="F2375" s="22">
        <v>46091.3590277778</v>
      </c>
      <c r="G2375" s="22">
        <v>46120.5678703704</v>
      </c>
      <c r="H2375" s="23">
        <v>40.02</v>
      </c>
      <c r="I2375" s="23">
        <v>40.02</v>
      </c>
      <c r="J2375" s="24">
        <v>0</v>
      </c>
      <c r="K2375" s="21">
        <v>0</v>
      </c>
      <c r="L2375" s="21">
        <v>0</v>
      </c>
      <c r="M2375" s="21">
        <f>COUNTIF($A$2:$A$5481,A2375)</f>
        <v>1</v>
      </c>
      <c r="N2375" s="24">
        <f t="shared" si="37"/>
        <v>0.0002375</v>
      </c>
    </row>
    <row r="2376" spans="1:14">
      <c r="A2376" s="21" t="s">
        <v>333</v>
      </c>
      <c r="B2376" s="21" t="s">
        <v>920</v>
      </c>
      <c r="C2376" s="21" t="s">
        <v>26</v>
      </c>
      <c r="D2376" s="21" t="s">
        <v>921</v>
      </c>
      <c r="E2376" s="21">
        <v>0</v>
      </c>
      <c r="F2376" s="22">
        <v>46091.3590277778</v>
      </c>
      <c r="G2376" s="22">
        <v>46120.5678587963</v>
      </c>
      <c r="H2376" s="23">
        <v>40.02</v>
      </c>
      <c r="I2376" s="23">
        <v>40.02</v>
      </c>
      <c r="J2376" s="24">
        <v>0</v>
      </c>
      <c r="K2376" s="21">
        <v>0</v>
      </c>
      <c r="L2376" s="21">
        <v>0</v>
      </c>
      <c r="M2376" s="21">
        <f>COUNTIF($A$2:$A$5481,A2376)</f>
        <v>1</v>
      </c>
      <c r="N2376" s="24">
        <f t="shared" si="37"/>
        <v>0.0002376</v>
      </c>
    </row>
    <row r="2377" spans="1:14">
      <c r="A2377" s="21" t="s">
        <v>2690</v>
      </c>
      <c r="B2377" s="21" t="s">
        <v>920</v>
      </c>
      <c r="C2377" s="21" t="s">
        <v>26</v>
      </c>
      <c r="D2377" s="21" t="s">
        <v>921</v>
      </c>
      <c r="E2377" s="21">
        <v>3</v>
      </c>
      <c r="F2377" s="22">
        <v>46091.3590277778</v>
      </c>
      <c r="G2377" s="22"/>
      <c r="H2377" s="23">
        <v>120.06</v>
      </c>
      <c r="I2377" s="23">
        <v>40.02</v>
      </c>
      <c r="J2377" s="24">
        <v>120.06</v>
      </c>
      <c r="K2377" s="21">
        <v>0</v>
      </c>
      <c r="L2377" s="21">
        <v>0</v>
      </c>
      <c r="M2377" s="21">
        <f>COUNTIF($A$2:$A$5481,A2377)</f>
        <v>1</v>
      </c>
      <c r="N2377" s="24">
        <f t="shared" si="37"/>
        <v>120.0602377</v>
      </c>
    </row>
    <row r="2378" spans="1:14">
      <c r="A2378" s="21" t="s">
        <v>2691</v>
      </c>
      <c r="B2378" s="21" t="s">
        <v>920</v>
      </c>
      <c r="C2378" s="21" t="s">
        <v>26</v>
      </c>
      <c r="D2378" s="21" t="s">
        <v>921</v>
      </c>
      <c r="E2378" s="21">
        <v>5</v>
      </c>
      <c r="F2378" s="22">
        <v>45567.8401388889</v>
      </c>
      <c r="G2378" s="22">
        <v>45779.8357175926</v>
      </c>
      <c r="H2378" s="23">
        <v>432</v>
      </c>
      <c r="I2378" s="23">
        <v>67.66667</v>
      </c>
      <c r="J2378" s="24">
        <v>338.35</v>
      </c>
      <c r="K2378" s="21">
        <v>0</v>
      </c>
      <c r="L2378" s="21">
        <v>0</v>
      </c>
      <c r="M2378" s="21">
        <f>COUNTIF($A$2:$A$5481,A2378)</f>
        <v>1</v>
      </c>
      <c r="N2378" s="24">
        <f t="shared" si="37"/>
        <v>338.3502378</v>
      </c>
    </row>
    <row r="2379" spans="1:14">
      <c r="A2379" s="21" t="s">
        <v>360</v>
      </c>
      <c r="B2379" s="21" t="s">
        <v>920</v>
      </c>
      <c r="C2379" s="21" t="s">
        <v>26</v>
      </c>
      <c r="D2379" s="21" t="s">
        <v>921</v>
      </c>
      <c r="E2379" s="21">
        <v>4</v>
      </c>
      <c r="F2379" s="22">
        <v>45490.3456365741</v>
      </c>
      <c r="G2379" s="22">
        <v>46122.394837963</v>
      </c>
      <c r="H2379" s="23">
        <v>1196</v>
      </c>
      <c r="I2379" s="23">
        <v>269.75</v>
      </c>
      <c r="J2379" s="24">
        <v>1079</v>
      </c>
      <c r="K2379" s="21">
        <v>0</v>
      </c>
      <c r="L2379" s="21">
        <v>0</v>
      </c>
      <c r="M2379" s="21">
        <f>COUNTIF($A$2:$A$5481,A2379)</f>
        <v>1</v>
      </c>
      <c r="N2379" s="24">
        <f t="shared" si="37"/>
        <v>1079.0002379</v>
      </c>
    </row>
    <row r="2380" spans="1:14">
      <c r="A2380" s="21" t="s">
        <v>359</v>
      </c>
      <c r="B2380" s="21" t="s">
        <v>920</v>
      </c>
      <c r="C2380" s="21" t="s">
        <v>26</v>
      </c>
      <c r="D2380" s="21" t="s">
        <v>921</v>
      </c>
      <c r="E2380" s="21">
        <v>1</v>
      </c>
      <c r="F2380" s="22">
        <v>45490.3456365741</v>
      </c>
      <c r="G2380" s="22">
        <v>46122.3948263889</v>
      </c>
      <c r="H2380" s="23">
        <v>1196</v>
      </c>
      <c r="I2380" s="23">
        <v>270</v>
      </c>
      <c r="J2380" s="24">
        <v>270</v>
      </c>
      <c r="K2380" s="21">
        <v>0</v>
      </c>
      <c r="L2380" s="21">
        <v>0</v>
      </c>
      <c r="M2380" s="21">
        <f>COUNTIF($A$2:$A$5481,A2380)</f>
        <v>1</v>
      </c>
      <c r="N2380" s="24">
        <f t="shared" si="37"/>
        <v>270.000238</v>
      </c>
    </row>
    <row r="2381" spans="1:14">
      <c r="A2381" s="21" t="s">
        <v>2692</v>
      </c>
      <c r="B2381" s="21" t="s">
        <v>920</v>
      </c>
      <c r="C2381" s="21" t="s">
        <v>35</v>
      </c>
      <c r="D2381" s="21" t="s">
        <v>921</v>
      </c>
      <c r="E2381" s="21">
        <v>0</v>
      </c>
      <c r="F2381" s="22">
        <v>45344.8486921296</v>
      </c>
      <c r="G2381" s="22">
        <v>45372.4702546296</v>
      </c>
      <c r="H2381" s="23">
        <v>100</v>
      </c>
      <c r="I2381" s="23">
        <v>25</v>
      </c>
      <c r="J2381" s="24">
        <v>0</v>
      </c>
      <c r="K2381" s="21">
        <v>1</v>
      </c>
      <c r="L2381" s="21">
        <v>20</v>
      </c>
      <c r="M2381" s="21">
        <f>COUNTIF($A$2:$A$5481,A2381)</f>
        <v>1</v>
      </c>
      <c r="N2381" s="24">
        <f t="shared" si="37"/>
        <v>0.0002381</v>
      </c>
    </row>
    <row r="2382" spans="1:14">
      <c r="A2382" s="21" t="s">
        <v>198</v>
      </c>
      <c r="B2382" s="21" t="s">
        <v>920</v>
      </c>
      <c r="C2382" s="21" t="s">
        <v>26</v>
      </c>
      <c r="D2382" s="21" t="s">
        <v>921</v>
      </c>
      <c r="E2382" s="21">
        <v>15</v>
      </c>
      <c r="F2382" s="22">
        <v>45856.700150463</v>
      </c>
      <c r="G2382" s="22">
        <v>46122.3914930556</v>
      </c>
      <c r="H2382" s="23">
        <v>625</v>
      </c>
      <c r="I2382" s="23">
        <v>25</v>
      </c>
      <c r="J2382" s="24">
        <v>375</v>
      </c>
      <c r="K2382" s="21">
        <v>0</v>
      </c>
      <c r="L2382" s="21">
        <v>0</v>
      </c>
      <c r="M2382" s="21">
        <f>COUNTIF($A$2:$A$5481,A2382)</f>
        <v>1</v>
      </c>
      <c r="N2382" s="24">
        <f t="shared" si="37"/>
        <v>375.0002382</v>
      </c>
    </row>
    <row r="2383" spans="1:14">
      <c r="A2383" s="21" t="s">
        <v>171</v>
      </c>
      <c r="B2383" s="21" t="s">
        <v>920</v>
      </c>
      <c r="C2383" s="21" t="s">
        <v>26</v>
      </c>
      <c r="D2383" s="21" t="s">
        <v>921</v>
      </c>
      <c r="E2383" s="21">
        <v>18</v>
      </c>
      <c r="F2383" s="22">
        <v>46037.5857175926</v>
      </c>
      <c r="G2383" s="22">
        <v>46044.4357407407</v>
      </c>
      <c r="H2383" s="23">
        <v>112</v>
      </c>
      <c r="I2383" s="23">
        <v>31.5929827368</v>
      </c>
      <c r="J2383" s="24">
        <v>568.62</v>
      </c>
      <c r="K2383" s="21">
        <v>0</v>
      </c>
      <c r="L2383" s="21">
        <v>0</v>
      </c>
      <c r="M2383" s="21">
        <f>COUNTIF($A$2:$A$5481,A2383)</f>
        <v>1</v>
      </c>
      <c r="N2383" s="24">
        <f t="shared" si="37"/>
        <v>568.6202383</v>
      </c>
    </row>
    <row r="2384" spans="1:14">
      <c r="A2384" s="21" t="s">
        <v>67</v>
      </c>
      <c r="B2384" s="21" t="s">
        <v>920</v>
      </c>
      <c r="C2384" s="21" t="s">
        <v>26</v>
      </c>
      <c r="D2384" s="21" t="s">
        <v>921</v>
      </c>
      <c r="E2384" s="21">
        <v>5</v>
      </c>
      <c r="F2384" s="22">
        <v>46126.5510532407</v>
      </c>
      <c r="G2384" s="22">
        <v>46283.6724421296</v>
      </c>
      <c r="H2384" s="23">
        <v>538</v>
      </c>
      <c r="I2384" s="23">
        <v>28.8450623526</v>
      </c>
      <c r="J2384" s="24">
        <v>144.25</v>
      </c>
      <c r="K2384" s="21">
        <v>0</v>
      </c>
      <c r="L2384" s="21">
        <v>0</v>
      </c>
      <c r="M2384" s="21">
        <f>COUNTIF($A$2:$A$5481,A2384)</f>
        <v>1</v>
      </c>
      <c r="N2384" s="24">
        <f t="shared" si="37"/>
        <v>144.2502384</v>
      </c>
    </row>
    <row r="2385" spans="1:14">
      <c r="A2385" s="21" t="s">
        <v>175</v>
      </c>
      <c r="B2385" s="21" t="s">
        <v>920</v>
      </c>
      <c r="C2385" s="21" t="s">
        <v>26</v>
      </c>
      <c r="D2385" s="21" t="s">
        <v>921</v>
      </c>
      <c r="E2385" s="21">
        <v>40</v>
      </c>
      <c r="F2385" s="22">
        <v>46042.5588425926</v>
      </c>
      <c r="G2385" s="22">
        <v>46142.5668865741</v>
      </c>
      <c r="H2385" s="23">
        <v>432</v>
      </c>
      <c r="I2385" s="23">
        <v>53.0998783721</v>
      </c>
      <c r="J2385" s="24">
        <v>2124</v>
      </c>
      <c r="K2385" s="21">
        <v>0</v>
      </c>
      <c r="L2385" s="21">
        <v>0</v>
      </c>
      <c r="M2385" s="21">
        <f>COUNTIF($A$2:$A$5481,A2385)</f>
        <v>1</v>
      </c>
      <c r="N2385" s="24">
        <f t="shared" si="37"/>
        <v>2124.0002385</v>
      </c>
    </row>
    <row r="2386" spans="1:14">
      <c r="A2386" s="21" t="s">
        <v>2693</v>
      </c>
      <c r="B2386" s="21" t="s">
        <v>920</v>
      </c>
      <c r="C2386" s="21" t="s">
        <v>35</v>
      </c>
      <c r="D2386" s="21" t="s">
        <v>921</v>
      </c>
      <c r="E2386" s="21">
        <v>1</v>
      </c>
      <c r="F2386" s="22">
        <v>45272.3393055556</v>
      </c>
      <c r="G2386" s="22">
        <v>45498.4365740741</v>
      </c>
      <c r="H2386" s="23">
        <v>86.6</v>
      </c>
      <c r="I2386" s="23">
        <v>21.65</v>
      </c>
      <c r="J2386" s="24">
        <v>21.65</v>
      </c>
      <c r="K2386" s="21">
        <v>0</v>
      </c>
      <c r="L2386" s="21">
        <v>0</v>
      </c>
      <c r="M2386" s="21">
        <f>COUNTIF($A$2:$A$5481,A2386)</f>
        <v>2</v>
      </c>
      <c r="N2386" s="24">
        <f t="shared" si="37"/>
        <v>21.6502386</v>
      </c>
    </row>
    <row r="2387" spans="1:14">
      <c r="A2387" s="21" t="s">
        <v>2693</v>
      </c>
      <c r="B2387" s="21" t="s">
        <v>920</v>
      </c>
      <c r="C2387" s="21" t="s">
        <v>26</v>
      </c>
      <c r="D2387" s="21" t="s">
        <v>921</v>
      </c>
      <c r="E2387" s="21">
        <v>7</v>
      </c>
      <c r="F2387" s="22">
        <v>45527.4338310185</v>
      </c>
      <c r="G2387" s="22">
        <v>45643.5943518519</v>
      </c>
      <c r="H2387" s="23">
        <v>80</v>
      </c>
      <c r="I2387" s="23">
        <v>47.2</v>
      </c>
      <c r="J2387" s="24">
        <v>330.4</v>
      </c>
      <c r="K2387" s="21">
        <v>0</v>
      </c>
      <c r="L2387" s="21">
        <v>0</v>
      </c>
      <c r="M2387" s="21">
        <f>COUNTIF($A$2:$A$5481,A2387)</f>
        <v>2</v>
      </c>
      <c r="N2387" s="24">
        <f t="shared" si="37"/>
        <v>330.4002387</v>
      </c>
    </row>
    <row r="2388" spans="1:14">
      <c r="A2388" s="21" t="s">
        <v>2694</v>
      </c>
      <c r="B2388" s="21" t="s">
        <v>920</v>
      </c>
      <c r="C2388" s="21" t="s">
        <v>35</v>
      </c>
      <c r="D2388" s="21" t="s">
        <v>921</v>
      </c>
      <c r="E2388" s="21">
        <v>-2</v>
      </c>
      <c r="F2388" s="22">
        <v>45267.5933333333</v>
      </c>
      <c r="G2388" s="22">
        <v>45433.869212963</v>
      </c>
      <c r="H2388" s="23">
        <v>75.16</v>
      </c>
      <c r="I2388" s="23">
        <v>0</v>
      </c>
      <c r="J2388" s="24">
        <v>0</v>
      </c>
      <c r="K2388" s="21">
        <v>0</v>
      </c>
      <c r="L2388" s="21">
        <v>0</v>
      </c>
      <c r="M2388" s="21">
        <f>COUNTIF($A$2:$A$5481,A2388)</f>
        <v>2</v>
      </c>
      <c r="N2388" s="24">
        <f t="shared" si="37"/>
        <v>0.0002388</v>
      </c>
    </row>
    <row r="2389" spans="1:14">
      <c r="A2389" s="21" t="s">
        <v>2694</v>
      </c>
      <c r="B2389" s="21" t="s">
        <v>920</v>
      </c>
      <c r="C2389" s="21" t="s">
        <v>26</v>
      </c>
      <c r="D2389" s="21" t="s">
        <v>921</v>
      </c>
      <c r="E2389" s="21">
        <v>0</v>
      </c>
      <c r="F2389" s="22">
        <v>45485.8330324074</v>
      </c>
      <c r="G2389" s="22">
        <v>45691.3810763889</v>
      </c>
      <c r="H2389" s="23">
        <v>150</v>
      </c>
      <c r="I2389" s="23">
        <v>25</v>
      </c>
      <c r="J2389" s="24">
        <v>0</v>
      </c>
      <c r="K2389" s="21">
        <v>0</v>
      </c>
      <c r="L2389" s="21">
        <v>0</v>
      </c>
      <c r="M2389" s="21">
        <f>COUNTIF($A$2:$A$5481,A2389)</f>
        <v>2</v>
      </c>
      <c r="N2389" s="24">
        <f t="shared" si="37"/>
        <v>0.0002389</v>
      </c>
    </row>
    <row r="2390" spans="1:14">
      <c r="A2390" s="21" t="s">
        <v>63</v>
      </c>
      <c r="B2390" s="21" t="s">
        <v>920</v>
      </c>
      <c r="C2390" s="21" t="s">
        <v>26</v>
      </c>
      <c r="D2390" s="21" t="s">
        <v>921</v>
      </c>
      <c r="E2390" s="21">
        <v>3</v>
      </c>
      <c r="F2390" s="22">
        <v>46220.5863541667</v>
      </c>
      <c r="G2390" s="22">
        <v>46283.6559375</v>
      </c>
      <c r="H2390" s="23">
        <v>112</v>
      </c>
      <c r="I2390" s="23">
        <v>28</v>
      </c>
      <c r="J2390" s="24">
        <v>84</v>
      </c>
      <c r="K2390" s="21">
        <v>0</v>
      </c>
      <c r="L2390" s="21">
        <v>0</v>
      </c>
      <c r="M2390" s="21">
        <f>COUNTIF($A$2:$A$5481,A2390)</f>
        <v>1</v>
      </c>
      <c r="N2390" s="24">
        <f t="shared" si="37"/>
        <v>84.000239</v>
      </c>
    </row>
    <row r="2391" spans="1:14">
      <c r="A2391" s="21" t="s">
        <v>325</v>
      </c>
      <c r="B2391" s="21" t="s">
        <v>920</v>
      </c>
      <c r="C2391" s="21" t="s">
        <v>26</v>
      </c>
      <c r="D2391" s="21" t="s">
        <v>921</v>
      </c>
      <c r="E2391" s="21">
        <v>1</v>
      </c>
      <c r="F2391" s="22">
        <v>46220.5863541667</v>
      </c>
      <c r="G2391" s="22">
        <v>46275.5612384259</v>
      </c>
      <c r="H2391" s="23">
        <v>168</v>
      </c>
      <c r="I2391" s="23">
        <v>28.00000075</v>
      </c>
      <c r="J2391" s="24">
        <v>28</v>
      </c>
      <c r="K2391" s="21">
        <v>0</v>
      </c>
      <c r="L2391" s="21">
        <v>0</v>
      </c>
      <c r="M2391" s="21">
        <f>COUNTIF($A$2:$A$5481,A2391)</f>
        <v>1</v>
      </c>
      <c r="N2391" s="24">
        <f t="shared" si="37"/>
        <v>28.0002391</v>
      </c>
    </row>
    <row r="2392" spans="1:14">
      <c r="A2392" s="21" t="s">
        <v>2695</v>
      </c>
      <c r="B2392" s="21" t="s">
        <v>920</v>
      </c>
      <c r="C2392" s="21" t="s">
        <v>26</v>
      </c>
      <c r="D2392" s="21" t="s">
        <v>921</v>
      </c>
      <c r="E2392" s="21">
        <v>2</v>
      </c>
      <c r="F2392" s="22">
        <v>46072.5274884259</v>
      </c>
      <c r="G2392" s="22"/>
      <c r="H2392" s="23">
        <v>158</v>
      </c>
      <c r="I2392" s="23">
        <v>79</v>
      </c>
      <c r="J2392" s="24">
        <v>158</v>
      </c>
      <c r="K2392" s="21">
        <v>0</v>
      </c>
      <c r="L2392" s="21">
        <v>0</v>
      </c>
      <c r="M2392" s="21">
        <f>COUNTIF($A$2:$A$5481,A2392)</f>
        <v>1</v>
      </c>
      <c r="N2392" s="24">
        <f t="shared" si="37"/>
        <v>158.0002392</v>
      </c>
    </row>
    <row r="2393" spans="1:14">
      <c r="A2393" s="21" t="s">
        <v>231</v>
      </c>
      <c r="B2393" s="21" t="s">
        <v>920</v>
      </c>
      <c r="C2393" s="21" t="s">
        <v>26</v>
      </c>
      <c r="D2393" s="21" t="s">
        <v>931</v>
      </c>
      <c r="E2393" s="21">
        <v>18</v>
      </c>
      <c r="F2393" s="22">
        <v>46190.7198032407</v>
      </c>
      <c r="G2393" s="22">
        <v>46142.5734143519</v>
      </c>
      <c r="H2393" s="23">
        <v>66</v>
      </c>
      <c r="I2393" s="23">
        <v>65.7934027778</v>
      </c>
      <c r="J2393" s="24">
        <v>1184.22</v>
      </c>
      <c r="K2393" s="21">
        <v>0</v>
      </c>
      <c r="L2393" s="21">
        <v>0</v>
      </c>
      <c r="M2393" s="21">
        <f>COUNTIF($A$2:$A$5481,A2393)</f>
        <v>1</v>
      </c>
      <c r="N2393" s="24">
        <f t="shared" si="37"/>
        <v>1184.2202393</v>
      </c>
    </row>
    <row r="2394" spans="1:14">
      <c r="A2394" s="21" t="s">
        <v>307</v>
      </c>
      <c r="B2394" s="21" t="s">
        <v>920</v>
      </c>
      <c r="C2394" s="21" t="s">
        <v>26</v>
      </c>
      <c r="D2394" s="21" t="s">
        <v>921</v>
      </c>
      <c r="E2394" s="21">
        <v>4</v>
      </c>
      <c r="F2394" s="22">
        <v>46037.5857175926</v>
      </c>
      <c r="G2394" s="22">
        <v>46111.5336226852</v>
      </c>
      <c r="H2394" s="23">
        <v>720</v>
      </c>
      <c r="I2394" s="23">
        <v>120</v>
      </c>
      <c r="J2394" s="24">
        <v>480</v>
      </c>
      <c r="K2394" s="21">
        <v>0</v>
      </c>
      <c r="L2394" s="21">
        <v>0</v>
      </c>
      <c r="M2394" s="21">
        <f>COUNTIF($A$2:$A$5481,A2394)</f>
        <v>1</v>
      </c>
      <c r="N2394" s="24">
        <f t="shared" si="37"/>
        <v>480.0002394</v>
      </c>
    </row>
    <row r="2395" spans="1:14">
      <c r="A2395" s="21" t="s">
        <v>2696</v>
      </c>
      <c r="B2395" s="21" t="s">
        <v>920</v>
      </c>
      <c r="C2395" s="21" t="s">
        <v>26</v>
      </c>
      <c r="D2395" s="21" t="s">
        <v>921</v>
      </c>
      <c r="E2395" s="21">
        <v>2</v>
      </c>
      <c r="F2395" s="22">
        <v>45950.5730671296</v>
      </c>
      <c r="G2395" s="22">
        <v>45958.4228240741</v>
      </c>
      <c r="H2395" s="23">
        <v>168</v>
      </c>
      <c r="I2395" s="23">
        <v>42</v>
      </c>
      <c r="J2395" s="24">
        <v>84</v>
      </c>
      <c r="K2395" s="21">
        <v>0</v>
      </c>
      <c r="L2395" s="21">
        <v>0</v>
      </c>
      <c r="M2395" s="21">
        <f>COUNTIF($A$2:$A$5481,A2395)</f>
        <v>1</v>
      </c>
      <c r="N2395" s="24">
        <f t="shared" si="37"/>
        <v>84.0002395</v>
      </c>
    </row>
    <row r="2396" spans="1:14">
      <c r="A2396" s="21" t="s">
        <v>446</v>
      </c>
      <c r="B2396" s="21" t="s">
        <v>920</v>
      </c>
      <c r="C2396" s="21" t="s">
        <v>35</v>
      </c>
      <c r="D2396" s="21" t="s">
        <v>921</v>
      </c>
      <c r="E2396" s="21">
        <v>0</v>
      </c>
      <c r="F2396" s="22">
        <v>45344.851087963</v>
      </c>
      <c r="G2396" s="22">
        <v>45359.3952777778</v>
      </c>
      <c r="H2396" s="23">
        <v>420</v>
      </c>
      <c r="I2396" s="23">
        <v>210</v>
      </c>
      <c r="J2396" s="24">
        <v>0</v>
      </c>
      <c r="K2396" s="21">
        <v>1</v>
      </c>
      <c r="L2396" s="21">
        <v>20</v>
      </c>
      <c r="M2396" s="21">
        <f>COUNTIF($A$2:$A$5481,A2396)</f>
        <v>2</v>
      </c>
      <c r="N2396" s="24">
        <f t="shared" si="37"/>
        <v>0.0002396</v>
      </c>
    </row>
    <row r="2397" spans="1:14">
      <c r="A2397" s="21" t="s">
        <v>446</v>
      </c>
      <c r="B2397" s="21" t="s">
        <v>920</v>
      </c>
      <c r="C2397" s="21" t="s">
        <v>26</v>
      </c>
      <c r="D2397" s="21" t="s">
        <v>921</v>
      </c>
      <c r="E2397" s="21">
        <v>2</v>
      </c>
      <c r="F2397" s="22">
        <v>46164.5487037037</v>
      </c>
      <c r="G2397" s="22">
        <v>46205.7098726852</v>
      </c>
      <c r="H2397" s="23">
        <v>780</v>
      </c>
      <c r="I2397" s="23">
        <v>259.9999933333</v>
      </c>
      <c r="J2397" s="24">
        <v>520</v>
      </c>
      <c r="K2397" s="21">
        <v>1</v>
      </c>
      <c r="L2397" s="21">
        <v>20</v>
      </c>
      <c r="M2397" s="21">
        <f>COUNTIF($A$2:$A$5481,A2397)</f>
        <v>2</v>
      </c>
      <c r="N2397" s="24">
        <f t="shared" si="37"/>
        <v>520.0002397</v>
      </c>
    </row>
    <row r="2398" spans="1:14">
      <c r="A2398" s="21" t="s">
        <v>179</v>
      </c>
      <c r="B2398" s="21" t="s">
        <v>920</v>
      </c>
      <c r="C2398" s="21" t="s">
        <v>35</v>
      </c>
      <c r="D2398" s="21" t="s">
        <v>921</v>
      </c>
      <c r="E2398" s="21">
        <v>0</v>
      </c>
      <c r="F2398" s="22">
        <v>45344.8538541667</v>
      </c>
      <c r="G2398" s="22">
        <v>45428.8184953704</v>
      </c>
      <c r="H2398" s="23">
        <v>420</v>
      </c>
      <c r="I2398" s="23">
        <v>210</v>
      </c>
      <c r="J2398" s="24">
        <v>0</v>
      </c>
      <c r="K2398" s="21">
        <v>1</v>
      </c>
      <c r="L2398" s="21">
        <v>20</v>
      </c>
      <c r="M2398" s="21">
        <f>COUNTIF($A$2:$A$5481,A2398)</f>
        <v>2</v>
      </c>
      <c r="N2398" s="24">
        <f t="shared" si="37"/>
        <v>0.0002398</v>
      </c>
    </row>
    <row r="2399" spans="1:14">
      <c r="A2399" s="21" t="s">
        <v>179</v>
      </c>
      <c r="B2399" s="21" t="s">
        <v>920</v>
      </c>
      <c r="C2399" s="21" t="s">
        <v>26</v>
      </c>
      <c r="D2399" s="21" t="s">
        <v>921</v>
      </c>
      <c r="E2399" s="21">
        <v>5</v>
      </c>
      <c r="F2399" s="22">
        <v>46164.5487037037</v>
      </c>
      <c r="G2399" s="22">
        <v>46205.7098611111</v>
      </c>
      <c r="H2399" s="23">
        <v>1040</v>
      </c>
      <c r="I2399" s="23">
        <v>253.3333311111</v>
      </c>
      <c r="J2399" s="24">
        <v>1266.65</v>
      </c>
      <c r="K2399" s="21">
        <v>1</v>
      </c>
      <c r="L2399" s="21">
        <v>20</v>
      </c>
      <c r="M2399" s="21">
        <f>COUNTIF($A$2:$A$5481,A2399)</f>
        <v>2</v>
      </c>
      <c r="N2399" s="24">
        <f t="shared" si="37"/>
        <v>1266.6502399</v>
      </c>
    </row>
    <row r="2400" spans="1:14">
      <c r="A2400" s="21" t="s">
        <v>711</v>
      </c>
      <c r="B2400" s="21" t="s">
        <v>26</v>
      </c>
      <c r="C2400" s="21" t="s">
        <v>26</v>
      </c>
      <c r="D2400" s="21" t="s">
        <v>921</v>
      </c>
      <c r="E2400" s="21">
        <v>0</v>
      </c>
      <c r="F2400" s="22">
        <v>46031.4304861111</v>
      </c>
      <c r="G2400" s="22">
        <v>46252.5690856482</v>
      </c>
      <c r="H2400" s="23">
        <v>59.9</v>
      </c>
      <c r="I2400" s="23">
        <v>36.62</v>
      </c>
      <c r="J2400" s="24">
        <v>0</v>
      </c>
      <c r="K2400" s="21">
        <v>0</v>
      </c>
      <c r="L2400" s="21">
        <v>0</v>
      </c>
      <c r="M2400" s="21">
        <f>COUNTIF($A$2:$A$5481,A2400)</f>
        <v>1</v>
      </c>
      <c r="N2400" s="24">
        <f t="shared" si="37"/>
        <v>0.00024</v>
      </c>
    </row>
    <row r="2401" spans="1:14">
      <c r="A2401" s="21" t="s">
        <v>2697</v>
      </c>
      <c r="B2401" s="21" t="s">
        <v>920</v>
      </c>
      <c r="C2401" s="21" t="s">
        <v>26</v>
      </c>
      <c r="D2401" s="21" t="s">
        <v>921</v>
      </c>
      <c r="E2401" s="21">
        <v>2</v>
      </c>
      <c r="F2401" s="22">
        <v>46043.6988078704</v>
      </c>
      <c r="G2401" s="22"/>
      <c r="H2401" s="23">
        <v>396</v>
      </c>
      <c r="I2401" s="23">
        <v>198</v>
      </c>
      <c r="J2401" s="24">
        <v>396</v>
      </c>
      <c r="K2401" s="21">
        <v>0</v>
      </c>
      <c r="L2401" s="21">
        <v>0</v>
      </c>
      <c r="M2401" s="21">
        <f>COUNTIF($A$2:$A$5481,A2401)</f>
        <v>1</v>
      </c>
      <c r="N2401" s="24">
        <f t="shared" si="37"/>
        <v>396.0002401</v>
      </c>
    </row>
    <row r="2402" spans="1:14">
      <c r="A2402" s="21" t="s">
        <v>2698</v>
      </c>
      <c r="B2402" s="21" t="s">
        <v>920</v>
      </c>
      <c r="C2402" s="21" t="s">
        <v>26</v>
      </c>
      <c r="D2402" s="21" t="s">
        <v>921</v>
      </c>
      <c r="E2402" s="21">
        <v>1</v>
      </c>
      <c r="F2402" s="22">
        <v>46036.5900925926</v>
      </c>
      <c r="G2402" s="22"/>
      <c r="H2402" s="23">
        <v>134</v>
      </c>
      <c r="I2402" s="23">
        <v>134</v>
      </c>
      <c r="J2402" s="24">
        <v>134</v>
      </c>
      <c r="K2402" s="21">
        <v>0</v>
      </c>
      <c r="L2402" s="21">
        <v>0</v>
      </c>
      <c r="M2402" s="21">
        <f>COUNTIF($A$2:$A$5481,A2402)</f>
        <v>1</v>
      </c>
      <c r="N2402" s="24">
        <f t="shared" si="37"/>
        <v>134.0002402</v>
      </c>
    </row>
    <row r="2403" spans="1:14">
      <c r="A2403" s="21" t="s">
        <v>2699</v>
      </c>
      <c r="B2403" s="21" t="s">
        <v>929</v>
      </c>
      <c r="C2403" s="21" t="s">
        <v>26</v>
      </c>
      <c r="D2403" s="21" t="s">
        <v>921</v>
      </c>
      <c r="E2403" s="21">
        <v>2</v>
      </c>
      <c r="F2403" s="22">
        <v>45988.4012962963</v>
      </c>
      <c r="G2403" s="22"/>
      <c r="H2403" s="23">
        <v>29</v>
      </c>
      <c r="I2403" s="23">
        <v>14.5</v>
      </c>
      <c r="J2403" s="24">
        <v>29</v>
      </c>
      <c r="K2403" s="21">
        <v>0</v>
      </c>
      <c r="L2403" s="21">
        <v>0</v>
      </c>
      <c r="M2403" s="21">
        <f>COUNTIF($A$2:$A$5481,A2403)</f>
        <v>1</v>
      </c>
      <c r="N2403" s="24">
        <f t="shared" si="37"/>
        <v>29.0002403</v>
      </c>
    </row>
    <row r="2404" spans="1:14">
      <c r="A2404" s="21" t="s">
        <v>2700</v>
      </c>
      <c r="B2404" s="21" t="s">
        <v>929</v>
      </c>
      <c r="C2404" s="21" t="s">
        <v>26</v>
      </c>
      <c r="D2404" s="21" t="s">
        <v>921</v>
      </c>
      <c r="E2404" s="21">
        <v>22</v>
      </c>
      <c r="F2404" s="22">
        <v>46224.5971412037</v>
      </c>
      <c r="G2404" s="22"/>
      <c r="H2404" s="23">
        <v>217</v>
      </c>
      <c r="I2404" s="23">
        <v>10.7272727273</v>
      </c>
      <c r="J2404" s="24">
        <v>236.06</v>
      </c>
      <c r="K2404" s="21">
        <v>0</v>
      </c>
      <c r="L2404" s="21">
        <v>0</v>
      </c>
      <c r="M2404" s="21">
        <f>COUNTIF($A$2:$A$5481,A2404)</f>
        <v>1</v>
      </c>
      <c r="N2404" s="24">
        <f t="shared" si="37"/>
        <v>236.0602404</v>
      </c>
    </row>
    <row r="2405" spans="1:14">
      <c r="A2405" s="21" t="s">
        <v>2701</v>
      </c>
      <c r="B2405" s="21" t="s">
        <v>929</v>
      </c>
      <c r="C2405" s="21" t="s">
        <v>414</v>
      </c>
      <c r="D2405" s="21" t="s">
        <v>921</v>
      </c>
      <c r="E2405" s="21">
        <v>10</v>
      </c>
      <c r="F2405" s="22">
        <v>45303.4057291667</v>
      </c>
      <c r="G2405" s="22">
        <v>45404.8435069445</v>
      </c>
      <c r="H2405" s="23">
        <v>298.2</v>
      </c>
      <c r="I2405" s="23">
        <v>19.88</v>
      </c>
      <c r="J2405" s="24">
        <v>198.8</v>
      </c>
      <c r="K2405" s="21">
        <v>0</v>
      </c>
      <c r="L2405" s="21">
        <v>0</v>
      </c>
      <c r="M2405" s="21">
        <f>COUNTIF($A$2:$A$5481,A2405)</f>
        <v>2</v>
      </c>
      <c r="N2405" s="24">
        <f t="shared" si="37"/>
        <v>198.8002405</v>
      </c>
    </row>
    <row r="2406" spans="1:14">
      <c r="A2406" s="21" t="s">
        <v>2701</v>
      </c>
      <c r="B2406" s="21" t="s">
        <v>929</v>
      </c>
      <c r="C2406" s="21" t="s">
        <v>26</v>
      </c>
      <c r="D2406" s="21" t="s">
        <v>921</v>
      </c>
      <c r="E2406" s="21">
        <v>20</v>
      </c>
      <c r="F2406" s="22">
        <v>45966.5645486111</v>
      </c>
      <c r="G2406" s="22"/>
      <c r="H2406" s="23">
        <v>104.8</v>
      </c>
      <c r="I2406" s="23">
        <v>12.39</v>
      </c>
      <c r="J2406" s="24">
        <v>247.8</v>
      </c>
      <c r="K2406" s="21">
        <v>0</v>
      </c>
      <c r="L2406" s="21">
        <v>0</v>
      </c>
      <c r="M2406" s="21">
        <f>COUNTIF($A$2:$A$5481,A2406)</f>
        <v>2</v>
      </c>
      <c r="N2406" s="24">
        <f t="shared" si="37"/>
        <v>247.8002406</v>
      </c>
    </row>
    <row r="2407" spans="1:14">
      <c r="A2407" s="21" t="s">
        <v>593</v>
      </c>
      <c r="B2407" s="21" t="s">
        <v>920</v>
      </c>
      <c r="C2407" s="21" t="s">
        <v>35</v>
      </c>
      <c r="D2407" s="21" t="s">
        <v>921</v>
      </c>
      <c r="E2407" s="21">
        <v>-2</v>
      </c>
      <c r="F2407" s="22">
        <v>45267.5887847222</v>
      </c>
      <c r="G2407" s="22">
        <v>45537.8381828704</v>
      </c>
      <c r="H2407" s="23">
        <v>2.74</v>
      </c>
      <c r="I2407" s="23">
        <v>0</v>
      </c>
      <c r="J2407" s="24">
        <v>0</v>
      </c>
      <c r="K2407" s="21">
        <v>0</v>
      </c>
      <c r="L2407" s="21">
        <v>0</v>
      </c>
      <c r="M2407" s="21">
        <f>COUNTIF($A$2:$A$5481,A2407)</f>
        <v>2</v>
      </c>
      <c r="N2407" s="24">
        <f t="shared" si="37"/>
        <v>0.0002407</v>
      </c>
    </row>
    <row r="2408" spans="1:14">
      <c r="A2408" s="21" t="s">
        <v>593</v>
      </c>
      <c r="B2408" s="21" t="s">
        <v>920</v>
      </c>
      <c r="C2408" s="21" t="s">
        <v>26</v>
      </c>
      <c r="D2408" s="21" t="s">
        <v>921</v>
      </c>
      <c r="E2408" s="21">
        <v>0</v>
      </c>
      <c r="F2408" s="22">
        <v>45495.6993055556</v>
      </c>
      <c r="G2408" s="22">
        <v>46252.3558333333</v>
      </c>
      <c r="H2408" s="23">
        <v>261</v>
      </c>
      <c r="I2408" s="23">
        <v>2.61</v>
      </c>
      <c r="J2408" s="24">
        <v>0</v>
      </c>
      <c r="K2408" s="21">
        <v>0</v>
      </c>
      <c r="L2408" s="21">
        <v>0</v>
      </c>
      <c r="M2408" s="21">
        <f>COUNTIF($A$2:$A$5481,A2408)</f>
        <v>2</v>
      </c>
      <c r="N2408" s="24">
        <f t="shared" si="37"/>
        <v>0.0002408</v>
      </c>
    </row>
    <row r="2409" spans="1:14">
      <c r="A2409" s="21" t="s">
        <v>149</v>
      </c>
      <c r="B2409" s="21" t="s">
        <v>920</v>
      </c>
      <c r="C2409" s="21" t="s">
        <v>26</v>
      </c>
      <c r="D2409" s="21" t="s">
        <v>921</v>
      </c>
      <c r="E2409" s="21">
        <v>27</v>
      </c>
      <c r="F2409" s="22">
        <v>46238.7103819445</v>
      </c>
      <c r="G2409" s="22">
        <v>46275.564525463</v>
      </c>
      <c r="H2409" s="23">
        <v>80</v>
      </c>
      <c r="I2409" s="23">
        <v>3.8735064355</v>
      </c>
      <c r="J2409" s="24">
        <v>104.49</v>
      </c>
      <c r="K2409" s="21">
        <v>0</v>
      </c>
      <c r="L2409" s="21">
        <v>0</v>
      </c>
      <c r="M2409" s="21">
        <f>COUNTIF($A$2:$A$5481,A2409)</f>
        <v>1</v>
      </c>
      <c r="N2409" s="24">
        <f t="shared" si="37"/>
        <v>104.4902409</v>
      </c>
    </row>
    <row r="2410" spans="1:14">
      <c r="A2410" s="21" t="s">
        <v>188</v>
      </c>
      <c r="B2410" s="21" t="s">
        <v>920</v>
      </c>
      <c r="C2410" s="21" t="s">
        <v>26</v>
      </c>
      <c r="D2410" s="21" t="s">
        <v>921</v>
      </c>
      <c r="E2410" s="21">
        <v>26</v>
      </c>
      <c r="F2410" s="22">
        <v>45996.5638310185</v>
      </c>
      <c r="G2410" s="22">
        <v>46044.4292592593</v>
      </c>
      <c r="H2410" s="23">
        <v>96</v>
      </c>
      <c r="I2410" s="23">
        <v>3.2</v>
      </c>
      <c r="J2410" s="24">
        <v>83.2</v>
      </c>
      <c r="K2410" s="21">
        <v>0</v>
      </c>
      <c r="L2410" s="21">
        <v>0</v>
      </c>
      <c r="M2410" s="21">
        <f>COUNTIF($A$2:$A$5481,A2410)</f>
        <v>1</v>
      </c>
      <c r="N2410" s="24">
        <f t="shared" si="37"/>
        <v>83.200241</v>
      </c>
    </row>
    <row r="2411" spans="1:14">
      <c r="A2411" s="21" t="s">
        <v>2702</v>
      </c>
      <c r="B2411" s="21" t="s">
        <v>920</v>
      </c>
      <c r="C2411" s="21" t="s">
        <v>26</v>
      </c>
      <c r="D2411" s="21" t="s">
        <v>931</v>
      </c>
      <c r="E2411" s="21">
        <v>19</v>
      </c>
      <c r="F2411" s="22">
        <v>45755.3811458333</v>
      </c>
      <c r="G2411" s="22">
        <v>45868.4282175926</v>
      </c>
      <c r="H2411" s="23">
        <v>40</v>
      </c>
      <c r="I2411" s="23">
        <v>2</v>
      </c>
      <c r="J2411" s="24">
        <v>38</v>
      </c>
      <c r="K2411" s="21">
        <v>0</v>
      </c>
      <c r="L2411" s="21">
        <v>0</v>
      </c>
      <c r="M2411" s="21">
        <f>COUNTIF($A$2:$A$5481,A2411)</f>
        <v>1</v>
      </c>
      <c r="N2411" s="24">
        <f t="shared" si="37"/>
        <v>38.0002411</v>
      </c>
    </row>
    <row r="2412" spans="1:14">
      <c r="A2412" s="21" t="s">
        <v>488</v>
      </c>
      <c r="B2412" s="21" t="s">
        <v>26</v>
      </c>
      <c r="C2412" s="21" t="s">
        <v>26</v>
      </c>
      <c r="D2412" s="21" t="s">
        <v>921</v>
      </c>
      <c r="E2412" s="21">
        <v>6</v>
      </c>
      <c r="F2412" s="22">
        <v>45895.5674421296</v>
      </c>
      <c r="G2412" s="22">
        <v>46223.8798263889</v>
      </c>
      <c r="H2412" s="23">
        <v>49.4</v>
      </c>
      <c r="I2412" s="23">
        <v>4.94</v>
      </c>
      <c r="J2412" s="24">
        <v>29.64</v>
      </c>
      <c r="K2412" s="21">
        <v>0</v>
      </c>
      <c r="L2412" s="21">
        <v>0</v>
      </c>
      <c r="M2412" s="21">
        <f>COUNTIF($A$2:$A$5481,A2412)</f>
        <v>1</v>
      </c>
      <c r="N2412" s="24">
        <f t="shared" si="37"/>
        <v>29.6402412</v>
      </c>
    </row>
    <row r="2413" spans="1:14">
      <c r="A2413" s="21" t="s">
        <v>2703</v>
      </c>
      <c r="B2413" s="21" t="s">
        <v>920</v>
      </c>
      <c r="C2413" s="21" t="s">
        <v>35</v>
      </c>
      <c r="D2413" s="21" t="s">
        <v>921</v>
      </c>
      <c r="E2413" s="21">
        <v>0</v>
      </c>
      <c r="F2413" s="22">
        <v>45267.5928125</v>
      </c>
      <c r="G2413" s="22">
        <v>45561.4288310185</v>
      </c>
      <c r="H2413" s="23">
        <v>15.72</v>
      </c>
      <c r="I2413" s="23">
        <v>7.86</v>
      </c>
      <c r="J2413" s="24">
        <v>0</v>
      </c>
      <c r="K2413" s="21">
        <v>10</v>
      </c>
      <c r="L2413" s="21">
        <v>20</v>
      </c>
      <c r="M2413" s="21">
        <f>COUNTIF($A$2:$A$5481,A2413)</f>
        <v>2</v>
      </c>
      <c r="N2413" s="24">
        <f t="shared" si="37"/>
        <v>0.0002413</v>
      </c>
    </row>
    <row r="2414" spans="1:14">
      <c r="A2414" s="21" t="s">
        <v>2703</v>
      </c>
      <c r="B2414" s="21" t="s">
        <v>920</v>
      </c>
      <c r="C2414" s="21" t="s">
        <v>26</v>
      </c>
      <c r="D2414" s="21" t="s">
        <v>921</v>
      </c>
      <c r="E2414" s="21">
        <v>41</v>
      </c>
      <c r="F2414" s="22">
        <v>45790.352974537</v>
      </c>
      <c r="G2414" s="22">
        <v>45971.3597916667</v>
      </c>
      <c r="H2414" s="23">
        <v>60</v>
      </c>
      <c r="I2414" s="23">
        <v>1.93182</v>
      </c>
      <c r="J2414" s="24">
        <v>79.13</v>
      </c>
      <c r="K2414" s="21">
        <v>10</v>
      </c>
      <c r="L2414" s="21">
        <v>20</v>
      </c>
      <c r="M2414" s="21">
        <f>COUNTIF($A$2:$A$5481,A2414)</f>
        <v>2</v>
      </c>
      <c r="N2414" s="24">
        <f t="shared" si="37"/>
        <v>79.1302414</v>
      </c>
    </row>
    <row r="2415" spans="1:14">
      <c r="A2415" s="21" t="s">
        <v>2704</v>
      </c>
      <c r="B2415" s="21" t="s">
        <v>929</v>
      </c>
      <c r="C2415" s="21" t="s">
        <v>414</v>
      </c>
      <c r="D2415" s="21" t="s">
        <v>921</v>
      </c>
      <c r="E2415" s="21">
        <v>0</v>
      </c>
      <c r="F2415" s="22">
        <v>45274.4048958333</v>
      </c>
      <c r="G2415" s="22">
        <v>45274.4437152778</v>
      </c>
      <c r="H2415" s="23">
        <v>77.25</v>
      </c>
      <c r="I2415" s="23">
        <v>25.75</v>
      </c>
      <c r="J2415" s="24">
        <v>0</v>
      </c>
      <c r="K2415" s="21">
        <v>0</v>
      </c>
      <c r="L2415" s="21">
        <v>0</v>
      </c>
      <c r="M2415" s="21">
        <f>COUNTIF($A$2:$A$5481,A2415)</f>
        <v>1</v>
      </c>
      <c r="N2415" s="24">
        <f t="shared" si="37"/>
        <v>0.0002415</v>
      </c>
    </row>
    <row r="2416" spans="1:14">
      <c r="A2416" s="21" t="s">
        <v>233</v>
      </c>
      <c r="B2416" s="21" t="s">
        <v>920</v>
      </c>
      <c r="C2416" s="21" t="s">
        <v>26</v>
      </c>
      <c r="D2416" s="21" t="s">
        <v>921</v>
      </c>
      <c r="E2416" s="21">
        <v>18</v>
      </c>
      <c r="F2416" s="22">
        <v>46164.5734606482</v>
      </c>
      <c r="G2416" s="22">
        <v>46234.4486226852</v>
      </c>
      <c r="H2416" s="23">
        <v>158</v>
      </c>
      <c r="I2416" s="23">
        <v>8.9090909091</v>
      </c>
      <c r="J2416" s="24">
        <v>160.38</v>
      </c>
      <c r="K2416" s="21">
        <v>0</v>
      </c>
      <c r="L2416" s="21">
        <v>0</v>
      </c>
      <c r="M2416" s="21">
        <f>COUNTIF($A$2:$A$5481,A2416)</f>
        <v>1</v>
      </c>
      <c r="N2416" s="24">
        <f t="shared" si="37"/>
        <v>160.3802416</v>
      </c>
    </row>
    <row r="2417" spans="1:14">
      <c r="A2417" s="21" t="s">
        <v>831</v>
      </c>
      <c r="B2417" s="21" t="s">
        <v>26</v>
      </c>
      <c r="C2417" s="21" t="s">
        <v>26</v>
      </c>
      <c r="D2417" s="21" t="s">
        <v>921</v>
      </c>
      <c r="E2417" s="21">
        <v>33</v>
      </c>
      <c r="F2417" s="22">
        <v>45863.5698148148</v>
      </c>
      <c r="G2417" s="22">
        <v>46265.6701388889</v>
      </c>
      <c r="H2417" s="23">
        <v>52.23</v>
      </c>
      <c r="I2417" s="23">
        <v>8.705</v>
      </c>
      <c r="J2417" s="24">
        <v>287.43</v>
      </c>
      <c r="K2417" s="21">
        <v>0</v>
      </c>
      <c r="L2417" s="21">
        <v>0</v>
      </c>
      <c r="M2417" s="21">
        <f>COUNTIF($A$2:$A$5481,A2417)</f>
        <v>1</v>
      </c>
      <c r="N2417" s="24">
        <f t="shared" si="37"/>
        <v>287.4302417</v>
      </c>
    </row>
    <row r="2418" spans="1:14">
      <c r="A2418" s="21" t="s">
        <v>2705</v>
      </c>
      <c r="B2418" s="21" t="s">
        <v>929</v>
      </c>
      <c r="C2418" s="21" t="s">
        <v>414</v>
      </c>
      <c r="D2418" s="21" t="s">
        <v>921</v>
      </c>
      <c r="E2418" s="21">
        <v>20</v>
      </c>
      <c r="F2418" s="22">
        <v>45355.5820138889</v>
      </c>
      <c r="G2418" s="22"/>
      <c r="H2418" s="23">
        <v>121.8</v>
      </c>
      <c r="I2418" s="23">
        <v>6.09</v>
      </c>
      <c r="J2418" s="24">
        <v>121.8</v>
      </c>
      <c r="K2418" s="21">
        <v>0</v>
      </c>
      <c r="L2418" s="21">
        <v>0</v>
      </c>
      <c r="M2418" s="21">
        <f>COUNTIF($A$2:$A$5481,A2418)</f>
        <v>2</v>
      </c>
      <c r="N2418" s="24">
        <f t="shared" si="37"/>
        <v>121.8002418</v>
      </c>
    </row>
    <row r="2419" spans="1:14">
      <c r="A2419" s="21" t="s">
        <v>2705</v>
      </c>
      <c r="B2419" s="21" t="s">
        <v>929</v>
      </c>
      <c r="C2419" s="21" t="s">
        <v>26</v>
      </c>
      <c r="D2419" s="21" t="s">
        <v>921</v>
      </c>
      <c r="E2419" s="21">
        <v>10</v>
      </c>
      <c r="F2419" s="22">
        <v>45905.5457523148</v>
      </c>
      <c r="G2419" s="22"/>
      <c r="H2419" s="23">
        <v>69.4</v>
      </c>
      <c r="I2419" s="23">
        <v>6.94</v>
      </c>
      <c r="J2419" s="24">
        <v>69.4</v>
      </c>
      <c r="K2419" s="21">
        <v>0</v>
      </c>
      <c r="L2419" s="21">
        <v>0</v>
      </c>
      <c r="M2419" s="21">
        <f>COUNTIF($A$2:$A$5481,A2419)</f>
        <v>2</v>
      </c>
      <c r="N2419" s="24">
        <f t="shared" si="37"/>
        <v>69.4002419</v>
      </c>
    </row>
    <row r="2420" spans="1:14">
      <c r="A2420" s="21" t="s">
        <v>400</v>
      </c>
      <c r="B2420" s="21" t="s">
        <v>920</v>
      </c>
      <c r="C2420" s="21" t="s">
        <v>26</v>
      </c>
      <c r="D2420" s="21" t="s">
        <v>921</v>
      </c>
      <c r="E2420" s="21">
        <v>36</v>
      </c>
      <c r="F2420" s="22">
        <v>45764.4004976852</v>
      </c>
      <c r="G2420" s="22">
        <v>46181.8848842593</v>
      </c>
      <c r="H2420" s="23">
        <v>80</v>
      </c>
      <c r="I2420" s="23">
        <v>8.7729</v>
      </c>
      <c r="J2420" s="24">
        <v>315.72</v>
      </c>
      <c r="K2420" s="21">
        <v>0</v>
      </c>
      <c r="L2420" s="21">
        <v>0</v>
      </c>
      <c r="M2420" s="21">
        <f>COUNTIF($A$2:$A$5481,A2420)</f>
        <v>1</v>
      </c>
      <c r="N2420" s="24">
        <f t="shared" si="37"/>
        <v>315.720242</v>
      </c>
    </row>
    <row r="2421" spans="1:14">
      <c r="A2421" s="21" t="s">
        <v>2706</v>
      </c>
      <c r="B2421" s="21" t="s">
        <v>929</v>
      </c>
      <c r="C2421" s="21" t="s">
        <v>26</v>
      </c>
      <c r="D2421" s="21" t="s">
        <v>921</v>
      </c>
      <c r="E2421" s="21">
        <v>57</v>
      </c>
      <c r="F2421" s="22">
        <v>46175.808587963</v>
      </c>
      <c r="G2421" s="22">
        <v>45932.3815277778</v>
      </c>
      <c r="H2421" s="23">
        <v>69</v>
      </c>
      <c r="I2421" s="23">
        <v>10.9954755309</v>
      </c>
      <c r="J2421" s="24">
        <v>627</v>
      </c>
      <c r="K2421" s="21">
        <v>0</v>
      </c>
      <c r="L2421" s="21">
        <v>0</v>
      </c>
      <c r="M2421" s="21">
        <f>COUNTIF($A$2:$A$5481,A2421)</f>
        <v>1</v>
      </c>
      <c r="N2421" s="24">
        <f t="shared" si="37"/>
        <v>627.0002421</v>
      </c>
    </row>
    <row r="2422" spans="1:14">
      <c r="A2422" s="21" t="s">
        <v>442</v>
      </c>
      <c r="B2422" s="21" t="s">
        <v>1115</v>
      </c>
      <c r="C2422" s="21" t="s">
        <v>26</v>
      </c>
      <c r="D2422" s="21" t="s">
        <v>921</v>
      </c>
      <c r="E2422" s="21">
        <v>61</v>
      </c>
      <c r="F2422" s="22">
        <v>46218.608125</v>
      </c>
      <c r="G2422" s="22">
        <v>46203.6885300926</v>
      </c>
      <c r="H2422" s="23">
        <v>319.6</v>
      </c>
      <c r="I2422" s="23">
        <v>39.8539718519</v>
      </c>
      <c r="J2422" s="24">
        <v>2430.85</v>
      </c>
      <c r="K2422" s="21">
        <v>0</v>
      </c>
      <c r="L2422" s="21">
        <v>0</v>
      </c>
      <c r="M2422" s="21">
        <f>COUNTIF($A$2:$A$5481,A2422)</f>
        <v>1</v>
      </c>
      <c r="N2422" s="24">
        <f t="shared" si="37"/>
        <v>2430.8502422</v>
      </c>
    </row>
    <row r="2423" spans="1:14">
      <c r="A2423" s="21" t="s">
        <v>27</v>
      </c>
      <c r="B2423" s="21" t="s">
        <v>920</v>
      </c>
      <c r="C2423" s="21" t="s">
        <v>26</v>
      </c>
      <c r="D2423" s="21" t="s">
        <v>921</v>
      </c>
      <c r="E2423" s="21">
        <v>8</v>
      </c>
      <c r="F2423" s="22">
        <v>46118.7167708333</v>
      </c>
      <c r="G2423" s="22">
        <v>46283.7041782407</v>
      </c>
      <c r="H2423" s="23">
        <v>1770</v>
      </c>
      <c r="I2423" s="23">
        <v>55.7291436328</v>
      </c>
      <c r="J2423" s="24">
        <v>445.84</v>
      </c>
      <c r="K2423" s="21">
        <v>0</v>
      </c>
      <c r="L2423" s="21">
        <v>0</v>
      </c>
      <c r="M2423" s="21">
        <f>COUNTIF($A$2:$A$5481,A2423)</f>
        <v>1</v>
      </c>
      <c r="N2423" s="24">
        <f t="shared" si="37"/>
        <v>445.8402423</v>
      </c>
    </row>
    <row r="2424" spans="1:14">
      <c r="A2424" s="21" t="s">
        <v>2707</v>
      </c>
      <c r="B2424" s="21" t="s">
        <v>920</v>
      </c>
      <c r="C2424" s="21" t="s">
        <v>26</v>
      </c>
      <c r="D2424" s="21" t="s">
        <v>921</v>
      </c>
      <c r="E2424" s="21">
        <v>0</v>
      </c>
      <c r="F2424" s="22">
        <v>46283.7012731481</v>
      </c>
      <c r="G2424" s="22">
        <v>45713.4550462963</v>
      </c>
      <c r="H2424" s="23">
        <v>0.03</v>
      </c>
      <c r="I2424" s="23">
        <v>0</v>
      </c>
      <c r="J2424" s="24">
        <v>0</v>
      </c>
      <c r="K2424" s="21">
        <v>10</v>
      </c>
      <c r="L2424" s="21">
        <v>20</v>
      </c>
      <c r="M2424" s="21">
        <f>COUNTIF($A$2:$A$5481,A2424)</f>
        <v>2</v>
      </c>
      <c r="N2424" s="24">
        <f t="shared" si="37"/>
        <v>0.0002424</v>
      </c>
    </row>
    <row r="2425" spans="1:14">
      <c r="A2425" s="21" t="s">
        <v>2707</v>
      </c>
      <c r="B2425" s="21" t="s">
        <v>920</v>
      </c>
      <c r="C2425" s="21" t="s">
        <v>35</v>
      </c>
      <c r="D2425" s="21" t="s">
        <v>921</v>
      </c>
      <c r="E2425" s="21">
        <v>0</v>
      </c>
      <c r="F2425" s="22">
        <v>46283.703125</v>
      </c>
      <c r="G2425" s="22">
        <v>45320.4430092593</v>
      </c>
      <c r="H2425" s="23">
        <v>0.02</v>
      </c>
      <c r="I2425" s="23">
        <v>0</v>
      </c>
      <c r="J2425" s="24">
        <v>0</v>
      </c>
      <c r="K2425" s="21">
        <v>10</v>
      </c>
      <c r="L2425" s="21">
        <v>20</v>
      </c>
      <c r="M2425" s="21">
        <f>COUNTIF($A$2:$A$5481,A2425)</f>
        <v>2</v>
      </c>
      <c r="N2425" s="24">
        <f t="shared" si="37"/>
        <v>0.0002425</v>
      </c>
    </row>
    <row r="2426" spans="1:14">
      <c r="A2426" s="21" t="s">
        <v>2708</v>
      </c>
      <c r="B2426" s="21" t="s">
        <v>920</v>
      </c>
      <c r="C2426" s="21" t="s">
        <v>26</v>
      </c>
      <c r="D2426" s="21" t="s">
        <v>921</v>
      </c>
      <c r="E2426" s="21">
        <v>50</v>
      </c>
      <c r="F2426" s="22">
        <v>45839.4547800926</v>
      </c>
      <c r="G2426" s="22">
        <v>45839.4562962963</v>
      </c>
      <c r="H2426" s="23">
        <v>714</v>
      </c>
      <c r="I2426" s="23">
        <v>14</v>
      </c>
      <c r="J2426" s="24">
        <v>700</v>
      </c>
      <c r="K2426" s="21">
        <v>0</v>
      </c>
      <c r="L2426" s="21">
        <v>0</v>
      </c>
      <c r="M2426" s="21">
        <f>COUNTIF($A$2:$A$5481,A2426)</f>
        <v>1</v>
      </c>
      <c r="N2426" s="24">
        <f t="shared" si="37"/>
        <v>700.0002426</v>
      </c>
    </row>
    <row r="2427" spans="1:14">
      <c r="A2427" s="21" t="s">
        <v>25</v>
      </c>
      <c r="B2427" s="21" t="s">
        <v>920</v>
      </c>
      <c r="C2427" s="21" t="s">
        <v>26</v>
      </c>
      <c r="D2427" s="21" t="s">
        <v>921</v>
      </c>
      <c r="E2427" s="21">
        <v>1</v>
      </c>
      <c r="F2427" s="22">
        <v>46118.7167708333</v>
      </c>
      <c r="G2427" s="22">
        <v>46283.7103587963</v>
      </c>
      <c r="H2427" s="23">
        <v>960</v>
      </c>
      <c r="I2427" s="23">
        <v>30.8970588934</v>
      </c>
      <c r="J2427" s="24">
        <v>30.9</v>
      </c>
      <c r="K2427" s="21">
        <v>0</v>
      </c>
      <c r="L2427" s="21">
        <v>0</v>
      </c>
      <c r="M2427" s="21">
        <f>COUNTIF($A$2:$A$5481,A2427)</f>
        <v>1</v>
      </c>
      <c r="N2427" s="24">
        <f t="shared" si="37"/>
        <v>30.9002427</v>
      </c>
    </row>
    <row r="2428" spans="1:14">
      <c r="A2428" s="21" t="s">
        <v>904</v>
      </c>
      <c r="B2428" s="21" t="s">
        <v>920</v>
      </c>
      <c r="C2428" s="21" t="s">
        <v>26</v>
      </c>
      <c r="D2428" s="21" t="s">
        <v>921</v>
      </c>
      <c r="E2428" s="21">
        <v>0</v>
      </c>
      <c r="F2428" s="22">
        <v>46282.6546759259</v>
      </c>
      <c r="G2428" s="22">
        <v>46283.6954513889</v>
      </c>
      <c r="H2428" s="23">
        <v>51.48</v>
      </c>
      <c r="I2428" s="23">
        <v>25.741332</v>
      </c>
      <c r="J2428" s="24">
        <v>0</v>
      </c>
      <c r="K2428" s="21">
        <v>0</v>
      </c>
      <c r="L2428" s="21">
        <v>0</v>
      </c>
      <c r="M2428" s="21">
        <f>COUNTIF($A$2:$A$5481,A2428)</f>
        <v>2</v>
      </c>
      <c r="N2428" s="24">
        <f t="shared" si="37"/>
        <v>0.0002428</v>
      </c>
    </row>
    <row r="2429" spans="1:14">
      <c r="A2429" s="21" t="s">
        <v>904</v>
      </c>
      <c r="B2429" s="21" t="s">
        <v>920</v>
      </c>
      <c r="C2429" s="21" t="s">
        <v>35</v>
      </c>
      <c r="D2429" s="21" t="s">
        <v>921</v>
      </c>
      <c r="E2429" s="21">
        <v>0</v>
      </c>
      <c r="F2429" s="22">
        <v>46283.7121296296</v>
      </c>
      <c r="G2429" s="22">
        <v>45306.4392824074</v>
      </c>
      <c r="H2429" s="23">
        <v>0.01</v>
      </c>
      <c r="I2429" s="23">
        <v>0</v>
      </c>
      <c r="J2429" s="24">
        <v>0</v>
      </c>
      <c r="K2429" s="21">
        <v>0</v>
      </c>
      <c r="L2429" s="21">
        <v>0</v>
      </c>
      <c r="M2429" s="21">
        <f>COUNTIF($A$2:$A$5481,A2429)</f>
        <v>2</v>
      </c>
      <c r="N2429" s="24">
        <f t="shared" si="37"/>
        <v>0.0002429</v>
      </c>
    </row>
    <row r="2430" spans="1:14">
      <c r="A2430" s="21" t="s">
        <v>2709</v>
      </c>
      <c r="B2430" s="21" t="s">
        <v>920</v>
      </c>
      <c r="C2430" s="21" t="s">
        <v>26</v>
      </c>
      <c r="D2430" s="21" t="s">
        <v>921</v>
      </c>
      <c r="E2430" s="21">
        <v>2</v>
      </c>
      <c r="F2430" s="22">
        <v>46043.6988078704</v>
      </c>
      <c r="G2430" s="22"/>
      <c r="H2430" s="23">
        <v>44</v>
      </c>
      <c r="I2430" s="23">
        <v>22</v>
      </c>
      <c r="J2430" s="24">
        <v>44</v>
      </c>
      <c r="K2430" s="21">
        <v>0</v>
      </c>
      <c r="L2430" s="21">
        <v>0</v>
      </c>
      <c r="M2430" s="21">
        <f>COUNTIF($A$2:$A$5481,A2430)</f>
        <v>1</v>
      </c>
      <c r="N2430" s="24">
        <f t="shared" si="37"/>
        <v>44.000243</v>
      </c>
    </row>
    <row r="2431" spans="1:14">
      <c r="A2431" s="21" t="s">
        <v>2710</v>
      </c>
      <c r="B2431" s="21" t="s">
        <v>920</v>
      </c>
      <c r="C2431" s="21" t="s">
        <v>26</v>
      </c>
      <c r="D2431" s="21" t="s">
        <v>921</v>
      </c>
      <c r="E2431" s="21">
        <v>1</v>
      </c>
      <c r="F2431" s="22">
        <v>45567.8395833333</v>
      </c>
      <c r="G2431" s="22">
        <v>45700.4487731482</v>
      </c>
      <c r="H2431" s="23">
        <v>55</v>
      </c>
      <c r="I2431" s="23">
        <v>27.5</v>
      </c>
      <c r="J2431" s="24">
        <v>27.5</v>
      </c>
      <c r="K2431" s="21">
        <v>0</v>
      </c>
      <c r="L2431" s="21">
        <v>0</v>
      </c>
      <c r="M2431" s="21">
        <f>COUNTIF($A$2:$A$5481,A2431)</f>
        <v>1</v>
      </c>
      <c r="N2431" s="24">
        <f t="shared" si="37"/>
        <v>27.5002431</v>
      </c>
    </row>
    <row r="2432" spans="1:14">
      <c r="A2432" s="21" t="s">
        <v>2711</v>
      </c>
      <c r="B2432" s="21" t="s">
        <v>920</v>
      </c>
      <c r="C2432" s="21" t="s">
        <v>26</v>
      </c>
      <c r="D2432" s="21" t="s">
        <v>921</v>
      </c>
      <c r="E2432" s="21">
        <v>7</v>
      </c>
      <c r="F2432" s="22">
        <v>45975.5725462963</v>
      </c>
      <c r="G2432" s="22"/>
      <c r="H2432" s="23">
        <v>27</v>
      </c>
      <c r="I2432" s="23">
        <v>29.5714285714</v>
      </c>
      <c r="J2432" s="24">
        <v>206.99</v>
      </c>
      <c r="K2432" s="21">
        <v>0</v>
      </c>
      <c r="L2432" s="21">
        <v>0</v>
      </c>
      <c r="M2432" s="21">
        <f>COUNTIF($A$2:$A$5481,A2432)</f>
        <v>1</v>
      </c>
      <c r="N2432" s="24">
        <f t="shared" si="37"/>
        <v>206.9902432</v>
      </c>
    </row>
    <row r="2433" spans="1:14">
      <c r="A2433" s="21" t="s">
        <v>2712</v>
      </c>
      <c r="B2433" s="21" t="s">
        <v>920</v>
      </c>
      <c r="C2433" s="21" t="s">
        <v>26</v>
      </c>
      <c r="D2433" s="21" t="s">
        <v>921</v>
      </c>
      <c r="E2433" s="21">
        <v>20</v>
      </c>
      <c r="F2433" s="22">
        <v>45889.5542592593</v>
      </c>
      <c r="G2433" s="22"/>
      <c r="H2433" s="23">
        <v>60</v>
      </c>
      <c r="I2433" s="23">
        <v>3</v>
      </c>
      <c r="J2433" s="24">
        <v>60</v>
      </c>
      <c r="K2433" s="21">
        <v>0</v>
      </c>
      <c r="L2433" s="21">
        <v>0</v>
      </c>
      <c r="M2433" s="21">
        <f>COUNTIF($A$2:$A$5481,A2433)</f>
        <v>1</v>
      </c>
      <c r="N2433" s="24">
        <f t="shared" si="37"/>
        <v>60.0002433</v>
      </c>
    </row>
    <row r="2434" spans="1:14">
      <c r="A2434" s="21" t="s">
        <v>2713</v>
      </c>
      <c r="B2434" s="21" t="s">
        <v>920</v>
      </c>
      <c r="C2434" s="21" t="s">
        <v>26</v>
      </c>
      <c r="D2434" s="21" t="s">
        <v>921</v>
      </c>
      <c r="E2434" s="21">
        <v>40</v>
      </c>
      <c r="F2434" s="22">
        <v>46118.7167708333</v>
      </c>
      <c r="G2434" s="22"/>
      <c r="H2434" s="23">
        <v>80</v>
      </c>
      <c r="I2434" s="23">
        <v>8</v>
      </c>
      <c r="J2434" s="24">
        <v>320</v>
      </c>
      <c r="K2434" s="21">
        <v>0</v>
      </c>
      <c r="L2434" s="21">
        <v>0</v>
      </c>
      <c r="M2434" s="21">
        <f>COUNTIF($A$2:$A$5481,A2434)</f>
        <v>1</v>
      </c>
      <c r="N2434" s="24">
        <f t="shared" ref="N2434:N2497" si="38">J2434+ROW()/10000000</f>
        <v>320.0002434</v>
      </c>
    </row>
    <row r="2435" spans="1:14">
      <c r="A2435" s="21" t="s">
        <v>2714</v>
      </c>
      <c r="B2435" s="21" t="s">
        <v>920</v>
      </c>
      <c r="C2435" s="21" t="s">
        <v>26</v>
      </c>
      <c r="D2435" s="21" t="s">
        <v>921</v>
      </c>
      <c r="E2435" s="21">
        <v>20</v>
      </c>
      <c r="F2435" s="22">
        <v>45889.5542592593</v>
      </c>
      <c r="G2435" s="22"/>
      <c r="H2435" s="23">
        <v>40</v>
      </c>
      <c r="I2435" s="23">
        <v>2</v>
      </c>
      <c r="J2435" s="24">
        <v>40</v>
      </c>
      <c r="K2435" s="21">
        <v>0</v>
      </c>
      <c r="L2435" s="21">
        <v>0</v>
      </c>
      <c r="M2435" s="21">
        <f>COUNTIF($A$2:$A$5481,A2435)</f>
        <v>1</v>
      </c>
      <c r="N2435" s="24">
        <f t="shared" si="38"/>
        <v>40.0002435</v>
      </c>
    </row>
    <row r="2436" spans="1:14">
      <c r="A2436" s="21" t="s">
        <v>2715</v>
      </c>
      <c r="B2436" s="21" t="s">
        <v>26</v>
      </c>
      <c r="C2436" s="21" t="s">
        <v>26</v>
      </c>
      <c r="D2436" s="21" t="s">
        <v>921</v>
      </c>
      <c r="E2436" s="21">
        <v>4</v>
      </c>
      <c r="F2436" s="22">
        <v>45435.35</v>
      </c>
      <c r="G2436" s="22"/>
      <c r="H2436" s="23">
        <v>79.12</v>
      </c>
      <c r="I2436" s="23">
        <v>19.78</v>
      </c>
      <c r="J2436" s="24">
        <v>79.12</v>
      </c>
      <c r="K2436" s="21">
        <v>0</v>
      </c>
      <c r="L2436" s="21">
        <v>0</v>
      </c>
      <c r="M2436" s="21">
        <f>COUNTIF($A$2:$A$5481,A2436)</f>
        <v>1</v>
      </c>
      <c r="N2436" s="24">
        <f t="shared" si="38"/>
        <v>79.1202436</v>
      </c>
    </row>
    <row r="2437" spans="1:14">
      <c r="A2437" s="21" t="s">
        <v>2716</v>
      </c>
      <c r="B2437" s="21" t="s">
        <v>929</v>
      </c>
      <c r="C2437" s="21" t="s">
        <v>414</v>
      </c>
      <c r="D2437" s="21" t="s">
        <v>921</v>
      </c>
      <c r="E2437" s="21">
        <v>10</v>
      </c>
      <c r="F2437" s="22">
        <v>45282.8129861111</v>
      </c>
      <c r="G2437" s="22"/>
      <c r="H2437" s="23">
        <v>93</v>
      </c>
      <c r="I2437" s="23">
        <v>9.3</v>
      </c>
      <c r="J2437" s="24">
        <v>93</v>
      </c>
      <c r="K2437" s="21">
        <v>1</v>
      </c>
      <c r="L2437" s="21">
        <v>10</v>
      </c>
      <c r="M2437" s="21">
        <f>COUNTIF($A$2:$A$5481,A2437)</f>
        <v>2</v>
      </c>
      <c r="N2437" s="24">
        <f t="shared" si="38"/>
        <v>93.0002437</v>
      </c>
    </row>
    <row r="2438" spans="1:14">
      <c r="A2438" s="21" t="s">
        <v>2716</v>
      </c>
      <c r="B2438" s="21" t="s">
        <v>929</v>
      </c>
      <c r="C2438" s="21" t="s">
        <v>26</v>
      </c>
      <c r="D2438" s="21" t="s">
        <v>921</v>
      </c>
      <c r="E2438" s="21">
        <v>9</v>
      </c>
      <c r="F2438" s="22">
        <v>45531.3684027778</v>
      </c>
      <c r="G2438" s="22">
        <v>45547.4833680556</v>
      </c>
      <c r="H2438" s="23">
        <v>47.9</v>
      </c>
      <c r="I2438" s="23">
        <v>4.79</v>
      </c>
      <c r="J2438" s="24">
        <v>43.11</v>
      </c>
      <c r="K2438" s="21">
        <v>1</v>
      </c>
      <c r="L2438" s="21">
        <v>10</v>
      </c>
      <c r="M2438" s="21">
        <f>COUNTIF($A$2:$A$5481,A2438)</f>
        <v>2</v>
      </c>
      <c r="N2438" s="24">
        <f t="shared" si="38"/>
        <v>43.1102438</v>
      </c>
    </row>
    <row r="2439" spans="1:14">
      <c r="A2439" s="21" t="s">
        <v>525</v>
      </c>
      <c r="B2439" s="21" t="s">
        <v>920</v>
      </c>
      <c r="C2439" s="21" t="s">
        <v>26</v>
      </c>
      <c r="D2439" s="21" t="s">
        <v>921</v>
      </c>
      <c r="E2439" s="21">
        <v>0</v>
      </c>
      <c r="F2439" s="22">
        <v>46241.5733449074</v>
      </c>
      <c r="G2439" s="22">
        <v>46245.6603819444</v>
      </c>
      <c r="H2439" s="23">
        <v>8</v>
      </c>
      <c r="I2439" s="23">
        <v>8</v>
      </c>
      <c r="J2439" s="24">
        <v>0</v>
      </c>
      <c r="K2439" s="21">
        <v>0</v>
      </c>
      <c r="L2439" s="21">
        <v>0</v>
      </c>
      <c r="M2439" s="21">
        <f>COUNTIF($A$2:$A$5481,A2439)</f>
        <v>1</v>
      </c>
      <c r="N2439" s="24">
        <f t="shared" si="38"/>
        <v>0.0002439</v>
      </c>
    </row>
    <row r="2440" spans="1:14">
      <c r="A2440" s="21" t="s">
        <v>164</v>
      </c>
      <c r="B2440" s="21" t="s">
        <v>920</v>
      </c>
      <c r="C2440" s="21" t="s">
        <v>35</v>
      </c>
      <c r="D2440" s="21" t="s">
        <v>921</v>
      </c>
      <c r="E2440" s="21">
        <v>31</v>
      </c>
      <c r="F2440" s="22">
        <v>45313.7501157407</v>
      </c>
      <c r="G2440" s="22">
        <v>46266.7074537037</v>
      </c>
      <c r="H2440" s="23">
        <v>178.164</v>
      </c>
      <c r="I2440" s="23">
        <v>2.9694</v>
      </c>
      <c r="J2440" s="24">
        <v>92.07</v>
      </c>
      <c r="K2440" s="21">
        <v>0</v>
      </c>
      <c r="L2440" s="21">
        <v>0</v>
      </c>
      <c r="M2440" s="21">
        <f>COUNTIF($A$2:$A$5481,A2440)</f>
        <v>1</v>
      </c>
      <c r="N2440" s="24">
        <f t="shared" si="38"/>
        <v>92.070244</v>
      </c>
    </row>
    <row r="2441" spans="1:14">
      <c r="A2441" s="21" t="s">
        <v>2717</v>
      </c>
      <c r="B2441" s="21" t="s">
        <v>920</v>
      </c>
      <c r="C2441" s="21" t="s">
        <v>35</v>
      </c>
      <c r="D2441" s="21" t="s">
        <v>921</v>
      </c>
      <c r="E2441" s="21">
        <v>57</v>
      </c>
      <c r="F2441" s="22">
        <v>45313.7501157407</v>
      </c>
      <c r="G2441" s="22">
        <v>45537.8561921296</v>
      </c>
      <c r="H2441" s="23">
        <v>172.2</v>
      </c>
      <c r="I2441" s="23">
        <v>2.87</v>
      </c>
      <c r="J2441" s="24">
        <v>163.59</v>
      </c>
      <c r="K2441" s="21">
        <v>0</v>
      </c>
      <c r="L2441" s="21">
        <v>0</v>
      </c>
      <c r="M2441" s="21">
        <f>COUNTIF($A$2:$A$5481,A2441)</f>
        <v>2</v>
      </c>
      <c r="N2441" s="24">
        <f t="shared" si="38"/>
        <v>163.5902441</v>
      </c>
    </row>
    <row r="2442" spans="1:14">
      <c r="A2442" s="21" t="s">
        <v>2717</v>
      </c>
      <c r="B2442" s="21" t="s">
        <v>920</v>
      </c>
      <c r="C2442" s="21" t="s">
        <v>26</v>
      </c>
      <c r="D2442" s="21" t="s">
        <v>921</v>
      </c>
      <c r="E2442" s="21">
        <v>18</v>
      </c>
      <c r="F2442" s="22">
        <v>45755.3811458333</v>
      </c>
      <c r="G2442" s="22">
        <v>45923.4625462963</v>
      </c>
      <c r="H2442" s="23">
        <v>50</v>
      </c>
      <c r="I2442" s="23">
        <v>4</v>
      </c>
      <c r="J2442" s="24">
        <v>72</v>
      </c>
      <c r="K2442" s="21">
        <v>0</v>
      </c>
      <c r="L2442" s="21">
        <v>0</v>
      </c>
      <c r="M2442" s="21">
        <f>COUNTIF($A$2:$A$5481,A2442)</f>
        <v>2</v>
      </c>
      <c r="N2442" s="24">
        <f t="shared" si="38"/>
        <v>72.0002442</v>
      </c>
    </row>
    <row r="2443" spans="1:14">
      <c r="A2443" s="21" t="s">
        <v>445</v>
      </c>
      <c r="B2443" s="21" t="s">
        <v>920</v>
      </c>
      <c r="C2443" s="21" t="s">
        <v>35</v>
      </c>
      <c r="D2443" s="21" t="s">
        <v>921</v>
      </c>
      <c r="E2443" s="21">
        <v>25</v>
      </c>
      <c r="F2443" s="22">
        <v>45313.7501157407</v>
      </c>
      <c r="G2443" s="22">
        <v>46205.6062152778</v>
      </c>
      <c r="H2443" s="23">
        <v>1531.458</v>
      </c>
      <c r="I2443" s="23">
        <v>25.5243</v>
      </c>
      <c r="J2443" s="24">
        <v>638</v>
      </c>
      <c r="K2443" s="21">
        <v>0</v>
      </c>
      <c r="L2443" s="21">
        <v>0</v>
      </c>
      <c r="M2443" s="21">
        <f>COUNTIF($A$2:$A$5481,A2443)</f>
        <v>1</v>
      </c>
      <c r="N2443" s="24">
        <f t="shared" si="38"/>
        <v>638.0002443</v>
      </c>
    </row>
    <row r="2444" spans="1:14">
      <c r="A2444" s="21" t="s">
        <v>2718</v>
      </c>
      <c r="B2444" s="21" t="s">
        <v>920</v>
      </c>
      <c r="C2444" s="21" t="s">
        <v>35</v>
      </c>
      <c r="D2444" s="21" t="s">
        <v>921</v>
      </c>
      <c r="E2444" s="21">
        <v>59</v>
      </c>
      <c r="F2444" s="22">
        <v>45313.7501157407</v>
      </c>
      <c r="G2444" s="22">
        <v>45610.4703703704</v>
      </c>
      <c r="H2444" s="23">
        <v>145.818</v>
      </c>
      <c r="I2444" s="23">
        <v>2.4303</v>
      </c>
      <c r="J2444" s="24">
        <v>143.37</v>
      </c>
      <c r="K2444" s="21">
        <v>0</v>
      </c>
      <c r="L2444" s="21">
        <v>0</v>
      </c>
      <c r="M2444" s="21">
        <f>COUNTIF($A$2:$A$5481,A2444)</f>
        <v>2</v>
      </c>
      <c r="N2444" s="24">
        <f t="shared" si="38"/>
        <v>143.3702444</v>
      </c>
    </row>
    <row r="2445" spans="1:14">
      <c r="A2445" s="21" t="s">
        <v>2718</v>
      </c>
      <c r="B2445" s="21" t="s">
        <v>920</v>
      </c>
      <c r="C2445" s="21" t="s">
        <v>26</v>
      </c>
      <c r="D2445" s="21" t="s">
        <v>921</v>
      </c>
      <c r="E2445" s="21">
        <v>19</v>
      </c>
      <c r="F2445" s="22">
        <v>45793.4132638889</v>
      </c>
      <c r="G2445" s="22">
        <v>45958.4378356482</v>
      </c>
      <c r="H2445" s="23">
        <v>39.8</v>
      </c>
      <c r="I2445" s="23">
        <v>1.99</v>
      </c>
      <c r="J2445" s="24">
        <v>37.81</v>
      </c>
      <c r="K2445" s="21">
        <v>0</v>
      </c>
      <c r="L2445" s="21">
        <v>0</v>
      </c>
      <c r="M2445" s="21">
        <f>COUNTIF($A$2:$A$5481,A2445)</f>
        <v>2</v>
      </c>
      <c r="N2445" s="24">
        <f t="shared" si="38"/>
        <v>37.8102445</v>
      </c>
    </row>
    <row r="2446" spans="1:14">
      <c r="A2446" s="21" t="s">
        <v>2719</v>
      </c>
      <c r="B2446" s="21" t="s">
        <v>920</v>
      </c>
      <c r="C2446" s="21" t="s">
        <v>26</v>
      </c>
      <c r="D2446" s="21" t="s">
        <v>921</v>
      </c>
      <c r="E2446" s="21">
        <v>30</v>
      </c>
      <c r="F2446" s="22">
        <v>46164.5487037037</v>
      </c>
      <c r="G2446" s="22"/>
      <c r="H2446" s="23">
        <v>160</v>
      </c>
      <c r="I2446" s="23">
        <v>8</v>
      </c>
      <c r="J2446" s="24">
        <v>240</v>
      </c>
      <c r="K2446" s="21">
        <v>0</v>
      </c>
      <c r="L2446" s="21">
        <v>0</v>
      </c>
      <c r="M2446" s="21">
        <f>COUNTIF($A$2:$A$5481,A2446)</f>
        <v>1</v>
      </c>
      <c r="N2446" s="24">
        <f t="shared" si="38"/>
        <v>240.0002446</v>
      </c>
    </row>
    <row r="2447" spans="1:14">
      <c r="A2447" s="21" t="s">
        <v>2720</v>
      </c>
      <c r="B2447" s="21" t="s">
        <v>26</v>
      </c>
      <c r="C2447" s="21" t="s">
        <v>26</v>
      </c>
      <c r="D2447" s="21" t="s">
        <v>921</v>
      </c>
      <c r="E2447" s="21">
        <v>98</v>
      </c>
      <c r="F2447" s="22">
        <v>46118.7167708333</v>
      </c>
      <c r="G2447" s="22">
        <v>45989.4285300926</v>
      </c>
      <c r="H2447" s="23">
        <v>114</v>
      </c>
      <c r="I2447" s="23">
        <v>3.7779591837</v>
      </c>
      <c r="J2447" s="24">
        <v>370.44</v>
      </c>
      <c r="K2447" s="21">
        <v>0</v>
      </c>
      <c r="L2447" s="21">
        <v>0</v>
      </c>
      <c r="M2447" s="21">
        <f>COUNTIF($A$2:$A$5481,A2447)</f>
        <v>1</v>
      </c>
      <c r="N2447" s="24">
        <f t="shared" si="38"/>
        <v>370.4402447</v>
      </c>
    </row>
    <row r="2448" spans="1:14">
      <c r="A2448" s="21" t="s">
        <v>313</v>
      </c>
      <c r="B2448" s="21" t="s">
        <v>920</v>
      </c>
      <c r="C2448" s="21" t="s">
        <v>26</v>
      </c>
      <c r="D2448" s="21" t="s">
        <v>921</v>
      </c>
      <c r="E2448" s="21">
        <v>19</v>
      </c>
      <c r="F2448" s="22">
        <v>45889.5542592593</v>
      </c>
      <c r="G2448" s="22">
        <v>46097.4618981482</v>
      </c>
      <c r="H2448" s="23">
        <v>80</v>
      </c>
      <c r="I2448" s="23">
        <v>4</v>
      </c>
      <c r="J2448" s="24">
        <v>76</v>
      </c>
      <c r="K2448" s="21">
        <v>0</v>
      </c>
      <c r="L2448" s="21">
        <v>0</v>
      </c>
      <c r="M2448" s="21">
        <f>COUNTIF($A$2:$A$5481,A2448)</f>
        <v>1</v>
      </c>
      <c r="N2448" s="24">
        <f t="shared" si="38"/>
        <v>76.0002448</v>
      </c>
    </row>
    <row r="2449" spans="1:14">
      <c r="A2449" s="21" t="s">
        <v>355</v>
      </c>
      <c r="B2449" s="21" t="s">
        <v>920</v>
      </c>
      <c r="C2449" s="21" t="s">
        <v>26</v>
      </c>
      <c r="D2449" s="21" t="s">
        <v>921</v>
      </c>
      <c r="E2449" s="21">
        <v>59</v>
      </c>
      <c r="F2449" s="22">
        <v>45860.668912037</v>
      </c>
      <c r="G2449" s="22">
        <v>46122.3914699074</v>
      </c>
      <c r="H2449" s="23">
        <v>50</v>
      </c>
      <c r="I2449" s="23">
        <v>5.4553961667</v>
      </c>
      <c r="J2449" s="24">
        <v>322.14</v>
      </c>
      <c r="K2449" s="21">
        <v>0</v>
      </c>
      <c r="L2449" s="21">
        <v>0</v>
      </c>
      <c r="M2449" s="21">
        <f>COUNTIF($A$2:$A$5481,A2449)</f>
        <v>1</v>
      </c>
      <c r="N2449" s="24">
        <f t="shared" si="38"/>
        <v>322.1402449</v>
      </c>
    </row>
    <row r="2450" spans="1:14">
      <c r="A2450" s="21" t="s">
        <v>2721</v>
      </c>
      <c r="B2450" s="21" t="s">
        <v>920</v>
      </c>
      <c r="C2450" s="21" t="s">
        <v>26</v>
      </c>
      <c r="D2450" s="21" t="s">
        <v>921</v>
      </c>
      <c r="E2450" s="21">
        <v>10</v>
      </c>
      <c r="F2450" s="22">
        <v>45889.5542592593</v>
      </c>
      <c r="G2450" s="22"/>
      <c r="H2450" s="23">
        <v>45</v>
      </c>
      <c r="I2450" s="23">
        <v>4.5</v>
      </c>
      <c r="J2450" s="24">
        <v>45</v>
      </c>
      <c r="K2450" s="21">
        <v>0</v>
      </c>
      <c r="L2450" s="21">
        <v>0</v>
      </c>
      <c r="M2450" s="21">
        <f>COUNTIF($A$2:$A$5481,A2450)</f>
        <v>1</v>
      </c>
      <c r="N2450" s="24">
        <f t="shared" si="38"/>
        <v>45.000245</v>
      </c>
    </row>
    <row r="2451" spans="1:14">
      <c r="A2451" s="21" t="s">
        <v>187</v>
      </c>
      <c r="B2451" s="21" t="s">
        <v>920</v>
      </c>
      <c r="C2451" s="21" t="s">
        <v>26</v>
      </c>
      <c r="D2451" s="21" t="s">
        <v>921</v>
      </c>
      <c r="E2451" s="21">
        <v>9</v>
      </c>
      <c r="F2451" s="22">
        <v>45889.5542592593</v>
      </c>
      <c r="G2451" s="22">
        <v>46190.8090856482</v>
      </c>
      <c r="H2451" s="23">
        <v>70</v>
      </c>
      <c r="I2451" s="23">
        <v>3.5</v>
      </c>
      <c r="J2451" s="24">
        <v>31.5</v>
      </c>
      <c r="K2451" s="21">
        <v>0</v>
      </c>
      <c r="L2451" s="21">
        <v>0</v>
      </c>
      <c r="M2451" s="21">
        <f>COUNTIF($A$2:$A$5481,A2451)</f>
        <v>1</v>
      </c>
      <c r="N2451" s="24">
        <f t="shared" si="38"/>
        <v>31.5002451</v>
      </c>
    </row>
    <row r="2452" spans="1:14">
      <c r="A2452" s="21" t="s">
        <v>232</v>
      </c>
      <c r="B2452" s="21" t="s">
        <v>920</v>
      </c>
      <c r="C2452" s="21" t="s">
        <v>26</v>
      </c>
      <c r="D2452" s="21" t="s">
        <v>921</v>
      </c>
      <c r="E2452" s="21">
        <v>33</v>
      </c>
      <c r="F2452" s="22">
        <v>46197.641412037</v>
      </c>
      <c r="G2452" s="22">
        <v>46190.6709490741</v>
      </c>
      <c r="H2452" s="23">
        <v>80</v>
      </c>
      <c r="I2452" s="23">
        <v>7.1515151515</v>
      </c>
      <c r="J2452" s="24">
        <v>235.95</v>
      </c>
      <c r="K2452" s="21">
        <v>0</v>
      </c>
      <c r="L2452" s="21">
        <v>0</v>
      </c>
      <c r="M2452" s="21">
        <f>COUNTIF($A$2:$A$5481,A2452)</f>
        <v>1</v>
      </c>
      <c r="N2452" s="24">
        <f t="shared" si="38"/>
        <v>235.9502452</v>
      </c>
    </row>
    <row r="2453" spans="1:14">
      <c r="A2453" s="21" t="s">
        <v>2722</v>
      </c>
      <c r="B2453" s="21" t="s">
        <v>920</v>
      </c>
      <c r="C2453" s="21" t="s">
        <v>26</v>
      </c>
      <c r="D2453" s="21" t="s">
        <v>921</v>
      </c>
      <c r="E2453" s="21">
        <v>30</v>
      </c>
      <c r="F2453" s="22">
        <v>45996.5638310185</v>
      </c>
      <c r="G2453" s="22"/>
      <c r="H2453" s="23">
        <v>120</v>
      </c>
      <c r="I2453" s="23">
        <v>4</v>
      </c>
      <c r="J2453" s="24">
        <v>120</v>
      </c>
      <c r="K2453" s="21">
        <v>0</v>
      </c>
      <c r="L2453" s="21">
        <v>0</v>
      </c>
      <c r="M2453" s="21">
        <f>COUNTIF($A$2:$A$5481,A2453)</f>
        <v>1</v>
      </c>
      <c r="N2453" s="24">
        <f t="shared" si="38"/>
        <v>120.0002453</v>
      </c>
    </row>
    <row r="2454" spans="1:14">
      <c r="A2454" s="21" t="s">
        <v>447</v>
      </c>
      <c r="B2454" s="21" t="s">
        <v>920</v>
      </c>
      <c r="C2454" s="21" t="s">
        <v>26</v>
      </c>
      <c r="D2454" s="21" t="s">
        <v>921</v>
      </c>
      <c r="E2454" s="21">
        <v>89</v>
      </c>
      <c r="F2454" s="22">
        <v>46220.5863541667</v>
      </c>
      <c r="G2454" s="22">
        <v>46205.7098842593</v>
      </c>
      <c r="H2454" s="23">
        <v>100</v>
      </c>
      <c r="I2454" s="23">
        <v>5</v>
      </c>
      <c r="J2454" s="24">
        <v>445</v>
      </c>
      <c r="K2454" s="21">
        <v>0</v>
      </c>
      <c r="L2454" s="21">
        <v>0</v>
      </c>
      <c r="M2454" s="21">
        <f>COUNTIF($A$2:$A$5481,A2454)</f>
        <v>1</v>
      </c>
      <c r="N2454" s="24">
        <f t="shared" si="38"/>
        <v>445.0002454</v>
      </c>
    </row>
    <row r="2455" spans="1:14">
      <c r="A2455" s="21" t="s">
        <v>246</v>
      </c>
      <c r="B2455" s="21" t="s">
        <v>920</v>
      </c>
      <c r="C2455" s="21" t="s">
        <v>26</v>
      </c>
      <c r="D2455" s="21" t="s">
        <v>921</v>
      </c>
      <c r="E2455" s="21">
        <v>28</v>
      </c>
      <c r="F2455" s="22">
        <v>46190.7021064815</v>
      </c>
      <c r="G2455" s="22">
        <v>46266.7096064815</v>
      </c>
      <c r="H2455" s="23">
        <v>90</v>
      </c>
      <c r="I2455" s="23">
        <v>6</v>
      </c>
      <c r="J2455" s="24">
        <v>168</v>
      </c>
      <c r="K2455" s="21">
        <v>0</v>
      </c>
      <c r="L2455" s="21">
        <v>0</v>
      </c>
      <c r="M2455" s="21">
        <f>COUNTIF($A$2:$A$5481,A2455)</f>
        <v>1</v>
      </c>
      <c r="N2455" s="24">
        <f t="shared" si="38"/>
        <v>168.0002455</v>
      </c>
    </row>
    <row r="2456" spans="1:14">
      <c r="A2456" s="21" t="s">
        <v>152</v>
      </c>
      <c r="B2456" s="21" t="s">
        <v>920</v>
      </c>
      <c r="C2456" s="21" t="s">
        <v>26</v>
      </c>
      <c r="D2456" s="21" t="s">
        <v>921</v>
      </c>
      <c r="E2456" s="21">
        <v>102</v>
      </c>
      <c r="F2456" s="22">
        <v>46051.6177083333</v>
      </c>
      <c r="G2456" s="22">
        <v>46277.6611226852</v>
      </c>
      <c r="H2456" s="23">
        <v>135</v>
      </c>
      <c r="I2456" s="23">
        <v>4.2992165225</v>
      </c>
      <c r="J2456" s="24">
        <v>438.6</v>
      </c>
      <c r="K2456" s="21">
        <v>0</v>
      </c>
      <c r="L2456" s="21">
        <v>0</v>
      </c>
      <c r="M2456" s="21">
        <f>COUNTIF($A$2:$A$5481,A2456)</f>
        <v>1</v>
      </c>
      <c r="N2456" s="24">
        <f t="shared" si="38"/>
        <v>438.6002456</v>
      </c>
    </row>
    <row r="2457" spans="1:14">
      <c r="A2457" s="21" t="s">
        <v>248</v>
      </c>
      <c r="B2457" s="21" t="s">
        <v>920</v>
      </c>
      <c r="C2457" s="21" t="s">
        <v>26</v>
      </c>
      <c r="D2457" s="21" t="s">
        <v>921</v>
      </c>
      <c r="E2457" s="21">
        <v>18</v>
      </c>
      <c r="F2457" s="22">
        <v>46051.3711921296</v>
      </c>
      <c r="G2457" s="22">
        <v>46205.5971643519</v>
      </c>
      <c r="H2457" s="23">
        <v>120</v>
      </c>
      <c r="I2457" s="23">
        <v>6</v>
      </c>
      <c r="J2457" s="24">
        <v>108</v>
      </c>
      <c r="K2457" s="21">
        <v>0</v>
      </c>
      <c r="L2457" s="21">
        <v>0</v>
      </c>
      <c r="M2457" s="21">
        <f>COUNTIF($A$2:$A$5481,A2457)</f>
        <v>1</v>
      </c>
      <c r="N2457" s="24">
        <f t="shared" si="38"/>
        <v>108.0002457</v>
      </c>
    </row>
    <row r="2458" spans="1:14">
      <c r="A2458" s="21" t="s">
        <v>2723</v>
      </c>
      <c r="B2458" s="21" t="s">
        <v>26</v>
      </c>
      <c r="C2458" s="21" t="s">
        <v>51</v>
      </c>
      <c r="D2458" s="21" t="s">
        <v>921</v>
      </c>
      <c r="E2458" s="21">
        <v>2</v>
      </c>
      <c r="F2458" s="22">
        <v>45559.3705787037</v>
      </c>
      <c r="G2458" s="22"/>
      <c r="H2458" s="23">
        <v>409.48</v>
      </c>
      <c r="I2458" s="23">
        <v>204.74</v>
      </c>
      <c r="J2458" s="24">
        <v>409.48</v>
      </c>
      <c r="K2458" s="21">
        <v>0</v>
      </c>
      <c r="L2458" s="21">
        <v>0</v>
      </c>
      <c r="M2458" s="21">
        <f>COUNTIF($A$2:$A$5481,A2458)</f>
        <v>1</v>
      </c>
      <c r="N2458" s="24">
        <f t="shared" si="38"/>
        <v>409.4802458</v>
      </c>
    </row>
    <row r="2459" spans="1:14">
      <c r="A2459" s="21" t="s">
        <v>2724</v>
      </c>
      <c r="B2459" s="21" t="s">
        <v>26</v>
      </c>
      <c r="C2459" s="21" t="s">
        <v>51</v>
      </c>
      <c r="D2459" s="21" t="s">
        <v>921</v>
      </c>
      <c r="E2459" s="21">
        <v>2</v>
      </c>
      <c r="F2459" s="22">
        <v>45559.3705787037</v>
      </c>
      <c r="G2459" s="22"/>
      <c r="H2459" s="23">
        <v>358.3</v>
      </c>
      <c r="I2459" s="23">
        <v>179.15</v>
      </c>
      <c r="J2459" s="24">
        <v>358.3</v>
      </c>
      <c r="K2459" s="21">
        <v>0</v>
      </c>
      <c r="L2459" s="21">
        <v>0</v>
      </c>
      <c r="M2459" s="21">
        <f>COUNTIF($A$2:$A$5481,A2459)</f>
        <v>1</v>
      </c>
      <c r="N2459" s="24">
        <f t="shared" si="38"/>
        <v>358.3002459</v>
      </c>
    </row>
    <row r="2460" spans="1:14">
      <c r="A2460" s="21" t="s">
        <v>2725</v>
      </c>
      <c r="B2460" s="21" t="s">
        <v>26</v>
      </c>
      <c r="C2460" s="21" t="s">
        <v>51</v>
      </c>
      <c r="D2460" s="21" t="s">
        <v>921</v>
      </c>
      <c r="E2460" s="21">
        <v>19</v>
      </c>
      <c r="F2460" s="22">
        <v>45601.4220601852</v>
      </c>
      <c r="G2460" s="22">
        <v>45813.4400347222</v>
      </c>
      <c r="H2460" s="23">
        <v>32.4</v>
      </c>
      <c r="I2460" s="23">
        <v>3.13</v>
      </c>
      <c r="J2460" s="24">
        <v>59.47</v>
      </c>
      <c r="K2460" s="21">
        <v>0</v>
      </c>
      <c r="L2460" s="21">
        <v>0</v>
      </c>
      <c r="M2460" s="21">
        <f>COUNTIF($A$2:$A$5481,A2460)</f>
        <v>2</v>
      </c>
      <c r="N2460" s="24">
        <f t="shared" si="38"/>
        <v>59.470246</v>
      </c>
    </row>
    <row r="2461" spans="1:14">
      <c r="A2461" s="21" t="s">
        <v>2725</v>
      </c>
      <c r="B2461" s="21" t="s">
        <v>26</v>
      </c>
      <c r="C2461" s="21" t="s">
        <v>182</v>
      </c>
      <c r="D2461" s="21" t="s">
        <v>921</v>
      </c>
      <c r="E2461" s="21">
        <v>10</v>
      </c>
      <c r="F2461" s="22">
        <v>46260.4125</v>
      </c>
      <c r="G2461" s="22"/>
      <c r="H2461" s="23">
        <v>50</v>
      </c>
      <c r="I2461" s="23">
        <v>5</v>
      </c>
      <c r="J2461" s="24">
        <v>50</v>
      </c>
      <c r="K2461" s="21">
        <v>0</v>
      </c>
      <c r="L2461" s="21">
        <v>0</v>
      </c>
      <c r="M2461" s="21">
        <f>COUNTIF($A$2:$A$5481,A2461)</f>
        <v>2</v>
      </c>
      <c r="N2461" s="24">
        <f t="shared" si="38"/>
        <v>50.0002461</v>
      </c>
    </row>
    <row r="2462" spans="1:14">
      <c r="A2462" s="21" t="s">
        <v>2726</v>
      </c>
      <c r="B2462" s="21" t="s">
        <v>26</v>
      </c>
      <c r="C2462" s="21" t="s">
        <v>26</v>
      </c>
      <c r="D2462" s="21" t="s">
        <v>921</v>
      </c>
      <c r="E2462" s="21">
        <v>21</v>
      </c>
      <c r="F2462" s="22">
        <v>46245.5905439815</v>
      </c>
      <c r="G2462" s="22"/>
      <c r="H2462" s="23">
        <v>28.9</v>
      </c>
      <c r="I2462" s="23">
        <v>2.7952380952</v>
      </c>
      <c r="J2462" s="24">
        <v>58.8</v>
      </c>
      <c r="K2462" s="21">
        <v>0</v>
      </c>
      <c r="L2462" s="21">
        <v>0</v>
      </c>
      <c r="M2462" s="21">
        <f>COUNTIF($A$2:$A$5481,A2462)</f>
        <v>1</v>
      </c>
      <c r="N2462" s="24">
        <f t="shared" si="38"/>
        <v>58.8002462</v>
      </c>
    </row>
    <row r="2463" spans="1:14">
      <c r="A2463" s="21" t="s">
        <v>266</v>
      </c>
      <c r="B2463" s="21" t="s">
        <v>948</v>
      </c>
      <c r="C2463" s="21" t="s">
        <v>641</v>
      </c>
      <c r="D2463" s="21" t="s">
        <v>921</v>
      </c>
      <c r="E2463" s="21">
        <v>0</v>
      </c>
      <c r="F2463" s="22">
        <v>45337.8064699074</v>
      </c>
      <c r="G2463" s="22">
        <v>45362.3918287037</v>
      </c>
      <c r="H2463" s="23">
        <v>70</v>
      </c>
      <c r="I2463" s="23">
        <v>35</v>
      </c>
      <c r="J2463" s="24">
        <v>0</v>
      </c>
      <c r="K2463" s="21">
        <v>0</v>
      </c>
      <c r="L2463" s="21">
        <v>0</v>
      </c>
      <c r="M2463" s="21">
        <f>COUNTIF($A$2:$A$5481,A2463)</f>
        <v>2</v>
      </c>
      <c r="N2463" s="24">
        <f t="shared" si="38"/>
        <v>0.0002463</v>
      </c>
    </row>
    <row r="2464" spans="1:14">
      <c r="A2464" s="21" t="s">
        <v>266</v>
      </c>
      <c r="B2464" s="21" t="s">
        <v>948</v>
      </c>
      <c r="C2464" s="21" t="s">
        <v>26</v>
      </c>
      <c r="D2464" s="21" t="s">
        <v>921</v>
      </c>
      <c r="E2464" s="21">
        <v>52</v>
      </c>
      <c r="F2464" s="22">
        <v>46232.5770717593</v>
      </c>
      <c r="G2464" s="22">
        <v>46275.5801157407</v>
      </c>
      <c r="H2464" s="23">
        <v>175</v>
      </c>
      <c r="I2464" s="23">
        <v>32.2617183932</v>
      </c>
      <c r="J2464" s="24">
        <v>1677.52</v>
      </c>
      <c r="K2464" s="21">
        <v>0</v>
      </c>
      <c r="L2464" s="21">
        <v>0</v>
      </c>
      <c r="M2464" s="21">
        <f>COUNTIF($A$2:$A$5481,A2464)</f>
        <v>2</v>
      </c>
      <c r="N2464" s="24">
        <f t="shared" si="38"/>
        <v>1677.5202464</v>
      </c>
    </row>
    <row r="2465" spans="1:14">
      <c r="A2465" s="21" t="s">
        <v>2727</v>
      </c>
      <c r="B2465" s="21" t="s">
        <v>920</v>
      </c>
      <c r="C2465" s="21" t="s">
        <v>26</v>
      </c>
      <c r="D2465" s="21" t="s">
        <v>921</v>
      </c>
      <c r="E2465" s="21">
        <v>0</v>
      </c>
      <c r="F2465" s="22">
        <v>45845.7714930556</v>
      </c>
      <c r="G2465" s="22">
        <v>45846.3748842593</v>
      </c>
      <c r="H2465" s="23">
        <v>396.9</v>
      </c>
      <c r="I2465" s="23">
        <v>66.15</v>
      </c>
      <c r="J2465" s="24">
        <v>0</v>
      </c>
      <c r="K2465" s="21">
        <v>0</v>
      </c>
      <c r="L2465" s="21">
        <v>0</v>
      </c>
      <c r="M2465" s="21">
        <f>COUNTIF($A$2:$A$5481,A2465)</f>
        <v>1</v>
      </c>
      <c r="N2465" s="24">
        <f t="shared" si="38"/>
        <v>0.0002465</v>
      </c>
    </row>
    <row r="2466" spans="1:14">
      <c r="A2466" s="21" t="s">
        <v>2728</v>
      </c>
      <c r="B2466" s="21" t="s">
        <v>920</v>
      </c>
      <c r="C2466" s="21" t="s">
        <v>26</v>
      </c>
      <c r="D2466" s="21" t="s">
        <v>931</v>
      </c>
      <c r="E2466" s="21">
        <v>14</v>
      </c>
      <c r="F2466" s="22">
        <v>46233.7035532407</v>
      </c>
      <c r="G2466" s="22"/>
      <c r="H2466" s="23">
        <v>600</v>
      </c>
      <c r="I2466" s="23">
        <v>70</v>
      </c>
      <c r="J2466" s="24">
        <v>980</v>
      </c>
      <c r="K2466" s="21">
        <v>0</v>
      </c>
      <c r="L2466" s="21">
        <v>0</v>
      </c>
      <c r="M2466" s="21">
        <f>COUNTIF($A$2:$A$5481,A2466)</f>
        <v>1</v>
      </c>
      <c r="N2466" s="24">
        <f t="shared" si="38"/>
        <v>980.0002466</v>
      </c>
    </row>
    <row r="2467" spans="1:14">
      <c r="A2467" s="21" t="s">
        <v>2729</v>
      </c>
      <c r="B2467" s="21" t="s">
        <v>948</v>
      </c>
      <c r="C2467" s="21" t="s">
        <v>26</v>
      </c>
      <c r="D2467" s="21" t="s">
        <v>921</v>
      </c>
      <c r="E2467" s="21">
        <v>0</v>
      </c>
      <c r="F2467" s="22">
        <v>45764.4249189815</v>
      </c>
      <c r="G2467" s="22">
        <v>45769.4686111111</v>
      </c>
      <c r="H2467" s="23">
        <v>9.9</v>
      </c>
      <c r="I2467" s="23">
        <v>9.465</v>
      </c>
      <c r="J2467" s="24">
        <v>0</v>
      </c>
      <c r="K2467" s="21">
        <v>0</v>
      </c>
      <c r="L2467" s="21">
        <v>0</v>
      </c>
      <c r="M2467" s="21">
        <f>COUNTIF($A$2:$A$5481,A2467)</f>
        <v>1</v>
      </c>
      <c r="N2467" s="24">
        <f t="shared" si="38"/>
        <v>0.0002467</v>
      </c>
    </row>
    <row r="2468" spans="1:14">
      <c r="A2468" s="21" t="s">
        <v>2730</v>
      </c>
      <c r="B2468" s="21" t="s">
        <v>929</v>
      </c>
      <c r="C2468" s="21" t="s">
        <v>26</v>
      </c>
      <c r="D2468" s="21" t="s">
        <v>921</v>
      </c>
      <c r="E2468" s="21">
        <v>4</v>
      </c>
      <c r="F2468" s="22">
        <v>45930.6125</v>
      </c>
      <c r="G2468" s="22"/>
      <c r="H2468" s="23">
        <v>115.06</v>
      </c>
      <c r="I2468" s="23">
        <v>62.825</v>
      </c>
      <c r="J2468" s="24">
        <v>251.32</v>
      </c>
      <c r="K2468" s="21">
        <v>0</v>
      </c>
      <c r="L2468" s="21">
        <v>0</v>
      </c>
      <c r="M2468" s="21">
        <f>COUNTIF($A$2:$A$5481,A2468)</f>
        <v>1</v>
      </c>
      <c r="N2468" s="24">
        <f t="shared" si="38"/>
        <v>251.3202468</v>
      </c>
    </row>
    <row r="2469" spans="1:14">
      <c r="A2469" s="21" t="s">
        <v>519</v>
      </c>
      <c r="B2469" s="21" t="s">
        <v>1115</v>
      </c>
      <c r="C2469" s="21" t="s">
        <v>26</v>
      </c>
      <c r="D2469" s="21" t="s">
        <v>921</v>
      </c>
      <c r="E2469" s="21">
        <v>5676</v>
      </c>
      <c r="F2469" s="22">
        <v>45975.6184837963</v>
      </c>
      <c r="G2469" s="22">
        <v>46268.4249537037</v>
      </c>
      <c r="H2469" s="23">
        <v>760</v>
      </c>
      <c r="I2469" s="23">
        <v>0.1887234661</v>
      </c>
      <c r="J2469" s="24">
        <v>1078.44</v>
      </c>
      <c r="K2469" s="21">
        <v>0</v>
      </c>
      <c r="L2469" s="21">
        <v>0</v>
      </c>
      <c r="M2469" s="21">
        <f>COUNTIF($A$2:$A$5481,A2469)</f>
        <v>1</v>
      </c>
      <c r="N2469" s="24">
        <f t="shared" si="38"/>
        <v>1078.4402469</v>
      </c>
    </row>
    <row r="2470" spans="1:14">
      <c r="A2470" s="21" t="s">
        <v>2731</v>
      </c>
      <c r="B2470" s="21" t="s">
        <v>26</v>
      </c>
      <c r="C2470" s="21" t="s">
        <v>26</v>
      </c>
      <c r="D2470" s="21" t="s">
        <v>921</v>
      </c>
      <c r="E2470" s="21">
        <v>1</v>
      </c>
      <c r="F2470" s="22">
        <v>45338.5930555556</v>
      </c>
      <c r="G2470" s="22"/>
      <c r="H2470" s="23">
        <v>23.63</v>
      </c>
      <c r="I2470" s="23">
        <v>23.63</v>
      </c>
      <c r="J2470" s="24">
        <v>23.63</v>
      </c>
      <c r="K2470" s="21">
        <v>0</v>
      </c>
      <c r="L2470" s="21">
        <v>0</v>
      </c>
      <c r="M2470" s="21">
        <f>COUNTIF($A$2:$A$5481,A2470)</f>
        <v>1</v>
      </c>
      <c r="N2470" s="24">
        <f t="shared" si="38"/>
        <v>23.630247</v>
      </c>
    </row>
    <row r="2471" spans="1:14">
      <c r="A2471" s="21" t="s">
        <v>2732</v>
      </c>
      <c r="B2471" s="21" t="s">
        <v>26</v>
      </c>
      <c r="C2471" s="21" t="s">
        <v>26</v>
      </c>
      <c r="D2471" s="21" t="s">
        <v>921</v>
      </c>
      <c r="E2471" s="21">
        <v>5</v>
      </c>
      <c r="F2471" s="22">
        <v>45937.5458217593</v>
      </c>
      <c r="G2471" s="22"/>
      <c r="H2471" s="23">
        <v>143.65</v>
      </c>
      <c r="I2471" s="23">
        <v>28.73</v>
      </c>
      <c r="J2471" s="24">
        <v>143.65</v>
      </c>
      <c r="K2471" s="21">
        <v>0</v>
      </c>
      <c r="L2471" s="21">
        <v>0</v>
      </c>
      <c r="M2471" s="21">
        <f>COUNTIF($A$2:$A$5481,A2471)</f>
        <v>1</v>
      </c>
      <c r="N2471" s="24">
        <f t="shared" si="38"/>
        <v>143.6502471</v>
      </c>
    </row>
    <row r="2472" spans="1:14">
      <c r="A2472" s="21" t="s">
        <v>2733</v>
      </c>
      <c r="B2472" s="21" t="s">
        <v>26</v>
      </c>
      <c r="C2472" s="21" t="s">
        <v>35</v>
      </c>
      <c r="D2472" s="21" t="s">
        <v>921</v>
      </c>
      <c r="E2472" s="21">
        <v>2</v>
      </c>
      <c r="F2472" s="22">
        <v>45637.4530902778</v>
      </c>
      <c r="G2472" s="22"/>
      <c r="H2472" s="23">
        <v>1380</v>
      </c>
      <c r="I2472" s="23">
        <v>690</v>
      </c>
      <c r="J2472" s="24">
        <v>1380</v>
      </c>
      <c r="K2472" s="21">
        <v>0</v>
      </c>
      <c r="L2472" s="21">
        <v>0</v>
      </c>
      <c r="M2472" s="21">
        <f>COUNTIF($A$2:$A$5481,A2472)</f>
        <v>2</v>
      </c>
      <c r="N2472" s="24">
        <f t="shared" si="38"/>
        <v>1380.0002472</v>
      </c>
    </row>
    <row r="2473" spans="1:14">
      <c r="A2473" s="21" t="s">
        <v>2733</v>
      </c>
      <c r="B2473" s="21" t="s">
        <v>26</v>
      </c>
      <c r="C2473" s="21" t="s">
        <v>26</v>
      </c>
      <c r="D2473" s="21" t="s">
        <v>921</v>
      </c>
      <c r="E2473" s="21">
        <v>0</v>
      </c>
      <c r="F2473" s="22">
        <v>45637.4548611111</v>
      </c>
      <c r="G2473" s="22">
        <v>45789.4581944444</v>
      </c>
      <c r="H2473" s="23">
        <v>1380</v>
      </c>
      <c r="I2473" s="23">
        <v>690</v>
      </c>
      <c r="J2473" s="24">
        <v>0</v>
      </c>
      <c r="K2473" s="21">
        <v>0</v>
      </c>
      <c r="L2473" s="21">
        <v>0</v>
      </c>
      <c r="M2473" s="21">
        <f>COUNTIF($A$2:$A$5481,A2473)</f>
        <v>2</v>
      </c>
      <c r="N2473" s="24">
        <f t="shared" si="38"/>
        <v>0.0002473</v>
      </c>
    </row>
    <row r="2474" spans="1:14">
      <c r="A2474" s="21" t="s">
        <v>2734</v>
      </c>
      <c r="B2474" s="21" t="s">
        <v>1115</v>
      </c>
      <c r="C2474" s="21" t="s">
        <v>51</v>
      </c>
      <c r="D2474" s="21" t="s">
        <v>921</v>
      </c>
      <c r="E2474" s="21">
        <v>3</v>
      </c>
      <c r="F2474" s="22">
        <v>45831.7678472222</v>
      </c>
      <c r="G2474" s="22"/>
      <c r="H2474" s="23">
        <v>505.11</v>
      </c>
      <c r="I2474" s="23">
        <v>168.37</v>
      </c>
      <c r="J2474" s="24">
        <v>505.11</v>
      </c>
      <c r="K2474" s="21">
        <v>0</v>
      </c>
      <c r="L2474" s="21">
        <v>0</v>
      </c>
      <c r="M2474" s="21">
        <f>COUNTIF($A$2:$A$5481,A2474)</f>
        <v>1</v>
      </c>
      <c r="N2474" s="24">
        <f t="shared" si="38"/>
        <v>505.1102474</v>
      </c>
    </row>
    <row r="2475" spans="1:14">
      <c r="A2475" s="21" t="s">
        <v>391</v>
      </c>
      <c r="B2475" s="21" t="s">
        <v>920</v>
      </c>
      <c r="C2475" s="21" t="s">
        <v>26</v>
      </c>
      <c r="D2475" s="21" t="s">
        <v>921</v>
      </c>
      <c r="E2475" s="21">
        <v>0</v>
      </c>
      <c r="F2475" s="22">
        <v>45646.4635069444</v>
      </c>
      <c r="G2475" s="22">
        <v>46170.6132291667</v>
      </c>
      <c r="H2475" s="23">
        <v>249</v>
      </c>
      <c r="I2475" s="23">
        <v>249</v>
      </c>
      <c r="J2475" s="24">
        <v>0</v>
      </c>
      <c r="K2475" s="21">
        <v>0</v>
      </c>
      <c r="L2475" s="21">
        <v>0</v>
      </c>
      <c r="M2475" s="21">
        <f>COUNTIF($A$2:$A$5481,A2475)</f>
        <v>1</v>
      </c>
      <c r="N2475" s="24">
        <f t="shared" si="38"/>
        <v>0.0002475</v>
      </c>
    </row>
    <row r="2476" spans="1:14">
      <c r="A2476" s="21" t="s">
        <v>2735</v>
      </c>
      <c r="B2476" s="21" t="s">
        <v>920</v>
      </c>
      <c r="C2476" s="21" t="s">
        <v>35</v>
      </c>
      <c r="D2476" s="21" t="s">
        <v>921</v>
      </c>
      <c r="E2476" s="21">
        <v>1</v>
      </c>
      <c r="F2476" s="22">
        <v>45681.8444444445</v>
      </c>
      <c r="G2476" s="22"/>
      <c r="H2476" s="23">
        <v>941.12</v>
      </c>
      <c r="I2476" s="23">
        <v>941.12</v>
      </c>
      <c r="J2476" s="24">
        <v>941.12</v>
      </c>
      <c r="K2476" s="21">
        <v>0</v>
      </c>
      <c r="L2476" s="21">
        <v>0</v>
      </c>
      <c r="M2476" s="21">
        <f>COUNTIF($A$2:$A$5481,A2476)</f>
        <v>1</v>
      </c>
      <c r="N2476" s="24">
        <f t="shared" si="38"/>
        <v>941.1202476</v>
      </c>
    </row>
    <row r="2477" spans="1:14">
      <c r="A2477" s="21" t="s">
        <v>2736</v>
      </c>
      <c r="B2477" s="21" t="s">
        <v>920</v>
      </c>
      <c r="C2477" s="21" t="s">
        <v>35</v>
      </c>
      <c r="D2477" s="21" t="s">
        <v>931</v>
      </c>
      <c r="E2477" s="21">
        <v>0</v>
      </c>
      <c r="F2477" s="22">
        <v>45593.6208217593</v>
      </c>
      <c r="G2477" s="22">
        <v>45596.4417013889</v>
      </c>
      <c r="H2477" s="23">
        <v>146</v>
      </c>
      <c r="I2477" s="23">
        <v>73</v>
      </c>
      <c r="J2477" s="24">
        <v>0</v>
      </c>
      <c r="K2477" s="21">
        <v>0</v>
      </c>
      <c r="L2477" s="21">
        <v>0</v>
      </c>
      <c r="M2477" s="21">
        <f>COUNTIF($A$2:$A$5481,A2477)</f>
        <v>1</v>
      </c>
      <c r="N2477" s="24">
        <f t="shared" si="38"/>
        <v>0.0002477</v>
      </c>
    </row>
    <row r="2478" spans="1:14">
      <c r="A2478" s="21" t="s">
        <v>2737</v>
      </c>
      <c r="B2478" s="21" t="s">
        <v>920</v>
      </c>
      <c r="C2478" s="21" t="s">
        <v>35</v>
      </c>
      <c r="D2478" s="21" t="s">
        <v>921</v>
      </c>
      <c r="E2478" s="21">
        <v>1</v>
      </c>
      <c r="F2478" s="22">
        <v>45483.4565277778</v>
      </c>
      <c r="G2478" s="22"/>
      <c r="H2478" s="23">
        <v>59.74</v>
      </c>
      <c r="I2478" s="23">
        <v>59.74</v>
      </c>
      <c r="J2478" s="24">
        <v>59.74</v>
      </c>
      <c r="K2478" s="21">
        <v>0</v>
      </c>
      <c r="L2478" s="21">
        <v>0</v>
      </c>
      <c r="M2478" s="21">
        <f>COUNTIF($A$2:$A$5481,A2478)</f>
        <v>1</v>
      </c>
      <c r="N2478" s="24">
        <f t="shared" si="38"/>
        <v>59.7402478</v>
      </c>
    </row>
    <row r="2479" spans="1:14">
      <c r="A2479" s="21" t="s">
        <v>2738</v>
      </c>
      <c r="B2479" s="21" t="s">
        <v>920</v>
      </c>
      <c r="C2479" s="21" t="s">
        <v>26</v>
      </c>
      <c r="D2479" s="21" t="s">
        <v>931</v>
      </c>
      <c r="E2479" s="21">
        <v>1</v>
      </c>
      <c r="F2479" s="22">
        <v>45762.4660300926</v>
      </c>
      <c r="G2479" s="22"/>
      <c r="H2479" s="23">
        <v>50</v>
      </c>
      <c r="I2479" s="23">
        <v>50</v>
      </c>
      <c r="J2479" s="24">
        <v>50</v>
      </c>
      <c r="K2479" s="21">
        <v>0</v>
      </c>
      <c r="L2479" s="21">
        <v>0</v>
      </c>
      <c r="M2479" s="21">
        <f>COUNTIF($A$2:$A$5481,A2479)</f>
        <v>1</v>
      </c>
      <c r="N2479" s="24">
        <f t="shared" si="38"/>
        <v>50.0002479</v>
      </c>
    </row>
    <row r="2480" spans="1:14">
      <c r="A2480" s="21" t="s">
        <v>756</v>
      </c>
      <c r="B2480" s="21" t="s">
        <v>26</v>
      </c>
      <c r="C2480" s="21" t="s">
        <v>26</v>
      </c>
      <c r="D2480" s="21" t="s">
        <v>921</v>
      </c>
      <c r="E2480" s="21">
        <v>0</v>
      </c>
      <c r="F2480" s="22">
        <v>45525.4493055556</v>
      </c>
      <c r="G2480" s="22">
        <v>46252.6095486111</v>
      </c>
      <c r="H2480" s="23">
        <v>86.58</v>
      </c>
      <c r="I2480" s="23">
        <v>43.29</v>
      </c>
      <c r="J2480" s="24">
        <v>0</v>
      </c>
      <c r="K2480" s="21">
        <v>0</v>
      </c>
      <c r="L2480" s="21">
        <v>0</v>
      </c>
      <c r="M2480" s="21">
        <f>COUNTIF($A$2:$A$5481,A2480)</f>
        <v>1</v>
      </c>
      <c r="N2480" s="24">
        <f t="shared" si="38"/>
        <v>0.000248</v>
      </c>
    </row>
    <row r="2481" spans="1:14">
      <c r="A2481" s="21" t="s">
        <v>2739</v>
      </c>
      <c r="B2481" s="21" t="s">
        <v>920</v>
      </c>
      <c r="C2481" s="21" t="s">
        <v>35</v>
      </c>
      <c r="D2481" s="21" t="s">
        <v>921</v>
      </c>
      <c r="E2481" s="21">
        <v>0</v>
      </c>
      <c r="F2481" s="22">
        <v>45887.8147800926</v>
      </c>
      <c r="G2481" s="22">
        <v>45890.3603356482</v>
      </c>
      <c r="H2481" s="23">
        <v>1667.83</v>
      </c>
      <c r="I2481" s="23">
        <v>1667.83</v>
      </c>
      <c r="J2481" s="24">
        <v>0</v>
      </c>
      <c r="K2481" s="21">
        <v>0</v>
      </c>
      <c r="L2481" s="21">
        <v>0</v>
      </c>
      <c r="M2481" s="21">
        <f>COUNTIF($A$2:$A$5481,A2481)</f>
        <v>1</v>
      </c>
      <c r="N2481" s="24">
        <f t="shared" si="38"/>
        <v>0.0002481</v>
      </c>
    </row>
    <row r="2482" spans="1:14">
      <c r="A2482" s="21" t="s">
        <v>2740</v>
      </c>
      <c r="B2482" s="21" t="s">
        <v>1115</v>
      </c>
      <c r="C2482" s="21" t="s">
        <v>26</v>
      </c>
      <c r="D2482" s="21" t="s">
        <v>921</v>
      </c>
      <c r="E2482" s="21">
        <v>0</v>
      </c>
      <c r="F2482" s="22">
        <v>45895.839849537</v>
      </c>
      <c r="G2482" s="22">
        <v>45903.3894560185</v>
      </c>
      <c r="H2482" s="23">
        <v>120.06</v>
      </c>
      <c r="I2482" s="23">
        <v>40.02</v>
      </c>
      <c r="J2482" s="24">
        <v>0</v>
      </c>
      <c r="K2482" s="21">
        <v>0</v>
      </c>
      <c r="L2482" s="21">
        <v>0</v>
      </c>
      <c r="M2482" s="21">
        <f>COUNTIF($A$2:$A$5481,A2482)</f>
        <v>1</v>
      </c>
      <c r="N2482" s="24">
        <f t="shared" si="38"/>
        <v>0.0002482</v>
      </c>
    </row>
    <row r="2483" spans="1:14">
      <c r="A2483" s="21" t="s">
        <v>2741</v>
      </c>
      <c r="B2483" s="21" t="s">
        <v>920</v>
      </c>
      <c r="C2483" s="21" t="s">
        <v>26</v>
      </c>
      <c r="D2483" s="21" t="s">
        <v>921</v>
      </c>
      <c r="E2483" s="21">
        <v>8</v>
      </c>
      <c r="F2483" s="22">
        <v>46147.7030208333</v>
      </c>
      <c r="G2483" s="22"/>
      <c r="H2483" s="23">
        <v>75</v>
      </c>
      <c r="I2483" s="23">
        <v>25</v>
      </c>
      <c r="J2483" s="24">
        <v>200</v>
      </c>
      <c r="K2483" s="21">
        <v>0</v>
      </c>
      <c r="L2483" s="21">
        <v>0</v>
      </c>
      <c r="M2483" s="21">
        <f>COUNTIF($A$2:$A$5481,A2483)</f>
        <v>1</v>
      </c>
      <c r="N2483" s="24">
        <f t="shared" si="38"/>
        <v>200.0002483</v>
      </c>
    </row>
    <row r="2484" spans="1:14">
      <c r="A2484" s="21" t="s">
        <v>2742</v>
      </c>
      <c r="B2484" s="21" t="s">
        <v>920</v>
      </c>
      <c r="C2484" s="21" t="s">
        <v>26</v>
      </c>
      <c r="D2484" s="21" t="s">
        <v>931</v>
      </c>
      <c r="E2484" s="21">
        <v>3</v>
      </c>
      <c r="F2484" s="22">
        <v>45594.529212963</v>
      </c>
      <c r="G2484" s="22">
        <v>45595.4911921296</v>
      </c>
      <c r="H2484" s="23">
        <v>400</v>
      </c>
      <c r="I2484" s="23">
        <v>100</v>
      </c>
      <c r="J2484" s="24">
        <v>300</v>
      </c>
      <c r="K2484" s="21">
        <v>0</v>
      </c>
      <c r="L2484" s="21">
        <v>0</v>
      </c>
      <c r="M2484" s="21">
        <f>COUNTIF($A$2:$A$5481,A2484)</f>
        <v>1</v>
      </c>
      <c r="N2484" s="24">
        <f t="shared" si="38"/>
        <v>300.0002484</v>
      </c>
    </row>
    <row r="2485" spans="1:14">
      <c r="A2485" s="21" t="s">
        <v>2743</v>
      </c>
      <c r="B2485" s="21" t="s">
        <v>920</v>
      </c>
      <c r="C2485" s="21" t="s">
        <v>35</v>
      </c>
      <c r="D2485" s="21" t="s">
        <v>921</v>
      </c>
      <c r="E2485" s="21">
        <v>1</v>
      </c>
      <c r="F2485" s="22">
        <v>45331.4993055556</v>
      </c>
      <c r="G2485" s="22"/>
      <c r="H2485" s="23">
        <v>58</v>
      </c>
      <c r="I2485" s="23">
        <v>58</v>
      </c>
      <c r="J2485" s="24">
        <v>58</v>
      </c>
      <c r="K2485" s="21">
        <v>0</v>
      </c>
      <c r="L2485" s="21">
        <v>0</v>
      </c>
      <c r="M2485" s="21">
        <f>COUNTIF($A$2:$A$5481,A2485)</f>
        <v>1</v>
      </c>
      <c r="N2485" s="24">
        <f t="shared" si="38"/>
        <v>58.0002485</v>
      </c>
    </row>
    <row r="2486" spans="1:14">
      <c r="A2486" s="21" t="s">
        <v>2744</v>
      </c>
      <c r="B2486" s="21" t="s">
        <v>26</v>
      </c>
      <c r="C2486" s="21" t="s">
        <v>35</v>
      </c>
      <c r="D2486" s="21" t="s">
        <v>921</v>
      </c>
      <c r="E2486" s="21">
        <v>0</v>
      </c>
      <c r="F2486" s="22">
        <v>45482.4598263889</v>
      </c>
      <c r="G2486" s="22">
        <v>45495.5740856482</v>
      </c>
      <c r="H2486" s="23">
        <v>227.9</v>
      </c>
      <c r="I2486" s="23">
        <v>227.9</v>
      </c>
      <c r="J2486" s="24">
        <v>0</v>
      </c>
      <c r="K2486" s="21">
        <v>0</v>
      </c>
      <c r="L2486" s="21">
        <v>0</v>
      </c>
      <c r="M2486" s="21">
        <f>COUNTIF($A$2:$A$5481,A2486)</f>
        <v>1</v>
      </c>
      <c r="N2486" s="24">
        <f t="shared" si="38"/>
        <v>0.0002486</v>
      </c>
    </row>
    <row r="2487" spans="1:14">
      <c r="A2487" s="21" t="s">
        <v>2745</v>
      </c>
      <c r="B2487" s="21" t="s">
        <v>929</v>
      </c>
      <c r="C2487" s="21" t="s">
        <v>26</v>
      </c>
      <c r="D2487" s="21" t="s">
        <v>921</v>
      </c>
      <c r="E2487" s="21">
        <v>6</v>
      </c>
      <c r="F2487" s="22">
        <v>46072.4680671296</v>
      </c>
      <c r="G2487" s="22"/>
      <c r="H2487" s="23">
        <v>45.66</v>
      </c>
      <c r="I2487" s="23">
        <v>7.61</v>
      </c>
      <c r="J2487" s="24">
        <v>45.66</v>
      </c>
      <c r="K2487" s="21">
        <v>0</v>
      </c>
      <c r="L2487" s="21">
        <v>0</v>
      </c>
      <c r="M2487" s="21">
        <f>COUNTIF($A$2:$A$5481,A2487)</f>
        <v>1</v>
      </c>
      <c r="N2487" s="24">
        <f t="shared" si="38"/>
        <v>45.6602487</v>
      </c>
    </row>
    <row r="2488" spans="1:14">
      <c r="A2488" s="21" t="s">
        <v>2746</v>
      </c>
      <c r="B2488" s="21" t="s">
        <v>26</v>
      </c>
      <c r="C2488" s="21" t="s">
        <v>26</v>
      </c>
      <c r="D2488" s="21" t="s">
        <v>921</v>
      </c>
      <c r="E2488" s="21">
        <v>1</v>
      </c>
      <c r="F2488" s="22">
        <v>46120.3576388889</v>
      </c>
      <c r="G2488" s="22"/>
      <c r="H2488" s="23">
        <v>3.99</v>
      </c>
      <c r="I2488" s="23">
        <v>3.99</v>
      </c>
      <c r="J2488" s="24">
        <v>3.99</v>
      </c>
      <c r="K2488" s="21">
        <v>0</v>
      </c>
      <c r="L2488" s="21">
        <v>0</v>
      </c>
      <c r="M2488" s="21">
        <f>COUNTIF($A$2:$A$5481,A2488)</f>
        <v>1</v>
      </c>
      <c r="N2488" s="24">
        <f t="shared" si="38"/>
        <v>3.9902488</v>
      </c>
    </row>
    <row r="2489" spans="1:14">
      <c r="A2489" s="21" t="s">
        <v>2747</v>
      </c>
      <c r="B2489" s="21" t="s">
        <v>948</v>
      </c>
      <c r="C2489" s="21" t="s">
        <v>26</v>
      </c>
      <c r="D2489" s="21" t="s">
        <v>931</v>
      </c>
      <c r="E2489" s="21">
        <v>13</v>
      </c>
      <c r="F2489" s="22">
        <v>46233.7073842593</v>
      </c>
      <c r="G2489" s="22">
        <v>45989.4430787037</v>
      </c>
      <c r="H2489" s="23">
        <v>120</v>
      </c>
      <c r="I2489" s="23">
        <v>47.3076923077</v>
      </c>
      <c r="J2489" s="24">
        <v>615.03</v>
      </c>
      <c r="K2489" s="21">
        <v>0</v>
      </c>
      <c r="L2489" s="21">
        <v>0</v>
      </c>
      <c r="M2489" s="21">
        <f>COUNTIF($A$2:$A$5481,A2489)</f>
        <v>1</v>
      </c>
      <c r="N2489" s="24">
        <f t="shared" si="38"/>
        <v>615.0302489</v>
      </c>
    </row>
    <row r="2490" spans="1:14">
      <c r="A2490" s="21" t="s">
        <v>893</v>
      </c>
      <c r="B2490" s="21" t="s">
        <v>920</v>
      </c>
      <c r="C2490" s="21" t="s">
        <v>26</v>
      </c>
      <c r="D2490" s="21" t="s">
        <v>921</v>
      </c>
      <c r="E2490" s="21">
        <v>2</v>
      </c>
      <c r="F2490" s="22">
        <v>46265.5791666667</v>
      </c>
      <c r="G2490" s="22">
        <v>46275.5560532407</v>
      </c>
      <c r="H2490" s="23">
        <v>2085</v>
      </c>
      <c r="I2490" s="23">
        <v>695</v>
      </c>
      <c r="J2490" s="24">
        <v>1390</v>
      </c>
      <c r="K2490" s="21">
        <v>0</v>
      </c>
      <c r="L2490" s="21">
        <v>0</v>
      </c>
      <c r="M2490" s="21">
        <f>COUNTIF($A$2:$A$5481,A2490)</f>
        <v>1</v>
      </c>
      <c r="N2490" s="24">
        <f t="shared" si="38"/>
        <v>1390.000249</v>
      </c>
    </row>
    <row r="2491" spans="1:14">
      <c r="A2491" s="21" t="s">
        <v>2748</v>
      </c>
      <c r="B2491" s="21" t="s">
        <v>920</v>
      </c>
      <c r="C2491" s="21" t="s">
        <v>35</v>
      </c>
      <c r="D2491" s="21" t="s">
        <v>921</v>
      </c>
      <c r="E2491" s="21">
        <v>14</v>
      </c>
      <c r="F2491" s="22">
        <v>45671.3689930556</v>
      </c>
      <c r="G2491" s="22"/>
      <c r="H2491" s="23">
        <v>296</v>
      </c>
      <c r="I2491" s="23">
        <v>300.18571</v>
      </c>
      <c r="J2491" s="24">
        <v>4202.66</v>
      </c>
      <c r="K2491" s="21">
        <v>2</v>
      </c>
      <c r="L2491" s="21">
        <v>20</v>
      </c>
      <c r="M2491" s="21">
        <f>COUNTIF($A$2:$A$5481,A2491)</f>
        <v>1</v>
      </c>
      <c r="N2491" s="24">
        <f t="shared" si="38"/>
        <v>4202.6602491</v>
      </c>
    </row>
    <row r="2492" spans="1:14">
      <c r="A2492" s="21" t="s">
        <v>2749</v>
      </c>
      <c r="B2492" s="21" t="s">
        <v>948</v>
      </c>
      <c r="C2492" s="21" t="s">
        <v>26</v>
      </c>
      <c r="D2492" s="21" t="s">
        <v>921</v>
      </c>
      <c r="E2492" s="21">
        <v>1</v>
      </c>
      <c r="F2492" s="22">
        <v>46175.5672106482</v>
      </c>
      <c r="G2492" s="22"/>
      <c r="H2492" s="23">
        <v>43</v>
      </c>
      <c r="I2492" s="23">
        <v>43</v>
      </c>
      <c r="J2492" s="24">
        <v>43</v>
      </c>
      <c r="K2492" s="21">
        <v>0</v>
      </c>
      <c r="L2492" s="21">
        <v>0</v>
      </c>
      <c r="M2492" s="21">
        <f>COUNTIF($A$2:$A$5481,A2492)</f>
        <v>1</v>
      </c>
      <c r="N2492" s="24">
        <f t="shared" si="38"/>
        <v>43.0002492</v>
      </c>
    </row>
    <row r="2493" spans="1:14">
      <c r="A2493" s="21" t="s">
        <v>2750</v>
      </c>
      <c r="B2493" s="21" t="s">
        <v>920</v>
      </c>
      <c r="C2493" s="21" t="s">
        <v>35</v>
      </c>
      <c r="D2493" s="21" t="s">
        <v>921</v>
      </c>
      <c r="E2493" s="21">
        <v>1</v>
      </c>
      <c r="F2493" s="22">
        <v>45313.7501157407</v>
      </c>
      <c r="G2493" s="22"/>
      <c r="H2493" s="23">
        <v>85.2267</v>
      </c>
      <c r="I2493" s="23">
        <v>85.2267</v>
      </c>
      <c r="J2493" s="24">
        <v>85.23</v>
      </c>
      <c r="K2493" s="21">
        <v>0</v>
      </c>
      <c r="L2493" s="21">
        <v>0</v>
      </c>
      <c r="M2493" s="21">
        <f>COUNTIF($A$2:$A$5481,A2493)</f>
        <v>1</v>
      </c>
      <c r="N2493" s="24">
        <f t="shared" si="38"/>
        <v>85.2302493</v>
      </c>
    </row>
    <row r="2494" spans="1:14">
      <c r="A2494" s="21" t="s">
        <v>2751</v>
      </c>
      <c r="B2494" s="21" t="s">
        <v>929</v>
      </c>
      <c r="C2494" s="21" t="s">
        <v>414</v>
      </c>
      <c r="D2494" s="21" t="s">
        <v>921</v>
      </c>
      <c r="E2494" s="21">
        <v>1</v>
      </c>
      <c r="F2494" s="22">
        <v>45378.8529050926</v>
      </c>
      <c r="G2494" s="22"/>
      <c r="H2494" s="23">
        <v>7.29</v>
      </c>
      <c r="I2494" s="23">
        <v>7.29</v>
      </c>
      <c r="J2494" s="24">
        <v>7.29</v>
      </c>
      <c r="K2494" s="21">
        <v>0</v>
      </c>
      <c r="L2494" s="21">
        <v>0</v>
      </c>
      <c r="M2494" s="21">
        <f>COUNTIF($A$2:$A$5481,A2494)</f>
        <v>1</v>
      </c>
      <c r="N2494" s="24">
        <f t="shared" si="38"/>
        <v>7.2902494</v>
      </c>
    </row>
    <row r="2495" spans="1:14">
      <c r="A2495" s="21" t="s">
        <v>412</v>
      </c>
      <c r="B2495" s="21" t="s">
        <v>920</v>
      </c>
      <c r="C2495" s="21" t="s">
        <v>35</v>
      </c>
      <c r="D2495" s="21" t="s">
        <v>921</v>
      </c>
      <c r="E2495" s="21">
        <v>59</v>
      </c>
      <c r="F2495" s="22">
        <v>45377.8638888889</v>
      </c>
      <c r="G2495" s="22">
        <v>45526.3549421296</v>
      </c>
      <c r="H2495" s="23">
        <v>495</v>
      </c>
      <c r="I2495" s="23">
        <v>4.95</v>
      </c>
      <c r="J2495" s="24">
        <v>292.05</v>
      </c>
      <c r="K2495" s="21">
        <v>0</v>
      </c>
      <c r="L2495" s="21">
        <v>0</v>
      </c>
      <c r="M2495" s="21">
        <f>COUNTIF($A$2:$A$5481,A2495)</f>
        <v>2</v>
      </c>
      <c r="N2495" s="24">
        <f t="shared" si="38"/>
        <v>292.0502495</v>
      </c>
    </row>
    <row r="2496" spans="1:14">
      <c r="A2496" s="21" t="s">
        <v>412</v>
      </c>
      <c r="B2496" s="21" t="s">
        <v>920</v>
      </c>
      <c r="C2496" s="21" t="s">
        <v>26</v>
      </c>
      <c r="D2496" s="21" t="s">
        <v>921</v>
      </c>
      <c r="E2496" s="21">
        <v>318</v>
      </c>
      <c r="F2496" s="22">
        <v>45677.375</v>
      </c>
      <c r="G2496" s="22">
        <v>46219.5625</v>
      </c>
      <c r="H2496" s="23">
        <v>990</v>
      </c>
      <c r="I2496" s="23">
        <v>7.54012</v>
      </c>
      <c r="J2496" s="24">
        <v>2397.72</v>
      </c>
      <c r="K2496" s="21">
        <v>0</v>
      </c>
      <c r="L2496" s="21">
        <v>0</v>
      </c>
      <c r="M2496" s="21">
        <f>COUNTIF($A$2:$A$5481,A2496)</f>
        <v>2</v>
      </c>
      <c r="N2496" s="24">
        <f t="shared" si="38"/>
        <v>2397.7202496</v>
      </c>
    </row>
    <row r="2497" spans="1:14">
      <c r="A2497" s="21" t="s">
        <v>2752</v>
      </c>
      <c r="B2497" s="21" t="s">
        <v>920</v>
      </c>
      <c r="C2497" s="21" t="s">
        <v>26</v>
      </c>
      <c r="D2497" s="21" t="s">
        <v>2753</v>
      </c>
      <c r="E2497" s="21">
        <v>1</v>
      </c>
      <c r="F2497" s="22">
        <v>45750.4768518519</v>
      </c>
      <c r="G2497" s="22"/>
      <c r="H2497" s="23">
        <v>79.03</v>
      </c>
      <c r="I2497" s="23">
        <v>79.03</v>
      </c>
      <c r="J2497" s="24">
        <v>79.03</v>
      </c>
      <c r="K2497" s="21">
        <v>0</v>
      </c>
      <c r="L2497" s="21">
        <v>0</v>
      </c>
      <c r="M2497" s="21">
        <f>COUNTIF($A$2:$A$5481,A2497)</f>
        <v>1</v>
      </c>
      <c r="N2497" s="24">
        <f t="shared" si="38"/>
        <v>79.0302497</v>
      </c>
    </row>
    <row r="2498" spans="1:14">
      <c r="A2498" s="21" t="s">
        <v>2754</v>
      </c>
      <c r="B2498" s="21" t="s">
        <v>929</v>
      </c>
      <c r="C2498" s="21" t="s">
        <v>414</v>
      </c>
      <c r="D2498" s="21" t="s">
        <v>921</v>
      </c>
      <c r="E2498" s="21">
        <v>5</v>
      </c>
      <c r="F2498" s="22">
        <v>45309.7912384259</v>
      </c>
      <c r="G2498" s="22">
        <v>45306.439837963</v>
      </c>
      <c r="H2498" s="23">
        <v>1099.78</v>
      </c>
      <c r="I2498" s="23">
        <v>549.89</v>
      </c>
      <c r="J2498" s="24">
        <v>2749.45</v>
      </c>
      <c r="K2498" s="21">
        <v>0</v>
      </c>
      <c r="L2498" s="21">
        <v>0</v>
      </c>
      <c r="M2498" s="21">
        <f>COUNTIF($A$2:$A$5481,A2498)</f>
        <v>1</v>
      </c>
      <c r="N2498" s="24">
        <f t="shared" ref="N2498:N2561" si="39">J2498+ROW()/10000000</f>
        <v>2749.4502498</v>
      </c>
    </row>
    <row r="2499" spans="1:14">
      <c r="A2499" s="21" t="s">
        <v>2755</v>
      </c>
      <c r="B2499" s="21" t="s">
        <v>920</v>
      </c>
      <c r="C2499" s="21" t="s">
        <v>35</v>
      </c>
      <c r="D2499" s="21" t="s">
        <v>921</v>
      </c>
      <c r="E2499" s="21">
        <v>1</v>
      </c>
      <c r="F2499" s="22">
        <v>45282.4950231482</v>
      </c>
      <c r="G2499" s="22"/>
      <c r="H2499" s="23">
        <v>880</v>
      </c>
      <c r="I2499" s="23">
        <v>880</v>
      </c>
      <c r="J2499" s="24">
        <v>880</v>
      </c>
      <c r="K2499" s="21">
        <v>0</v>
      </c>
      <c r="L2499" s="21">
        <v>0</v>
      </c>
      <c r="M2499" s="21">
        <f>COUNTIF($A$2:$A$5481,A2499)</f>
        <v>2</v>
      </c>
      <c r="N2499" s="24">
        <f t="shared" si="39"/>
        <v>880.0002499</v>
      </c>
    </row>
    <row r="2500" spans="1:14">
      <c r="A2500" s="21" t="s">
        <v>2755</v>
      </c>
      <c r="B2500" s="21" t="s">
        <v>920</v>
      </c>
      <c r="C2500" s="21" t="s">
        <v>390</v>
      </c>
      <c r="D2500" s="21" t="s">
        <v>921</v>
      </c>
      <c r="E2500" s="21">
        <v>1</v>
      </c>
      <c r="F2500" s="22">
        <v>45944.6336111111</v>
      </c>
      <c r="G2500" s="22"/>
      <c r="H2500" s="23">
        <v>1800</v>
      </c>
      <c r="I2500" s="23">
        <v>1800</v>
      </c>
      <c r="J2500" s="24">
        <v>1800</v>
      </c>
      <c r="K2500" s="21">
        <v>0</v>
      </c>
      <c r="L2500" s="21">
        <v>0</v>
      </c>
      <c r="M2500" s="21">
        <f>COUNTIF($A$2:$A$5481,A2500)</f>
        <v>2</v>
      </c>
      <c r="N2500" s="24">
        <f t="shared" si="39"/>
        <v>1800.00025</v>
      </c>
    </row>
    <row r="2501" spans="1:14">
      <c r="A2501" s="21" t="s">
        <v>385</v>
      </c>
      <c r="B2501" s="21" t="s">
        <v>920</v>
      </c>
      <c r="C2501" s="21" t="s">
        <v>35</v>
      </c>
      <c r="D2501" s="21" t="s">
        <v>921</v>
      </c>
      <c r="E2501" s="21">
        <v>0</v>
      </c>
      <c r="F2501" s="22">
        <v>46146.3819444445</v>
      </c>
      <c r="G2501" s="22">
        <v>46162.6283333333</v>
      </c>
      <c r="H2501" s="23">
        <v>3900</v>
      </c>
      <c r="I2501" s="23">
        <v>3900</v>
      </c>
      <c r="J2501" s="24">
        <v>0</v>
      </c>
      <c r="K2501" s="21">
        <v>0</v>
      </c>
      <c r="L2501" s="21">
        <v>0</v>
      </c>
      <c r="M2501" s="21">
        <f>COUNTIF($A$2:$A$5481,A2501)</f>
        <v>1</v>
      </c>
      <c r="N2501" s="24">
        <f t="shared" si="39"/>
        <v>0.0002501</v>
      </c>
    </row>
    <row r="2502" spans="1:14">
      <c r="A2502" s="21" t="s">
        <v>2756</v>
      </c>
      <c r="B2502" s="21" t="s">
        <v>920</v>
      </c>
      <c r="C2502" s="21" t="s">
        <v>26</v>
      </c>
      <c r="D2502" s="21" t="s">
        <v>921</v>
      </c>
      <c r="E2502" s="21">
        <v>1</v>
      </c>
      <c r="F2502" s="22">
        <v>46104.5284722222</v>
      </c>
      <c r="G2502" s="22"/>
      <c r="H2502" s="23">
        <v>1600</v>
      </c>
      <c r="I2502" s="23">
        <v>1600</v>
      </c>
      <c r="J2502" s="24">
        <v>1600</v>
      </c>
      <c r="K2502" s="21">
        <v>0</v>
      </c>
      <c r="L2502" s="21">
        <v>0</v>
      </c>
      <c r="M2502" s="21">
        <f>COUNTIF($A$2:$A$5481,A2502)</f>
        <v>1</v>
      </c>
      <c r="N2502" s="24">
        <f t="shared" si="39"/>
        <v>1600.0002502</v>
      </c>
    </row>
    <row r="2503" spans="1:14">
      <c r="A2503" s="21" t="s">
        <v>2757</v>
      </c>
      <c r="B2503" s="21" t="s">
        <v>26</v>
      </c>
      <c r="C2503" s="21" t="s">
        <v>35</v>
      </c>
      <c r="D2503" s="21" t="s">
        <v>921</v>
      </c>
      <c r="E2503" s="21">
        <v>0</v>
      </c>
      <c r="F2503" s="22">
        <v>45671.3799189815</v>
      </c>
      <c r="G2503" s="22">
        <v>45673.4657523148</v>
      </c>
      <c r="H2503" s="23">
        <v>4480</v>
      </c>
      <c r="I2503" s="23">
        <v>4480</v>
      </c>
      <c r="J2503" s="24">
        <v>0</v>
      </c>
      <c r="K2503" s="21">
        <v>0</v>
      </c>
      <c r="L2503" s="21">
        <v>0</v>
      </c>
      <c r="M2503" s="21">
        <f>COUNTIF($A$2:$A$5481,A2503)</f>
        <v>1</v>
      </c>
      <c r="N2503" s="24">
        <f t="shared" si="39"/>
        <v>0.0002503</v>
      </c>
    </row>
    <row r="2504" spans="1:14">
      <c r="A2504" s="21" t="s">
        <v>2758</v>
      </c>
      <c r="B2504" s="21" t="s">
        <v>26</v>
      </c>
      <c r="C2504" s="21" t="s">
        <v>35</v>
      </c>
      <c r="D2504" s="21" t="s">
        <v>921</v>
      </c>
      <c r="E2504" s="21">
        <v>1</v>
      </c>
      <c r="F2504" s="22">
        <v>45632.5881481482</v>
      </c>
      <c r="G2504" s="22">
        <v>45615.5389467593</v>
      </c>
      <c r="H2504" s="23">
        <v>4440</v>
      </c>
      <c r="I2504" s="23">
        <v>6590</v>
      </c>
      <c r="J2504" s="24">
        <v>6590</v>
      </c>
      <c r="K2504" s="21">
        <v>0</v>
      </c>
      <c r="L2504" s="21">
        <v>0</v>
      </c>
      <c r="M2504" s="21">
        <f>COUNTIF($A$2:$A$5481,A2504)</f>
        <v>1</v>
      </c>
      <c r="N2504" s="24">
        <f t="shared" si="39"/>
        <v>6590.0002504</v>
      </c>
    </row>
    <row r="2505" spans="1:14">
      <c r="A2505" s="21" t="s">
        <v>2759</v>
      </c>
      <c r="B2505" s="21" t="s">
        <v>920</v>
      </c>
      <c r="C2505" s="21" t="s">
        <v>26</v>
      </c>
      <c r="D2505" s="21" t="s">
        <v>921</v>
      </c>
      <c r="E2505" s="21">
        <v>1</v>
      </c>
      <c r="F2505" s="22">
        <v>45867.4381944445</v>
      </c>
      <c r="G2505" s="22"/>
      <c r="H2505" s="23">
        <v>2649</v>
      </c>
      <c r="I2505" s="23">
        <v>2649</v>
      </c>
      <c r="J2505" s="24">
        <v>2649</v>
      </c>
      <c r="K2505" s="21">
        <v>0</v>
      </c>
      <c r="L2505" s="21">
        <v>0</v>
      </c>
      <c r="M2505" s="21">
        <f>COUNTIF($A$2:$A$5481,A2505)</f>
        <v>1</v>
      </c>
      <c r="N2505" s="24">
        <f t="shared" si="39"/>
        <v>2649.0002505</v>
      </c>
    </row>
    <row r="2506" spans="1:14">
      <c r="A2506" s="21" t="s">
        <v>2760</v>
      </c>
      <c r="B2506" s="21" t="s">
        <v>920</v>
      </c>
      <c r="C2506" s="21" t="s">
        <v>35</v>
      </c>
      <c r="D2506" s="21" t="s">
        <v>921</v>
      </c>
      <c r="E2506" s="21">
        <v>0</v>
      </c>
      <c r="F2506" s="22">
        <v>45589.3610648148</v>
      </c>
      <c r="G2506" s="22">
        <v>45607.8200694445</v>
      </c>
      <c r="H2506" s="23">
        <v>3257.45</v>
      </c>
      <c r="I2506" s="23">
        <v>3257.45</v>
      </c>
      <c r="J2506" s="24">
        <v>0</v>
      </c>
      <c r="K2506" s="21">
        <v>0</v>
      </c>
      <c r="L2506" s="21">
        <v>0</v>
      </c>
      <c r="M2506" s="21">
        <f>COUNTIF($A$2:$A$5481,A2506)</f>
        <v>2</v>
      </c>
      <c r="N2506" s="24">
        <f t="shared" si="39"/>
        <v>0.0002506</v>
      </c>
    </row>
    <row r="2507" spans="1:14">
      <c r="A2507" s="21" t="s">
        <v>2760</v>
      </c>
      <c r="B2507" s="21" t="s">
        <v>920</v>
      </c>
      <c r="C2507" s="21" t="s">
        <v>26</v>
      </c>
      <c r="D2507" s="21" t="s">
        <v>921</v>
      </c>
      <c r="E2507" s="21">
        <v>1</v>
      </c>
      <c r="F2507" s="22">
        <v>45715.8104166667</v>
      </c>
      <c r="G2507" s="22">
        <v>45733.3650694444</v>
      </c>
      <c r="H2507" s="23">
        <v>2055</v>
      </c>
      <c r="I2507" s="23">
        <v>3372.5</v>
      </c>
      <c r="J2507" s="24">
        <v>3372.5</v>
      </c>
      <c r="K2507" s="21">
        <v>0</v>
      </c>
      <c r="L2507" s="21">
        <v>0</v>
      </c>
      <c r="M2507" s="21">
        <f>COUNTIF($A$2:$A$5481,A2507)</f>
        <v>2</v>
      </c>
      <c r="N2507" s="24">
        <f t="shared" si="39"/>
        <v>3372.5002507</v>
      </c>
    </row>
    <row r="2508" spans="1:14">
      <c r="A2508" s="21" t="s">
        <v>2761</v>
      </c>
      <c r="B2508" s="21" t="s">
        <v>920</v>
      </c>
      <c r="C2508" s="21" t="s">
        <v>26</v>
      </c>
      <c r="D2508" s="21" t="s">
        <v>921</v>
      </c>
      <c r="E2508" s="21">
        <v>0</v>
      </c>
      <c r="F2508" s="22">
        <v>45866.5473263889</v>
      </c>
      <c r="G2508" s="22">
        <v>45867.4262152778</v>
      </c>
      <c r="H2508" s="23">
        <v>2802</v>
      </c>
      <c r="I2508" s="23">
        <v>2802</v>
      </c>
      <c r="J2508" s="24">
        <v>0</v>
      </c>
      <c r="K2508" s="21">
        <v>0</v>
      </c>
      <c r="L2508" s="21">
        <v>0</v>
      </c>
      <c r="M2508" s="21">
        <f>COUNTIF($A$2:$A$5481,A2508)</f>
        <v>1</v>
      </c>
      <c r="N2508" s="24">
        <f t="shared" si="39"/>
        <v>0.0002508</v>
      </c>
    </row>
    <row r="2509" spans="1:14">
      <c r="A2509" s="21" t="s">
        <v>2762</v>
      </c>
      <c r="B2509" s="21" t="s">
        <v>929</v>
      </c>
      <c r="C2509" s="21" t="s">
        <v>414</v>
      </c>
      <c r="D2509" s="21" t="s">
        <v>921</v>
      </c>
      <c r="E2509" s="21">
        <v>2</v>
      </c>
      <c r="F2509" s="22">
        <v>45834.4549652778</v>
      </c>
      <c r="G2509" s="22">
        <v>45819.4616898148</v>
      </c>
      <c r="H2509" s="23">
        <v>730.17</v>
      </c>
      <c r="I2509" s="23">
        <v>698.11</v>
      </c>
      <c r="J2509" s="24">
        <v>1396.22</v>
      </c>
      <c r="K2509" s="21">
        <v>0</v>
      </c>
      <c r="L2509" s="21">
        <v>0</v>
      </c>
      <c r="M2509" s="21">
        <f>COUNTIF($A$2:$A$5481,A2509)</f>
        <v>1</v>
      </c>
      <c r="N2509" s="24">
        <f t="shared" si="39"/>
        <v>1396.2202509</v>
      </c>
    </row>
    <row r="2510" spans="1:14">
      <c r="A2510" s="21" t="s">
        <v>467</v>
      </c>
      <c r="B2510" s="21" t="s">
        <v>920</v>
      </c>
      <c r="C2510" s="21" t="s">
        <v>35</v>
      </c>
      <c r="D2510" s="21" t="s">
        <v>921</v>
      </c>
      <c r="E2510" s="21">
        <v>0</v>
      </c>
      <c r="F2510" s="22">
        <v>46209.6529398148</v>
      </c>
      <c r="G2510" s="22">
        <v>46212.7097222222</v>
      </c>
      <c r="H2510" s="23">
        <v>6356</v>
      </c>
      <c r="I2510" s="23">
        <v>6356</v>
      </c>
      <c r="J2510" s="24">
        <v>0</v>
      </c>
      <c r="K2510" s="21">
        <v>0</v>
      </c>
      <c r="L2510" s="21">
        <v>0</v>
      </c>
      <c r="M2510" s="21">
        <f>COUNTIF($A$2:$A$5481,A2510)</f>
        <v>1</v>
      </c>
      <c r="N2510" s="24">
        <f t="shared" si="39"/>
        <v>0.000251</v>
      </c>
    </row>
    <row r="2511" spans="1:14">
      <c r="A2511" s="21" t="s">
        <v>2763</v>
      </c>
      <c r="B2511" s="21" t="s">
        <v>920</v>
      </c>
      <c r="C2511" s="21" t="s">
        <v>26</v>
      </c>
      <c r="D2511" s="21" t="s">
        <v>921</v>
      </c>
      <c r="E2511" s="21">
        <v>1</v>
      </c>
      <c r="F2511" s="22">
        <v>46282.5756944444</v>
      </c>
      <c r="G2511" s="22"/>
      <c r="H2511" s="23">
        <v>180</v>
      </c>
      <c r="I2511" s="23">
        <v>180</v>
      </c>
      <c r="J2511" s="24">
        <v>180</v>
      </c>
      <c r="K2511" s="21">
        <v>0</v>
      </c>
      <c r="L2511" s="21">
        <v>0</v>
      </c>
      <c r="M2511" s="21">
        <f>COUNTIF($A$2:$A$5481,A2511)</f>
        <v>1</v>
      </c>
      <c r="N2511" s="24">
        <f t="shared" si="39"/>
        <v>180.0002511</v>
      </c>
    </row>
    <row r="2512" spans="1:14">
      <c r="A2512" s="21" t="s">
        <v>691</v>
      </c>
      <c r="B2512" s="21" t="s">
        <v>1346</v>
      </c>
      <c r="C2512" s="21" t="s">
        <v>26</v>
      </c>
      <c r="D2512" s="21" t="s">
        <v>921</v>
      </c>
      <c r="E2512" s="21">
        <v>0</v>
      </c>
      <c r="F2512" s="22">
        <v>46198.6958333333</v>
      </c>
      <c r="G2512" s="22">
        <v>46252.5688425926</v>
      </c>
      <c r="H2512" s="23">
        <v>349.11</v>
      </c>
      <c r="I2512" s="23">
        <v>349.11</v>
      </c>
      <c r="J2512" s="24">
        <v>0</v>
      </c>
      <c r="K2512" s="21">
        <v>0</v>
      </c>
      <c r="L2512" s="21">
        <v>0</v>
      </c>
      <c r="M2512" s="21">
        <f>COUNTIF($A$2:$A$5481,A2512)</f>
        <v>1</v>
      </c>
      <c r="N2512" s="24">
        <f t="shared" si="39"/>
        <v>0.0002512</v>
      </c>
    </row>
    <row r="2513" spans="1:14">
      <c r="A2513" s="21" t="s">
        <v>2764</v>
      </c>
      <c r="B2513" s="21" t="s">
        <v>26</v>
      </c>
      <c r="C2513" s="21" t="s">
        <v>26</v>
      </c>
      <c r="D2513" s="21" t="s">
        <v>921</v>
      </c>
      <c r="E2513" s="21">
        <v>1</v>
      </c>
      <c r="F2513" s="22">
        <v>45880.4910300926</v>
      </c>
      <c r="G2513" s="22"/>
      <c r="H2513" s="23">
        <v>20.25</v>
      </c>
      <c r="I2513" s="23">
        <v>20.25</v>
      </c>
      <c r="J2513" s="24">
        <v>20.25</v>
      </c>
      <c r="K2513" s="21">
        <v>0</v>
      </c>
      <c r="L2513" s="21">
        <v>0</v>
      </c>
      <c r="M2513" s="21">
        <f>COUNTIF($A$2:$A$5481,A2513)</f>
        <v>1</v>
      </c>
      <c r="N2513" s="24">
        <f t="shared" si="39"/>
        <v>20.2502513</v>
      </c>
    </row>
    <row r="2514" spans="1:14">
      <c r="A2514" s="21" t="s">
        <v>2765</v>
      </c>
      <c r="B2514" s="21" t="s">
        <v>929</v>
      </c>
      <c r="C2514" s="21" t="s">
        <v>414</v>
      </c>
      <c r="D2514" s="21" t="s">
        <v>921</v>
      </c>
      <c r="E2514" s="21">
        <v>4</v>
      </c>
      <c r="F2514" s="22">
        <v>45834.4549652778</v>
      </c>
      <c r="G2514" s="22">
        <v>45819.4617013889</v>
      </c>
      <c r="H2514" s="23">
        <v>201.14</v>
      </c>
      <c r="I2514" s="23">
        <v>96.15333</v>
      </c>
      <c r="J2514" s="24">
        <v>384.6</v>
      </c>
      <c r="K2514" s="21">
        <v>0</v>
      </c>
      <c r="L2514" s="21">
        <v>0</v>
      </c>
      <c r="M2514" s="21">
        <f>COUNTIF($A$2:$A$5481,A2514)</f>
        <v>1</v>
      </c>
      <c r="N2514" s="24">
        <f t="shared" si="39"/>
        <v>384.6002514</v>
      </c>
    </row>
    <row r="2515" spans="1:14">
      <c r="A2515" s="21" t="s">
        <v>2766</v>
      </c>
      <c r="B2515" s="21" t="s">
        <v>26</v>
      </c>
      <c r="C2515" s="21" t="s">
        <v>182</v>
      </c>
      <c r="D2515" s="21" t="s">
        <v>921</v>
      </c>
      <c r="E2515" s="21">
        <v>0</v>
      </c>
      <c r="F2515" s="22">
        <v>45355.8752314815</v>
      </c>
      <c r="G2515" s="22">
        <v>45358.4860300926</v>
      </c>
      <c r="H2515" s="23">
        <v>4750</v>
      </c>
      <c r="I2515" s="23">
        <v>47.5</v>
      </c>
      <c r="J2515" s="24">
        <v>0</v>
      </c>
      <c r="K2515" s="21">
        <v>0</v>
      </c>
      <c r="L2515" s="21">
        <v>0</v>
      </c>
      <c r="M2515" s="21">
        <f>COUNTIF($A$2:$A$5481,A2515)</f>
        <v>1</v>
      </c>
      <c r="N2515" s="24">
        <f t="shared" si="39"/>
        <v>0.0002515</v>
      </c>
    </row>
    <row r="2516" spans="1:14">
      <c r="A2516" s="21" t="s">
        <v>2767</v>
      </c>
      <c r="B2516" s="21" t="s">
        <v>920</v>
      </c>
      <c r="C2516" s="21" t="s">
        <v>26</v>
      </c>
      <c r="D2516" s="21" t="s">
        <v>931</v>
      </c>
      <c r="E2516" s="21">
        <v>1</v>
      </c>
      <c r="F2516" s="22">
        <v>45700.3772337963</v>
      </c>
      <c r="G2516" s="22"/>
      <c r="H2516" s="23">
        <v>135</v>
      </c>
      <c r="I2516" s="23">
        <v>135</v>
      </c>
      <c r="J2516" s="24">
        <v>135</v>
      </c>
      <c r="K2516" s="21">
        <v>0</v>
      </c>
      <c r="L2516" s="21">
        <v>0</v>
      </c>
      <c r="M2516" s="21">
        <f>COUNTIF($A$2:$A$5481,A2516)</f>
        <v>1</v>
      </c>
      <c r="N2516" s="24">
        <f t="shared" si="39"/>
        <v>135.0002516</v>
      </c>
    </row>
    <row r="2517" spans="1:14">
      <c r="A2517" s="21" t="s">
        <v>2768</v>
      </c>
      <c r="B2517" s="21" t="s">
        <v>920</v>
      </c>
      <c r="C2517" s="21" t="s">
        <v>35</v>
      </c>
      <c r="D2517" s="21" t="s">
        <v>921</v>
      </c>
      <c r="E2517" s="21">
        <v>1</v>
      </c>
      <c r="F2517" s="22">
        <v>45276.3080208333</v>
      </c>
      <c r="G2517" s="22"/>
      <c r="H2517" s="23">
        <v>80.75</v>
      </c>
      <c r="I2517" s="23">
        <v>80.75</v>
      </c>
      <c r="J2517" s="24">
        <v>80.75</v>
      </c>
      <c r="K2517" s="21">
        <v>0</v>
      </c>
      <c r="L2517" s="21">
        <v>0</v>
      </c>
      <c r="M2517" s="21">
        <f>COUNTIF($A$2:$A$5481,A2517)</f>
        <v>2</v>
      </c>
      <c r="N2517" s="24">
        <f t="shared" si="39"/>
        <v>80.7502517</v>
      </c>
    </row>
    <row r="2518" spans="1:14">
      <c r="A2518" s="21" t="s">
        <v>2768</v>
      </c>
      <c r="B2518" s="21" t="s">
        <v>920</v>
      </c>
      <c r="C2518" s="21" t="s">
        <v>26</v>
      </c>
      <c r="D2518" s="21" t="s">
        <v>921</v>
      </c>
      <c r="E2518" s="21">
        <v>0</v>
      </c>
      <c r="F2518" s="22">
        <v>45549.5645833333</v>
      </c>
      <c r="G2518" s="22">
        <v>45573.8172453704</v>
      </c>
      <c r="H2518" s="23">
        <v>299.92</v>
      </c>
      <c r="I2518" s="23">
        <v>37.49</v>
      </c>
      <c r="J2518" s="24">
        <v>0</v>
      </c>
      <c r="K2518" s="21">
        <v>0</v>
      </c>
      <c r="L2518" s="21">
        <v>0</v>
      </c>
      <c r="M2518" s="21">
        <f>COUNTIF($A$2:$A$5481,A2518)</f>
        <v>2</v>
      </c>
      <c r="N2518" s="24">
        <f t="shared" si="39"/>
        <v>0.0002518</v>
      </c>
    </row>
    <row r="2519" spans="1:14">
      <c r="A2519" s="21" t="s">
        <v>2769</v>
      </c>
      <c r="B2519" s="21" t="s">
        <v>920</v>
      </c>
      <c r="C2519" s="21" t="s">
        <v>35</v>
      </c>
      <c r="D2519" s="21" t="s">
        <v>921</v>
      </c>
      <c r="E2519" s="21">
        <v>0</v>
      </c>
      <c r="F2519" s="22">
        <v>45314.5534722222</v>
      </c>
      <c r="G2519" s="22">
        <v>45456.8166203704</v>
      </c>
      <c r="H2519" s="23">
        <v>850</v>
      </c>
      <c r="I2519" s="23">
        <v>850</v>
      </c>
      <c r="J2519" s="24">
        <v>0</v>
      </c>
      <c r="K2519" s="21">
        <v>0</v>
      </c>
      <c r="L2519" s="21">
        <v>0</v>
      </c>
      <c r="M2519" s="21">
        <f>COUNTIF($A$2:$A$5481,A2519)</f>
        <v>2</v>
      </c>
      <c r="N2519" s="24">
        <f t="shared" si="39"/>
        <v>0.0002519</v>
      </c>
    </row>
    <row r="2520" spans="1:14">
      <c r="A2520" s="21" t="s">
        <v>2769</v>
      </c>
      <c r="B2520" s="21" t="s">
        <v>920</v>
      </c>
      <c r="C2520" s="21" t="s">
        <v>26</v>
      </c>
      <c r="D2520" s="21" t="s">
        <v>921</v>
      </c>
      <c r="E2520" s="21">
        <v>1</v>
      </c>
      <c r="F2520" s="22">
        <v>45580.8214814815</v>
      </c>
      <c r="G2520" s="22">
        <v>45713.4565856482</v>
      </c>
      <c r="H2520" s="23">
        <v>1240</v>
      </c>
      <c r="I2520" s="23">
        <v>1246</v>
      </c>
      <c r="J2520" s="24">
        <v>1246</v>
      </c>
      <c r="K2520" s="21">
        <v>0</v>
      </c>
      <c r="L2520" s="21">
        <v>0</v>
      </c>
      <c r="M2520" s="21">
        <f>COUNTIF($A$2:$A$5481,A2520)</f>
        <v>2</v>
      </c>
      <c r="N2520" s="24">
        <f t="shared" si="39"/>
        <v>1246.000252</v>
      </c>
    </row>
    <row r="2521" spans="1:14">
      <c r="A2521" s="21" t="s">
        <v>2770</v>
      </c>
      <c r="B2521" s="21" t="s">
        <v>920</v>
      </c>
      <c r="C2521" s="21" t="s">
        <v>26</v>
      </c>
      <c r="D2521" s="21" t="s">
        <v>921</v>
      </c>
      <c r="E2521" s="21">
        <v>0</v>
      </c>
      <c r="F2521" s="22">
        <v>45979.599837963</v>
      </c>
      <c r="G2521" s="22">
        <v>45987.3947106482</v>
      </c>
      <c r="H2521" s="23">
        <v>212.33</v>
      </c>
      <c r="I2521" s="23">
        <v>212.33</v>
      </c>
      <c r="J2521" s="24">
        <v>0</v>
      </c>
      <c r="K2521" s="21">
        <v>0</v>
      </c>
      <c r="L2521" s="21">
        <v>0</v>
      </c>
      <c r="M2521" s="21">
        <f>COUNTIF($A$2:$A$5481,A2521)</f>
        <v>1</v>
      </c>
      <c r="N2521" s="24">
        <f t="shared" si="39"/>
        <v>0.0002521</v>
      </c>
    </row>
    <row r="2522" spans="1:14">
      <c r="A2522" s="21" t="s">
        <v>2771</v>
      </c>
      <c r="B2522" s="21" t="s">
        <v>26</v>
      </c>
      <c r="C2522" s="21" t="s">
        <v>414</v>
      </c>
      <c r="D2522" s="21" t="s">
        <v>921</v>
      </c>
      <c r="E2522" s="21">
        <v>6</v>
      </c>
      <c r="F2522" s="22">
        <v>45274.8437962963</v>
      </c>
      <c r="G2522" s="22"/>
      <c r="H2522" s="23">
        <v>1470</v>
      </c>
      <c r="I2522" s="23">
        <v>245</v>
      </c>
      <c r="J2522" s="24">
        <v>1470</v>
      </c>
      <c r="K2522" s="21">
        <v>0</v>
      </c>
      <c r="L2522" s="21">
        <v>0</v>
      </c>
      <c r="M2522" s="21">
        <f>COUNTIF($A$2:$A$5481,A2522)</f>
        <v>1</v>
      </c>
      <c r="N2522" s="24">
        <f t="shared" si="39"/>
        <v>1470.0002522</v>
      </c>
    </row>
    <row r="2523" spans="1:14">
      <c r="A2523" s="21" t="s">
        <v>2772</v>
      </c>
      <c r="B2523" s="21" t="s">
        <v>920</v>
      </c>
      <c r="C2523" s="21" t="s">
        <v>35</v>
      </c>
      <c r="D2523" s="21" t="s">
        <v>921</v>
      </c>
      <c r="E2523" s="21">
        <v>0</v>
      </c>
      <c r="F2523" s="22">
        <v>45377.7770833333</v>
      </c>
      <c r="G2523" s="22">
        <v>45386.6513888889</v>
      </c>
      <c r="H2523" s="23">
        <v>79</v>
      </c>
      <c r="I2523" s="23">
        <v>79</v>
      </c>
      <c r="J2523" s="24">
        <v>0</v>
      </c>
      <c r="K2523" s="21">
        <v>0</v>
      </c>
      <c r="L2523" s="21">
        <v>0</v>
      </c>
      <c r="M2523" s="21">
        <f>COUNTIF($A$2:$A$5481,A2523)</f>
        <v>2</v>
      </c>
      <c r="N2523" s="24">
        <f t="shared" si="39"/>
        <v>0.0002523</v>
      </c>
    </row>
    <row r="2524" spans="1:14">
      <c r="A2524" s="21" t="s">
        <v>2772</v>
      </c>
      <c r="B2524" s="21" t="s">
        <v>920</v>
      </c>
      <c r="C2524" s="21" t="s">
        <v>26</v>
      </c>
      <c r="D2524" s="21" t="s">
        <v>921</v>
      </c>
      <c r="E2524" s="21">
        <v>1</v>
      </c>
      <c r="F2524" s="22">
        <v>45937.5681481482</v>
      </c>
      <c r="G2524" s="22"/>
      <c r="H2524" s="23">
        <v>79</v>
      </c>
      <c r="I2524" s="23">
        <v>79</v>
      </c>
      <c r="J2524" s="24">
        <v>79</v>
      </c>
      <c r="K2524" s="21">
        <v>0</v>
      </c>
      <c r="L2524" s="21">
        <v>0</v>
      </c>
      <c r="M2524" s="21">
        <f>COUNTIF($A$2:$A$5481,A2524)</f>
        <v>2</v>
      </c>
      <c r="N2524" s="24">
        <f t="shared" si="39"/>
        <v>79.0002524</v>
      </c>
    </row>
    <row r="2525" spans="1:14">
      <c r="A2525" s="21" t="s">
        <v>747</v>
      </c>
      <c r="B2525" s="21" t="s">
        <v>1175</v>
      </c>
      <c r="C2525" s="21" t="s">
        <v>26</v>
      </c>
      <c r="D2525" s="21" t="s">
        <v>921</v>
      </c>
      <c r="E2525" s="21">
        <v>0</v>
      </c>
      <c r="F2525" s="22">
        <v>45614.8486111111</v>
      </c>
      <c r="G2525" s="22">
        <v>46252.6094444445</v>
      </c>
      <c r="H2525" s="23">
        <v>382.72</v>
      </c>
      <c r="I2525" s="23">
        <v>200.5733333333</v>
      </c>
      <c r="J2525" s="24">
        <v>0</v>
      </c>
      <c r="K2525" s="21">
        <v>0</v>
      </c>
      <c r="L2525" s="21">
        <v>0</v>
      </c>
      <c r="M2525" s="21">
        <f>COUNTIF($A$2:$A$5481,A2525)</f>
        <v>1</v>
      </c>
      <c r="N2525" s="24">
        <f t="shared" si="39"/>
        <v>0.0002525</v>
      </c>
    </row>
    <row r="2526" spans="1:14">
      <c r="A2526" s="21" t="s">
        <v>727</v>
      </c>
      <c r="B2526" s="21" t="s">
        <v>26</v>
      </c>
      <c r="C2526" s="21" t="s">
        <v>26</v>
      </c>
      <c r="D2526" s="21" t="s">
        <v>921</v>
      </c>
      <c r="E2526" s="21">
        <v>0</v>
      </c>
      <c r="F2526" s="22">
        <v>45857.4652777778</v>
      </c>
      <c r="G2526" s="22">
        <v>46252.5692708333</v>
      </c>
      <c r="H2526" s="23">
        <v>72.98</v>
      </c>
      <c r="I2526" s="23">
        <v>72.98</v>
      </c>
      <c r="J2526" s="24">
        <v>0</v>
      </c>
      <c r="K2526" s="21">
        <v>0</v>
      </c>
      <c r="L2526" s="21">
        <v>0</v>
      </c>
      <c r="M2526" s="21">
        <f>COUNTIF($A$2:$A$5481,A2526)</f>
        <v>1</v>
      </c>
      <c r="N2526" s="24">
        <f t="shared" si="39"/>
        <v>0.0002526</v>
      </c>
    </row>
    <row r="2527" spans="1:14">
      <c r="A2527" s="21" t="s">
        <v>726</v>
      </c>
      <c r="B2527" s="21" t="s">
        <v>26</v>
      </c>
      <c r="C2527" s="21" t="s">
        <v>26</v>
      </c>
      <c r="D2527" s="21" t="s">
        <v>921</v>
      </c>
      <c r="E2527" s="21">
        <v>0</v>
      </c>
      <c r="F2527" s="22">
        <v>45857.4651736111</v>
      </c>
      <c r="G2527" s="22">
        <v>46252.5692592593</v>
      </c>
      <c r="H2527" s="23">
        <v>72.98</v>
      </c>
      <c r="I2527" s="23">
        <v>72.98</v>
      </c>
      <c r="J2527" s="24">
        <v>0</v>
      </c>
      <c r="K2527" s="21">
        <v>0</v>
      </c>
      <c r="L2527" s="21">
        <v>0</v>
      </c>
      <c r="M2527" s="21">
        <f>COUNTIF($A$2:$A$5481,A2527)</f>
        <v>1</v>
      </c>
      <c r="N2527" s="24">
        <f t="shared" si="39"/>
        <v>0.0002527</v>
      </c>
    </row>
    <row r="2528" spans="1:14">
      <c r="A2528" s="21" t="s">
        <v>694</v>
      </c>
      <c r="B2528" s="21" t="s">
        <v>920</v>
      </c>
      <c r="C2528" s="21" t="s">
        <v>26</v>
      </c>
      <c r="D2528" s="21" t="s">
        <v>921</v>
      </c>
      <c r="E2528" s="21">
        <v>0</v>
      </c>
      <c r="F2528" s="22">
        <v>46142.3888888889</v>
      </c>
      <c r="G2528" s="22">
        <v>46252.5688888889</v>
      </c>
      <c r="H2528" s="23">
        <v>149.64</v>
      </c>
      <c r="I2528" s="23">
        <v>74.82</v>
      </c>
      <c r="J2528" s="24">
        <v>0</v>
      </c>
      <c r="K2528" s="21">
        <v>0</v>
      </c>
      <c r="L2528" s="21">
        <v>0</v>
      </c>
      <c r="M2528" s="21">
        <f>COUNTIF($A$2:$A$5481,A2528)</f>
        <v>1</v>
      </c>
      <c r="N2528" s="24">
        <f t="shared" si="39"/>
        <v>0.0002528</v>
      </c>
    </row>
    <row r="2529" spans="1:14">
      <c r="A2529" s="21" t="s">
        <v>2773</v>
      </c>
      <c r="B2529" s="21" t="s">
        <v>929</v>
      </c>
      <c r="C2529" s="21" t="s">
        <v>26</v>
      </c>
      <c r="D2529" s="21" t="s">
        <v>1309</v>
      </c>
      <c r="E2529" s="21">
        <v>1</v>
      </c>
      <c r="F2529" s="22">
        <v>45757.4216782407</v>
      </c>
      <c r="G2529" s="22">
        <v>45483.5831828704</v>
      </c>
      <c r="H2529" s="23">
        <v>199.9</v>
      </c>
      <c r="I2529" s="23">
        <v>199.9</v>
      </c>
      <c r="J2529" s="24">
        <v>199.9</v>
      </c>
      <c r="K2529" s="21">
        <v>0</v>
      </c>
      <c r="L2529" s="21">
        <v>0</v>
      </c>
      <c r="M2529" s="21">
        <f>COUNTIF($A$2:$A$5481,A2529)</f>
        <v>1</v>
      </c>
      <c r="N2529" s="24">
        <f t="shared" si="39"/>
        <v>199.9002529</v>
      </c>
    </row>
    <row r="2530" spans="1:14">
      <c r="A2530" s="21" t="s">
        <v>2774</v>
      </c>
      <c r="B2530" s="21" t="s">
        <v>948</v>
      </c>
      <c r="C2530" s="21" t="s">
        <v>26</v>
      </c>
      <c r="D2530" s="21" t="s">
        <v>921</v>
      </c>
      <c r="E2530" s="21">
        <v>3</v>
      </c>
      <c r="F2530" s="22">
        <v>45677.77375</v>
      </c>
      <c r="G2530" s="22"/>
      <c r="H2530" s="23">
        <v>66</v>
      </c>
      <c r="I2530" s="23">
        <v>22</v>
      </c>
      <c r="J2530" s="24">
        <v>66</v>
      </c>
      <c r="K2530" s="21">
        <v>0</v>
      </c>
      <c r="L2530" s="21">
        <v>0</v>
      </c>
      <c r="M2530" s="21">
        <f>COUNTIF($A$2:$A$5481,A2530)</f>
        <v>1</v>
      </c>
      <c r="N2530" s="24">
        <f t="shared" si="39"/>
        <v>66.000253</v>
      </c>
    </row>
    <row r="2531" spans="1:14">
      <c r="A2531" s="21" t="s">
        <v>2775</v>
      </c>
      <c r="B2531" s="21" t="s">
        <v>920</v>
      </c>
      <c r="C2531" s="21" t="s">
        <v>35</v>
      </c>
      <c r="D2531" s="21" t="s">
        <v>931</v>
      </c>
      <c r="E2531" s="21">
        <v>1</v>
      </c>
      <c r="F2531" s="22">
        <v>45868.6533680556</v>
      </c>
      <c r="G2531" s="22"/>
      <c r="H2531" s="23">
        <v>67</v>
      </c>
      <c r="I2531" s="23">
        <v>67</v>
      </c>
      <c r="J2531" s="24">
        <v>67</v>
      </c>
      <c r="K2531" s="21">
        <v>0</v>
      </c>
      <c r="L2531" s="21">
        <v>0</v>
      </c>
      <c r="M2531" s="21">
        <f>COUNTIF($A$2:$A$5481,A2531)</f>
        <v>1</v>
      </c>
      <c r="N2531" s="24">
        <f t="shared" si="39"/>
        <v>67.0002531</v>
      </c>
    </row>
    <row r="2532" spans="1:14">
      <c r="A2532" s="21" t="s">
        <v>2776</v>
      </c>
      <c r="B2532" s="21" t="s">
        <v>920</v>
      </c>
      <c r="C2532" s="21" t="s">
        <v>26</v>
      </c>
      <c r="D2532" s="21" t="s">
        <v>921</v>
      </c>
      <c r="E2532" s="21">
        <v>5</v>
      </c>
      <c r="F2532" s="22">
        <v>46189.6087268519</v>
      </c>
      <c r="G2532" s="22"/>
      <c r="H2532" s="23">
        <v>143</v>
      </c>
      <c r="I2532" s="23">
        <v>28.6</v>
      </c>
      <c r="J2532" s="24">
        <v>143</v>
      </c>
      <c r="K2532" s="21">
        <v>0</v>
      </c>
      <c r="L2532" s="21">
        <v>0</v>
      </c>
      <c r="M2532" s="21">
        <f>COUNTIF($A$2:$A$5481,A2532)</f>
        <v>1</v>
      </c>
      <c r="N2532" s="24">
        <f t="shared" si="39"/>
        <v>143.0002532</v>
      </c>
    </row>
    <row r="2533" spans="1:14">
      <c r="A2533" s="21" t="s">
        <v>410</v>
      </c>
      <c r="B2533" s="21" t="s">
        <v>920</v>
      </c>
      <c r="C2533" s="21" t="s">
        <v>26</v>
      </c>
      <c r="D2533" s="21" t="s">
        <v>921</v>
      </c>
      <c r="E2533" s="21">
        <v>0</v>
      </c>
      <c r="F2533" s="22">
        <v>45404.6918402778</v>
      </c>
      <c r="G2533" s="22">
        <v>46191.7126736111</v>
      </c>
      <c r="H2533" s="23">
        <v>26</v>
      </c>
      <c r="I2533" s="23">
        <v>26</v>
      </c>
      <c r="J2533" s="24">
        <v>0</v>
      </c>
      <c r="K2533" s="21">
        <v>0</v>
      </c>
      <c r="L2533" s="21">
        <v>0</v>
      </c>
      <c r="M2533" s="21">
        <f>COUNTIF($A$2:$A$5481,A2533)</f>
        <v>1</v>
      </c>
      <c r="N2533" s="24">
        <f t="shared" si="39"/>
        <v>0.0002533</v>
      </c>
    </row>
    <row r="2534" spans="1:14">
      <c r="A2534" s="21" t="s">
        <v>2777</v>
      </c>
      <c r="B2534" s="21" t="s">
        <v>920</v>
      </c>
      <c r="C2534" s="21" t="s">
        <v>35</v>
      </c>
      <c r="D2534" s="21" t="s">
        <v>921</v>
      </c>
      <c r="E2534" s="21">
        <v>0</v>
      </c>
      <c r="F2534" s="22">
        <v>45532.4259490741</v>
      </c>
      <c r="G2534" s="22">
        <v>45537.8619560185</v>
      </c>
      <c r="H2534" s="23">
        <v>238</v>
      </c>
      <c r="I2534" s="23">
        <v>238</v>
      </c>
      <c r="J2534" s="24">
        <v>0</v>
      </c>
      <c r="K2534" s="21">
        <v>0</v>
      </c>
      <c r="L2534" s="21">
        <v>0</v>
      </c>
      <c r="M2534" s="21">
        <f>COUNTIF($A$2:$A$5481,A2534)</f>
        <v>1</v>
      </c>
      <c r="N2534" s="24">
        <f t="shared" si="39"/>
        <v>0.0002534</v>
      </c>
    </row>
    <row r="2535" spans="1:14">
      <c r="A2535" s="21" t="s">
        <v>2778</v>
      </c>
      <c r="B2535" s="21" t="s">
        <v>920</v>
      </c>
      <c r="C2535" s="21" t="s">
        <v>35</v>
      </c>
      <c r="D2535" s="21" t="s">
        <v>921</v>
      </c>
      <c r="E2535" s="21">
        <v>0</v>
      </c>
      <c r="F2535" s="22">
        <v>45279.3987384259</v>
      </c>
      <c r="G2535" s="22">
        <v>45279.4947106482</v>
      </c>
      <c r="H2535" s="23">
        <v>185</v>
      </c>
      <c r="I2535" s="23">
        <v>185</v>
      </c>
      <c r="J2535" s="24">
        <v>0</v>
      </c>
      <c r="K2535" s="21">
        <v>0</v>
      </c>
      <c r="L2535" s="21">
        <v>0</v>
      </c>
      <c r="M2535" s="21">
        <f>COUNTIF($A$2:$A$5481,A2535)</f>
        <v>1</v>
      </c>
      <c r="N2535" s="24">
        <f t="shared" si="39"/>
        <v>0.0002535</v>
      </c>
    </row>
    <row r="2536" spans="1:14">
      <c r="A2536" s="21" t="s">
        <v>288</v>
      </c>
      <c r="B2536" s="21" t="s">
        <v>920</v>
      </c>
      <c r="C2536" s="21" t="s">
        <v>35</v>
      </c>
      <c r="D2536" s="21" t="s">
        <v>921</v>
      </c>
      <c r="E2536" s="21">
        <v>0</v>
      </c>
      <c r="F2536" s="22">
        <v>45376.7965277778</v>
      </c>
      <c r="G2536" s="22">
        <v>45629.4037268519</v>
      </c>
      <c r="H2536" s="23">
        <v>83.57</v>
      </c>
      <c r="I2536" s="23">
        <v>83.57</v>
      </c>
      <c r="J2536" s="24">
        <v>0</v>
      </c>
      <c r="K2536" s="21">
        <v>0</v>
      </c>
      <c r="L2536" s="21">
        <v>0</v>
      </c>
      <c r="M2536" s="21">
        <f>COUNTIF($A$2:$A$5481,A2536)</f>
        <v>2</v>
      </c>
      <c r="N2536" s="24">
        <f t="shared" si="39"/>
        <v>0.0002536</v>
      </c>
    </row>
    <row r="2537" spans="1:14">
      <c r="A2537" s="21" t="s">
        <v>288</v>
      </c>
      <c r="B2537" s="21" t="s">
        <v>920</v>
      </c>
      <c r="C2537" s="21" t="s">
        <v>26</v>
      </c>
      <c r="D2537" s="21" t="s">
        <v>921</v>
      </c>
      <c r="E2537" s="21">
        <v>8</v>
      </c>
      <c r="F2537" s="22">
        <v>45784.8474884259</v>
      </c>
      <c r="G2537" s="22">
        <v>46176.5873148148</v>
      </c>
      <c r="H2537" s="23">
        <v>756</v>
      </c>
      <c r="I2537" s="23">
        <v>188.742857</v>
      </c>
      <c r="J2537" s="24">
        <v>1509.92</v>
      </c>
      <c r="K2537" s="21">
        <v>0</v>
      </c>
      <c r="L2537" s="21">
        <v>0</v>
      </c>
      <c r="M2537" s="21">
        <f>COUNTIF($A$2:$A$5481,A2537)</f>
        <v>2</v>
      </c>
      <c r="N2537" s="24">
        <f t="shared" si="39"/>
        <v>1509.9202537</v>
      </c>
    </row>
    <row r="2538" spans="1:14">
      <c r="A2538" s="21" t="s">
        <v>2779</v>
      </c>
      <c r="B2538" s="21" t="s">
        <v>920</v>
      </c>
      <c r="C2538" s="21" t="s">
        <v>26</v>
      </c>
      <c r="D2538" s="21" t="s">
        <v>921</v>
      </c>
      <c r="E2538" s="21">
        <v>0</v>
      </c>
      <c r="F2538" s="22">
        <v>45987.4614236111</v>
      </c>
      <c r="G2538" s="22">
        <v>45987.4627893519</v>
      </c>
      <c r="H2538" s="23">
        <v>260</v>
      </c>
      <c r="I2538" s="23">
        <v>260</v>
      </c>
      <c r="J2538" s="24">
        <v>0</v>
      </c>
      <c r="K2538" s="21">
        <v>0</v>
      </c>
      <c r="L2538" s="21">
        <v>0</v>
      </c>
      <c r="M2538" s="21">
        <f>COUNTIF($A$2:$A$5481,A2538)</f>
        <v>1</v>
      </c>
      <c r="N2538" s="24">
        <f t="shared" si="39"/>
        <v>0.0002538</v>
      </c>
    </row>
    <row r="2539" spans="1:14">
      <c r="A2539" s="21" t="s">
        <v>461</v>
      </c>
      <c r="B2539" s="21" t="s">
        <v>920</v>
      </c>
      <c r="C2539" s="21" t="s">
        <v>26</v>
      </c>
      <c r="D2539" s="21" t="s">
        <v>921</v>
      </c>
      <c r="E2539" s="21">
        <v>1</v>
      </c>
      <c r="F2539" s="22">
        <v>46211.5267592593</v>
      </c>
      <c r="G2539" s="22">
        <v>46211.7021180556</v>
      </c>
      <c r="H2539" s="23">
        <v>26</v>
      </c>
      <c r="I2539" s="23">
        <v>13</v>
      </c>
      <c r="J2539" s="24">
        <v>13</v>
      </c>
      <c r="K2539" s="21">
        <v>0</v>
      </c>
      <c r="L2539" s="21">
        <v>0</v>
      </c>
      <c r="M2539" s="21">
        <f>COUNTIF($A$2:$A$5481,A2539)</f>
        <v>1</v>
      </c>
      <c r="N2539" s="24">
        <f t="shared" si="39"/>
        <v>13.0002539</v>
      </c>
    </row>
    <row r="2540" spans="1:14">
      <c r="A2540" s="21" t="s">
        <v>397</v>
      </c>
      <c r="B2540" s="21" t="s">
        <v>920</v>
      </c>
      <c r="C2540" s="21" t="s">
        <v>26</v>
      </c>
      <c r="D2540" s="21" t="s">
        <v>921</v>
      </c>
      <c r="E2540" s="21">
        <v>2</v>
      </c>
      <c r="F2540" s="22">
        <v>46099.5105439815</v>
      </c>
      <c r="G2540" s="22">
        <v>46211.4142939815</v>
      </c>
      <c r="H2540" s="23">
        <v>64</v>
      </c>
      <c r="I2540" s="23">
        <v>16</v>
      </c>
      <c r="J2540" s="24">
        <v>32</v>
      </c>
      <c r="K2540" s="21">
        <v>0</v>
      </c>
      <c r="L2540" s="21">
        <v>0</v>
      </c>
      <c r="M2540" s="21">
        <f>COUNTIF($A$2:$A$5481,A2540)</f>
        <v>1</v>
      </c>
      <c r="N2540" s="24">
        <f t="shared" si="39"/>
        <v>32.000254</v>
      </c>
    </row>
    <row r="2541" spans="1:14">
      <c r="A2541" s="21" t="s">
        <v>2780</v>
      </c>
      <c r="B2541" s="21" t="s">
        <v>920</v>
      </c>
      <c r="C2541" s="21" t="s">
        <v>26</v>
      </c>
      <c r="D2541" s="21" t="s">
        <v>921</v>
      </c>
      <c r="E2541" s="21">
        <v>12</v>
      </c>
      <c r="F2541" s="22">
        <v>46119.523599537</v>
      </c>
      <c r="G2541" s="22"/>
      <c r="H2541" s="23">
        <v>219.6</v>
      </c>
      <c r="I2541" s="23">
        <v>18.3</v>
      </c>
      <c r="J2541" s="24">
        <v>219.6</v>
      </c>
      <c r="K2541" s="21">
        <v>0</v>
      </c>
      <c r="L2541" s="21">
        <v>0</v>
      </c>
      <c r="M2541" s="21">
        <f>COUNTIF($A$2:$A$5481,A2541)</f>
        <v>1</v>
      </c>
      <c r="N2541" s="24">
        <f t="shared" si="39"/>
        <v>219.6002541</v>
      </c>
    </row>
    <row r="2542" spans="1:14">
      <c r="A2542" s="21" t="s">
        <v>2781</v>
      </c>
      <c r="B2542" s="21" t="s">
        <v>920</v>
      </c>
      <c r="C2542" s="21" t="s">
        <v>26</v>
      </c>
      <c r="D2542" s="21" t="s">
        <v>921</v>
      </c>
      <c r="E2542" s="21">
        <v>0</v>
      </c>
      <c r="F2542" s="22">
        <v>45502.356712963</v>
      </c>
      <c r="G2542" s="22">
        <v>45860.3959259259</v>
      </c>
      <c r="H2542" s="23">
        <v>16</v>
      </c>
      <c r="I2542" s="23">
        <v>16</v>
      </c>
      <c r="J2542" s="24">
        <v>0</v>
      </c>
      <c r="K2542" s="21">
        <v>0</v>
      </c>
      <c r="L2542" s="21">
        <v>0</v>
      </c>
      <c r="M2542" s="21">
        <f>COUNTIF($A$2:$A$5481,A2542)</f>
        <v>1</v>
      </c>
      <c r="N2542" s="24">
        <f t="shared" si="39"/>
        <v>0.0002542</v>
      </c>
    </row>
    <row r="2543" spans="1:14">
      <c r="A2543" s="21" t="s">
        <v>2782</v>
      </c>
      <c r="B2543" s="21" t="s">
        <v>920</v>
      </c>
      <c r="C2543" s="21" t="s">
        <v>26</v>
      </c>
      <c r="D2543" s="21" t="s">
        <v>921</v>
      </c>
      <c r="E2543" s="21">
        <v>0</v>
      </c>
      <c r="F2543" s="22">
        <v>45609.4011805556</v>
      </c>
      <c r="G2543" s="22">
        <v>45617.4052546296</v>
      </c>
      <c r="H2543" s="23">
        <v>28.94</v>
      </c>
      <c r="I2543" s="23">
        <v>28.94</v>
      </c>
      <c r="J2543" s="24">
        <v>0</v>
      </c>
      <c r="K2543" s="21">
        <v>0</v>
      </c>
      <c r="L2543" s="21">
        <v>0</v>
      </c>
      <c r="M2543" s="21">
        <f>COUNTIF($A$2:$A$5481,A2543)</f>
        <v>1</v>
      </c>
      <c r="N2543" s="24">
        <f t="shared" si="39"/>
        <v>0.0002543</v>
      </c>
    </row>
    <row r="2544" spans="1:14">
      <c r="A2544" s="21" t="s">
        <v>2783</v>
      </c>
      <c r="B2544" s="21" t="s">
        <v>920</v>
      </c>
      <c r="C2544" s="21" t="s">
        <v>26</v>
      </c>
      <c r="D2544" s="21" t="s">
        <v>921</v>
      </c>
      <c r="E2544" s="21">
        <v>0</v>
      </c>
      <c r="F2544" s="22">
        <v>45609.4011805556</v>
      </c>
      <c r="G2544" s="22">
        <v>45617.4052199074</v>
      </c>
      <c r="H2544" s="23">
        <v>205.98</v>
      </c>
      <c r="I2544" s="23">
        <v>34.33</v>
      </c>
      <c r="J2544" s="24">
        <v>0</v>
      </c>
      <c r="K2544" s="21">
        <v>0</v>
      </c>
      <c r="L2544" s="21">
        <v>0</v>
      </c>
      <c r="M2544" s="21">
        <f>COUNTIF($A$2:$A$5481,A2544)</f>
        <v>1</v>
      </c>
      <c r="N2544" s="24">
        <f t="shared" si="39"/>
        <v>0.0002544</v>
      </c>
    </row>
    <row r="2545" spans="1:14">
      <c r="A2545" s="21" t="s">
        <v>2784</v>
      </c>
      <c r="B2545" s="21" t="s">
        <v>920</v>
      </c>
      <c r="C2545" s="21" t="s">
        <v>26</v>
      </c>
      <c r="D2545" s="21" t="s">
        <v>921</v>
      </c>
      <c r="E2545" s="21">
        <v>0</v>
      </c>
      <c r="F2545" s="22">
        <v>45609.4011805556</v>
      </c>
      <c r="G2545" s="22">
        <v>45617.4052083333</v>
      </c>
      <c r="H2545" s="23">
        <v>61.38</v>
      </c>
      <c r="I2545" s="23">
        <v>10.23</v>
      </c>
      <c r="J2545" s="24">
        <v>0</v>
      </c>
      <c r="K2545" s="21">
        <v>0</v>
      </c>
      <c r="L2545" s="21">
        <v>0</v>
      </c>
      <c r="M2545" s="21">
        <f>COUNTIF($A$2:$A$5481,A2545)</f>
        <v>2</v>
      </c>
      <c r="N2545" s="24">
        <f t="shared" si="39"/>
        <v>0.0002545</v>
      </c>
    </row>
    <row r="2546" spans="1:14">
      <c r="A2546" s="21" t="s">
        <v>2784</v>
      </c>
      <c r="B2546" s="21" t="s">
        <v>920</v>
      </c>
      <c r="C2546" s="21" t="s">
        <v>35</v>
      </c>
      <c r="D2546" s="21" t="s">
        <v>921</v>
      </c>
      <c r="E2546" s="21">
        <v>2</v>
      </c>
      <c r="F2546" s="22">
        <v>45625.5604166667</v>
      </c>
      <c r="G2546" s="22"/>
      <c r="H2546" s="23">
        <v>156.64</v>
      </c>
      <c r="I2546" s="23">
        <v>78.32</v>
      </c>
      <c r="J2546" s="24">
        <v>156.64</v>
      </c>
      <c r="K2546" s="21">
        <v>0</v>
      </c>
      <c r="L2546" s="21">
        <v>0</v>
      </c>
      <c r="M2546" s="21">
        <f>COUNTIF($A$2:$A$5481,A2546)</f>
        <v>2</v>
      </c>
      <c r="N2546" s="24">
        <f t="shared" si="39"/>
        <v>156.6402546</v>
      </c>
    </row>
    <row r="2547" spans="1:14">
      <c r="A2547" s="21" t="s">
        <v>2785</v>
      </c>
      <c r="B2547" s="21" t="s">
        <v>920</v>
      </c>
      <c r="C2547" s="21" t="s">
        <v>26</v>
      </c>
      <c r="D2547" s="21" t="s">
        <v>921</v>
      </c>
      <c r="E2547" s="21">
        <v>1</v>
      </c>
      <c r="F2547" s="22">
        <v>45502.356712963</v>
      </c>
      <c r="G2547" s="22">
        <v>45352.4803472222</v>
      </c>
      <c r="H2547" s="23">
        <v>11.8</v>
      </c>
      <c r="I2547" s="23">
        <v>11.8</v>
      </c>
      <c r="J2547" s="24">
        <v>11.8</v>
      </c>
      <c r="K2547" s="21">
        <v>0</v>
      </c>
      <c r="L2547" s="21">
        <v>0</v>
      </c>
      <c r="M2547" s="21">
        <f>COUNTIF($A$2:$A$5481,A2547)</f>
        <v>1</v>
      </c>
      <c r="N2547" s="24">
        <f t="shared" si="39"/>
        <v>11.8002547</v>
      </c>
    </row>
    <row r="2548" spans="1:14">
      <c r="A2548" s="21" t="s">
        <v>2786</v>
      </c>
      <c r="B2548" s="21" t="s">
        <v>920</v>
      </c>
      <c r="C2548" s="21" t="s">
        <v>35</v>
      </c>
      <c r="D2548" s="21" t="s">
        <v>921</v>
      </c>
      <c r="E2548" s="21">
        <v>0</v>
      </c>
      <c r="F2548" s="22">
        <v>45915.5961458333</v>
      </c>
      <c r="G2548" s="22">
        <v>45923.4677777778</v>
      </c>
      <c r="H2548" s="23">
        <v>58</v>
      </c>
      <c r="I2548" s="23">
        <v>29</v>
      </c>
      <c r="J2548" s="24">
        <v>0</v>
      </c>
      <c r="K2548" s="21">
        <v>0</v>
      </c>
      <c r="L2548" s="21">
        <v>0</v>
      </c>
      <c r="M2548" s="21">
        <f>COUNTIF($A$2:$A$5481,A2548)</f>
        <v>1</v>
      </c>
      <c r="N2548" s="24">
        <f t="shared" si="39"/>
        <v>0.0002548</v>
      </c>
    </row>
    <row r="2549" spans="1:14">
      <c r="A2549" s="21" t="s">
        <v>2787</v>
      </c>
      <c r="B2549" s="21" t="s">
        <v>920</v>
      </c>
      <c r="C2549" s="21" t="s">
        <v>35</v>
      </c>
      <c r="D2549" s="21" t="s">
        <v>921</v>
      </c>
      <c r="E2549" s="21">
        <v>0</v>
      </c>
      <c r="F2549" s="22">
        <v>45279.3987384259</v>
      </c>
      <c r="G2549" s="22">
        <v>45279.4946759259</v>
      </c>
      <c r="H2549" s="23">
        <v>12</v>
      </c>
      <c r="I2549" s="23">
        <v>12</v>
      </c>
      <c r="J2549" s="24">
        <v>0</v>
      </c>
      <c r="K2549" s="21">
        <v>0</v>
      </c>
      <c r="L2549" s="21">
        <v>0</v>
      </c>
      <c r="M2549" s="21">
        <f>COUNTIF($A$2:$A$5481,A2549)</f>
        <v>1</v>
      </c>
      <c r="N2549" s="24">
        <f t="shared" si="39"/>
        <v>0.0002549</v>
      </c>
    </row>
    <row r="2550" spans="1:14">
      <c r="A2550" s="21" t="s">
        <v>2788</v>
      </c>
      <c r="B2550" s="21" t="s">
        <v>920</v>
      </c>
      <c r="C2550" s="21" t="s">
        <v>26</v>
      </c>
      <c r="D2550" s="21" t="s">
        <v>921</v>
      </c>
      <c r="E2550" s="21">
        <v>10</v>
      </c>
      <c r="F2550" s="22">
        <v>45861.426400463</v>
      </c>
      <c r="G2550" s="22">
        <v>45869.416087963</v>
      </c>
      <c r="H2550" s="23">
        <v>158.4</v>
      </c>
      <c r="I2550" s="23">
        <v>37.3090909091</v>
      </c>
      <c r="J2550" s="24">
        <v>373.1</v>
      </c>
      <c r="K2550" s="21">
        <v>0</v>
      </c>
      <c r="L2550" s="21">
        <v>0</v>
      </c>
      <c r="M2550" s="21">
        <f>COUNTIF($A$2:$A$5481,A2550)</f>
        <v>1</v>
      </c>
      <c r="N2550" s="24">
        <f t="shared" si="39"/>
        <v>373.100255</v>
      </c>
    </row>
    <row r="2551" spans="1:14">
      <c r="A2551" s="21" t="s">
        <v>2789</v>
      </c>
      <c r="B2551" s="21" t="s">
        <v>920</v>
      </c>
      <c r="C2551" s="21" t="s">
        <v>35</v>
      </c>
      <c r="D2551" s="21" t="s">
        <v>921</v>
      </c>
      <c r="E2551" s="21">
        <v>0</v>
      </c>
      <c r="F2551" s="22">
        <v>45279.3987384259</v>
      </c>
      <c r="G2551" s="22">
        <v>45279.4946990741</v>
      </c>
      <c r="H2551" s="23">
        <v>24</v>
      </c>
      <c r="I2551" s="23">
        <v>12</v>
      </c>
      <c r="J2551" s="24">
        <v>0</v>
      </c>
      <c r="K2551" s="21">
        <v>0</v>
      </c>
      <c r="L2551" s="21">
        <v>0</v>
      </c>
      <c r="M2551" s="21">
        <f>COUNTIF($A$2:$A$5481,A2551)</f>
        <v>1</v>
      </c>
      <c r="N2551" s="24">
        <f t="shared" si="39"/>
        <v>0.0002551</v>
      </c>
    </row>
    <row r="2552" spans="1:14">
      <c r="A2552" s="21" t="s">
        <v>2790</v>
      </c>
      <c r="B2552" s="21" t="s">
        <v>920</v>
      </c>
      <c r="C2552" s="21" t="s">
        <v>26</v>
      </c>
      <c r="D2552" s="21" t="s">
        <v>921</v>
      </c>
      <c r="E2552" s="21">
        <v>0</v>
      </c>
      <c r="F2552" s="22">
        <v>45980.5277662037</v>
      </c>
      <c r="G2552" s="22">
        <v>45987.3932407407</v>
      </c>
      <c r="H2552" s="23">
        <v>1710</v>
      </c>
      <c r="I2552" s="23">
        <v>1710</v>
      </c>
      <c r="J2552" s="24">
        <v>0</v>
      </c>
      <c r="K2552" s="21">
        <v>0</v>
      </c>
      <c r="L2552" s="21">
        <v>0</v>
      </c>
      <c r="M2552" s="21">
        <f>COUNTIF($A$2:$A$5481,A2552)</f>
        <v>1</v>
      </c>
      <c r="N2552" s="24">
        <f t="shared" si="39"/>
        <v>0.0002552</v>
      </c>
    </row>
    <row r="2553" spans="1:14">
      <c r="A2553" s="21" t="s">
        <v>2791</v>
      </c>
      <c r="B2553" s="21" t="s">
        <v>920</v>
      </c>
      <c r="C2553" s="21" t="s">
        <v>35</v>
      </c>
      <c r="D2553" s="21" t="s">
        <v>921</v>
      </c>
      <c r="E2553" s="21">
        <v>1</v>
      </c>
      <c r="F2553" s="22">
        <v>45391.8455092593</v>
      </c>
      <c r="G2553" s="22"/>
      <c r="H2553" s="23">
        <v>168</v>
      </c>
      <c r="I2553" s="23">
        <v>168</v>
      </c>
      <c r="J2553" s="24">
        <v>168</v>
      </c>
      <c r="K2553" s="21">
        <v>0</v>
      </c>
      <c r="L2553" s="21">
        <v>0</v>
      </c>
      <c r="M2553" s="21">
        <f>COUNTIF($A$2:$A$5481,A2553)</f>
        <v>1</v>
      </c>
      <c r="N2553" s="24">
        <f t="shared" si="39"/>
        <v>168.0002553</v>
      </c>
    </row>
    <row r="2554" spans="1:14">
      <c r="A2554" s="21" t="s">
        <v>2792</v>
      </c>
      <c r="B2554" s="21" t="s">
        <v>920</v>
      </c>
      <c r="C2554" s="21" t="s">
        <v>35</v>
      </c>
      <c r="D2554" s="21" t="s">
        <v>921</v>
      </c>
      <c r="E2554" s="21">
        <v>0</v>
      </c>
      <c r="F2554" s="22">
        <v>45915.5961458333</v>
      </c>
      <c r="G2554" s="22">
        <v>45923.4677199074</v>
      </c>
      <c r="H2554" s="23">
        <v>178</v>
      </c>
      <c r="I2554" s="23">
        <v>89</v>
      </c>
      <c r="J2554" s="24">
        <v>0</v>
      </c>
      <c r="K2554" s="21">
        <v>0</v>
      </c>
      <c r="L2554" s="21">
        <v>0</v>
      </c>
      <c r="M2554" s="21">
        <f>COUNTIF($A$2:$A$5481,A2554)</f>
        <v>1</v>
      </c>
      <c r="N2554" s="24">
        <f t="shared" si="39"/>
        <v>0.0002554</v>
      </c>
    </row>
    <row r="2555" spans="1:14">
      <c r="A2555" s="21" t="s">
        <v>2793</v>
      </c>
      <c r="B2555" s="21" t="s">
        <v>920</v>
      </c>
      <c r="C2555" s="21" t="s">
        <v>35</v>
      </c>
      <c r="D2555" s="21" t="s">
        <v>921</v>
      </c>
      <c r="E2555" s="21">
        <v>0</v>
      </c>
      <c r="F2555" s="22">
        <v>45279.3987384259</v>
      </c>
      <c r="G2555" s="22">
        <v>45279.4946875</v>
      </c>
      <c r="H2555" s="23">
        <v>75</v>
      </c>
      <c r="I2555" s="23">
        <v>75</v>
      </c>
      <c r="J2555" s="24">
        <v>0</v>
      </c>
      <c r="K2555" s="21">
        <v>0</v>
      </c>
      <c r="L2555" s="21">
        <v>0</v>
      </c>
      <c r="M2555" s="21">
        <f>COUNTIF($A$2:$A$5481,A2555)</f>
        <v>1</v>
      </c>
      <c r="N2555" s="24">
        <f t="shared" si="39"/>
        <v>0.0002555</v>
      </c>
    </row>
    <row r="2556" spans="1:14">
      <c r="A2556" s="21" t="s">
        <v>2794</v>
      </c>
      <c r="B2556" s="21" t="s">
        <v>920</v>
      </c>
      <c r="C2556" s="21" t="s">
        <v>35</v>
      </c>
      <c r="D2556" s="21" t="s">
        <v>921</v>
      </c>
      <c r="E2556" s="21">
        <v>0</v>
      </c>
      <c r="F2556" s="22">
        <v>45915.5961458333</v>
      </c>
      <c r="G2556" s="22">
        <v>45923.4677546296</v>
      </c>
      <c r="H2556" s="23">
        <v>1890</v>
      </c>
      <c r="I2556" s="23">
        <v>1890</v>
      </c>
      <c r="J2556" s="24">
        <v>0</v>
      </c>
      <c r="K2556" s="21">
        <v>0</v>
      </c>
      <c r="L2556" s="21">
        <v>0</v>
      </c>
      <c r="M2556" s="21">
        <f>COUNTIF($A$2:$A$5481,A2556)</f>
        <v>1</v>
      </c>
      <c r="N2556" s="24">
        <f t="shared" si="39"/>
        <v>0.0002556</v>
      </c>
    </row>
    <row r="2557" spans="1:14">
      <c r="A2557" s="21" t="s">
        <v>2795</v>
      </c>
      <c r="B2557" s="21" t="s">
        <v>920</v>
      </c>
      <c r="C2557" s="21" t="s">
        <v>35</v>
      </c>
      <c r="D2557" s="21" t="s">
        <v>921</v>
      </c>
      <c r="E2557" s="21">
        <v>0</v>
      </c>
      <c r="F2557" s="22">
        <v>45915.5961458333</v>
      </c>
      <c r="G2557" s="22">
        <v>45923.4677083333</v>
      </c>
      <c r="H2557" s="23">
        <v>245</v>
      </c>
      <c r="I2557" s="23">
        <v>245</v>
      </c>
      <c r="J2557" s="24">
        <v>0</v>
      </c>
      <c r="K2557" s="21">
        <v>0</v>
      </c>
      <c r="L2557" s="21">
        <v>0</v>
      </c>
      <c r="M2557" s="21">
        <f>COUNTIF($A$2:$A$5481,A2557)</f>
        <v>1</v>
      </c>
      <c r="N2557" s="24">
        <f t="shared" si="39"/>
        <v>0.0002557</v>
      </c>
    </row>
    <row r="2558" spans="1:14">
      <c r="A2558" s="21" t="s">
        <v>2796</v>
      </c>
      <c r="B2558" s="21" t="s">
        <v>26</v>
      </c>
      <c r="C2558" s="21" t="s">
        <v>26</v>
      </c>
      <c r="D2558" s="21" t="s">
        <v>931</v>
      </c>
      <c r="E2558" s="21">
        <v>4</v>
      </c>
      <c r="F2558" s="22">
        <v>45414.4819444444</v>
      </c>
      <c r="G2558" s="22"/>
      <c r="H2558" s="23">
        <v>20</v>
      </c>
      <c r="I2558" s="23">
        <v>5</v>
      </c>
      <c r="J2558" s="24">
        <v>20</v>
      </c>
      <c r="K2558" s="21">
        <v>0</v>
      </c>
      <c r="L2558" s="21">
        <v>0</v>
      </c>
      <c r="M2558" s="21">
        <f>COUNTIF($A$2:$A$5481,A2558)</f>
        <v>1</v>
      </c>
      <c r="N2558" s="24">
        <f t="shared" si="39"/>
        <v>20.0002558</v>
      </c>
    </row>
    <row r="2559" spans="1:14">
      <c r="A2559" s="21" t="s">
        <v>373</v>
      </c>
      <c r="B2559" s="21" t="s">
        <v>920</v>
      </c>
      <c r="C2559" s="21" t="s">
        <v>26</v>
      </c>
      <c r="D2559" s="21" t="s">
        <v>921</v>
      </c>
      <c r="E2559" s="21">
        <v>0</v>
      </c>
      <c r="F2559" s="22">
        <v>46134.5969560185</v>
      </c>
      <c r="G2559" s="22">
        <v>46139.3736689815</v>
      </c>
      <c r="H2559" s="23">
        <v>24</v>
      </c>
      <c r="I2559" s="23">
        <v>24</v>
      </c>
      <c r="J2559" s="24">
        <v>0</v>
      </c>
      <c r="K2559" s="21">
        <v>0</v>
      </c>
      <c r="L2559" s="21">
        <v>0</v>
      </c>
      <c r="M2559" s="21">
        <f>COUNTIF($A$2:$A$5481,A2559)</f>
        <v>1</v>
      </c>
      <c r="N2559" s="24">
        <f t="shared" si="39"/>
        <v>0.0002559</v>
      </c>
    </row>
    <row r="2560" spans="1:14">
      <c r="A2560" s="21" t="s">
        <v>2797</v>
      </c>
      <c r="B2560" s="21" t="s">
        <v>920</v>
      </c>
      <c r="C2560" s="21" t="s">
        <v>26</v>
      </c>
      <c r="D2560" s="21" t="s">
        <v>921</v>
      </c>
      <c r="E2560" s="21">
        <v>1</v>
      </c>
      <c r="F2560" s="22">
        <v>45798.394375</v>
      </c>
      <c r="G2560" s="22"/>
      <c r="H2560" s="23">
        <v>79</v>
      </c>
      <c r="I2560" s="23">
        <v>79</v>
      </c>
      <c r="J2560" s="24">
        <v>79</v>
      </c>
      <c r="K2560" s="21">
        <v>0</v>
      </c>
      <c r="L2560" s="21">
        <v>0</v>
      </c>
      <c r="M2560" s="21">
        <f>COUNTIF($A$2:$A$5481,A2560)</f>
        <v>1</v>
      </c>
      <c r="N2560" s="24">
        <f t="shared" si="39"/>
        <v>79.000256</v>
      </c>
    </row>
    <row r="2561" spans="1:14">
      <c r="A2561" s="21" t="s">
        <v>2798</v>
      </c>
      <c r="B2561" s="21" t="s">
        <v>920</v>
      </c>
      <c r="C2561" s="21" t="s">
        <v>35</v>
      </c>
      <c r="D2561" s="21" t="s">
        <v>921</v>
      </c>
      <c r="E2561" s="21">
        <v>2</v>
      </c>
      <c r="F2561" s="22">
        <v>45376.8006944444</v>
      </c>
      <c r="G2561" s="22"/>
      <c r="H2561" s="23">
        <v>91.98</v>
      </c>
      <c r="I2561" s="23">
        <v>45.99</v>
      </c>
      <c r="J2561" s="24">
        <v>91.98</v>
      </c>
      <c r="K2561" s="21">
        <v>0</v>
      </c>
      <c r="L2561" s="21">
        <v>0</v>
      </c>
      <c r="M2561" s="21">
        <f>COUNTIF($A$2:$A$5481,A2561)</f>
        <v>2</v>
      </c>
      <c r="N2561" s="24">
        <f t="shared" si="39"/>
        <v>91.9802561</v>
      </c>
    </row>
    <row r="2562" spans="1:14">
      <c r="A2562" s="21" t="s">
        <v>2798</v>
      </c>
      <c r="B2562" s="21" t="s">
        <v>920</v>
      </c>
      <c r="C2562" s="21" t="s">
        <v>26</v>
      </c>
      <c r="D2562" s="21" t="s">
        <v>921</v>
      </c>
      <c r="E2562" s="21">
        <v>0</v>
      </c>
      <c r="F2562" s="22">
        <v>45694.5636689815</v>
      </c>
      <c r="G2562" s="22">
        <v>45694.6138541667</v>
      </c>
      <c r="H2562" s="23">
        <v>26.6</v>
      </c>
      <c r="I2562" s="23">
        <v>13.3</v>
      </c>
      <c r="J2562" s="24">
        <v>0</v>
      </c>
      <c r="K2562" s="21">
        <v>0</v>
      </c>
      <c r="L2562" s="21">
        <v>0</v>
      </c>
      <c r="M2562" s="21">
        <f>COUNTIF($A$2:$A$5481,A2562)</f>
        <v>2</v>
      </c>
      <c r="N2562" s="24">
        <f t="shared" ref="N2562:N2625" si="40">J2562+ROW()/10000000</f>
        <v>0.0002562</v>
      </c>
    </row>
    <row r="2563" spans="1:14">
      <c r="A2563" s="21" t="s">
        <v>2799</v>
      </c>
      <c r="B2563" s="21" t="s">
        <v>920</v>
      </c>
      <c r="C2563" s="21" t="s">
        <v>35</v>
      </c>
      <c r="D2563" s="21" t="s">
        <v>921</v>
      </c>
      <c r="E2563" s="21">
        <v>2</v>
      </c>
      <c r="F2563" s="22">
        <v>45376.7972222222</v>
      </c>
      <c r="G2563" s="22"/>
      <c r="H2563" s="23">
        <v>28.12</v>
      </c>
      <c r="I2563" s="23">
        <v>14.06</v>
      </c>
      <c r="J2563" s="24">
        <v>28.12</v>
      </c>
      <c r="K2563" s="21">
        <v>0</v>
      </c>
      <c r="L2563" s="21">
        <v>0</v>
      </c>
      <c r="M2563" s="21">
        <f>COUNTIF($A$2:$A$5481,A2563)</f>
        <v>2</v>
      </c>
      <c r="N2563" s="24">
        <f t="shared" si="40"/>
        <v>28.1202563</v>
      </c>
    </row>
    <row r="2564" spans="1:14">
      <c r="A2564" s="21" t="s">
        <v>2799</v>
      </c>
      <c r="B2564" s="21" t="s">
        <v>920</v>
      </c>
      <c r="C2564" s="21" t="s">
        <v>26</v>
      </c>
      <c r="D2564" s="21" t="s">
        <v>921</v>
      </c>
      <c r="E2564" s="21">
        <v>0</v>
      </c>
      <c r="F2564" s="22">
        <v>45694.5636689815</v>
      </c>
      <c r="G2564" s="22">
        <v>45694.6138310185</v>
      </c>
      <c r="H2564" s="23">
        <v>39</v>
      </c>
      <c r="I2564" s="23">
        <v>39</v>
      </c>
      <c r="J2564" s="24">
        <v>0</v>
      </c>
      <c r="K2564" s="21">
        <v>0</v>
      </c>
      <c r="L2564" s="21">
        <v>0</v>
      </c>
      <c r="M2564" s="21">
        <f>COUNTIF($A$2:$A$5481,A2564)</f>
        <v>2</v>
      </c>
      <c r="N2564" s="24">
        <f t="shared" si="40"/>
        <v>0.0002564</v>
      </c>
    </row>
    <row r="2565" spans="1:14">
      <c r="A2565" s="21" t="s">
        <v>2800</v>
      </c>
      <c r="B2565" s="21" t="s">
        <v>920</v>
      </c>
      <c r="C2565" s="21" t="s">
        <v>35</v>
      </c>
      <c r="D2565" s="21" t="s">
        <v>921</v>
      </c>
      <c r="E2565" s="21">
        <v>0</v>
      </c>
      <c r="F2565" s="22">
        <v>45278.8110300926</v>
      </c>
      <c r="G2565" s="22">
        <v>45377.8354166667</v>
      </c>
      <c r="H2565" s="23">
        <v>132</v>
      </c>
      <c r="I2565" s="23">
        <v>66</v>
      </c>
      <c r="J2565" s="24">
        <v>0</v>
      </c>
      <c r="K2565" s="21">
        <v>0</v>
      </c>
      <c r="L2565" s="21">
        <v>0</v>
      </c>
      <c r="M2565" s="21">
        <f>COUNTIF($A$2:$A$5481,A2565)</f>
        <v>1</v>
      </c>
      <c r="N2565" s="24">
        <f t="shared" si="40"/>
        <v>0.0002565</v>
      </c>
    </row>
    <row r="2566" spans="1:14">
      <c r="A2566" s="21" t="s">
        <v>255</v>
      </c>
      <c r="B2566" s="21" t="s">
        <v>26</v>
      </c>
      <c r="C2566" s="21" t="s">
        <v>35</v>
      </c>
      <c r="D2566" s="21" t="s">
        <v>921</v>
      </c>
      <c r="E2566" s="21">
        <v>1</v>
      </c>
      <c r="F2566" s="22">
        <v>45544.7020833333</v>
      </c>
      <c r="G2566" s="22">
        <v>45545.8401851852</v>
      </c>
      <c r="H2566" s="23">
        <v>940</v>
      </c>
      <c r="I2566" s="23">
        <v>556</v>
      </c>
      <c r="J2566" s="24">
        <v>556</v>
      </c>
      <c r="K2566" s="21">
        <v>0</v>
      </c>
      <c r="L2566" s="21">
        <v>0</v>
      </c>
      <c r="M2566" s="21">
        <f>COUNTIF($A$2:$A$5481,A2566)</f>
        <v>2</v>
      </c>
      <c r="N2566" s="24">
        <f t="shared" si="40"/>
        <v>556.0002566</v>
      </c>
    </row>
    <row r="2567" spans="1:14">
      <c r="A2567" s="21" t="s">
        <v>255</v>
      </c>
      <c r="B2567" s="21" t="s">
        <v>26</v>
      </c>
      <c r="C2567" s="21" t="s">
        <v>26</v>
      </c>
      <c r="D2567" s="21" t="s">
        <v>921</v>
      </c>
      <c r="E2567" s="21">
        <v>2</v>
      </c>
      <c r="F2567" s="22">
        <v>46065.7055439815</v>
      </c>
      <c r="G2567" s="22">
        <v>46072.4187268519</v>
      </c>
      <c r="H2567" s="23">
        <v>465</v>
      </c>
      <c r="I2567" s="23">
        <v>155</v>
      </c>
      <c r="J2567" s="24">
        <v>310</v>
      </c>
      <c r="K2567" s="21">
        <v>0</v>
      </c>
      <c r="L2567" s="21">
        <v>0</v>
      </c>
      <c r="M2567" s="21">
        <f>COUNTIF($A$2:$A$5481,A2567)</f>
        <v>2</v>
      </c>
      <c r="N2567" s="24">
        <f t="shared" si="40"/>
        <v>310.0002567</v>
      </c>
    </row>
    <row r="2568" spans="1:14">
      <c r="A2568" s="21" t="s">
        <v>2801</v>
      </c>
      <c r="B2568" s="21" t="s">
        <v>920</v>
      </c>
      <c r="C2568" s="21" t="s">
        <v>26</v>
      </c>
      <c r="D2568" s="21" t="s">
        <v>921</v>
      </c>
      <c r="E2568" s="21">
        <v>1</v>
      </c>
      <c r="F2568" s="22">
        <v>45678.8103472222</v>
      </c>
      <c r="G2568" s="22">
        <v>45679.4830324074</v>
      </c>
      <c r="H2568" s="23">
        <v>830</v>
      </c>
      <c r="I2568" s="23">
        <v>415</v>
      </c>
      <c r="J2568" s="24">
        <v>415</v>
      </c>
      <c r="K2568" s="21">
        <v>0</v>
      </c>
      <c r="L2568" s="21">
        <v>0</v>
      </c>
      <c r="M2568" s="21">
        <f>COUNTIF($A$2:$A$5481,A2568)</f>
        <v>1</v>
      </c>
      <c r="N2568" s="24">
        <f t="shared" si="40"/>
        <v>415.0002568</v>
      </c>
    </row>
    <row r="2569" spans="1:14">
      <c r="A2569" s="21" t="s">
        <v>2802</v>
      </c>
      <c r="B2569" s="21" t="s">
        <v>920</v>
      </c>
      <c r="C2569" s="21" t="s">
        <v>35</v>
      </c>
      <c r="D2569" s="21" t="s">
        <v>921</v>
      </c>
      <c r="E2569" s="21">
        <v>1</v>
      </c>
      <c r="F2569" s="22">
        <v>45391.8582523148</v>
      </c>
      <c r="G2569" s="22"/>
      <c r="H2569" s="23">
        <v>15</v>
      </c>
      <c r="I2569" s="23">
        <v>15</v>
      </c>
      <c r="J2569" s="24">
        <v>15</v>
      </c>
      <c r="K2569" s="21">
        <v>0</v>
      </c>
      <c r="L2569" s="21">
        <v>0</v>
      </c>
      <c r="M2569" s="21">
        <f>COUNTIF($A$2:$A$5481,A2569)</f>
        <v>1</v>
      </c>
      <c r="N2569" s="24">
        <f t="shared" si="40"/>
        <v>15.0002569</v>
      </c>
    </row>
    <row r="2570" spans="1:14">
      <c r="A2570" s="21" t="s">
        <v>2803</v>
      </c>
      <c r="B2570" s="21" t="s">
        <v>920</v>
      </c>
      <c r="C2570" s="21" t="s">
        <v>26</v>
      </c>
      <c r="D2570" s="21" t="s">
        <v>921</v>
      </c>
      <c r="E2570" s="21">
        <v>1</v>
      </c>
      <c r="F2570" s="22">
        <v>45694.5636689815</v>
      </c>
      <c r="G2570" s="22">
        <v>45694.6138657407</v>
      </c>
      <c r="H2570" s="23">
        <v>824</v>
      </c>
      <c r="I2570" s="23">
        <v>847</v>
      </c>
      <c r="J2570" s="24">
        <v>847</v>
      </c>
      <c r="K2570" s="21">
        <v>0</v>
      </c>
      <c r="L2570" s="21">
        <v>0</v>
      </c>
      <c r="M2570" s="21">
        <f>COUNTIF($A$2:$A$5481,A2570)</f>
        <v>1</v>
      </c>
      <c r="N2570" s="24">
        <f t="shared" si="40"/>
        <v>847.000257</v>
      </c>
    </row>
    <row r="2571" spans="1:14">
      <c r="A2571" s="21" t="s">
        <v>2804</v>
      </c>
      <c r="B2571" s="21" t="s">
        <v>920</v>
      </c>
      <c r="C2571" s="21" t="s">
        <v>35</v>
      </c>
      <c r="D2571" s="21" t="s">
        <v>921</v>
      </c>
      <c r="E2571" s="21">
        <v>1</v>
      </c>
      <c r="F2571" s="22">
        <v>45376.7930555556</v>
      </c>
      <c r="G2571" s="22"/>
      <c r="H2571" s="23">
        <v>649.24</v>
      </c>
      <c r="I2571" s="23">
        <v>649.24</v>
      </c>
      <c r="J2571" s="24">
        <v>649.24</v>
      </c>
      <c r="K2571" s="21">
        <v>0</v>
      </c>
      <c r="L2571" s="21">
        <v>0</v>
      </c>
      <c r="M2571" s="21">
        <f>COUNTIF($A$2:$A$5481,A2571)</f>
        <v>1</v>
      </c>
      <c r="N2571" s="24">
        <f t="shared" si="40"/>
        <v>649.2402571</v>
      </c>
    </row>
    <row r="2572" spans="1:14">
      <c r="A2572" s="21" t="s">
        <v>2805</v>
      </c>
      <c r="B2572" s="21" t="s">
        <v>920</v>
      </c>
      <c r="C2572" s="21" t="s">
        <v>35</v>
      </c>
      <c r="D2572" s="21" t="s">
        <v>921</v>
      </c>
      <c r="E2572" s="21">
        <v>0</v>
      </c>
      <c r="F2572" s="22">
        <v>45279.3987384259</v>
      </c>
      <c r="G2572" s="22">
        <v>45279.4946643519</v>
      </c>
      <c r="H2572" s="23">
        <v>695</v>
      </c>
      <c r="I2572" s="23">
        <v>695</v>
      </c>
      <c r="J2572" s="24">
        <v>0</v>
      </c>
      <c r="K2572" s="21">
        <v>0</v>
      </c>
      <c r="L2572" s="21">
        <v>0</v>
      </c>
      <c r="M2572" s="21">
        <f>COUNTIF($A$2:$A$5481,A2572)</f>
        <v>1</v>
      </c>
      <c r="N2572" s="24">
        <f t="shared" si="40"/>
        <v>0.0002572</v>
      </c>
    </row>
    <row r="2573" spans="1:14">
      <c r="A2573" s="21" t="s">
        <v>2806</v>
      </c>
      <c r="B2573" s="21" t="s">
        <v>920</v>
      </c>
      <c r="C2573" s="21" t="s">
        <v>26</v>
      </c>
      <c r="D2573" s="21" t="s">
        <v>921</v>
      </c>
      <c r="E2573" s="21">
        <v>0</v>
      </c>
      <c r="F2573" s="22">
        <v>45609.4011805556</v>
      </c>
      <c r="G2573" s="22">
        <v>45617.4051967593</v>
      </c>
      <c r="H2573" s="23">
        <v>1402.17</v>
      </c>
      <c r="I2573" s="23">
        <v>467.39</v>
      </c>
      <c r="J2573" s="24">
        <v>0</v>
      </c>
      <c r="K2573" s="21">
        <v>0</v>
      </c>
      <c r="L2573" s="21">
        <v>0</v>
      </c>
      <c r="M2573" s="21">
        <f>COUNTIF($A$2:$A$5481,A2573)</f>
        <v>1</v>
      </c>
      <c r="N2573" s="24">
        <f t="shared" si="40"/>
        <v>0.0002573</v>
      </c>
    </row>
    <row r="2574" spans="1:14">
      <c r="A2574" s="21" t="s">
        <v>2807</v>
      </c>
      <c r="B2574" s="21" t="s">
        <v>920</v>
      </c>
      <c r="C2574" s="21" t="s">
        <v>26</v>
      </c>
      <c r="D2574" s="21" t="s">
        <v>921</v>
      </c>
      <c r="E2574" s="21">
        <v>1</v>
      </c>
      <c r="F2574" s="22">
        <v>45555.8236458333</v>
      </c>
      <c r="G2574" s="22"/>
      <c r="H2574" s="23">
        <v>9.8</v>
      </c>
      <c r="I2574" s="23">
        <v>9.8</v>
      </c>
      <c r="J2574" s="24">
        <v>9.8</v>
      </c>
      <c r="K2574" s="21">
        <v>0</v>
      </c>
      <c r="L2574" s="21">
        <v>0</v>
      </c>
      <c r="M2574" s="21">
        <f>COUNTIF($A$2:$A$5481,A2574)</f>
        <v>1</v>
      </c>
      <c r="N2574" s="24">
        <f t="shared" si="40"/>
        <v>9.8002574</v>
      </c>
    </row>
    <row r="2575" spans="1:14">
      <c r="A2575" s="21" t="s">
        <v>2808</v>
      </c>
      <c r="B2575" s="21" t="s">
        <v>26</v>
      </c>
      <c r="C2575" s="21" t="s">
        <v>35</v>
      </c>
      <c r="D2575" s="21" t="s">
        <v>921</v>
      </c>
      <c r="E2575" s="21">
        <v>4</v>
      </c>
      <c r="F2575" s="22">
        <v>45510.3609375</v>
      </c>
      <c r="G2575" s="22"/>
      <c r="H2575" s="23">
        <v>42.4</v>
      </c>
      <c r="I2575" s="23">
        <v>10.6</v>
      </c>
      <c r="J2575" s="24">
        <v>42.4</v>
      </c>
      <c r="K2575" s="21">
        <v>0</v>
      </c>
      <c r="L2575" s="21">
        <v>0</v>
      </c>
      <c r="M2575" s="21">
        <f>COUNTIF($A$2:$A$5481,A2575)</f>
        <v>1</v>
      </c>
      <c r="N2575" s="24">
        <f t="shared" si="40"/>
        <v>42.4002575</v>
      </c>
    </row>
    <row r="2576" spans="1:14">
      <c r="A2576" s="21" t="s">
        <v>2809</v>
      </c>
      <c r="B2576" s="21" t="s">
        <v>920</v>
      </c>
      <c r="C2576" s="21" t="s">
        <v>35</v>
      </c>
      <c r="D2576" s="21" t="s">
        <v>921</v>
      </c>
      <c r="E2576" s="21">
        <v>0</v>
      </c>
      <c r="F2576" s="22">
        <v>45279.3987384259</v>
      </c>
      <c r="G2576" s="22">
        <v>45279.4946527778</v>
      </c>
      <c r="H2576" s="23">
        <v>24</v>
      </c>
      <c r="I2576" s="23">
        <v>12</v>
      </c>
      <c r="J2576" s="24">
        <v>0</v>
      </c>
      <c r="K2576" s="21">
        <v>0</v>
      </c>
      <c r="L2576" s="21">
        <v>0</v>
      </c>
      <c r="M2576" s="21">
        <f>COUNTIF($A$2:$A$5481,A2576)</f>
        <v>1</v>
      </c>
      <c r="N2576" s="24">
        <f t="shared" si="40"/>
        <v>0.0002576</v>
      </c>
    </row>
    <row r="2577" spans="1:14">
      <c r="A2577" s="21" t="s">
        <v>2810</v>
      </c>
      <c r="B2577" s="21" t="s">
        <v>920</v>
      </c>
      <c r="C2577" s="21" t="s">
        <v>35</v>
      </c>
      <c r="D2577" s="21" t="s">
        <v>921</v>
      </c>
      <c r="E2577" s="21">
        <v>0</v>
      </c>
      <c r="F2577" s="22">
        <v>45631.437662037</v>
      </c>
      <c r="G2577" s="22">
        <v>45632.4891898148</v>
      </c>
      <c r="H2577" s="23">
        <v>883</v>
      </c>
      <c r="I2577" s="23">
        <v>883</v>
      </c>
      <c r="J2577" s="24">
        <v>0</v>
      </c>
      <c r="K2577" s="21">
        <v>0</v>
      </c>
      <c r="L2577" s="21">
        <v>0</v>
      </c>
      <c r="M2577" s="21">
        <f>COUNTIF($A$2:$A$5481,A2577)</f>
        <v>1</v>
      </c>
      <c r="N2577" s="24">
        <f t="shared" si="40"/>
        <v>0.0002577</v>
      </c>
    </row>
    <row r="2578" spans="1:14">
      <c r="A2578" s="21" t="s">
        <v>2811</v>
      </c>
      <c r="B2578" s="21" t="s">
        <v>26</v>
      </c>
      <c r="C2578" s="21" t="s">
        <v>26</v>
      </c>
      <c r="D2578" s="21" t="s">
        <v>921</v>
      </c>
      <c r="E2578" s="21">
        <v>1</v>
      </c>
      <c r="F2578" s="22">
        <v>45502.3696875</v>
      </c>
      <c r="G2578" s="22"/>
      <c r="H2578" s="23">
        <v>114.85</v>
      </c>
      <c r="I2578" s="23">
        <v>114.85</v>
      </c>
      <c r="J2578" s="24">
        <v>114.85</v>
      </c>
      <c r="K2578" s="21">
        <v>0</v>
      </c>
      <c r="L2578" s="21">
        <v>0</v>
      </c>
      <c r="M2578" s="21">
        <f>COUNTIF($A$2:$A$5481,A2578)</f>
        <v>1</v>
      </c>
      <c r="N2578" s="24">
        <f t="shared" si="40"/>
        <v>114.8502578</v>
      </c>
    </row>
    <row r="2579" spans="1:14">
      <c r="A2579" s="21" t="s">
        <v>2812</v>
      </c>
      <c r="B2579" s="21" t="s">
        <v>920</v>
      </c>
      <c r="C2579" s="21" t="s">
        <v>26</v>
      </c>
      <c r="D2579" s="21" t="s">
        <v>921</v>
      </c>
      <c r="E2579" s="21">
        <v>1</v>
      </c>
      <c r="F2579" s="22">
        <v>45526.4375810185</v>
      </c>
      <c r="G2579" s="22"/>
      <c r="H2579" s="23">
        <v>1188.8</v>
      </c>
      <c r="I2579" s="23">
        <v>1188.8</v>
      </c>
      <c r="J2579" s="24">
        <v>1188.8</v>
      </c>
      <c r="K2579" s="21">
        <v>0</v>
      </c>
      <c r="L2579" s="21">
        <v>0</v>
      </c>
      <c r="M2579" s="21">
        <f>COUNTIF($A$2:$A$5481,A2579)</f>
        <v>1</v>
      </c>
      <c r="N2579" s="24">
        <f t="shared" si="40"/>
        <v>1188.8002579</v>
      </c>
    </row>
    <row r="2580" spans="1:14">
      <c r="A2580" s="21" t="s">
        <v>2813</v>
      </c>
      <c r="B2580" s="21" t="s">
        <v>26</v>
      </c>
      <c r="C2580" s="21" t="s">
        <v>26</v>
      </c>
      <c r="D2580" s="21" t="s">
        <v>921</v>
      </c>
      <c r="E2580" s="21">
        <v>2</v>
      </c>
      <c r="F2580" s="22">
        <v>45495.4059722222</v>
      </c>
      <c r="G2580" s="22"/>
      <c r="H2580" s="23">
        <v>158.5</v>
      </c>
      <c r="I2580" s="23">
        <v>158.5</v>
      </c>
      <c r="J2580" s="24">
        <v>317</v>
      </c>
      <c r="K2580" s="21">
        <v>0</v>
      </c>
      <c r="L2580" s="21">
        <v>0</v>
      </c>
      <c r="M2580" s="21">
        <f>COUNTIF($A$2:$A$5481,A2580)</f>
        <v>1</v>
      </c>
      <c r="N2580" s="24">
        <f t="shared" si="40"/>
        <v>317.000258</v>
      </c>
    </row>
    <row r="2581" spans="1:14">
      <c r="A2581" s="21" t="s">
        <v>2814</v>
      </c>
      <c r="B2581" s="21" t="s">
        <v>920</v>
      </c>
      <c r="C2581" s="21" t="s">
        <v>26</v>
      </c>
      <c r="D2581" s="21" t="s">
        <v>921</v>
      </c>
      <c r="E2581" s="21">
        <v>1</v>
      </c>
      <c r="F2581" s="22">
        <v>45364.6763888889</v>
      </c>
      <c r="G2581" s="22"/>
      <c r="H2581" s="23">
        <v>61.89</v>
      </c>
      <c r="I2581" s="23">
        <v>61.89</v>
      </c>
      <c r="J2581" s="24">
        <v>61.89</v>
      </c>
      <c r="K2581" s="21">
        <v>0</v>
      </c>
      <c r="L2581" s="21">
        <v>0</v>
      </c>
      <c r="M2581" s="21">
        <f>COUNTIF($A$2:$A$5481,A2581)</f>
        <v>1</v>
      </c>
      <c r="N2581" s="24">
        <f t="shared" si="40"/>
        <v>61.8902581</v>
      </c>
    </row>
    <row r="2582" spans="1:14">
      <c r="A2582" s="21" t="s">
        <v>322</v>
      </c>
      <c r="B2582" s="21" t="s">
        <v>920</v>
      </c>
      <c r="C2582" s="21" t="s">
        <v>35</v>
      </c>
      <c r="D2582" s="21" t="s">
        <v>931</v>
      </c>
      <c r="E2582" s="21">
        <v>1</v>
      </c>
      <c r="F2582" s="22">
        <v>45625.4956944444</v>
      </c>
      <c r="G2582" s="22">
        <v>46101.5109490741</v>
      </c>
      <c r="H2582" s="23">
        <v>52</v>
      </c>
      <c r="I2582" s="23">
        <v>26</v>
      </c>
      <c r="J2582" s="24">
        <v>26</v>
      </c>
      <c r="K2582" s="21">
        <v>0</v>
      </c>
      <c r="L2582" s="21">
        <v>0</v>
      </c>
      <c r="M2582" s="21">
        <f>COUNTIF($A$2:$A$5481,A2582)</f>
        <v>1</v>
      </c>
      <c r="N2582" s="24">
        <f t="shared" si="40"/>
        <v>26.0002582</v>
      </c>
    </row>
    <row r="2583" spans="1:14">
      <c r="A2583" s="21" t="s">
        <v>2815</v>
      </c>
      <c r="B2583" s="21" t="s">
        <v>920</v>
      </c>
      <c r="C2583" s="21" t="s">
        <v>26</v>
      </c>
      <c r="D2583" s="21" t="s">
        <v>931</v>
      </c>
      <c r="E2583" s="21">
        <v>0</v>
      </c>
      <c r="F2583" s="22">
        <v>45736.4490046296</v>
      </c>
      <c r="G2583" s="22">
        <v>45747.4619791667</v>
      </c>
      <c r="H2583" s="23">
        <v>100.26</v>
      </c>
      <c r="I2583" s="23">
        <v>100.26</v>
      </c>
      <c r="J2583" s="24">
        <v>0</v>
      </c>
      <c r="K2583" s="21">
        <v>0</v>
      </c>
      <c r="L2583" s="21">
        <v>0</v>
      </c>
      <c r="M2583" s="21">
        <f>COUNTIF($A$2:$A$5481,A2583)</f>
        <v>1</v>
      </c>
      <c r="N2583" s="24">
        <f t="shared" si="40"/>
        <v>0.0002583</v>
      </c>
    </row>
    <row r="2584" spans="1:14">
      <c r="A2584" s="21" t="s">
        <v>2816</v>
      </c>
      <c r="B2584" s="21" t="s">
        <v>920</v>
      </c>
      <c r="C2584" s="21" t="s">
        <v>26</v>
      </c>
      <c r="D2584" s="21" t="s">
        <v>921</v>
      </c>
      <c r="E2584" s="21">
        <v>0</v>
      </c>
      <c r="F2584" s="22">
        <v>45902.6605555556</v>
      </c>
      <c r="G2584" s="22">
        <v>45904.5811458333</v>
      </c>
      <c r="H2584" s="23">
        <v>80</v>
      </c>
      <c r="I2584" s="23">
        <v>80</v>
      </c>
      <c r="J2584" s="24">
        <v>0</v>
      </c>
      <c r="K2584" s="21">
        <v>0</v>
      </c>
      <c r="L2584" s="21">
        <v>0</v>
      </c>
      <c r="M2584" s="21">
        <f>COUNTIF($A$2:$A$5481,A2584)</f>
        <v>1</v>
      </c>
      <c r="N2584" s="24">
        <f t="shared" si="40"/>
        <v>0.0002584</v>
      </c>
    </row>
    <row r="2585" spans="1:14">
      <c r="A2585" s="21" t="s">
        <v>2817</v>
      </c>
      <c r="B2585" s="21" t="s">
        <v>920</v>
      </c>
      <c r="C2585" s="21" t="s">
        <v>26</v>
      </c>
      <c r="D2585" s="21" t="s">
        <v>931</v>
      </c>
      <c r="E2585" s="21">
        <v>1</v>
      </c>
      <c r="F2585" s="22">
        <v>45756.4419097222</v>
      </c>
      <c r="G2585" s="22"/>
      <c r="H2585" s="23">
        <v>3696.84</v>
      </c>
      <c r="I2585" s="23">
        <v>3696.84</v>
      </c>
      <c r="J2585" s="24">
        <v>3696.84</v>
      </c>
      <c r="K2585" s="21">
        <v>0</v>
      </c>
      <c r="L2585" s="21">
        <v>0</v>
      </c>
      <c r="M2585" s="21">
        <f>COUNTIF($A$2:$A$5481,A2585)</f>
        <v>1</v>
      </c>
      <c r="N2585" s="24">
        <f t="shared" si="40"/>
        <v>3696.8402585</v>
      </c>
    </row>
    <row r="2586" spans="1:14">
      <c r="A2586" s="21" t="s">
        <v>2818</v>
      </c>
      <c r="B2586" s="21" t="s">
        <v>26</v>
      </c>
      <c r="C2586" s="21" t="s">
        <v>35</v>
      </c>
      <c r="D2586" s="21" t="s">
        <v>921</v>
      </c>
      <c r="E2586" s="21">
        <v>1</v>
      </c>
      <c r="F2586" s="22">
        <v>45495.355474537</v>
      </c>
      <c r="G2586" s="22"/>
      <c r="H2586" s="23">
        <v>311</v>
      </c>
      <c r="I2586" s="23">
        <v>311</v>
      </c>
      <c r="J2586" s="24">
        <v>311</v>
      </c>
      <c r="K2586" s="21">
        <v>0</v>
      </c>
      <c r="L2586" s="21">
        <v>0</v>
      </c>
      <c r="M2586" s="21">
        <f>COUNTIF($A$2:$A$5481,A2586)</f>
        <v>1</v>
      </c>
      <c r="N2586" s="24">
        <f t="shared" si="40"/>
        <v>311.0002586</v>
      </c>
    </row>
    <row r="2587" spans="1:14">
      <c r="A2587" s="21" t="s">
        <v>2819</v>
      </c>
      <c r="B2587" s="21" t="s">
        <v>920</v>
      </c>
      <c r="C2587" s="21" t="s">
        <v>26</v>
      </c>
      <c r="D2587" s="21" t="s">
        <v>921</v>
      </c>
      <c r="E2587" s="21">
        <v>1</v>
      </c>
      <c r="F2587" s="22">
        <v>45526.4375810185</v>
      </c>
      <c r="G2587" s="22"/>
      <c r="H2587" s="23">
        <v>599.9</v>
      </c>
      <c r="I2587" s="23">
        <v>599.9</v>
      </c>
      <c r="J2587" s="24">
        <v>599.9</v>
      </c>
      <c r="K2587" s="21">
        <v>0</v>
      </c>
      <c r="L2587" s="21">
        <v>0</v>
      </c>
      <c r="M2587" s="21">
        <f>COUNTIF($A$2:$A$5481,A2587)</f>
        <v>1</v>
      </c>
      <c r="N2587" s="24">
        <f t="shared" si="40"/>
        <v>599.9002587</v>
      </c>
    </row>
    <row r="2588" spans="1:14">
      <c r="A2588" s="21" t="s">
        <v>2820</v>
      </c>
      <c r="B2588" s="21" t="s">
        <v>1352</v>
      </c>
      <c r="C2588" s="21" t="s">
        <v>414</v>
      </c>
      <c r="D2588" s="21" t="s">
        <v>2753</v>
      </c>
      <c r="E2588" s="21">
        <v>1</v>
      </c>
      <c r="F2588" s="22">
        <v>45394.656412037</v>
      </c>
      <c r="G2588" s="22"/>
      <c r="H2588" s="23">
        <v>2800</v>
      </c>
      <c r="I2588" s="23">
        <v>2800</v>
      </c>
      <c r="J2588" s="24">
        <v>2800</v>
      </c>
      <c r="K2588" s="21">
        <v>0</v>
      </c>
      <c r="L2588" s="21">
        <v>0</v>
      </c>
      <c r="M2588" s="21">
        <f>COUNTIF($A$2:$A$5481,A2588)</f>
        <v>1</v>
      </c>
      <c r="N2588" s="24">
        <f t="shared" si="40"/>
        <v>2800.0002588</v>
      </c>
    </row>
    <row r="2589" spans="1:14">
      <c r="A2589" s="21" t="s">
        <v>2821</v>
      </c>
      <c r="B2589" s="21" t="s">
        <v>920</v>
      </c>
      <c r="C2589" s="21" t="s">
        <v>26</v>
      </c>
      <c r="D2589" s="21" t="s">
        <v>921</v>
      </c>
      <c r="E2589" s="21">
        <v>2</v>
      </c>
      <c r="F2589" s="22">
        <v>45630.3729282407</v>
      </c>
      <c r="G2589" s="22"/>
      <c r="H2589" s="23">
        <v>70</v>
      </c>
      <c r="I2589" s="23">
        <v>70</v>
      </c>
      <c r="J2589" s="24">
        <v>140</v>
      </c>
      <c r="K2589" s="21">
        <v>0</v>
      </c>
      <c r="L2589" s="21">
        <v>20</v>
      </c>
      <c r="M2589" s="21">
        <f>COUNTIF($A$2:$A$5481,A2589)</f>
        <v>1</v>
      </c>
      <c r="N2589" s="24">
        <f t="shared" si="40"/>
        <v>140.0002589</v>
      </c>
    </row>
    <row r="2590" spans="1:14">
      <c r="A2590" s="21" t="s">
        <v>220</v>
      </c>
      <c r="B2590" s="21" t="s">
        <v>920</v>
      </c>
      <c r="C2590" s="21" t="s">
        <v>35</v>
      </c>
      <c r="D2590" s="21" t="s">
        <v>921</v>
      </c>
      <c r="E2590" s="21">
        <v>0</v>
      </c>
      <c r="F2590" s="22">
        <v>45953.3948842593</v>
      </c>
      <c r="G2590" s="22">
        <v>46266.7161689815</v>
      </c>
      <c r="H2590" s="23">
        <v>1291.5</v>
      </c>
      <c r="I2590" s="23">
        <v>129.15</v>
      </c>
      <c r="J2590" s="24">
        <v>0</v>
      </c>
      <c r="K2590" s="21">
        <v>0</v>
      </c>
      <c r="L2590" s="21">
        <v>0</v>
      </c>
      <c r="M2590" s="21">
        <f>COUNTIF($A$2:$A$5481,A2590)</f>
        <v>2</v>
      </c>
      <c r="N2590" s="24">
        <f t="shared" si="40"/>
        <v>0.000259</v>
      </c>
    </row>
    <row r="2591" spans="1:14">
      <c r="A2591" s="21" t="s">
        <v>220</v>
      </c>
      <c r="B2591" s="21" t="s">
        <v>920</v>
      </c>
      <c r="C2591" s="21" t="s">
        <v>26</v>
      </c>
      <c r="D2591" s="21" t="s">
        <v>921</v>
      </c>
      <c r="E2591" s="21">
        <v>0</v>
      </c>
      <c r="F2591" s="22">
        <v>45954.4567476852</v>
      </c>
      <c r="G2591" s="22">
        <v>46062.6926157407</v>
      </c>
      <c r="H2591" s="23">
        <v>440</v>
      </c>
      <c r="I2591" s="23">
        <v>110</v>
      </c>
      <c r="J2591" s="24">
        <v>0</v>
      </c>
      <c r="K2591" s="21">
        <v>0</v>
      </c>
      <c r="L2591" s="21">
        <v>0</v>
      </c>
      <c r="M2591" s="21">
        <f>COUNTIF($A$2:$A$5481,A2591)</f>
        <v>2</v>
      </c>
      <c r="N2591" s="24">
        <f t="shared" si="40"/>
        <v>0.0002591</v>
      </c>
    </row>
    <row r="2592" spans="1:14">
      <c r="A2592" s="21" t="s">
        <v>2822</v>
      </c>
      <c r="B2592" s="21" t="s">
        <v>920</v>
      </c>
      <c r="C2592" s="21" t="s">
        <v>26</v>
      </c>
      <c r="D2592" s="21" t="s">
        <v>2823</v>
      </c>
      <c r="E2592" s="21">
        <v>1</v>
      </c>
      <c r="F2592" s="22">
        <v>45512.6583333333</v>
      </c>
      <c r="G2592" s="22"/>
      <c r="H2592" s="23">
        <v>593.9</v>
      </c>
      <c r="I2592" s="23">
        <v>593.9</v>
      </c>
      <c r="J2592" s="24">
        <v>593.9</v>
      </c>
      <c r="K2592" s="21">
        <v>0</v>
      </c>
      <c r="L2592" s="21">
        <v>0</v>
      </c>
      <c r="M2592" s="21">
        <f>COUNTIF($A$2:$A$5481,A2592)</f>
        <v>1</v>
      </c>
      <c r="N2592" s="24">
        <f t="shared" si="40"/>
        <v>593.9002592</v>
      </c>
    </row>
    <row r="2593" spans="1:14">
      <c r="A2593" s="21" t="s">
        <v>2824</v>
      </c>
      <c r="B2593" s="21" t="s">
        <v>920</v>
      </c>
      <c r="C2593" s="21" t="s">
        <v>35</v>
      </c>
      <c r="D2593" s="21" t="s">
        <v>931</v>
      </c>
      <c r="E2593" s="21">
        <v>0</v>
      </c>
      <c r="F2593" s="22">
        <v>45929.3753472222</v>
      </c>
      <c r="G2593" s="22">
        <v>45932.3623842593</v>
      </c>
      <c r="H2593" s="23">
        <v>3550</v>
      </c>
      <c r="I2593" s="23">
        <v>710</v>
      </c>
      <c r="J2593" s="24">
        <v>0</v>
      </c>
      <c r="K2593" s="21">
        <v>0</v>
      </c>
      <c r="L2593" s="21">
        <v>0</v>
      </c>
      <c r="M2593" s="21">
        <f>COUNTIF($A$2:$A$5481,A2593)</f>
        <v>1</v>
      </c>
      <c r="N2593" s="24">
        <f t="shared" si="40"/>
        <v>0.0002593</v>
      </c>
    </row>
    <row r="2594" spans="1:14">
      <c r="A2594" s="21" t="s">
        <v>2825</v>
      </c>
      <c r="B2594" s="21" t="s">
        <v>920</v>
      </c>
      <c r="C2594" s="21" t="s">
        <v>26</v>
      </c>
      <c r="D2594" s="21" t="s">
        <v>921</v>
      </c>
      <c r="E2594" s="21">
        <v>1</v>
      </c>
      <c r="F2594" s="22">
        <v>45882.3545023148</v>
      </c>
      <c r="G2594" s="22"/>
      <c r="H2594" s="23">
        <v>99.9</v>
      </c>
      <c r="I2594" s="23">
        <v>99.9</v>
      </c>
      <c r="J2594" s="24">
        <v>99.9</v>
      </c>
      <c r="K2594" s="21">
        <v>0</v>
      </c>
      <c r="L2594" s="21">
        <v>0</v>
      </c>
      <c r="M2594" s="21">
        <f>COUNTIF($A$2:$A$5481,A2594)</f>
        <v>1</v>
      </c>
      <c r="N2594" s="24">
        <f t="shared" si="40"/>
        <v>99.9002594</v>
      </c>
    </row>
    <row r="2595" spans="1:14">
      <c r="A2595" s="21" t="s">
        <v>2826</v>
      </c>
      <c r="B2595" s="21" t="s">
        <v>26</v>
      </c>
      <c r="C2595" s="21" t="s">
        <v>26</v>
      </c>
      <c r="D2595" s="21" t="s">
        <v>921</v>
      </c>
      <c r="E2595" s="21">
        <v>1</v>
      </c>
      <c r="F2595" s="22">
        <v>45492.3810185185</v>
      </c>
      <c r="G2595" s="22"/>
      <c r="H2595" s="23">
        <v>51</v>
      </c>
      <c r="I2595" s="23">
        <v>51</v>
      </c>
      <c r="J2595" s="24">
        <v>51</v>
      </c>
      <c r="K2595" s="21">
        <v>0</v>
      </c>
      <c r="L2595" s="21">
        <v>0</v>
      </c>
      <c r="M2595" s="21">
        <f>COUNTIF($A$2:$A$5481,A2595)</f>
        <v>1</v>
      </c>
      <c r="N2595" s="24">
        <f t="shared" si="40"/>
        <v>51.0002595</v>
      </c>
    </row>
    <row r="2596" spans="1:14">
      <c r="A2596" s="21" t="s">
        <v>2827</v>
      </c>
      <c r="B2596" s="21" t="s">
        <v>920</v>
      </c>
      <c r="C2596" s="21" t="s">
        <v>26</v>
      </c>
      <c r="D2596" s="21" t="s">
        <v>921</v>
      </c>
      <c r="E2596" s="21">
        <v>1</v>
      </c>
      <c r="F2596" s="22">
        <v>45882.3545023148</v>
      </c>
      <c r="G2596" s="22"/>
      <c r="H2596" s="23">
        <v>72.9</v>
      </c>
      <c r="I2596" s="23">
        <v>72.9</v>
      </c>
      <c r="J2596" s="24">
        <v>72.9</v>
      </c>
      <c r="K2596" s="21">
        <v>0</v>
      </c>
      <c r="L2596" s="21">
        <v>0</v>
      </c>
      <c r="M2596" s="21">
        <f>COUNTIF($A$2:$A$5481,A2596)</f>
        <v>1</v>
      </c>
      <c r="N2596" s="24">
        <f t="shared" si="40"/>
        <v>72.9002596</v>
      </c>
    </row>
    <row r="2597" spans="1:14">
      <c r="A2597" s="21" t="s">
        <v>2828</v>
      </c>
      <c r="B2597" s="21" t="s">
        <v>920</v>
      </c>
      <c r="C2597" s="21" t="s">
        <v>35</v>
      </c>
      <c r="D2597" s="21" t="s">
        <v>921</v>
      </c>
      <c r="E2597" s="21">
        <v>1</v>
      </c>
      <c r="F2597" s="22">
        <v>45581.5442824074</v>
      </c>
      <c r="G2597" s="22">
        <v>45586.8533912037</v>
      </c>
      <c r="H2597" s="23">
        <v>315</v>
      </c>
      <c r="I2597" s="23">
        <v>307.5</v>
      </c>
      <c r="J2597" s="24">
        <v>307.5</v>
      </c>
      <c r="K2597" s="21">
        <v>0</v>
      </c>
      <c r="L2597" s="21">
        <v>0</v>
      </c>
      <c r="M2597" s="21">
        <f>COUNTIF($A$2:$A$5481,A2597)</f>
        <v>1</v>
      </c>
      <c r="N2597" s="24">
        <f t="shared" si="40"/>
        <v>307.5002597</v>
      </c>
    </row>
    <row r="2598" spans="1:14">
      <c r="A2598" s="21" t="s">
        <v>2829</v>
      </c>
      <c r="B2598" s="21" t="s">
        <v>920</v>
      </c>
      <c r="C2598" s="21" t="s">
        <v>26</v>
      </c>
      <c r="D2598" s="21" t="s">
        <v>921</v>
      </c>
      <c r="E2598" s="21">
        <v>1</v>
      </c>
      <c r="F2598" s="22">
        <v>46154.5791666667</v>
      </c>
      <c r="G2598" s="22"/>
      <c r="H2598" s="23">
        <v>66.57</v>
      </c>
      <c r="I2598" s="23">
        <v>66.57</v>
      </c>
      <c r="J2598" s="24">
        <v>66.57</v>
      </c>
      <c r="K2598" s="21">
        <v>0</v>
      </c>
      <c r="L2598" s="21">
        <v>0</v>
      </c>
      <c r="M2598" s="21">
        <f>COUNTIF($A$2:$A$5481,A2598)</f>
        <v>1</v>
      </c>
      <c r="N2598" s="24">
        <f t="shared" si="40"/>
        <v>66.5702598</v>
      </c>
    </row>
    <row r="2599" spans="1:14">
      <c r="A2599" s="21" t="s">
        <v>2830</v>
      </c>
      <c r="B2599" s="21" t="s">
        <v>26</v>
      </c>
      <c r="C2599" s="21" t="s">
        <v>26</v>
      </c>
      <c r="D2599" s="21" t="s">
        <v>921</v>
      </c>
      <c r="E2599" s="21">
        <v>2</v>
      </c>
      <c r="F2599" s="22">
        <v>45435.4884375</v>
      </c>
      <c r="G2599" s="22"/>
      <c r="H2599" s="23">
        <v>44.92</v>
      </c>
      <c r="I2599" s="23">
        <v>22.46</v>
      </c>
      <c r="J2599" s="24">
        <v>44.92</v>
      </c>
      <c r="K2599" s="21">
        <v>0</v>
      </c>
      <c r="L2599" s="21">
        <v>0</v>
      </c>
      <c r="M2599" s="21">
        <f>COUNTIF($A$2:$A$5481,A2599)</f>
        <v>1</v>
      </c>
      <c r="N2599" s="24">
        <f t="shared" si="40"/>
        <v>44.9202599</v>
      </c>
    </row>
    <row r="2600" spans="1:14">
      <c r="A2600" s="21" t="s">
        <v>2831</v>
      </c>
      <c r="B2600" s="21" t="s">
        <v>929</v>
      </c>
      <c r="C2600" s="21" t="s">
        <v>26</v>
      </c>
      <c r="D2600" s="21" t="s">
        <v>921</v>
      </c>
      <c r="E2600" s="21">
        <v>2</v>
      </c>
      <c r="F2600" s="22">
        <v>45897.4758101852</v>
      </c>
      <c r="G2600" s="22"/>
      <c r="H2600" s="23">
        <v>493.7</v>
      </c>
      <c r="I2600" s="23">
        <v>246.85</v>
      </c>
      <c r="J2600" s="24">
        <v>493.7</v>
      </c>
      <c r="K2600" s="21">
        <v>0</v>
      </c>
      <c r="L2600" s="21">
        <v>0</v>
      </c>
      <c r="M2600" s="21">
        <f>COUNTIF($A$2:$A$5481,A2600)</f>
        <v>1</v>
      </c>
      <c r="N2600" s="24">
        <f t="shared" si="40"/>
        <v>493.70026</v>
      </c>
    </row>
    <row r="2601" spans="1:14">
      <c r="A2601" s="21" t="s">
        <v>2832</v>
      </c>
      <c r="B2601" s="21" t="s">
        <v>1115</v>
      </c>
      <c r="C2601" s="21" t="s">
        <v>26</v>
      </c>
      <c r="D2601" s="21" t="s">
        <v>921</v>
      </c>
      <c r="E2601" s="21">
        <v>1</v>
      </c>
      <c r="F2601" s="22">
        <v>46064.5666550926</v>
      </c>
      <c r="G2601" s="22"/>
      <c r="H2601" s="23">
        <v>138.95</v>
      </c>
      <c r="I2601" s="23">
        <v>138.95</v>
      </c>
      <c r="J2601" s="24">
        <v>138.95</v>
      </c>
      <c r="K2601" s="21">
        <v>0</v>
      </c>
      <c r="L2601" s="21">
        <v>0</v>
      </c>
      <c r="M2601" s="21">
        <f>COUNTIF($A$2:$A$5481,A2601)</f>
        <v>1</v>
      </c>
      <c r="N2601" s="24">
        <f t="shared" si="40"/>
        <v>138.9502601</v>
      </c>
    </row>
    <row r="2602" spans="1:14">
      <c r="A2602" s="21" t="s">
        <v>2833</v>
      </c>
      <c r="B2602" s="21" t="s">
        <v>26</v>
      </c>
      <c r="C2602" s="21" t="s">
        <v>26</v>
      </c>
      <c r="D2602" s="21" t="s">
        <v>921</v>
      </c>
      <c r="E2602" s="21">
        <v>4</v>
      </c>
      <c r="F2602" s="22">
        <v>45805.8208101852</v>
      </c>
      <c r="G2602" s="22"/>
      <c r="H2602" s="23">
        <v>156.6</v>
      </c>
      <c r="I2602" s="23">
        <v>39.15</v>
      </c>
      <c r="J2602" s="24">
        <v>156.6</v>
      </c>
      <c r="K2602" s="21">
        <v>0</v>
      </c>
      <c r="L2602" s="21">
        <v>0</v>
      </c>
      <c r="M2602" s="21">
        <f>COUNTIF($A$2:$A$5481,A2602)</f>
        <v>1</v>
      </c>
      <c r="N2602" s="24">
        <f t="shared" si="40"/>
        <v>156.6002602</v>
      </c>
    </row>
    <row r="2603" spans="1:14">
      <c r="A2603" s="21" t="s">
        <v>318</v>
      </c>
      <c r="B2603" s="21" t="s">
        <v>1115</v>
      </c>
      <c r="C2603" s="21" t="s">
        <v>26</v>
      </c>
      <c r="D2603" s="21" t="s">
        <v>921</v>
      </c>
      <c r="E2603" s="21">
        <v>12</v>
      </c>
      <c r="F2603" s="22">
        <v>46100.6814814815</v>
      </c>
      <c r="G2603" s="22">
        <v>46111.5336342593</v>
      </c>
      <c r="H2603" s="23">
        <v>132</v>
      </c>
      <c r="I2603" s="23">
        <v>16.6730769231</v>
      </c>
      <c r="J2603" s="24">
        <v>200.04</v>
      </c>
      <c r="K2603" s="21">
        <v>0</v>
      </c>
      <c r="L2603" s="21">
        <v>0</v>
      </c>
      <c r="M2603" s="21">
        <f>COUNTIF($A$2:$A$5481,A2603)</f>
        <v>1</v>
      </c>
      <c r="N2603" s="24">
        <f t="shared" si="40"/>
        <v>200.0402603</v>
      </c>
    </row>
    <row r="2604" spans="1:14">
      <c r="A2604" s="21" t="s">
        <v>2834</v>
      </c>
      <c r="B2604" s="21" t="s">
        <v>948</v>
      </c>
      <c r="C2604" s="21" t="s">
        <v>26</v>
      </c>
      <c r="D2604" s="21" t="s">
        <v>921</v>
      </c>
      <c r="E2604" s="21">
        <v>5</v>
      </c>
      <c r="F2604" s="22">
        <v>45420.3631944444</v>
      </c>
      <c r="G2604" s="22"/>
      <c r="H2604" s="23">
        <v>20</v>
      </c>
      <c r="I2604" s="23">
        <v>4</v>
      </c>
      <c r="J2604" s="24">
        <v>20</v>
      </c>
      <c r="K2604" s="21">
        <v>0</v>
      </c>
      <c r="L2604" s="21">
        <v>0</v>
      </c>
      <c r="M2604" s="21">
        <f>COUNTIF($A$2:$A$5481,A2604)</f>
        <v>1</v>
      </c>
      <c r="N2604" s="24">
        <f t="shared" si="40"/>
        <v>20.0002604</v>
      </c>
    </row>
    <row r="2605" spans="1:14">
      <c r="A2605" s="21" t="s">
        <v>2835</v>
      </c>
      <c r="B2605" s="21" t="s">
        <v>1115</v>
      </c>
      <c r="C2605" s="21" t="s">
        <v>51</v>
      </c>
      <c r="D2605" s="21" t="s">
        <v>921</v>
      </c>
      <c r="E2605" s="21">
        <v>2</v>
      </c>
      <c r="F2605" s="22">
        <v>45972.3400810185</v>
      </c>
      <c r="G2605" s="22"/>
      <c r="H2605" s="23">
        <v>177.8</v>
      </c>
      <c r="I2605" s="23">
        <v>88.9</v>
      </c>
      <c r="J2605" s="24">
        <v>177.8</v>
      </c>
      <c r="K2605" s="21">
        <v>0</v>
      </c>
      <c r="L2605" s="21">
        <v>0</v>
      </c>
      <c r="M2605" s="21">
        <f>COUNTIF($A$2:$A$5481,A2605)</f>
        <v>2</v>
      </c>
      <c r="N2605" s="24">
        <f t="shared" si="40"/>
        <v>177.8002605</v>
      </c>
    </row>
    <row r="2606" spans="1:14">
      <c r="A2606" s="21" t="s">
        <v>2835</v>
      </c>
      <c r="B2606" s="21" t="s">
        <v>1115</v>
      </c>
      <c r="C2606" s="21" t="s">
        <v>783</v>
      </c>
      <c r="D2606" s="21" t="s">
        <v>921</v>
      </c>
      <c r="E2606" s="21">
        <v>2</v>
      </c>
      <c r="F2606" s="22">
        <v>45992.5742361111</v>
      </c>
      <c r="G2606" s="22"/>
      <c r="H2606" s="23">
        <v>177.8</v>
      </c>
      <c r="I2606" s="23">
        <v>88.9</v>
      </c>
      <c r="J2606" s="24">
        <v>177.8</v>
      </c>
      <c r="K2606" s="21">
        <v>0</v>
      </c>
      <c r="L2606" s="21">
        <v>0</v>
      </c>
      <c r="M2606" s="21">
        <f>COUNTIF($A$2:$A$5481,A2606)</f>
        <v>2</v>
      </c>
      <c r="N2606" s="24">
        <f t="shared" si="40"/>
        <v>177.8002606</v>
      </c>
    </row>
    <row r="2607" spans="1:14">
      <c r="A2607" s="21" t="s">
        <v>2836</v>
      </c>
      <c r="B2607" s="21" t="s">
        <v>1115</v>
      </c>
      <c r="C2607" s="21" t="s">
        <v>51</v>
      </c>
      <c r="D2607" s="21" t="s">
        <v>921</v>
      </c>
      <c r="E2607" s="21">
        <v>2</v>
      </c>
      <c r="F2607" s="22">
        <v>45972.3400810185</v>
      </c>
      <c r="G2607" s="22"/>
      <c r="H2607" s="23">
        <v>177.8</v>
      </c>
      <c r="I2607" s="23">
        <v>88.9</v>
      </c>
      <c r="J2607" s="24">
        <v>177.8</v>
      </c>
      <c r="K2607" s="21">
        <v>0</v>
      </c>
      <c r="L2607" s="21">
        <v>0</v>
      </c>
      <c r="M2607" s="21">
        <f>COUNTIF($A$2:$A$5481,A2607)</f>
        <v>2</v>
      </c>
      <c r="N2607" s="24">
        <f t="shared" si="40"/>
        <v>177.8002607</v>
      </c>
    </row>
    <row r="2608" spans="1:14">
      <c r="A2608" s="21" t="s">
        <v>2836</v>
      </c>
      <c r="B2608" s="21" t="s">
        <v>1115</v>
      </c>
      <c r="C2608" s="21" t="s">
        <v>38</v>
      </c>
      <c r="D2608" s="21" t="s">
        <v>921</v>
      </c>
      <c r="E2608" s="21">
        <v>6</v>
      </c>
      <c r="F2608" s="22">
        <v>45992.5742361111</v>
      </c>
      <c r="G2608" s="22"/>
      <c r="H2608" s="23">
        <v>533.4</v>
      </c>
      <c r="I2608" s="23">
        <v>88.9</v>
      </c>
      <c r="J2608" s="24">
        <v>533.4</v>
      </c>
      <c r="K2608" s="21">
        <v>0</v>
      </c>
      <c r="L2608" s="21">
        <v>0</v>
      </c>
      <c r="M2608" s="21">
        <f>COUNTIF($A$2:$A$5481,A2608)</f>
        <v>2</v>
      </c>
      <c r="N2608" s="24">
        <f t="shared" si="40"/>
        <v>533.4002608</v>
      </c>
    </row>
    <row r="2609" spans="1:14">
      <c r="A2609" s="21" t="s">
        <v>2837</v>
      </c>
      <c r="B2609" s="21" t="s">
        <v>1115</v>
      </c>
      <c r="C2609" s="21" t="s">
        <v>51</v>
      </c>
      <c r="D2609" s="21" t="s">
        <v>921</v>
      </c>
      <c r="E2609" s="21">
        <v>2</v>
      </c>
      <c r="F2609" s="22">
        <v>45972.3400810185</v>
      </c>
      <c r="G2609" s="22"/>
      <c r="H2609" s="23">
        <v>177.8</v>
      </c>
      <c r="I2609" s="23">
        <v>88.9</v>
      </c>
      <c r="J2609" s="24">
        <v>177.8</v>
      </c>
      <c r="K2609" s="21">
        <v>0</v>
      </c>
      <c r="L2609" s="21">
        <v>0</v>
      </c>
      <c r="M2609" s="21">
        <f>COUNTIF($A$2:$A$5481,A2609)</f>
        <v>2</v>
      </c>
      <c r="N2609" s="24">
        <f t="shared" si="40"/>
        <v>177.8002609</v>
      </c>
    </row>
    <row r="2610" spans="1:14">
      <c r="A2610" s="21" t="s">
        <v>2837</v>
      </c>
      <c r="B2610" s="21" t="s">
        <v>1115</v>
      </c>
      <c r="C2610" s="21" t="s">
        <v>783</v>
      </c>
      <c r="D2610" s="21" t="s">
        <v>921</v>
      </c>
      <c r="E2610" s="21">
        <v>6</v>
      </c>
      <c r="F2610" s="22">
        <v>45992.5742361111</v>
      </c>
      <c r="G2610" s="22"/>
      <c r="H2610" s="23">
        <v>533.4</v>
      </c>
      <c r="I2610" s="23">
        <v>88.9</v>
      </c>
      <c r="J2610" s="24">
        <v>533.4</v>
      </c>
      <c r="K2610" s="21">
        <v>0</v>
      </c>
      <c r="L2610" s="21">
        <v>0</v>
      </c>
      <c r="M2610" s="21">
        <f>COUNTIF($A$2:$A$5481,A2610)</f>
        <v>2</v>
      </c>
      <c r="N2610" s="24">
        <f t="shared" si="40"/>
        <v>533.400261</v>
      </c>
    </row>
    <row r="2611" spans="1:14">
      <c r="A2611" s="21" t="s">
        <v>2838</v>
      </c>
      <c r="B2611" s="21" t="s">
        <v>1115</v>
      </c>
      <c r="C2611" s="21" t="s">
        <v>51</v>
      </c>
      <c r="D2611" s="21" t="s">
        <v>921</v>
      </c>
      <c r="E2611" s="21">
        <v>1</v>
      </c>
      <c r="F2611" s="22">
        <v>45972.3400810185</v>
      </c>
      <c r="G2611" s="22"/>
      <c r="H2611" s="23">
        <v>88.9</v>
      </c>
      <c r="I2611" s="23">
        <v>88.9</v>
      </c>
      <c r="J2611" s="24">
        <v>88.9</v>
      </c>
      <c r="K2611" s="21">
        <v>0</v>
      </c>
      <c r="L2611" s="21">
        <v>0</v>
      </c>
      <c r="M2611" s="21">
        <f>COUNTIF($A$2:$A$5481,A2611)</f>
        <v>2</v>
      </c>
      <c r="N2611" s="24">
        <f t="shared" si="40"/>
        <v>88.9002611</v>
      </c>
    </row>
    <row r="2612" spans="1:14">
      <c r="A2612" s="21" t="s">
        <v>2838</v>
      </c>
      <c r="B2612" s="21" t="s">
        <v>1115</v>
      </c>
      <c r="C2612" s="21" t="s">
        <v>783</v>
      </c>
      <c r="D2612" s="21" t="s">
        <v>921</v>
      </c>
      <c r="E2612" s="21">
        <v>4</v>
      </c>
      <c r="F2612" s="22">
        <v>45992.5742361111</v>
      </c>
      <c r="G2612" s="22"/>
      <c r="H2612" s="23">
        <v>355.6</v>
      </c>
      <c r="I2612" s="23">
        <v>88.9</v>
      </c>
      <c r="J2612" s="24">
        <v>355.6</v>
      </c>
      <c r="K2612" s="21">
        <v>0</v>
      </c>
      <c r="L2612" s="21">
        <v>0</v>
      </c>
      <c r="M2612" s="21">
        <f>COUNTIF($A$2:$A$5481,A2612)</f>
        <v>2</v>
      </c>
      <c r="N2612" s="24">
        <f t="shared" si="40"/>
        <v>355.6002612</v>
      </c>
    </row>
    <row r="2613" spans="1:14">
      <c r="A2613" s="21" t="s">
        <v>2839</v>
      </c>
      <c r="B2613" s="21" t="s">
        <v>1115</v>
      </c>
      <c r="C2613" s="21" t="s">
        <v>51</v>
      </c>
      <c r="D2613" s="21" t="s">
        <v>921</v>
      </c>
      <c r="E2613" s="21">
        <v>33</v>
      </c>
      <c r="F2613" s="22">
        <v>46090.5263888889</v>
      </c>
      <c r="G2613" s="22"/>
      <c r="H2613" s="23">
        <v>1333.5</v>
      </c>
      <c r="I2613" s="23">
        <v>88.9</v>
      </c>
      <c r="J2613" s="24">
        <v>2933.7</v>
      </c>
      <c r="K2613" s="21">
        <v>0</v>
      </c>
      <c r="L2613" s="21">
        <v>0</v>
      </c>
      <c r="M2613" s="21">
        <f>COUNTIF($A$2:$A$5481,A2613)</f>
        <v>1</v>
      </c>
      <c r="N2613" s="24">
        <f t="shared" si="40"/>
        <v>2933.7002613</v>
      </c>
    </row>
    <row r="2614" spans="1:14">
      <c r="A2614" s="21" t="s">
        <v>2840</v>
      </c>
      <c r="B2614" s="21" t="s">
        <v>1115</v>
      </c>
      <c r="C2614" s="21" t="s">
        <v>51</v>
      </c>
      <c r="D2614" s="21" t="s">
        <v>921</v>
      </c>
      <c r="E2614" s="21">
        <v>6</v>
      </c>
      <c r="F2614" s="22">
        <v>46090.5263888889</v>
      </c>
      <c r="G2614" s="22"/>
      <c r="H2614" s="23">
        <v>355.6</v>
      </c>
      <c r="I2614" s="23">
        <v>88.9</v>
      </c>
      <c r="J2614" s="24">
        <v>533.4</v>
      </c>
      <c r="K2614" s="21">
        <v>0</v>
      </c>
      <c r="L2614" s="21">
        <v>0</v>
      </c>
      <c r="M2614" s="21">
        <f>COUNTIF($A$2:$A$5481,A2614)</f>
        <v>1</v>
      </c>
      <c r="N2614" s="24">
        <f t="shared" si="40"/>
        <v>533.4002614</v>
      </c>
    </row>
    <row r="2615" spans="1:14">
      <c r="A2615" s="21" t="s">
        <v>2841</v>
      </c>
      <c r="B2615" s="21" t="s">
        <v>1115</v>
      </c>
      <c r="C2615" s="21" t="s">
        <v>51</v>
      </c>
      <c r="D2615" s="21" t="s">
        <v>921</v>
      </c>
      <c r="E2615" s="21">
        <v>2</v>
      </c>
      <c r="F2615" s="22">
        <v>45972.3400810185</v>
      </c>
      <c r="G2615" s="22"/>
      <c r="H2615" s="23">
        <v>177.8</v>
      </c>
      <c r="I2615" s="23">
        <v>88.9</v>
      </c>
      <c r="J2615" s="24">
        <v>177.8</v>
      </c>
      <c r="K2615" s="21">
        <v>0</v>
      </c>
      <c r="L2615" s="21">
        <v>0</v>
      </c>
      <c r="M2615" s="21">
        <f>COUNTIF($A$2:$A$5481,A2615)</f>
        <v>1</v>
      </c>
      <c r="N2615" s="24">
        <f t="shared" si="40"/>
        <v>177.8002615</v>
      </c>
    </row>
    <row r="2616" spans="1:14">
      <c r="A2616" s="21" t="s">
        <v>2842</v>
      </c>
      <c r="B2616" s="21" t="s">
        <v>26</v>
      </c>
      <c r="C2616" s="21" t="s">
        <v>783</v>
      </c>
      <c r="D2616" s="21" t="s">
        <v>921</v>
      </c>
      <c r="E2616" s="21">
        <v>5</v>
      </c>
      <c r="F2616" s="22">
        <v>45519.7354166667</v>
      </c>
      <c r="G2616" s="22">
        <v>45547.7616087963</v>
      </c>
      <c r="H2616" s="23">
        <v>732</v>
      </c>
      <c r="I2616" s="23">
        <v>122</v>
      </c>
      <c r="J2616" s="24">
        <v>610</v>
      </c>
      <c r="K2616" s="21">
        <v>0</v>
      </c>
      <c r="L2616" s="21">
        <v>0</v>
      </c>
      <c r="M2616" s="21">
        <f>COUNTIF($A$2:$A$5481,A2616)</f>
        <v>1</v>
      </c>
      <c r="N2616" s="24">
        <f t="shared" si="40"/>
        <v>610.0002616</v>
      </c>
    </row>
    <row r="2617" spans="1:14">
      <c r="A2617" s="21" t="s">
        <v>2843</v>
      </c>
      <c r="B2617" s="21" t="s">
        <v>26</v>
      </c>
      <c r="C2617" s="21" t="s">
        <v>783</v>
      </c>
      <c r="D2617" s="21" t="s">
        <v>921</v>
      </c>
      <c r="E2617" s="21">
        <v>1</v>
      </c>
      <c r="F2617" s="22">
        <v>45519.7354166667</v>
      </c>
      <c r="G2617" s="22"/>
      <c r="H2617" s="23">
        <v>122</v>
      </c>
      <c r="I2617" s="23">
        <v>122</v>
      </c>
      <c r="J2617" s="24">
        <v>122</v>
      </c>
      <c r="K2617" s="21">
        <v>0</v>
      </c>
      <c r="L2617" s="21">
        <v>0</v>
      </c>
      <c r="M2617" s="21">
        <f>COUNTIF($A$2:$A$5481,A2617)</f>
        <v>1</v>
      </c>
      <c r="N2617" s="24">
        <f t="shared" si="40"/>
        <v>122.0002617</v>
      </c>
    </row>
    <row r="2618" spans="1:14">
      <c r="A2618" s="21" t="s">
        <v>2844</v>
      </c>
      <c r="B2618" s="21" t="s">
        <v>26</v>
      </c>
      <c r="C2618" s="21" t="s">
        <v>783</v>
      </c>
      <c r="D2618" s="21" t="s">
        <v>921</v>
      </c>
      <c r="E2618" s="21">
        <v>2</v>
      </c>
      <c r="F2618" s="22">
        <v>45519.7354166667</v>
      </c>
      <c r="G2618" s="22"/>
      <c r="H2618" s="23">
        <v>244</v>
      </c>
      <c r="I2618" s="23">
        <v>122</v>
      </c>
      <c r="J2618" s="24">
        <v>244</v>
      </c>
      <c r="K2618" s="21">
        <v>0</v>
      </c>
      <c r="L2618" s="21">
        <v>0</v>
      </c>
      <c r="M2618" s="21">
        <f>COUNTIF($A$2:$A$5481,A2618)</f>
        <v>2</v>
      </c>
      <c r="N2618" s="24">
        <f t="shared" si="40"/>
        <v>244.0002618</v>
      </c>
    </row>
    <row r="2619" spans="1:14">
      <c r="A2619" s="21" t="s">
        <v>2844</v>
      </c>
      <c r="B2619" s="21" t="s">
        <v>26</v>
      </c>
      <c r="C2619" s="21" t="s">
        <v>51</v>
      </c>
      <c r="D2619" s="21" t="s">
        <v>921</v>
      </c>
      <c r="E2619" s="21">
        <v>4</v>
      </c>
      <c r="F2619" s="22">
        <v>46090.5263888889</v>
      </c>
      <c r="G2619" s="22"/>
      <c r="H2619" s="23">
        <v>355.6</v>
      </c>
      <c r="I2619" s="23">
        <v>88.9</v>
      </c>
      <c r="J2619" s="24">
        <v>355.6</v>
      </c>
      <c r="K2619" s="21">
        <v>0</v>
      </c>
      <c r="L2619" s="21">
        <v>0</v>
      </c>
      <c r="M2619" s="21">
        <f>COUNTIF($A$2:$A$5481,A2619)</f>
        <v>2</v>
      </c>
      <c r="N2619" s="24">
        <f t="shared" si="40"/>
        <v>355.6002619</v>
      </c>
    </row>
    <row r="2620" spans="1:14">
      <c r="A2620" s="21" t="s">
        <v>2845</v>
      </c>
      <c r="B2620" s="21" t="s">
        <v>26</v>
      </c>
      <c r="C2620" s="21" t="s">
        <v>783</v>
      </c>
      <c r="D2620" s="21" t="s">
        <v>921</v>
      </c>
      <c r="E2620" s="21">
        <v>3</v>
      </c>
      <c r="F2620" s="22">
        <v>45519.7354166667</v>
      </c>
      <c r="G2620" s="22">
        <v>45561.7506944445</v>
      </c>
      <c r="H2620" s="23">
        <v>488</v>
      </c>
      <c r="I2620" s="23">
        <v>122</v>
      </c>
      <c r="J2620" s="24">
        <v>366</v>
      </c>
      <c r="K2620" s="21">
        <v>0</v>
      </c>
      <c r="L2620" s="21">
        <v>0</v>
      </c>
      <c r="M2620" s="21">
        <f>COUNTIF($A$2:$A$5481,A2620)</f>
        <v>2</v>
      </c>
      <c r="N2620" s="24">
        <f t="shared" si="40"/>
        <v>366.000262</v>
      </c>
    </row>
    <row r="2621" spans="1:14">
      <c r="A2621" s="21" t="s">
        <v>2845</v>
      </c>
      <c r="B2621" s="21" t="s">
        <v>26</v>
      </c>
      <c r="C2621" s="21" t="s">
        <v>51</v>
      </c>
      <c r="D2621" s="21" t="s">
        <v>921</v>
      </c>
      <c r="E2621" s="21">
        <v>23</v>
      </c>
      <c r="F2621" s="22">
        <v>46090.5263888889</v>
      </c>
      <c r="G2621" s="22"/>
      <c r="H2621" s="23">
        <v>1333.5</v>
      </c>
      <c r="I2621" s="23">
        <v>88.9</v>
      </c>
      <c r="J2621" s="24">
        <v>2044.7</v>
      </c>
      <c r="K2621" s="21">
        <v>0</v>
      </c>
      <c r="L2621" s="21">
        <v>0</v>
      </c>
      <c r="M2621" s="21">
        <f>COUNTIF($A$2:$A$5481,A2621)</f>
        <v>2</v>
      </c>
      <c r="N2621" s="24">
        <f t="shared" si="40"/>
        <v>2044.7002621</v>
      </c>
    </row>
    <row r="2622" spans="1:14">
      <c r="A2622" s="21" t="s">
        <v>828</v>
      </c>
      <c r="B2622" s="21" t="s">
        <v>26</v>
      </c>
      <c r="C2622" s="21" t="s">
        <v>783</v>
      </c>
      <c r="D2622" s="21" t="s">
        <v>921</v>
      </c>
      <c r="E2622" s="21">
        <v>9</v>
      </c>
      <c r="F2622" s="22">
        <v>45519.7354166667</v>
      </c>
      <c r="G2622" s="22">
        <v>46265.5961805556</v>
      </c>
      <c r="H2622" s="23">
        <v>1220</v>
      </c>
      <c r="I2622" s="23">
        <v>122</v>
      </c>
      <c r="J2622" s="24">
        <v>1098</v>
      </c>
      <c r="K2622" s="21">
        <v>0</v>
      </c>
      <c r="L2622" s="21">
        <v>0</v>
      </c>
      <c r="M2622" s="21">
        <f>COUNTIF($A$2:$A$5481,A2622)</f>
        <v>2</v>
      </c>
      <c r="N2622" s="24">
        <f t="shared" si="40"/>
        <v>1098.0002622</v>
      </c>
    </row>
    <row r="2623" spans="1:14">
      <c r="A2623" s="21" t="s">
        <v>828</v>
      </c>
      <c r="B2623" s="21" t="s">
        <v>26</v>
      </c>
      <c r="C2623" s="21" t="s">
        <v>51</v>
      </c>
      <c r="D2623" s="21" t="s">
        <v>921</v>
      </c>
      <c r="E2623" s="21">
        <v>39</v>
      </c>
      <c r="F2623" s="22">
        <v>46090.5263888889</v>
      </c>
      <c r="G2623" s="22"/>
      <c r="H2623" s="23">
        <v>1333.5</v>
      </c>
      <c r="I2623" s="23">
        <v>88.9</v>
      </c>
      <c r="J2623" s="24">
        <v>3467.1</v>
      </c>
      <c r="K2623" s="21">
        <v>0</v>
      </c>
      <c r="L2623" s="21">
        <v>0</v>
      </c>
      <c r="M2623" s="21">
        <f>COUNTIF($A$2:$A$5481,A2623)</f>
        <v>2</v>
      </c>
      <c r="N2623" s="24">
        <f t="shared" si="40"/>
        <v>3467.1002623</v>
      </c>
    </row>
    <row r="2624" spans="1:14">
      <c r="A2624" s="21" t="s">
        <v>2846</v>
      </c>
      <c r="B2624" s="21" t="s">
        <v>1115</v>
      </c>
      <c r="C2624" s="21" t="s">
        <v>51</v>
      </c>
      <c r="D2624" s="21" t="s">
        <v>921</v>
      </c>
      <c r="E2624" s="21">
        <v>6</v>
      </c>
      <c r="F2624" s="22">
        <v>45925.5746875</v>
      </c>
      <c r="G2624" s="22"/>
      <c r="H2624" s="23">
        <v>821.4</v>
      </c>
      <c r="I2624" s="23">
        <v>136.9</v>
      </c>
      <c r="J2624" s="24">
        <v>821.4</v>
      </c>
      <c r="K2624" s="21">
        <v>0</v>
      </c>
      <c r="L2624" s="21">
        <v>0</v>
      </c>
      <c r="M2624" s="21">
        <f>COUNTIF($A$2:$A$5481,A2624)</f>
        <v>1</v>
      </c>
      <c r="N2624" s="24">
        <f t="shared" si="40"/>
        <v>821.4002624</v>
      </c>
    </row>
    <row r="2625" spans="1:14">
      <c r="A2625" s="21" t="s">
        <v>865</v>
      </c>
      <c r="B2625" s="21" t="s">
        <v>1115</v>
      </c>
      <c r="C2625" s="21" t="s">
        <v>51</v>
      </c>
      <c r="D2625" s="21" t="s">
        <v>921</v>
      </c>
      <c r="E2625" s="21">
        <v>3</v>
      </c>
      <c r="F2625" s="22">
        <v>45925.5746875</v>
      </c>
      <c r="G2625" s="22">
        <v>46269.6130671296</v>
      </c>
      <c r="H2625" s="23">
        <v>547.6</v>
      </c>
      <c r="I2625" s="23">
        <v>136.9</v>
      </c>
      <c r="J2625" s="24">
        <v>410.7</v>
      </c>
      <c r="K2625" s="21">
        <v>0</v>
      </c>
      <c r="L2625" s="21">
        <v>0</v>
      </c>
      <c r="M2625" s="21">
        <f>COUNTIF($A$2:$A$5481,A2625)</f>
        <v>2</v>
      </c>
      <c r="N2625" s="24">
        <f t="shared" si="40"/>
        <v>410.7002625</v>
      </c>
    </row>
    <row r="2626" spans="1:14">
      <c r="A2626" s="21" t="s">
        <v>865</v>
      </c>
      <c r="B2626" s="21" t="s">
        <v>1115</v>
      </c>
      <c r="C2626" s="21" t="s">
        <v>783</v>
      </c>
      <c r="D2626" s="21" t="s">
        <v>921</v>
      </c>
      <c r="E2626" s="21">
        <v>5</v>
      </c>
      <c r="F2626" s="22">
        <v>45972.3400810185</v>
      </c>
      <c r="G2626" s="22">
        <v>46268.6381944444</v>
      </c>
      <c r="H2626" s="23">
        <v>821.4</v>
      </c>
      <c r="I2626" s="23">
        <v>136.9</v>
      </c>
      <c r="J2626" s="24">
        <v>684.5</v>
      </c>
      <c r="K2626" s="21">
        <v>0</v>
      </c>
      <c r="L2626" s="21">
        <v>0</v>
      </c>
      <c r="M2626" s="21">
        <f>COUNTIF($A$2:$A$5481,A2626)</f>
        <v>2</v>
      </c>
      <c r="N2626" s="24">
        <f t="shared" ref="N2626:N2689" si="41">J2626+ROW()/10000000</f>
        <v>684.5002626</v>
      </c>
    </row>
    <row r="2627" spans="1:14">
      <c r="A2627" s="21" t="s">
        <v>805</v>
      </c>
      <c r="B2627" s="21" t="s">
        <v>1115</v>
      </c>
      <c r="C2627" s="21" t="s">
        <v>51</v>
      </c>
      <c r="D2627" s="21" t="s">
        <v>921</v>
      </c>
      <c r="E2627" s="21">
        <v>3</v>
      </c>
      <c r="F2627" s="22">
        <v>45972.3400810185</v>
      </c>
      <c r="G2627" s="22">
        <v>46258.6208333333</v>
      </c>
      <c r="H2627" s="23">
        <v>547.6</v>
      </c>
      <c r="I2627" s="23">
        <v>136.9</v>
      </c>
      <c r="J2627" s="24">
        <v>410.7</v>
      </c>
      <c r="K2627" s="21">
        <v>0</v>
      </c>
      <c r="L2627" s="21">
        <v>0</v>
      </c>
      <c r="M2627" s="21">
        <f>COUNTIF($A$2:$A$5481,A2627)</f>
        <v>1</v>
      </c>
      <c r="N2627" s="24">
        <f t="shared" si="41"/>
        <v>410.7002627</v>
      </c>
    </row>
    <row r="2628" spans="1:14">
      <c r="A2628" s="21" t="s">
        <v>54</v>
      </c>
      <c r="B2628" s="21" t="s">
        <v>1115</v>
      </c>
      <c r="C2628" s="21" t="s">
        <v>51</v>
      </c>
      <c r="D2628" s="21" t="s">
        <v>921</v>
      </c>
      <c r="E2628" s="21">
        <v>4</v>
      </c>
      <c r="F2628" s="22">
        <v>46037.5409953704</v>
      </c>
      <c r="G2628" s="22"/>
      <c r="H2628" s="23">
        <v>488</v>
      </c>
      <c r="I2628" s="23">
        <v>122</v>
      </c>
      <c r="J2628" s="24">
        <v>488</v>
      </c>
      <c r="K2628" s="21">
        <v>0</v>
      </c>
      <c r="L2628" s="21">
        <v>0</v>
      </c>
      <c r="M2628" s="21">
        <f>COUNTIF($A$2:$A$5481,A2628)</f>
        <v>1</v>
      </c>
      <c r="N2628" s="24">
        <f t="shared" si="41"/>
        <v>488.0002628</v>
      </c>
    </row>
    <row r="2629" spans="1:14">
      <c r="A2629" s="21" t="s">
        <v>2847</v>
      </c>
      <c r="B2629" s="21" t="s">
        <v>1115</v>
      </c>
      <c r="C2629" s="21" t="s">
        <v>51</v>
      </c>
      <c r="D2629" s="21" t="s">
        <v>921</v>
      </c>
      <c r="E2629" s="21">
        <v>1</v>
      </c>
      <c r="F2629" s="22">
        <v>46037.5409953704</v>
      </c>
      <c r="G2629" s="22"/>
      <c r="H2629" s="23">
        <v>122</v>
      </c>
      <c r="I2629" s="23">
        <v>122</v>
      </c>
      <c r="J2629" s="24">
        <v>122</v>
      </c>
      <c r="K2629" s="21">
        <v>0</v>
      </c>
      <c r="L2629" s="21">
        <v>0</v>
      </c>
      <c r="M2629" s="21">
        <f>COUNTIF($A$2:$A$5481,A2629)</f>
        <v>1</v>
      </c>
      <c r="N2629" s="24">
        <f t="shared" si="41"/>
        <v>122.0002629</v>
      </c>
    </row>
    <row r="2630" spans="1:14">
      <c r="A2630" s="21" t="s">
        <v>50</v>
      </c>
      <c r="B2630" s="21" t="s">
        <v>1115</v>
      </c>
      <c r="C2630" s="21" t="s">
        <v>51</v>
      </c>
      <c r="D2630" s="21" t="s">
        <v>921</v>
      </c>
      <c r="E2630" s="21">
        <v>4</v>
      </c>
      <c r="F2630" s="22">
        <v>46037.5409953704</v>
      </c>
      <c r="G2630" s="22"/>
      <c r="H2630" s="23">
        <v>488</v>
      </c>
      <c r="I2630" s="23">
        <v>122</v>
      </c>
      <c r="J2630" s="24">
        <v>488</v>
      </c>
      <c r="K2630" s="21">
        <v>0</v>
      </c>
      <c r="L2630" s="21">
        <v>0</v>
      </c>
      <c r="M2630" s="21">
        <f>COUNTIF($A$2:$A$5481,A2630)</f>
        <v>1</v>
      </c>
      <c r="N2630" s="24">
        <f t="shared" si="41"/>
        <v>488.000263</v>
      </c>
    </row>
    <row r="2631" spans="1:14">
      <c r="A2631" s="21" t="s">
        <v>53</v>
      </c>
      <c r="B2631" s="21" t="s">
        <v>1115</v>
      </c>
      <c r="C2631" s="21" t="s">
        <v>51</v>
      </c>
      <c r="D2631" s="21" t="s">
        <v>921</v>
      </c>
      <c r="E2631" s="21">
        <v>5</v>
      </c>
      <c r="F2631" s="22">
        <v>46037.5409953704</v>
      </c>
      <c r="G2631" s="22">
        <v>46261.4733912037</v>
      </c>
      <c r="H2631" s="23">
        <v>732</v>
      </c>
      <c r="I2631" s="23">
        <v>122</v>
      </c>
      <c r="J2631" s="24">
        <v>610</v>
      </c>
      <c r="K2631" s="21">
        <v>0</v>
      </c>
      <c r="L2631" s="21">
        <v>0</v>
      </c>
      <c r="M2631" s="21">
        <f>COUNTIF($A$2:$A$5481,A2631)</f>
        <v>1</v>
      </c>
      <c r="N2631" s="24">
        <f t="shared" si="41"/>
        <v>610.0002631</v>
      </c>
    </row>
    <row r="2632" spans="1:14">
      <c r="A2632" s="21" t="s">
        <v>52</v>
      </c>
      <c r="B2632" s="21" t="s">
        <v>1115</v>
      </c>
      <c r="C2632" s="21" t="s">
        <v>51</v>
      </c>
      <c r="D2632" s="21" t="s">
        <v>921</v>
      </c>
      <c r="E2632" s="21">
        <v>6</v>
      </c>
      <c r="F2632" s="22">
        <v>46037.5409953704</v>
      </c>
      <c r="G2632" s="22"/>
      <c r="H2632" s="23">
        <v>732</v>
      </c>
      <c r="I2632" s="23">
        <v>122</v>
      </c>
      <c r="J2632" s="24">
        <v>732</v>
      </c>
      <c r="K2632" s="21">
        <v>0</v>
      </c>
      <c r="L2632" s="21">
        <v>0</v>
      </c>
      <c r="M2632" s="21">
        <f>COUNTIF($A$2:$A$5481,A2632)</f>
        <v>1</v>
      </c>
      <c r="N2632" s="24">
        <f t="shared" si="41"/>
        <v>732.0002632</v>
      </c>
    </row>
    <row r="2633" spans="1:14">
      <c r="A2633" s="21" t="s">
        <v>2848</v>
      </c>
      <c r="B2633" s="21" t="s">
        <v>26</v>
      </c>
      <c r="C2633" s="21" t="s">
        <v>26</v>
      </c>
      <c r="D2633" s="21" t="s">
        <v>921</v>
      </c>
      <c r="E2633" s="21">
        <v>4</v>
      </c>
      <c r="F2633" s="22">
        <v>45524.3874074074</v>
      </c>
      <c r="G2633" s="22"/>
      <c r="H2633" s="23">
        <v>559.6</v>
      </c>
      <c r="I2633" s="23">
        <v>139.9</v>
      </c>
      <c r="J2633" s="24">
        <v>559.6</v>
      </c>
      <c r="K2633" s="21">
        <v>0</v>
      </c>
      <c r="L2633" s="21">
        <v>0</v>
      </c>
      <c r="M2633" s="21">
        <f>COUNTIF($A$2:$A$5481,A2633)</f>
        <v>1</v>
      </c>
      <c r="N2633" s="24">
        <f t="shared" si="41"/>
        <v>559.6002633</v>
      </c>
    </row>
    <row r="2634" spans="1:14">
      <c r="A2634" s="21" t="s">
        <v>2849</v>
      </c>
      <c r="B2634" s="21" t="s">
        <v>26</v>
      </c>
      <c r="C2634" s="21" t="s">
        <v>26</v>
      </c>
      <c r="D2634" s="21" t="s">
        <v>921</v>
      </c>
      <c r="E2634" s="21">
        <v>11</v>
      </c>
      <c r="F2634" s="22">
        <v>45524.3874074074</v>
      </c>
      <c r="G2634" s="22"/>
      <c r="H2634" s="23">
        <v>1538.9</v>
      </c>
      <c r="I2634" s="23">
        <v>139.9</v>
      </c>
      <c r="J2634" s="24">
        <v>1538.9</v>
      </c>
      <c r="K2634" s="21">
        <v>0</v>
      </c>
      <c r="L2634" s="21">
        <v>0</v>
      </c>
      <c r="M2634" s="21">
        <f>COUNTIF($A$2:$A$5481,A2634)</f>
        <v>1</v>
      </c>
      <c r="N2634" s="24">
        <f t="shared" si="41"/>
        <v>1538.9002634</v>
      </c>
    </row>
    <row r="2635" spans="1:14">
      <c r="A2635" s="21" t="s">
        <v>2850</v>
      </c>
      <c r="B2635" s="21" t="s">
        <v>26</v>
      </c>
      <c r="C2635" s="21" t="s">
        <v>26</v>
      </c>
      <c r="D2635" s="21" t="s">
        <v>921</v>
      </c>
      <c r="E2635" s="21">
        <v>9</v>
      </c>
      <c r="F2635" s="22">
        <v>45888.5721412037</v>
      </c>
      <c r="G2635" s="22"/>
      <c r="H2635" s="23">
        <v>51.54</v>
      </c>
      <c r="I2635" s="23">
        <v>11.92</v>
      </c>
      <c r="J2635" s="24">
        <v>107.28</v>
      </c>
      <c r="K2635" s="21">
        <v>0</v>
      </c>
      <c r="L2635" s="21">
        <v>0</v>
      </c>
      <c r="M2635" s="21">
        <f>COUNTIF($A$2:$A$5481,A2635)</f>
        <v>1</v>
      </c>
      <c r="N2635" s="24">
        <f t="shared" si="41"/>
        <v>107.2802635</v>
      </c>
    </row>
    <row r="2636" spans="1:14">
      <c r="A2636" s="21" t="s">
        <v>2851</v>
      </c>
      <c r="B2636" s="21" t="s">
        <v>1346</v>
      </c>
      <c r="C2636" s="21" t="s">
        <v>26</v>
      </c>
      <c r="D2636" s="21" t="s">
        <v>921</v>
      </c>
      <c r="E2636" s="21">
        <v>1</v>
      </c>
      <c r="F2636" s="22">
        <v>45412.3813425926</v>
      </c>
      <c r="G2636" s="22"/>
      <c r="H2636" s="23">
        <v>85</v>
      </c>
      <c r="I2636" s="23">
        <v>85</v>
      </c>
      <c r="J2636" s="24">
        <v>85</v>
      </c>
      <c r="K2636" s="21">
        <v>0</v>
      </c>
      <c r="L2636" s="21">
        <v>0</v>
      </c>
      <c r="M2636" s="21">
        <f>COUNTIF($A$2:$A$5481,A2636)</f>
        <v>1</v>
      </c>
      <c r="N2636" s="24">
        <f t="shared" si="41"/>
        <v>85.0002636</v>
      </c>
    </row>
    <row r="2637" spans="1:14">
      <c r="A2637" s="21" t="s">
        <v>2852</v>
      </c>
      <c r="B2637" s="21" t="s">
        <v>948</v>
      </c>
      <c r="C2637" s="21" t="s">
        <v>783</v>
      </c>
      <c r="D2637" s="21" t="s">
        <v>921</v>
      </c>
      <c r="E2637" s="21">
        <v>2</v>
      </c>
      <c r="F2637" s="22">
        <v>45725.4101388889</v>
      </c>
      <c r="G2637" s="22"/>
      <c r="H2637" s="23">
        <v>130</v>
      </c>
      <c r="I2637" s="23">
        <v>65</v>
      </c>
      <c r="J2637" s="24">
        <v>130</v>
      </c>
      <c r="K2637" s="21">
        <v>0</v>
      </c>
      <c r="L2637" s="21">
        <v>0</v>
      </c>
      <c r="M2637" s="21">
        <f>COUNTIF($A$2:$A$5481,A2637)</f>
        <v>1</v>
      </c>
      <c r="N2637" s="24">
        <f t="shared" si="41"/>
        <v>130.0002637</v>
      </c>
    </row>
    <row r="2638" spans="1:14">
      <c r="A2638" s="21" t="s">
        <v>2853</v>
      </c>
      <c r="B2638" s="21" t="s">
        <v>948</v>
      </c>
      <c r="C2638" s="21" t="s">
        <v>783</v>
      </c>
      <c r="D2638" s="21" t="s">
        <v>921</v>
      </c>
      <c r="E2638" s="21">
        <v>2</v>
      </c>
      <c r="F2638" s="22">
        <v>45725.4101388889</v>
      </c>
      <c r="G2638" s="22"/>
      <c r="H2638" s="23">
        <v>130</v>
      </c>
      <c r="I2638" s="23">
        <v>65</v>
      </c>
      <c r="J2638" s="24">
        <v>130</v>
      </c>
      <c r="K2638" s="21">
        <v>0</v>
      </c>
      <c r="L2638" s="21">
        <v>0</v>
      </c>
      <c r="M2638" s="21">
        <f>COUNTIF($A$2:$A$5481,A2638)</f>
        <v>1</v>
      </c>
      <c r="N2638" s="24">
        <f t="shared" si="41"/>
        <v>130.0002638</v>
      </c>
    </row>
    <row r="2639" spans="1:14">
      <c r="A2639" s="21" t="s">
        <v>2854</v>
      </c>
      <c r="B2639" s="21" t="s">
        <v>948</v>
      </c>
      <c r="C2639" s="21" t="s">
        <v>783</v>
      </c>
      <c r="D2639" s="21" t="s">
        <v>921</v>
      </c>
      <c r="E2639" s="21">
        <v>2</v>
      </c>
      <c r="F2639" s="22">
        <v>45725.4101388889</v>
      </c>
      <c r="G2639" s="22"/>
      <c r="H2639" s="23">
        <v>130</v>
      </c>
      <c r="I2639" s="23">
        <v>65</v>
      </c>
      <c r="J2639" s="24">
        <v>130</v>
      </c>
      <c r="K2639" s="21">
        <v>0</v>
      </c>
      <c r="L2639" s="21">
        <v>0</v>
      </c>
      <c r="M2639" s="21">
        <f>COUNTIF($A$2:$A$5481,A2639)</f>
        <v>1</v>
      </c>
      <c r="N2639" s="24">
        <f t="shared" si="41"/>
        <v>130.0002639</v>
      </c>
    </row>
    <row r="2640" spans="1:14">
      <c r="A2640" s="21" t="s">
        <v>2855</v>
      </c>
      <c r="B2640" s="21" t="s">
        <v>1346</v>
      </c>
      <c r="C2640" s="21" t="s">
        <v>26</v>
      </c>
      <c r="D2640" s="21" t="s">
        <v>921</v>
      </c>
      <c r="E2640" s="21">
        <v>2</v>
      </c>
      <c r="F2640" s="22">
        <v>45412.3813425926</v>
      </c>
      <c r="G2640" s="22"/>
      <c r="H2640" s="23">
        <v>150</v>
      </c>
      <c r="I2640" s="23">
        <v>75</v>
      </c>
      <c r="J2640" s="24">
        <v>150</v>
      </c>
      <c r="K2640" s="21">
        <v>0</v>
      </c>
      <c r="L2640" s="21">
        <v>0</v>
      </c>
      <c r="M2640" s="21">
        <f>COUNTIF($A$2:$A$5481,A2640)</f>
        <v>1</v>
      </c>
      <c r="N2640" s="24">
        <f t="shared" si="41"/>
        <v>150.000264</v>
      </c>
    </row>
    <row r="2641" spans="1:14">
      <c r="A2641" s="21" t="s">
        <v>2856</v>
      </c>
      <c r="B2641" s="21" t="s">
        <v>26</v>
      </c>
      <c r="C2641" s="21" t="s">
        <v>26</v>
      </c>
      <c r="D2641" s="21" t="s">
        <v>921</v>
      </c>
      <c r="E2641" s="21">
        <v>3</v>
      </c>
      <c r="F2641" s="22">
        <v>45992.5750694444</v>
      </c>
      <c r="G2641" s="22"/>
      <c r="H2641" s="23">
        <v>105</v>
      </c>
      <c r="I2641" s="23">
        <v>52.5</v>
      </c>
      <c r="J2641" s="24">
        <v>157.5</v>
      </c>
      <c r="K2641" s="21">
        <v>0</v>
      </c>
      <c r="L2641" s="21">
        <v>0</v>
      </c>
      <c r="M2641" s="21">
        <f>COUNTIF($A$2:$A$5481,A2641)</f>
        <v>1</v>
      </c>
      <c r="N2641" s="24">
        <f t="shared" si="41"/>
        <v>157.5002641</v>
      </c>
    </row>
    <row r="2642" spans="1:14">
      <c r="A2642" s="21" t="s">
        <v>2857</v>
      </c>
      <c r="B2642" s="21" t="s">
        <v>948</v>
      </c>
      <c r="C2642" s="21" t="s">
        <v>26</v>
      </c>
      <c r="D2642" s="21" t="s">
        <v>921</v>
      </c>
      <c r="E2642" s="21">
        <v>1</v>
      </c>
      <c r="F2642" s="22">
        <v>45919.4195486111</v>
      </c>
      <c r="G2642" s="22"/>
      <c r="H2642" s="23">
        <v>30</v>
      </c>
      <c r="I2642" s="23">
        <v>30</v>
      </c>
      <c r="J2642" s="24">
        <v>30</v>
      </c>
      <c r="K2642" s="21">
        <v>0</v>
      </c>
      <c r="L2642" s="21">
        <v>0</v>
      </c>
      <c r="M2642" s="21">
        <f>COUNTIF($A$2:$A$5481,A2642)</f>
        <v>1</v>
      </c>
      <c r="N2642" s="24">
        <f t="shared" si="41"/>
        <v>30.0002642</v>
      </c>
    </row>
    <row r="2643" spans="1:14">
      <c r="A2643" s="21" t="s">
        <v>2858</v>
      </c>
      <c r="B2643" s="21" t="s">
        <v>26</v>
      </c>
      <c r="C2643" s="21" t="s">
        <v>26</v>
      </c>
      <c r="D2643" s="21" t="s">
        <v>921</v>
      </c>
      <c r="E2643" s="21">
        <v>6</v>
      </c>
      <c r="F2643" s="22">
        <v>45688.477037037</v>
      </c>
      <c r="G2643" s="22"/>
      <c r="H2643" s="23">
        <v>149.4</v>
      </c>
      <c r="I2643" s="23">
        <v>24.9</v>
      </c>
      <c r="J2643" s="24">
        <v>149.4</v>
      </c>
      <c r="K2643" s="21">
        <v>0</v>
      </c>
      <c r="L2643" s="21">
        <v>0</v>
      </c>
      <c r="M2643" s="21">
        <f>COUNTIF($A$2:$A$5481,A2643)</f>
        <v>1</v>
      </c>
      <c r="N2643" s="24">
        <f t="shared" si="41"/>
        <v>149.4002643</v>
      </c>
    </row>
    <row r="2644" spans="1:14">
      <c r="A2644" s="21" t="s">
        <v>2859</v>
      </c>
      <c r="B2644" s="21" t="s">
        <v>26</v>
      </c>
      <c r="C2644" s="21" t="s">
        <v>182</v>
      </c>
      <c r="D2644" s="21" t="s">
        <v>921</v>
      </c>
      <c r="E2644" s="21">
        <v>4</v>
      </c>
      <c r="F2644" s="22">
        <v>45440.5897106482</v>
      </c>
      <c r="G2644" s="22"/>
      <c r="H2644" s="23">
        <v>22</v>
      </c>
      <c r="I2644" s="23">
        <v>5.5</v>
      </c>
      <c r="J2644" s="24">
        <v>22</v>
      </c>
      <c r="K2644" s="21">
        <v>0</v>
      </c>
      <c r="L2644" s="21">
        <v>0</v>
      </c>
      <c r="M2644" s="21">
        <f>COUNTIF($A$2:$A$5481,A2644)</f>
        <v>2</v>
      </c>
      <c r="N2644" s="24">
        <f t="shared" si="41"/>
        <v>22.0002644</v>
      </c>
    </row>
    <row r="2645" spans="1:14">
      <c r="A2645" s="21" t="s">
        <v>2859</v>
      </c>
      <c r="B2645" s="21" t="s">
        <v>26</v>
      </c>
      <c r="C2645" s="21" t="s">
        <v>26</v>
      </c>
      <c r="D2645" s="21" t="s">
        <v>921</v>
      </c>
      <c r="E2645" s="21">
        <v>31</v>
      </c>
      <c r="F2645" s="22">
        <v>46239.7090856481</v>
      </c>
      <c r="G2645" s="22"/>
      <c r="H2645" s="23">
        <v>55</v>
      </c>
      <c r="I2645" s="23">
        <v>6.24</v>
      </c>
      <c r="J2645" s="24">
        <v>193.44</v>
      </c>
      <c r="K2645" s="21">
        <v>0</v>
      </c>
      <c r="L2645" s="21">
        <v>0</v>
      </c>
      <c r="M2645" s="21">
        <f>COUNTIF($A$2:$A$5481,A2645)</f>
        <v>2</v>
      </c>
      <c r="N2645" s="24">
        <f t="shared" si="41"/>
        <v>193.4402645</v>
      </c>
    </row>
    <row r="2646" spans="1:14">
      <c r="A2646" s="21" t="s">
        <v>2860</v>
      </c>
      <c r="B2646" s="21" t="s">
        <v>1342</v>
      </c>
      <c r="C2646" s="21" t="s">
        <v>26</v>
      </c>
      <c r="D2646" s="21" t="s">
        <v>921</v>
      </c>
      <c r="E2646" s="21">
        <v>0</v>
      </c>
      <c r="F2646" s="22">
        <v>45315.4951388889</v>
      </c>
      <c r="G2646" s="22">
        <v>45316.3854166667</v>
      </c>
      <c r="H2646" s="23">
        <v>14</v>
      </c>
      <c r="I2646" s="23">
        <v>14</v>
      </c>
      <c r="J2646" s="24">
        <v>0</v>
      </c>
      <c r="K2646" s="21">
        <v>0</v>
      </c>
      <c r="L2646" s="21">
        <v>0</v>
      </c>
      <c r="M2646" s="21">
        <f>COUNTIF($A$2:$A$5481,A2646)</f>
        <v>1</v>
      </c>
      <c r="N2646" s="24">
        <f t="shared" si="41"/>
        <v>0.0002646</v>
      </c>
    </row>
    <row r="2647" spans="1:14">
      <c r="A2647" s="21" t="s">
        <v>2861</v>
      </c>
      <c r="B2647" s="21" t="s">
        <v>26</v>
      </c>
      <c r="C2647" s="21" t="s">
        <v>26</v>
      </c>
      <c r="D2647" s="21" t="s">
        <v>921</v>
      </c>
      <c r="E2647" s="21">
        <v>2</v>
      </c>
      <c r="F2647" s="22">
        <v>45450.3240162037</v>
      </c>
      <c r="G2647" s="22"/>
      <c r="H2647" s="23">
        <v>44</v>
      </c>
      <c r="I2647" s="23">
        <v>44.27</v>
      </c>
      <c r="J2647" s="24">
        <v>88.54</v>
      </c>
      <c r="K2647" s="21">
        <v>0</v>
      </c>
      <c r="L2647" s="21">
        <v>0</v>
      </c>
      <c r="M2647" s="21">
        <f>COUNTIF($A$2:$A$5481,A2647)</f>
        <v>1</v>
      </c>
      <c r="N2647" s="24">
        <f t="shared" si="41"/>
        <v>88.5402647</v>
      </c>
    </row>
    <row r="2648" spans="1:14">
      <c r="A2648" s="21" t="s">
        <v>2862</v>
      </c>
      <c r="B2648" s="21" t="s">
        <v>929</v>
      </c>
      <c r="C2648" s="21" t="s">
        <v>26</v>
      </c>
      <c r="D2648" s="21" t="s">
        <v>921</v>
      </c>
      <c r="E2648" s="21">
        <v>4</v>
      </c>
      <c r="F2648" s="22">
        <v>46010.5472916667</v>
      </c>
      <c r="G2648" s="22"/>
      <c r="H2648" s="23">
        <v>8.96</v>
      </c>
      <c r="I2648" s="23">
        <v>2.24</v>
      </c>
      <c r="J2648" s="24">
        <v>8.96</v>
      </c>
      <c r="K2648" s="21">
        <v>0</v>
      </c>
      <c r="L2648" s="21">
        <v>0</v>
      </c>
      <c r="M2648" s="21">
        <f>COUNTIF($A$2:$A$5481,A2648)</f>
        <v>1</v>
      </c>
      <c r="N2648" s="24">
        <f t="shared" si="41"/>
        <v>8.9602648</v>
      </c>
    </row>
    <row r="2649" spans="1:14">
      <c r="A2649" s="21" t="s">
        <v>2863</v>
      </c>
      <c r="B2649" s="21" t="s">
        <v>920</v>
      </c>
      <c r="C2649" s="21" t="s">
        <v>35</v>
      </c>
      <c r="D2649" s="21" t="s">
        <v>931</v>
      </c>
      <c r="E2649" s="21">
        <v>1</v>
      </c>
      <c r="F2649" s="22">
        <v>45709.4223032407</v>
      </c>
      <c r="G2649" s="22"/>
      <c r="H2649" s="23">
        <v>2444.33</v>
      </c>
      <c r="I2649" s="23">
        <v>2444.33</v>
      </c>
      <c r="J2649" s="24">
        <v>2444.33</v>
      </c>
      <c r="K2649" s="21">
        <v>0</v>
      </c>
      <c r="L2649" s="21">
        <v>0</v>
      </c>
      <c r="M2649" s="21">
        <f>COUNTIF($A$2:$A$5481,A2649)</f>
        <v>1</v>
      </c>
      <c r="N2649" s="24">
        <f t="shared" si="41"/>
        <v>2444.3302649</v>
      </c>
    </row>
    <row r="2650" spans="1:14">
      <c r="A2650" s="21" t="s">
        <v>2864</v>
      </c>
      <c r="B2650" s="21" t="s">
        <v>920</v>
      </c>
      <c r="C2650" s="21" t="s">
        <v>35</v>
      </c>
      <c r="D2650" s="21" t="s">
        <v>921</v>
      </c>
      <c r="E2650" s="21">
        <v>0</v>
      </c>
      <c r="F2650" s="22">
        <v>45323.5840277778</v>
      </c>
      <c r="G2650" s="22">
        <v>45327.4858217593</v>
      </c>
      <c r="H2650" s="23">
        <v>2463.76</v>
      </c>
      <c r="I2650" s="23">
        <v>2463.76</v>
      </c>
      <c r="J2650" s="24">
        <v>0</v>
      </c>
      <c r="K2650" s="21">
        <v>0</v>
      </c>
      <c r="L2650" s="21">
        <v>0</v>
      </c>
      <c r="M2650" s="21">
        <f>COUNTIF($A$2:$A$5481,A2650)</f>
        <v>1</v>
      </c>
      <c r="N2650" s="24">
        <f t="shared" si="41"/>
        <v>0.000265</v>
      </c>
    </row>
    <row r="2651" spans="1:14">
      <c r="A2651" s="21" t="s">
        <v>2865</v>
      </c>
      <c r="B2651" s="21" t="s">
        <v>920</v>
      </c>
      <c r="C2651" s="21" t="s">
        <v>35</v>
      </c>
      <c r="D2651" s="21" t="s">
        <v>921</v>
      </c>
      <c r="E2651" s="21">
        <v>1</v>
      </c>
      <c r="F2651" s="22">
        <v>45343.5868518519</v>
      </c>
      <c r="G2651" s="22"/>
      <c r="H2651" s="23">
        <v>3166.66</v>
      </c>
      <c r="I2651" s="23">
        <v>3166.66</v>
      </c>
      <c r="J2651" s="24">
        <v>3166.66</v>
      </c>
      <c r="K2651" s="21">
        <v>0</v>
      </c>
      <c r="L2651" s="21">
        <v>0</v>
      </c>
      <c r="M2651" s="21">
        <f>COUNTIF($A$2:$A$5481,A2651)</f>
        <v>1</v>
      </c>
      <c r="N2651" s="24">
        <f t="shared" si="41"/>
        <v>3166.6602651</v>
      </c>
    </row>
    <row r="2652" spans="1:14">
      <c r="A2652" s="21" t="s">
        <v>162</v>
      </c>
      <c r="B2652" s="21" t="s">
        <v>920</v>
      </c>
      <c r="C2652" s="21" t="s">
        <v>26</v>
      </c>
      <c r="D2652" s="21" t="s">
        <v>921</v>
      </c>
      <c r="E2652" s="21">
        <v>3</v>
      </c>
      <c r="F2652" s="22">
        <v>45972.5634027778</v>
      </c>
      <c r="G2652" s="22">
        <v>46029.5632523148</v>
      </c>
      <c r="H2652" s="23">
        <v>312</v>
      </c>
      <c r="I2652" s="23">
        <v>52</v>
      </c>
      <c r="J2652" s="24">
        <v>156</v>
      </c>
      <c r="K2652" s="21">
        <v>0</v>
      </c>
      <c r="L2652" s="21">
        <v>0</v>
      </c>
      <c r="M2652" s="21">
        <f>COUNTIF($A$2:$A$5481,A2652)</f>
        <v>1</v>
      </c>
      <c r="N2652" s="24">
        <f t="shared" si="41"/>
        <v>156.0002652</v>
      </c>
    </row>
    <row r="2653" spans="1:14">
      <c r="A2653" s="21" t="s">
        <v>356</v>
      </c>
      <c r="B2653" s="21" t="s">
        <v>920</v>
      </c>
      <c r="C2653" s="21" t="s">
        <v>35</v>
      </c>
      <c r="D2653" s="21" t="s">
        <v>921</v>
      </c>
      <c r="E2653" s="21">
        <v>0</v>
      </c>
      <c r="F2653" s="22">
        <v>45467.3465277778</v>
      </c>
      <c r="G2653" s="22">
        <v>45498.6862847222</v>
      </c>
      <c r="H2653" s="23">
        <v>98.25</v>
      </c>
      <c r="I2653" s="23">
        <v>32.75</v>
      </c>
      <c r="J2653" s="24">
        <v>0</v>
      </c>
      <c r="K2653" s="21">
        <v>0</v>
      </c>
      <c r="L2653" s="21">
        <v>0</v>
      </c>
      <c r="M2653" s="21">
        <f>COUNTIF($A$2:$A$5481,A2653)</f>
        <v>2</v>
      </c>
      <c r="N2653" s="24">
        <f t="shared" si="41"/>
        <v>0.0002653</v>
      </c>
    </row>
    <row r="2654" spans="1:14">
      <c r="A2654" s="21" t="s">
        <v>356</v>
      </c>
      <c r="B2654" s="21" t="s">
        <v>920</v>
      </c>
      <c r="C2654" s="21" t="s">
        <v>26</v>
      </c>
      <c r="D2654" s="21" t="s">
        <v>921</v>
      </c>
      <c r="E2654" s="21">
        <v>2</v>
      </c>
      <c r="F2654" s="22">
        <v>45860.672037037</v>
      </c>
      <c r="G2654" s="22">
        <v>46282.5969097222</v>
      </c>
      <c r="H2654" s="23">
        <v>108</v>
      </c>
      <c r="I2654" s="23">
        <v>27.4444466667</v>
      </c>
      <c r="J2654" s="24">
        <v>54.88</v>
      </c>
      <c r="K2654" s="21">
        <v>0</v>
      </c>
      <c r="L2654" s="21">
        <v>0</v>
      </c>
      <c r="M2654" s="21">
        <f>COUNTIF($A$2:$A$5481,A2654)</f>
        <v>2</v>
      </c>
      <c r="N2654" s="24">
        <f t="shared" si="41"/>
        <v>54.8802654</v>
      </c>
    </row>
    <row r="2655" spans="1:14">
      <c r="A2655" s="21" t="s">
        <v>61</v>
      </c>
      <c r="B2655" s="21" t="s">
        <v>920</v>
      </c>
      <c r="C2655" s="21" t="s">
        <v>35</v>
      </c>
      <c r="D2655" s="21" t="s">
        <v>921</v>
      </c>
      <c r="E2655" s="21">
        <v>1</v>
      </c>
      <c r="F2655" s="22">
        <v>45467.3465277778</v>
      </c>
      <c r="G2655" s="22">
        <v>45523.8871643519</v>
      </c>
      <c r="H2655" s="23">
        <v>99</v>
      </c>
      <c r="I2655" s="23">
        <v>33</v>
      </c>
      <c r="J2655" s="24">
        <v>33</v>
      </c>
      <c r="K2655" s="21">
        <v>0</v>
      </c>
      <c r="L2655" s="21">
        <v>0</v>
      </c>
      <c r="M2655" s="21">
        <f>COUNTIF($A$2:$A$5481,A2655)</f>
        <v>2</v>
      </c>
      <c r="N2655" s="24">
        <f t="shared" si="41"/>
        <v>33.0002655</v>
      </c>
    </row>
    <row r="2656" spans="1:14">
      <c r="A2656" s="21" t="s">
        <v>61</v>
      </c>
      <c r="B2656" s="21" t="s">
        <v>920</v>
      </c>
      <c r="C2656" s="21" t="s">
        <v>26</v>
      </c>
      <c r="D2656" s="21" t="s">
        <v>921</v>
      </c>
      <c r="E2656" s="21">
        <v>14</v>
      </c>
      <c r="F2656" s="22">
        <v>45999.3732638889</v>
      </c>
      <c r="G2656" s="22">
        <v>46267.3463773148</v>
      </c>
      <c r="H2656" s="23">
        <v>296</v>
      </c>
      <c r="I2656" s="23">
        <v>43.3999301357</v>
      </c>
      <c r="J2656" s="24">
        <v>607.6</v>
      </c>
      <c r="K2656" s="21">
        <v>0</v>
      </c>
      <c r="L2656" s="21">
        <v>0</v>
      </c>
      <c r="M2656" s="21">
        <f>COUNTIF($A$2:$A$5481,A2656)</f>
        <v>2</v>
      </c>
      <c r="N2656" s="24">
        <f t="shared" si="41"/>
        <v>607.6002656</v>
      </c>
    </row>
    <row r="2657" spans="1:14">
      <c r="A2657" s="21" t="s">
        <v>2866</v>
      </c>
      <c r="B2657" s="21" t="s">
        <v>920</v>
      </c>
      <c r="C2657" s="21" t="s">
        <v>35</v>
      </c>
      <c r="D2657" s="21" t="s">
        <v>921</v>
      </c>
      <c r="E2657" s="21">
        <v>0</v>
      </c>
      <c r="F2657" s="22">
        <v>45267.5868055556</v>
      </c>
      <c r="G2657" s="22">
        <v>45267.5980902778</v>
      </c>
      <c r="H2657" s="23">
        <v>39.03</v>
      </c>
      <c r="I2657" s="23">
        <v>39.03</v>
      </c>
      <c r="J2657" s="24">
        <v>0</v>
      </c>
      <c r="K2657" s="21">
        <v>0</v>
      </c>
      <c r="L2657" s="21">
        <v>0</v>
      </c>
      <c r="M2657" s="21">
        <f>COUNTIF($A$2:$A$5481,A2657)</f>
        <v>2</v>
      </c>
      <c r="N2657" s="24">
        <f t="shared" si="41"/>
        <v>0.0002657</v>
      </c>
    </row>
    <row r="2658" spans="1:14">
      <c r="A2658" s="21" t="s">
        <v>2866</v>
      </c>
      <c r="B2658" s="21" t="s">
        <v>920</v>
      </c>
      <c r="C2658" s="21" t="s">
        <v>26</v>
      </c>
      <c r="D2658" s="21" t="s">
        <v>921</v>
      </c>
      <c r="E2658" s="21">
        <v>47</v>
      </c>
      <c r="F2658" s="22">
        <v>45911.4867824074</v>
      </c>
      <c r="G2658" s="22">
        <v>45973.4493634259</v>
      </c>
      <c r="H2658" s="23">
        <v>1000</v>
      </c>
      <c r="I2658" s="23">
        <v>25.65051</v>
      </c>
      <c r="J2658" s="24">
        <v>1205.55</v>
      </c>
      <c r="K2658" s="21">
        <v>0</v>
      </c>
      <c r="L2658" s="21">
        <v>0</v>
      </c>
      <c r="M2658" s="21">
        <f>COUNTIF($A$2:$A$5481,A2658)</f>
        <v>2</v>
      </c>
      <c r="N2658" s="24">
        <f t="shared" si="41"/>
        <v>1205.5502658</v>
      </c>
    </row>
    <row r="2659" spans="1:14">
      <c r="A2659" s="21" t="s">
        <v>2867</v>
      </c>
      <c r="B2659" s="21" t="s">
        <v>920</v>
      </c>
      <c r="C2659" s="21" t="s">
        <v>26</v>
      </c>
      <c r="D2659" s="21" t="s">
        <v>921</v>
      </c>
      <c r="E2659" s="21">
        <v>1</v>
      </c>
      <c r="F2659" s="22">
        <v>45810.8436342593</v>
      </c>
      <c r="G2659" s="22">
        <v>45812.3808564815</v>
      </c>
      <c r="H2659" s="23">
        <v>67</v>
      </c>
      <c r="I2659" s="23">
        <v>68</v>
      </c>
      <c r="J2659" s="24">
        <v>68</v>
      </c>
      <c r="K2659" s="21">
        <v>0</v>
      </c>
      <c r="L2659" s="21">
        <v>0</v>
      </c>
      <c r="M2659" s="21">
        <f>COUNTIF($A$2:$A$5481,A2659)</f>
        <v>1</v>
      </c>
      <c r="N2659" s="24">
        <f t="shared" si="41"/>
        <v>68.0002659</v>
      </c>
    </row>
    <row r="2660" spans="1:14">
      <c r="A2660" s="21" t="s">
        <v>2868</v>
      </c>
      <c r="B2660" s="21" t="s">
        <v>26</v>
      </c>
      <c r="C2660" s="21" t="s">
        <v>35</v>
      </c>
      <c r="D2660" s="21" t="s">
        <v>921</v>
      </c>
      <c r="E2660" s="21">
        <v>1</v>
      </c>
      <c r="F2660" s="22">
        <v>45491.3646759259</v>
      </c>
      <c r="G2660" s="22"/>
      <c r="H2660" s="23">
        <v>40</v>
      </c>
      <c r="I2660" s="23">
        <v>40</v>
      </c>
      <c r="J2660" s="24">
        <v>40</v>
      </c>
      <c r="K2660" s="21">
        <v>0</v>
      </c>
      <c r="L2660" s="21">
        <v>0</v>
      </c>
      <c r="M2660" s="21">
        <f>COUNTIF($A$2:$A$5481,A2660)</f>
        <v>1</v>
      </c>
      <c r="N2660" s="24">
        <f t="shared" si="41"/>
        <v>40.000266</v>
      </c>
    </row>
    <row r="2661" spans="1:14">
      <c r="A2661" s="21" t="s">
        <v>2869</v>
      </c>
      <c r="B2661" s="21" t="s">
        <v>26</v>
      </c>
      <c r="C2661" s="21" t="s">
        <v>26</v>
      </c>
      <c r="D2661" s="21" t="s">
        <v>921</v>
      </c>
      <c r="E2661" s="21">
        <v>2</v>
      </c>
      <c r="F2661" s="22">
        <v>45637.3460185185</v>
      </c>
      <c r="G2661" s="22"/>
      <c r="H2661" s="23">
        <v>7.8</v>
      </c>
      <c r="I2661" s="23">
        <v>3.9</v>
      </c>
      <c r="J2661" s="24">
        <v>7.8</v>
      </c>
      <c r="K2661" s="21">
        <v>0</v>
      </c>
      <c r="L2661" s="21">
        <v>0</v>
      </c>
      <c r="M2661" s="21">
        <f>COUNTIF($A$2:$A$5481,A2661)</f>
        <v>1</v>
      </c>
      <c r="N2661" s="24">
        <f t="shared" si="41"/>
        <v>7.8002661</v>
      </c>
    </row>
    <row r="2662" spans="1:14">
      <c r="A2662" s="21" t="s">
        <v>2870</v>
      </c>
      <c r="B2662" s="21" t="s">
        <v>920</v>
      </c>
      <c r="C2662" s="21" t="s">
        <v>26</v>
      </c>
      <c r="D2662" s="21" t="s">
        <v>921</v>
      </c>
      <c r="E2662" s="21">
        <v>0</v>
      </c>
      <c r="F2662" s="22">
        <v>45824.4087037037</v>
      </c>
      <c r="G2662" s="22">
        <v>45824.4234722222</v>
      </c>
      <c r="H2662" s="23">
        <v>89</v>
      </c>
      <c r="I2662" s="23">
        <v>89</v>
      </c>
      <c r="J2662" s="24">
        <v>0</v>
      </c>
      <c r="K2662" s="21">
        <v>0</v>
      </c>
      <c r="L2662" s="21">
        <v>0</v>
      </c>
      <c r="M2662" s="21">
        <f>COUNTIF($A$2:$A$5481,A2662)</f>
        <v>1</v>
      </c>
      <c r="N2662" s="24">
        <f t="shared" si="41"/>
        <v>0.0002662</v>
      </c>
    </row>
    <row r="2663" spans="1:14">
      <c r="A2663" s="21" t="s">
        <v>2871</v>
      </c>
      <c r="B2663" s="21" t="s">
        <v>26</v>
      </c>
      <c r="C2663" s="21" t="s">
        <v>51</v>
      </c>
      <c r="D2663" s="21" t="s">
        <v>921</v>
      </c>
      <c r="E2663" s="21">
        <v>2</v>
      </c>
      <c r="F2663" s="22">
        <v>45608.3601157407</v>
      </c>
      <c r="G2663" s="22"/>
      <c r="H2663" s="23">
        <v>155.2</v>
      </c>
      <c r="I2663" s="23">
        <v>77.6</v>
      </c>
      <c r="J2663" s="24">
        <v>155.2</v>
      </c>
      <c r="K2663" s="21">
        <v>0</v>
      </c>
      <c r="L2663" s="21">
        <v>0</v>
      </c>
      <c r="M2663" s="21">
        <f>COUNTIF($A$2:$A$5481,A2663)</f>
        <v>1</v>
      </c>
      <c r="N2663" s="24">
        <f t="shared" si="41"/>
        <v>155.2002663</v>
      </c>
    </row>
    <row r="2664" spans="1:14">
      <c r="A2664" s="21" t="s">
        <v>2872</v>
      </c>
      <c r="B2664" s="21" t="s">
        <v>1352</v>
      </c>
      <c r="C2664" s="21" t="s">
        <v>51</v>
      </c>
      <c r="D2664" s="21" t="s">
        <v>921</v>
      </c>
      <c r="E2664" s="21">
        <v>1</v>
      </c>
      <c r="F2664" s="22">
        <v>46051.5738773148</v>
      </c>
      <c r="G2664" s="22"/>
      <c r="H2664" s="23">
        <v>1120</v>
      </c>
      <c r="I2664" s="23">
        <v>1120</v>
      </c>
      <c r="J2664" s="24">
        <v>1120</v>
      </c>
      <c r="K2664" s="21">
        <v>0</v>
      </c>
      <c r="L2664" s="21">
        <v>0</v>
      </c>
      <c r="M2664" s="21">
        <f>COUNTIF($A$2:$A$5481,A2664)</f>
        <v>1</v>
      </c>
      <c r="N2664" s="24">
        <f t="shared" si="41"/>
        <v>1120.0002664</v>
      </c>
    </row>
    <row r="2665" spans="1:14">
      <c r="A2665" s="21" t="s">
        <v>2873</v>
      </c>
      <c r="B2665" s="21" t="s">
        <v>920</v>
      </c>
      <c r="C2665" s="21" t="s">
        <v>35</v>
      </c>
      <c r="D2665" s="21" t="s">
        <v>921</v>
      </c>
      <c r="E2665" s="21">
        <v>0</v>
      </c>
      <c r="F2665" s="22">
        <v>46013.7133449074</v>
      </c>
      <c r="G2665" s="22">
        <v>46020.5942592593</v>
      </c>
      <c r="H2665" s="23">
        <v>250</v>
      </c>
      <c r="I2665" s="23">
        <v>250</v>
      </c>
      <c r="J2665" s="24">
        <v>0</v>
      </c>
      <c r="K2665" s="21">
        <v>0</v>
      </c>
      <c r="L2665" s="21">
        <v>0</v>
      </c>
      <c r="M2665" s="21">
        <f>COUNTIF($A$2:$A$5481,A2665)</f>
        <v>1</v>
      </c>
      <c r="N2665" s="24">
        <f t="shared" si="41"/>
        <v>0.0002665</v>
      </c>
    </row>
    <row r="2666" spans="1:14">
      <c r="A2666" s="21" t="s">
        <v>469</v>
      </c>
      <c r="B2666" s="21" t="s">
        <v>920</v>
      </c>
      <c r="C2666" s="21" t="s">
        <v>35</v>
      </c>
      <c r="D2666" s="21" t="s">
        <v>931</v>
      </c>
      <c r="E2666" s="21">
        <v>0</v>
      </c>
      <c r="F2666" s="22">
        <v>45632.5848842593</v>
      </c>
      <c r="G2666" s="22">
        <v>46267.3463657407</v>
      </c>
      <c r="H2666" s="23">
        <v>1000</v>
      </c>
      <c r="I2666" s="23">
        <v>500</v>
      </c>
      <c r="J2666" s="24">
        <v>0</v>
      </c>
      <c r="K2666" s="21">
        <v>0</v>
      </c>
      <c r="L2666" s="21">
        <v>0</v>
      </c>
      <c r="M2666" s="21">
        <f>COUNTIF($A$2:$A$5481,A2666)</f>
        <v>1</v>
      </c>
      <c r="N2666" s="24">
        <f t="shared" si="41"/>
        <v>0.0002666</v>
      </c>
    </row>
    <row r="2667" spans="1:14">
      <c r="A2667" s="21" t="s">
        <v>2874</v>
      </c>
      <c r="B2667" s="21" t="s">
        <v>920</v>
      </c>
      <c r="C2667" s="21" t="s">
        <v>26</v>
      </c>
      <c r="D2667" s="21" t="s">
        <v>921</v>
      </c>
      <c r="E2667" s="21">
        <v>3</v>
      </c>
      <c r="F2667" s="22">
        <v>46093.6996875</v>
      </c>
      <c r="G2667" s="22"/>
      <c r="H2667" s="23">
        <v>278</v>
      </c>
      <c r="I2667" s="23">
        <v>132.3333333333</v>
      </c>
      <c r="J2667" s="24">
        <v>396.99</v>
      </c>
      <c r="K2667" s="21">
        <v>0</v>
      </c>
      <c r="L2667" s="21">
        <v>0</v>
      </c>
      <c r="M2667" s="21">
        <f>COUNTIF($A$2:$A$5481,A2667)</f>
        <v>1</v>
      </c>
      <c r="N2667" s="24">
        <f t="shared" si="41"/>
        <v>396.9902667</v>
      </c>
    </row>
    <row r="2668" spans="1:14">
      <c r="A2668" s="21" t="s">
        <v>2875</v>
      </c>
      <c r="B2668" s="21" t="s">
        <v>920</v>
      </c>
      <c r="C2668" s="21" t="s">
        <v>26</v>
      </c>
      <c r="D2668" s="21" t="s">
        <v>931</v>
      </c>
      <c r="E2668" s="21">
        <v>3</v>
      </c>
      <c r="F2668" s="22">
        <v>45867.7256018519</v>
      </c>
      <c r="G2668" s="22">
        <v>45884.3844560185</v>
      </c>
      <c r="H2668" s="23">
        <v>224</v>
      </c>
      <c r="I2668" s="23">
        <v>112</v>
      </c>
      <c r="J2668" s="24">
        <v>336</v>
      </c>
      <c r="K2668" s="21">
        <v>0</v>
      </c>
      <c r="L2668" s="21">
        <v>0</v>
      </c>
      <c r="M2668" s="21">
        <f>COUNTIF($A$2:$A$5481,A2668)</f>
        <v>1</v>
      </c>
      <c r="N2668" s="24">
        <f t="shared" si="41"/>
        <v>336.0002668</v>
      </c>
    </row>
    <row r="2669" spans="1:14">
      <c r="A2669" s="21" t="s">
        <v>2876</v>
      </c>
      <c r="B2669" s="21" t="s">
        <v>920</v>
      </c>
      <c r="C2669" s="21" t="s">
        <v>35</v>
      </c>
      <c r="D2669" s="21" t="s">
        <v>931</v>
      </c>
      <c r="E2669" s="21">
        <v>1</v>
      </c>
      <c r="F2669" s="22">
        <v>45854.6107523148</v>
      </c>
      <c r="G2669" s="22">
        <v>45862.3932060185</v>
      </c>
      <c r="H2669" s="23">
        <v>936</v>
      </c>
      <c r="I2669" s="23">
        <v>234</v>
      </c>
      <c r="J2669" s="24">
        <v>234</v>
      </c>
      <c r="K2669" s="21">
        <v>0</v>
      </c>
      <c r="L2669" s="21">
        <v>0</v>
      </c>
      <c r="M2669" s="21">
        <f>COUNTIF($A$2:$A$5481,A2669)</f>
        <v>1</v>
      </c>
      <c r="N2669" s="24">
        <f t="shared" si="41"/>
        <v>234.0002669</v>
      </c>
    </row>
    <row r="2670" spans="1:14">
      <c r="A2670" s="21" t="s">
        <v>2877</v>
      </c>
      <c r="B2670" s="21" t="s">
        <v>929</v>
      </c>
      <c r="C2670" s="21" t="s">
        <v>26</v>
      </c>
      <c r="D2670" s="21" t="s">
        <v>921</v>
      </c>
      <c r="E2670" s="21">
        <v>11</v>
      </c>
      <c r="F2670" s="22">
        <v>45925.5633680556</v>
      </c>
      <c r="G2670" s="22"/>
      <c r="H2670" s="23">
        <v>140.46</v>
      </c>
      <c r="I2670" s="23">
        <v>22.2918181818</v>
      </c>
      <c r="J2670" s="24">
        <v>245.19</v>
      </c>
      <c r="K2670" s="21">
        <v>0</v>
      </c>
      <c r="L2670" s="21">
        <v>0</v>
      </c>
      <c r="M2670" s="21">
        <f>COUNTIF($A$2:$A$5481,A2670)</f>
        <v>1</v>
      </c>
      <c r="N2670" s="24">
        <f t="shared" si="41"/>
        <v>245.190267</v>
      </c>
    </row>
    <row r="2671" spans="1:14">
      <c r="A2671" s="21" t="s">
        <v>2878</v>
      </c>
      <c r="B2671" s="21" t="s">
        <v>929</v>
      </c>
      <c r="C2671" s="21" t="s">
        <v>26</v>
      </c>
      <c r="D2671" s="21" t="s">
        <v>921</v>
      </c>
      <c r="E2671" s="21">
        <v>2</v>
      </c>
      <c r="F2671" s="22">
        <v>45749.8311689815</v>
      </c>
      <c r="G2671" s="22"/>
      <c r="H2671" s="23">
        <v>39.7</v>
      </c>
      <c r="I2671" s="23">
        <v>19.85</v>
      </c>
      <c r="J2671" s="24">
        <v>39.7</v>
      </c>
      <c r="K2671" s="21">
        <v>0</v>
      </c>
      <c r="L2671" s="21">
        <v>0</v>
      </c>
      <c r="M2671" s="21">
        <f>COUNTIF($A$2:$A$5481,A2671)</f>
        <v>1</v>
      </c>
      <c r="N2671" s="24">
        <f t="shared" si="41"/>
        <v>39.7002671</v>
      </c>
    </row>
    <row r="2672" spans="1:14">
      <c r="A2672" s="21" t="s">
        <v>2879</v>
      </c>
      <c r="B2672" s="21" t="s">
        <v>929</v>
      </c>
      <c r="C2672" s="21" t="s">
        <v>414</v>
      </c>
      <c r="D2672" s="21" t="s">
        <v>921</v>
      </c>
      <c r="E2672" s="21">
        <v>3</v>
      </c>
      <c r="F2672" s="22">
        <v>45399.8458217593</v>
      </c>
      <c r="G2672" s="22">
        <v>45471.4679282407</v>
      </c>
      <c r="H2672" s="23">
        <v>35.75</v>
      </c>
      <c r="I2672" s="23">
        <v>7.15</v>
      </c>
      <c r="J2672" s="24">
        <v>21.45</v>
      </c>
      <c r="K2672" s="21">
        <v>0</v>
      </c>
      <c r="L2672" s="21">
        <v>0</v>
      </c>
      <c r="M2672" s="21">
        <f>COUNTIF($A$2:$A$5481,A2672)</f>
        <v>2</v>
      </c>
      <c r="N2672" s="24">
        <f t="shared" si="41"/>
        <v>21.4502672</v>
      </c>
    </row>
    <row r="2673" spans="1:14">
      <c r="A2673" s="21" t="s">
        <v>2879</v>
      </c>
      <c r="B2673" s="21" t="s">
        <v>929</v>
      </c>
      <c r="C2673" s="21" t="s">
        <v>26</v>
      </c>
      <c r="D2673" s="21" t="s">
        <v>921</v>
      </c>
      <c r="E2673" s="21">
        <v>25</v>
      </c>
      <c r="F2673" s="22">
        <v>46240.6113194445</v>
      </c>
      <c r="G2673" s="22">
        <v>45870.4191550926</v>
      </c>
      <c r="H2673" s="23">
        <v>84.4</v>
      </c>
      <c r="I2673" s="23">
        <v>9.3630769231</v>
      </c>
      <c r="J2673" s="24">
        <v>234</v>
      </c>
      <c r="K2673" s="21">
        <v>0</v>
      </c>
      <c r="L2673" s="21">
        <v>0</v>
      </c>
      <c r="M2673" s="21">
        <f>COUNTIF($A$2:$A$5481,A2673)</f>
        <v>2</v>
      </c>
      <c r="N2673" s="24">
        <f t="shared" si="41"/>
        <v>234.0002673</v>
      </c>
    </row>
    <row r="2674" spans="1:14">
      <c r="A2674" s="21" t="s">
        <v>856</v>
      </c>
      <c r="B2674" s="21" t="s">
        <v>929</v>
      </c>
      <c r="C2674" s="21" t="s">
        <v>26</v>
      </c>
      <c r="D2674" s="21" t="s">
        <v>921</v>
      </c>
      <c r="E2674" s="21">
        <v>2</v>
      </c>
      <c r="F2674" s="22">
        <v>46072.3936921296</v>
      </c>
      <c r="G2674" s="22">
        <v>46267.4071527778</v>
      </c>
      <c r="H2674" s="23">
        <v>34.95</v>
      </c>
      <c r="I2674" s="23">
        <v>11.65</v>
      </c>
      <c r="J2674" s="24">
        <v>23.3</v>
      </c>
      <c r="K2674" s="21">
        <v>0</v>
      </c>
      <c r="L2674" s="21">
        <v>0</v>
      </c>
      <c r="M2674" s="21">
        <f>COUNTIF($A$2:$A$5481,A2674)</f>
        <v>1</v>
      </c>
      <c r="N2674" s="24">
        <f t="shared" si="41"/>
        <v>23.3002674</v>
      </c>
    </row>
    <row r="2675" spans="1:14">
      <c r="A2675" s="21" t="s">
        <v>551</v>
      </c>
      <c r="B2675" s="21" t="s">
        <v>920</v>
      </c>
      <c r="C2675" s="21" t="s">
        <v>35</v>
      </c>
      <c r="D2675" s="21" t="s">
        <v>921</v>
      </c>
      <c r="E2675" s="21">
        <v>0</v>
      </c>
      <c r="F2675" s="22">
        <v>45379.8194444445</v>
      </c>
      <c r="G2675" s="22">
        <v>46251.7376388889</v>
      </c>
      <c r="H2675" s="23">
        <v>1246</v>
      </c>
      <c r="I2675" s="23">
        <v>623</v>
      </c>
      <c r="J2675" s="24">
        <v>0</v>
      </c>
      <c r="K2675" s="21">
        <v>0</v>
      </c>
      <c r="L2675" s="21">
        <v>0</v>
      </c>
      <c r="M2675" s="21">
        <f>COUNTIF($A$2:$A$5481,A2675)</f>
        <v>2</v>
      </c>
      <c r="N2675" s="24">
        <f t="shared" si="41"/>
        <v>0.0002675</v>
      </c>
    </row>
    <row r="2676" spans="1:14">
      <c r="A2676" s="21" t="s">
        <v>551</v>
      </c>
      <c r="B2676" s="21" t="s">
        <v>920</v>
      </c>
      <c r="C2676" s="21" t="s">
        <v>26</v>
      </c>
      <c r="D2676" s="21" t="s">
        <v>921</v>
      </c>
      <c r="E2676" s="21">
        <v>0</v>
      </c>
      <c r="F2676" s="22">
        <v>46150.5444444444</v>
      </c>
      <c r="G2676" s="22">
        <v>46251.7295833333</v>
      </c>
      <c r="H2676" s="23">
        <v>2367</v>
      </c>
      <c r="I2676" s="23">
        <v>702.8378378378</v>
      </c>
      <c r="J2676" s="24">
        <v>0</v>
      </c>
      <c r="K2676" s="21">
        <v>0</v>
      </c>
      <c r="L2676" s="21">
        <v>0</v>
      </c>
      <c r="M2676" s="21">
        <f>COUNTIF($A$2:$A$5481,A2676)</f>
        <v>2</v>
      </c>
      <c r="N2676" s="24">
        <f t="shared" si="41"/>
        <v>0.0002676</v>
      </c>
    </row>
    <row r="2677" spans="1:14">
      <c r="A2677" s="21" t="s">
        <v>2880</v>
      </c>
      <c r="B2677" s="21" t="s">
        <v>929</v>
      </c>
      <c r="C2677" s="21" t="s">
        <v>26</v>
      </c>
      <c r="D2677" s="21" t="s">
        <v>921</v>
      </c>
      <c r="E2677" s="21">
        <v>12</v>
      </c>
      <c r="F2677" s="22">
        <v>46241.5771412037</v>
      </c>
      <c r="G2677" s="22"/>
      <c r="H2677" s="23">
        <v>150.84</v>
      </c>
      <c r="I2677" s="23">
        <v>14.805</v>
      </c>
      <c r="J2677" s="24">
        <v>177.72</v>
      </c>
      <c r="K2677" s="21">
        <v>0</v>
      </c>
      <c r="L2677" s="21">
        <v>0</v>
      </c>
      <c r="M2677" s="21">
        <f>COUNTIF($A$2:$A$5481,A2677)</f>
        <v>1</v>
      </c>
      <c r="N2677" s="24">
        <f t="shared" si="41"/>
        <v>177.7202677</v>
      </c>
    </row>
    <row r="2678" spans="1:14">
      <c r="A2678" s="21" t="s">
        <v>2881</v>
      </c>
      <c r="B2678" s="21" t="s">
        <v>948</v>
      </c>
      <c r="C2678" s="21" t="s">
        <v>641</v>
      </c>
      <c r="D2678" s="21" t="s">
        <v>921</v>
      </c>
      <c r="E2678" s="21">
        <v>5</v>
      </c>
      <c r="F2678" s="22">
        <v>45288.8133564815</v>
      </c>
      <c r="G2678" s="22"/>
      <c r="H2678" s="23">
        <v>92.5</v>
      </c>
      <c r="I2678" s="23">
        <v>18.5</v>
      </c>
      <c r="J2678" s="24">
        <v>92.5</v>
      </c>
      <c r="K2678" s="21">
        <v>1</v>
      </c>
      <c r="L2678" s="21">
        <v>10</v>
      </c>
      <c r="M2678" s="21">
        <f>COUNTIF($A$2:$A$5481,A2678)</f>
        <v>2</v>
      </c>
      <c r="N2678" s="24">
        <f t="shared" si="41"/>
        <v>92.5002678</v>
      </c>
    </row>
    <row r="2679" spans="1:14">
      <c r="A2679" s="21" t="s">
        <v>2881</v>
      </c>
      <c r="B2679" s="21" t="s">
        <v>948</v>
      </c>
      <c r="C2679" s="21" t="s">
        <v>26</v>
      </c>
      <c r="D2679" s="21" t="s">
        <v>921</v>
      </c>
      <c r="E2679" s="21">
        <v>12</v>
      </c>
      <c r="F2679" s="22">
        <v>46204.7057060185</v>
      </c>
      <c r="G2679" s="22"/>
      <c r="H2679" s="23">
        <v>64</v>
      </c>
      <c r="I2679" s="23">
        <v>42.3333333333</v>
      </c>
      <c r="J2679" s="24">
        <v>507.96</v>
      </c>
      <c r="K2679" s="21">
        <v>1</v>
      </c>
      <c r="L2679" s="21">
        <v>10</v>
      </c>
      <c r="M2679" s="21">
        <f>COUNTIF($A$2:$A$5481,A2679)</f>
        <v>2</v>
      </c>
      <c r="N2679" s="24">
        <f t="shared" si="41"/>
        <v>507.9602679</v>
      </c>
    </row>
    <row r="2680" spans="1:14">
      <c r="A2680" s="21" t="s">
        <v>261</v>
      </c>
      <c r="B2680" s="21" t="s">
        <v>26</v>
      </c>
      <c r="C2680" s="21" t="s">
        <v>38</v>
      </c>
      <c r="D2680" s="21" t="s">
        <v>921</v>
      </c>
      <c r="E2680" s="21">
        <v>35</v>
      </c>
      <c r="F2680" s="22">
        <v>45562.4842013889</v>
      </c>
      <c r="G2680" s="22">
        <v>46223.8705787037</v>
      </c>
      <c r="H2680" s="23">
        <v>87.3</v>
      </c>
      <c r="I2680" s="23">
        <v>14.232</v>
      </c>
      <c r="J2680" s="24">
        <v>498.05</v>
      </c>
      <c r="K2680" s="21">
        <v>0</v>
      </c>
      <c r="L2680" s="21">
        <v>0</v>
      </c>
      <c r="M2680" s="21">
        <f>COUNTIF($A$2:$A$5481,A2680)</f>
        <v>3</v>
      </c>
      <c r="N2680" s="24">
        <f t="shared" si="41"/>
        <v>498.050268</v>
      </c>
    </row>
    <row r="2681" spans="1:14">
      <c r="A2681" s="21" t="s">
        <v>261</v>
      </c>
      <c r="B2681" s="21" t="s">
        <v>26</v>
      </c>
      <c r="C2681" s="21" t="s">
        <v>182</v>
      </c>
      <c r="D2681" s="21" t="s">
        <v>921</v>
      </c>
      <c r="E2681" s="21">
        <v>33</v>
      </c>
      <c r="F2681" s="22">
        <v>46161.4354166667</v>
      </c>
      <c r="G2681" s="22">
        <v>46072.4268981482</v>
      </c>
      <c r="H2681" s="23">
        <v>132.16</v>
      </c>
      <c r="I2681" s="23">
        <v>15.3936631016</v>
      </c>
      <c r="J2681" s="24">
        <v>507.87</v>
      </c>
      <c r="K2681" s="21">
        <v>0</v>
      </c>
      <c r="L2681" s="21">
        <v>0</v>
      </c>
      <c r="M2681" s="21">
        <f>COUNTIF($A$2:$A$5481,A2681)</f>
        <v>3</v>
      </c>
      <c r="N2681" s="24">
        <f t="shared" si="41"/>
        <v>507.8702681</v>
      </c>
    </row>
    <row r="2682" spans="1:14">
      <c r="A2682" s="21" t="s">
        <v>261</v>
      </c>
      <c r="B2682" s="21" t="s">
        <v>26</v>
      </c>
      <c r="C2682" s="21" t="s">
        <v>26</v>
      </c>
      <c r="D2682" s="21" t="s">
        <v>921</v>
      </c>
      <c r="E2682" s="21">
        <v>57</v>
      </c>
      <c r="F2682" s="22">
        <v>46224.6981828704</v>
      </c>
      <c r="G2682" s="22">
        <v>46267.5978356482</v>
      </c>
      <c r="H2682" s="23">
        <v>89.88</v>
      </c>
      <c r="I2682" s="23">
        <v>15.0279310345</v>
      </c>
      <c r="J2682" s="24">
        <v>856.71</v>
      </c>
      <c r="K2682" s="21">
        <v>0</v>
      </c>
      <c r="L2682" s="21">
        <v>0</v>
      </c>
      <c r="M2682" s="21">
        <f>COUNTIF($A$2:$A$5481,A2682)</f>
        <v>3</v>
      </c>
      <c r="N2682" s="24">
        <f t="shared" si="41"/>
        <v>856.7102682</v>
      </c>
    </row>
    <row r="2683" spans="1:14">
      <c r="A2683" s="21" t="s">
        <v>2882</v>
      </c>
      <c r="B2683" s="21" t="s">
        <v>949</v>
      </c>
      <c r="C2683" s="21" t="s">
        <v>182</v>
      </c>
      <c r="D2683" s="21" t="s">
        <v>921</v>
      </c>
      <c r="E2683" s="21">
        <v>0.4</v>
      </c>
      <c r="F2683" s="22">
        <v>45307.3745601852</v>
      </c>
      <c r="G2683" s="22">
        <v>45310.4236689815</v>
      </c>
      <c r="H2683" s="23">
        <v>28.566</v>
      </c>
      <c r="I2683" s="23">
        <v>5.29</v>
      </c>
      <c r="J2683" s="24">
        <v>2.116</v>
      </c>
      <c r="K2683" s="21">
        <v>0</v>
      </c>
      <c r="L2683" s="21">
        <v>0</v>
      </c>
      <c r="M2683" s="21">
        <f>COUNTIF($A$2:$A$5481,A2683)</f>
        <v>2</v>
      </c>
      <c r="N2683" s="24">
        <f t="shared" si="41"/>
        <v>2.1162683</v>
      </c>
    </row>
    <row r="2684" spans="1:14">
      <c r="A2684" s="21" t="s">
        <v>2882</v>
      </c>
      <c r="B2684" s="21" t="s">
        <v>949</v>
      </c>
      <c r="C2684" s="21" t="s">
        <v>26</v>
      </c>
      <c r="D2684" s="21" t="s">
        <v>921</v>
      </c>
      <c r="E2684" s="21">
        <v>0</v>
      </c>
      <c r="F2684" s="22">
        <v>45323.3923611111</v>
      </c>
      <c r="G2684" s="22">
        <v>45324.490625</v>
      </c>
      <c r="H2684" s="23">
        <v>16.6635</v>
      </c>
      <c r="I2684" s="23">
        <v>5.29</v>
      </c>
      <c r="J2684" s="24">
        <v>0</v>
      </c>
      <c r="K2684" s="21">
        <v>0</v>
      </c>
      <c r="L2684" s="21">
        <v>0</v>
      </c>
      <c r="M2684" s="21">
        <f>COUNTIF($A$2:$A$5481,A2684)</f>
        <v>2</v>
      </c>
      <c r="N2684" s="24">
        <f t="shared" si="41"/>
        <v>0.0002684</v>
      </c>
    </row>
    <row r="2685" spans="1:14">
      <c r="A2685" s="21" t="s">
        <v>2883</v>
      </c>
      <c r="B2685" s="21" t="s">
        <v>920</v>
      </c>
      <c r="C2685" s="21" t="s">
        <v>26</v>
      </c>
      <c r="D2685" s="21" t="s">
        <v>921</v>
      </c>
      <c r="E2685" s="21">
        <v>0</v>
      </c>
      <c r="F2685" s="22">
        <v>45800.3436342593</v>
      </c>
      <c r="G2685" s="22">
        <v>45847.4655208333</v>
      </c>
      <c r="H2685" s="23">
        <v>130.51</v>
      </c>
      <c r="I2685" s="23">
        <v>130.51</v>
      </c>
      <c r="J2685" s="24">
        <v>0</v>
      </c>
      <c r="K2685" s="21">
        <v>0</v>
      </c>
      <c r="L2685" s="21">
        <v>0</v>
      </c>
      <c r="M2685" s="21">
        <f>COUNTIF($A$2:$A$5481,A2685)</f>
        <v>1</v>
      </c>
      <c r="N2685" s="24">
        <f t="shared" si="41"/>
        <v>0.0002685</v>
      </c>
    </row>
    <row r="2686" spans="1:14">
      <c r="A2686" s="21" t="s">
        <v>752</v>
      </c>
      <c r="B2686" s="21" t="s">
        <v>26</v>
      </c>
      <c r="C2686" s="21" t="s">
        <v>26</v>
      </c>
      <c r="D2686" s="21" t="s">
        <v>921</v>
      </c>
      <c r="E2686" s="21">
        <v>0</v>
      </c>
      <c r="F2686" s="22">
        <v>46073.4294791667</v>
      </c>
      <c r="G2686" s="22">
        <v>46252.6095023148</v>
      </c>
      <c r="H2686" s="23">
        <v>179.85</v>
      </c>
      <c r="I2686" s="23">
        <v>11.99</v>
      </c>
      <c r="J2686" s="24">
        <v>0</v>
      </c>
      <c r="K2686" s="21">
        <v>0</v>
      </c>
      <c r="L2686" s="21">
        <v>0</v>
      </c>
      <c r="M2686" s="21">
        <f>COUNTIF($A$2:$A$5481,A2686)</f>
        <v>1</v>
      </c>
      <c r="N2686" s="24">
        <f t="shared" si="41"/>
        <v>0.0002686</v>
      </c>
    </row>
    <row r="2687" spans="1:14">
      <c r="A2687" s="21" t="s">
        <v>707</v>
      </c>
      <c r="B2687" s="21" t="s">
        <v>1175</v>
      </c>
      <c r="C2687" s="21" t="s">
        <v>26</v>
      </c>
      <c r="D2687" s="21" t="s">
        <v>921</v>
      </c>
      <c r="E2687" s="21">
        <v>0</v>
      </c>
      <c r="F2687" s="22">
        <v>45859.4695949074</v>
      </c>
      <c r="G2687" s="22">
        <v>46252.5690393519</v>
      </c>
      <c r="H2687" s="23">
        <v>2358.9</v>
      </c>
      <c r="I2687" s="23">
        <v>2358.9</v>
      </c>
      <c r="J2687" s="24">
        <v>0</v>
      </c>
      <c r="K2687" s="21">
        <v>0</v>
      </c>
      <c r="L2687" s="21">
        <v>0</v>
      </c>
      <c r="M2687" s="21">
        <f>COUNTIF($A$2:$A$5481,A2687)</f>
        <v>1</v>
      </c>
      <c r="N2687" s="24">
        <f t="shared" si="41"/>
        <v>0.0002687</v>
      </c>
    </row>
    <row r="2688" spans="1:14">
      <c r="A2688" s="21" t="s">
        <v>2884</v>
      </c>
      <c r="B2688" s="21" t="s">
        <v>26</v>
      </c>
      <c r="C2688" s="21" t="s">
        <v>26</v>
      </c>
      <c r="D2688" s="21" t="s">
        <v>921</v>
      </c>
      <c r="E2688" s="21">
        <v>10</v>
      </c>
      <c r="F2688" s="22">
        <v>45660.4383449074</v>
      </c>
      <c r="G2688" s="22"/>
      <c r="H2688" s="23">
        <v>39.9</v>
      </c>
      <c r="I2688" s="23">
        <v>3.99</v>
      </c>
      <c r="J2688" s="24">
        <v>39.9</v>
      </c>
      <c r="K2688" s="21">
        <v>0</v>
      </c>
      <c r="L2688" s="21">
        <v>0</v>
      </c>
      <c r="M2688" s="21">
        <f>COUNTIF($A$2:$A$5481,A2688)</f>
        <v>1</v>
      </c>
      <c r="N2688" s="24">
        <f t="shared" si="41"/>
        <v>39.9002688</v>
      </c>
    </row>
    <row r="2689" spans="1:14">
      <c r="A2689" s="21" t="s">
        <v>2885</v>
      </c>
      <c r="B2689" s="21" t="s">
        <v>1115</v>
      </c>
      <c r="C2689" s="21" t="s">
        <v>26</v>
      </c>
      <c r="D2689" s="21" t="s">
        <v>921</v>
      </c>
      <c r="E2689" s="21">
        <v>1</v>
      </c>
      <c r="F2689" s="22">
        <v>45693.3615509259</v>
      </c>
      <c r="G2689" s="22"/>
      <c r="H2689" s="23">
        <v>2.75</v>
      </c>
      <c r="I2689" s="23">
        <v>2.75</v>
      </c>
      <c r="J2689" s="24">
        <v>2.75</v>
      </c>
      <c r="K2689" s="21">
        <v>0</v>
      </c>
      <c r="L2689" s="21">
        <v>0</v>
      </c>
      <c r="M2689" s="21">
        <f>COUNTIF($A$2:$A$5481,A2689)</f>
        <v>1</v>
      </c>
      <c r="N2689" s="24">
        <f t="shared" si="41"/>
        <v>2.7502689</v>
      </c>
    </row>
    <row r="2690" spans="1:14">
      <c r="A2690" s="21" t="s">
        <v>2886</v>
      </c>
      <c r="B2690" s="21" t="s">
        <v>1115</v>
      </c>
      <c r="C2690" s="21" t="s">
        <v>26</v>
      </c>
      <c r="D2690" s="21" t="s">
        <v>921</v>
      </c>
      <c r="E2690" s="21">
        <v>1</v>
      </c>
      <c r="F2690" s="22">
        <v>45693.3615509259</v>
      </c>
      <c r="G2690" s="22"/>
      <c r="H2690" s="23">
        <v>2.75</v>
      </c>
      <c r="I2690" s="23">
        <v>2.75</v>
      </c>
      <c r="J2690" s="24">
        <v>2.75</v>
      </c>
      <c r="K2690" s="21">
        <v>0</v>
      </c>
      <c r="L2690" s="21">
        <v>0</v>
      </c>
      <c r="M2690" s="21">
        <f>COUNTIF($A$2:$A$5481,A2690)</f>
        <v>1</v>
      </c>
      <c r="N2690" s="24">
        <f t="shared" ref="N2690:N2753" si="42">J2690+ROW()/10000000</f>
        <v>2.750269</v>
      </c>
    </row>
    <row r="2691" spans="1:14">
      <c r="A2691" s="21" t="s">
        <v>2887</v>
      </c>
      <c r="B2691" s="21" t="s">
        <v>948</v>
      </c>
      <c r="C2691" s="21" t="s">
        <v>26</v>
      </c>
      <c r="D2691" s="21" t="s">
        <v>931</v>
      </c>
      <c r="E2691" s="21">
        <v>30</v>
      </c>
      <c r="F2691" s="22">
        <v>46141.5515046296</v>
      </c>
      <c r="G2691" s="22"/>
      <c r="H2691" s="23">
        <v>60</v>
      </c>
      <c r="I2691" s="23">
        <v>3</v>
      </c>
      <c r="J2691" s="24">
        <v>90</v>
      </c>
      <c r="K2691" s="21">
        <v>0</v>
      </c>
      <c r="L2691" s="21">
        <v>0</v>
      </c>
      <c r="M2691" s="21">
        <f>COUNTIF($A$2:$A$5481,A2691)</f>
        <v>1</v>
      </c>
      <c r="N2691" s="24">
        <f t="shared" si="42"/>
        <v>90.0002691</v>
      </c>
    </row>
    <row r="2692" spans="1:14">
      <c r="A2692" s="21" t="s">
        <v>2888</v>
      </c>
      <c r="B2692" s="21" t="s">
        <v>920</v>
      </c>
      <c r="C2692" s="21" t="s">
        <v>35</v>
      </c>
      <c r="D2692" s="21" t="s">
        <v>921</v>
      </c>
      <c r="E2692" s="21">
        <v>1</v>
      </c>
      <c r="F2692" s="22">
        <v>45287.3454976852</v>
      </c>
      <c r="G2692" s="22"/>
      <c r="H2692" s="23">
        <v>26.25</v>
      </c>
      <c r="I2692" s="23">
        <v>26.25</v>
      </c>
      <c r="J2692" s="24">
        <v>26.25</v>
      </c>
      <c r="K2692" s="21">
        <v>0</v>
      </c>
      <c r="L2692" s="21">
        <v>0</v>
      </c>
      <c r="M2692" s="21">
        <f>COUNTIF($A$2:$A$5481,A2692)</f>
        <v>1</v>
      </c>
      <c r="N2692" s="24">
        <f t="shared" si="42"/>
        <v>26.2502692</v>
      </c>
    </row>
    <row r="2693" spans="1:14">
      <c r="A2693" s="21" t="s">
        <v>2889</v>
      </c>
      <c r="B2693" s="21" t="s">
        <v>26</v>
      </c>
      <c r="C2693" s="21" t="s">
        <v>26</v>
      </c>
      <c r="D2693" s="21" t="s">
        <v>921</v>
      </c>
      <c r="E2693" s="21">
        <v>2</v>
      </c>
      <c r="F2693" s="22">
        <v>46105.6738194445</v>
      </c>
      <c r="G2693" s="22"/>
      <c r="H2693" s="23">
        <v>24.4</v>
      </c>
      <c r="I2693" s="23">
        <v>21.735</v>
      </c>
      <c r="J2693" s="24">
        <v>43.48</v>
      </c>
      <c r="K2693" s="21">
        <v>0</v>
      </c>
      <c r="L2693" s="21">
        <v>0</v>
      </c>
      <c r="M2693" s="21">
        <f>COUNTIF($A$2:$A$5481,A2693)</f>
        <v>1</v>
      </c>
      <c r="N2693" s="24">
        <f t="shared" si="42"/>
        <v>43.4802693</v>
      </c>
    </row>
    <row r="2694" spans="1:14">
      <c r="A2694" s="21" t="s">
        <v>2890</v>
      </c>
      <c r="B2694" s="21" t="s">
        <v>929</v>
      </c>
      <c r="C2694" s="21" t="s">
        <v>414</v>
      </c>
      <c r="D2694" s="21" t="s">
        <v>921</v>
      </c>
      <c r="E2694" s="21">
        <v>1</v>
      </c>
      <c r="F2694" s="22">
        <v>45349.815</v>
      </c>
      <c r="G2694" s="22"/>
      <c r="H2694" s="23">
        <v>159.88</v>
      </c>
      <c r="I2694" s="23">
        <v>159.88</v>
      </c>
      <c r="J2694" s="24">
        <v>159.88</v>
      </c>
      <c r="K2694" s="21">
        <v>0</v>
      </c>
      <c r="L2694" s="21">
        <v>0</v>
      </c>
      <c r="M2694" s="21">
        <f>COUNTIF($A$2:$A$5481,A2694)</f>
        <v>2</v>
      </c>
      <c r="N2694" s="24">
        <f t="shared" si="42"/>
        <v>159.8802694</v>
      </c>
    </row>
    <row r="2695" spans="1:14">
      <c r="A2695" s="21" t="s">
        <v>2890</v>
      </c>
      <c r="B2695" s="21" t="s">
        <v>929</v>
      </c>
      <c r="C2695" s="21" t="s">
        <v>26</v>
      </c>
      <c r="D2695" s="21" t="s">
        <v>921</v>
      </c>
      <c r="E2695" s="21">
        <v>1</v>
      </c>
      <c r="F2695" s="22">
        <v>45352.6444444444</v>
      </c>
      <c r="G2695" s="22"/>
      <c r="H2695" s="23">
        <v>159.88</v>
      </c>
      <c r="I2695" s="23">
        <v>159.88</v>
      </c>
      <c r="J2695" s="24">
        <v>159.88</v>
      </c>
      <c r="K2695" s="21">
        <v>0</v>
      </c>
      <c r="L2695" s="21">
        <v>0</v>
      </c>
      <c r="M2695" s="21">
        <f>COUNTIF($A$2:$A$5481,A2695)</f>
        <v>2</v>
      </c>
      <c r="N2695" s="24">
        <f t="shared" si="42"/>
        <v>159.8802695</v>
      </c>
    </row>
    <row r="2696" spans="1:14">
      <c r="A2696" s="21" t="s">
        <v>2891</v>
      </c>
      <c r="B2696" s="21" t="s">
        <v>929</v>
      </c>
      <c r="C2696" s="21" t="s">
        <v>414</v>
      </c>
      <c r="D2696" s="21" t="s">
        <v>921</v>
      </c>
      <c r="E2696" s="21">
        <v>1</v>
      </c>
      <c r="F2696" s="22">
        <v>45342.8356481482</v>
      </c>
      <c r="G2696" s="22"/>
      <c r="H2696" s="23">
        <v>88.12</v>
      </c>
      <c r="I2696" s="23">
        <v>88.12</v>
      </c>
      <c r="J2696" s="24">
        <v>88.12</v>
      </c>
      <c r="K2696" s="21">
        <v>0</v>
      </c>
      <c r="L2696" s="21">
        <v>0</v>
      </c>
      <c r="M2696" s="21">
        <f>COUNTIF($A$2:$A$5481,A2696)</f>
        <v>1</v>
      </c>
      <c r="N2696" s="24">
        <f t="shared" si="42"/>
        <v>88.1202696</v>
      </c>
    </row>
    <row r="2697" spans="1:14">
      <c r="A2697" s="21" t="s">
        <v>2892</v>
      </c>
      <c r="B2697" s="21" t="s">
        <v>26</v>
      </c>
      <c r="C2697" s="21" t="s">
        <v>26</v>
      </c>
      <c r="D2697" s="21" t="s">
        <v>921</v>
      </c>
      <c r="E2697" s="21">
        <v>25</v>
      </c>
      <c r="F2697" s="22">
        <v>45559.4279861111</v>
      </c>
      <c r="G2697" s="22"/>
      <c r="H2697" s="23">
        <v>113.5</v>
      </c>
      <c r="I2697" s="23">
        <v>4.54</v>
      </c>
      <c r="J2697" s="24">
        <v>113.5</v>
      </c>
      <c r="K2697" s="21">
        <v>0</v>
      </c>
      <c r="L2697" s="21">
        <v>0</v>
      </c>
      <c r="M2697" s="21">
        <f>COUNTIF($A$2:$A$5481,A2697)</f>
        <v>1</v>
      </c>
      <c r="N2697" s="24">
        <f t="shared" si="42"/>
        <v>113.5002697</v>
      </c>
    </row>
    <row r="2698" spans="1:14">
      <c r="A2698" s="21" t="s">
        <v>2893</v>
      </c>
      <c r="B2698" s="21" t="s">
        <v>26</v>
      </c>
      <c r="C2698" s="21" t="s">
        <v>26</v>
      </c>
      <c r="D2698" s="21" t="s">
        <v>921</v>
      </c>
      <c r="E2698" s="21">
        <v>1</v>
      </c>
      <c r="F2698" s="22">
        <v>46049.3905324074</v>
      </c>
      <c r="G2698" s="22"/>
      <c r="H2698" s="23">
        <v>74.97</v>
      </c>
      <c r="I2698" s="23">
        <v>74.97</v>
      </c>
      <c r="J2698" s="24">
        <v>74.97</v>
      </c>
      <c r="K2698" s="21">
        <v>0</v>
      </c>
      <c r="L2698" s="21">
        <v>0</v>
      </c>
      <c r="M2698" s="21">
        <f>COUNTIF($A$2:$A$5481,A2698)</f>
        <v>1</v>
      </c>
      <c r="N2698" s="24">
        <f t="shared" si="42"/>
        <v>74.9702698</v>
      </c>
    </row>
    <row r="2699" spans="1:14">
      <c r="A2699" s="21" t="s">
        <v>2894</v>
      </c>
      <c r="B2699" s="21" t="s">
        <v>948</v>
      </c>
      <c r="C2699" s="21" t="s">
        <v>26</v>
      </c>
      <c r="D2699" s="21" t="s">
        <v>921</v>
      </c>
      <c r="E2699" s="21">
        <v>3</v>
      </c>
      <c r="F2699" s="22">
        <v>46134.6002546296</v>
      </c>
      <c r="G2699" s="22"/>
      <c r="H2699" s="23">
        <v>16.8</v>
      </c>
      <c r="I2699" s="23">
        <v>5.6</v>
      </c>
      <c r="J2699" s="24">
        <v>16.8</v>
      </c>
      <c r="K2699" s="21">
        <v>0</v>
      </c>
      <c r="L2699" s="21">
        <v>0</v>
      </c>
      <c r="M2699" s="21">
        <f>COUNTIF($A$2:$A$5481,A2699)</f>
        <v>1</v>
      </c>
      <c r="N2699" s="24">
        <f t="shared" si="42"/>
        <v>16.8002699</v>
      </c>
    </row>
    <row r="2700" spans="1:14">
      <c r="A2700" s="21" t="s">
        <v>808</v>
      </c>
      <c r="B2700" s="21" t="s">
        <v>1346</v>
      </c>
      <c r="C2700" s="21" t="s">
        <v>38</v>
      </c>
      <c r="D2700" s="21" t="s">
        <v>921</v>
      </c>
      <c r="E2700" s="21">
        <v>1</v>
      </c>
      <c r="F2700" s="22">
        <v>46001.3938773148</v>
      </c>
      <c r="G2700" s="22"/>
      <c r="H2700" s="23">
        <v>369.28</v>
      </c>
      <c r="I2700" s="23">
        <v>369.28</v>
      </c>
      <c r="J2700" s="24">
        <v>369.28</v>
      </c>
      <c r="K2700" s="21">
        <v>0</v>
      </c>
      <c r="L2700" s="21">
        <v>0</v>
      </c>
      <c r="M2700" s="21">
        <f>COUNTIF($A$2:$A$5481,A2700)</f>
        <v>2</v>
      </c>
      <c r="N2700" s="24">
        <f t="shared" si="42"/>
        <v>369.28027</v>
      </c>
    </row>
    <row r="2701" spans="1:14">
      <c r="A2701" s="21" t="s">
        <v>808</v>
      </c>
      <c r="B2701" s="21" t="s">
        <v>1346</v>
      </c>
      <c r="C2701" s="21" t="s">
        <v>390</v>
      </c>
      <c r="D2701" s="21" t="s">
        <v>921</v>
      </c>
      <c r="E2701" s="21">
        <v>1</v>
      </c>
      <c r="F2701" s="22">
        <v>46251.3743055556</v>
      </c>
      <c r="G2701" s="22">
        <v>46259.4155208333</v>
      </c>
      <c r="H2701" s="23">
        <v>715.84</v>
      </c>
      <c r="I2701" s="23">
        <v>379.9114285714</v>
      </c>
      <c r="J2701" s="24">
        <v>379.91</v>
      </c>
      <c r="K2701" s="21">
        <v>0</v>
      </c>
      <c r="L2701" s="21">
        <v>0</v>
      </c>
      <c r="M2701" s="21">
        <f>COUNTIF($A$2:$A$5481,A2701)</f>
        <v>2</v>
      </c>
      <c r="N2701" s="24">
        <f t="shared" si="42"/>
        <v>379.9102701</v>
      </c>
    </row>
    <row r="2702" spans="1:14">
      <c r="A2702" s="21" t="s">
        <v>2895</v>
      </c>
      <c r="B2702" s="21" t="s">
        <v>926</v>
      </c>
      <c r="C2702" s="21" t="s">
        <v>38</v>
      </c>
      <c r="D2702" s="21" t="s">
        <v>921</v>
      </c>
      <c r="E2702" s="21">
        <v>4</v>
      </c>
      <c r="F2702" s="22">
        <v>46001.3938773148</v>
      </c>
      <c r="G2702" s="22"/>
      <c r="H2702" s="23">
        <v>215.96</v>
      </c>
      <c r="I2702" s="23">
        <v>53.99</v>
      </c>
      <c r="J2702" s="24">
        <v>215.96</v>
      </c>
      <c r="K2702" s="21">
        <v>0</v>
      </c>
      <c r="L2702" s="21">
        <v>0</v>
      </c>
      <c r="M2702" s="21">
        <f>COUNTIF($A$2:$A$5481,A2702)</f>
        <v>1</v>
      </c>
      <c r="N2702" s="24">
        <f t="shared" si="42"/>
        <v>215.9602702</v>
      </c>
    </row>
    <row r="2703" spans="1:14">
      <c r="A2703" s="21" t="s">
        <v>788</v>
      </c>
      <c r="B2703" s="21" t="s">
        <v>920</v>
      </c>
      <c r="C2703" s="21" t="s">
        <v>26</v>
      </c>
      <c r="D2703" s="21" t="s">
        <v>921</v>
      </c>
      <c r="E2703" s="21">
        <v>0</v>
      </c>
      <c r="F2703" s="22">
        <v>46199.5458333333</v>
      </c>
      <c r="G2703" s="22">
        <v>46254.4039236111</v>
      </c>
      <c r="H2703" s="23">
        <v>60</v>
      </c>
      <c r="I2703" s="23">
        <v>15</v>
      </c>
      <c r="J2703" s="24">
        <v>0</v>
      </c>
      <c r="K2703" s="21">
        <v>0</v>
      </c>
      <c r="L2703" s="21">
        <v>0</v>
      </c>
      <c r="M2703" s="21">
        <f>COUNTIF($A$2:$A$5481,A2703)</f>
        <v>1</v>
      </c>
      <c r="N2703" s="24">
        <f t="shared" si="42"/>
        <v>0.0002703</v>
      </c>
    </row>
    <row r="2704" spans="1:14">
      <c r="A2704" s="21" t="s">
        <v>2896</v>
      </c>
      <c r="B2704" s="21" t="s">
        <v>26</v>
      </c>
      <c r="C2704" s="21" t="s">
        <v>390</v>
      </c>
      <c r="D2704" s="21" t="s">
        <v>921</v>
      </c>
      <c r="E2704" s="21">
        <v>1</v>
      </c>
      <c r="F2704" s="22">
        <v>45629.4176388889</v>
      </c>
      <c r="G2704" s="22"/>
      <c r="H2704" s="23">
        <v>608.58</v>
      </c>
      <c r="I2704" s="23">
        <v>608.58</v>
      </c>
      <c r="J2704" s="24">
        <v>608.58</v>
      </c>
      <c r="K2704" s="21">
        <v>0</v>
      </c>
      <c r="L2704" s="21">
        <v>0</v>
      </c>
      <c r="M2704" s="21">
        <f>COUNTIF($A$2:$A$5481,A2704)</f>
        <v>1</v>
      </c>
      <c r="N2704" s="24">
        <f t="shared" si="42"/>
        <v>608.5802704</v>
      </c>
    </row>
    <row r="2705" spans="1:14">
      <c r="A2705" s="21" t="s">
        <v>2897</v>
      </c>
      <c r="B2705" s="21" t="s">
        <v>929</v>
      </c>
      <c r="C2705" s="21" t="s">
        <v>414</v>
      </c>
      <c r="D2705" s="21" t="s">
        <v>921</v>
      </c>
      <c r="E2705" s="21">
        <v>3</v>
      </c>
      <c r="F2705" s="22">
        <v>45369.8115277778</v>
      </c>
      <c r="G2705" s="22"/>
      <c r="H2705" s="23">
        <v>130.23</v>
      </c>
      <c r="I2705" s="23">
        <v>43.41</v>
      </c>
      <c r="J2705" s="24">
        <v>130.23</v>
      </c>
      <c r="K2705" s="21">
        <v>0</v>
      </c>
      <c r="L2705" s="21">
        <v>0</v>
      </c>
      <c r="M2705" s="21">
        <f>COUNTIF($A$2:$A$5481,A2705)</f>
        <v>1</v>
      </c>
      <c r="N2705" s="24">
        <f t="shared" si="42"/>
        <v>130.2302705</v>
      </c>
    </row>
    <row r="2706" spans="1:14">
      <c r="A2706" s="21" t="s">
        <v>2898</v>
      </c>
      <c r="B2706" s="21" t="s">
        <v>948</v>
      </c>
      <c r="C2706" s="21" t="s">
        <v>26</v>
      </c>
      <c r="D2706" s="21" t="s">
        <v>921</v>
      </c>
      <c r="E2706" s="21">
        <v>5</v>
      </c>
      <c r="F2706" s="22">
        <v>45911.5543171296</v>
      </c>
      <c r="G2706" s="22">
        <v>45835.4216435185</v>
      </c>
      <c r="H2706" s="23">
        <v>45.86</v>
      </c>
      <c r="I2706" s="23">
        <v>24.684</v>
      </c>
      <c r="J2706" s="24">
        <v>123.4</v>
      </c>
      <c r="K2706" s="21">
        <v>0</v>
      </c>
      <c r="L2706" s="21">
        <v>0</v>
      </c>
      <c r="M2706" s="21">
        <f>COUNTIF($A$2:$A$5481,A2706)</f>
        <v>1</v>
      </c>
      <c r="N2706" s="24">
        <f t="shared" si="42"/>
        <v>123.4002706</v>
      </c>
    </row>
    <row r="2707" spans="1:14">
      <c r="A2707" s="21" t="s">
        <v>2899</v>
      </c>
      <c r="B2707" s="21" t="s">
        <v>929</v>
      </c>
      <c r="C2707" s="21" t="s">
        <v>26</v>
      </c>
      <c r="D2707" s="21" t="s">
        <v>921</v>
      </c>
      <c r="E2707" s="21">
        <v>1</v>
      </c>
      <c r="F2707" s="22">
        <v>45924.5632291667</v>
      </c>
      <c r="G2707" s="22"/>
      <c r="H2707" s="23">
        <v>20</v>
      </c>
      <c r="I2707" s="23">
        <v>20</v>
      </c>
      <c r="J2707" s="24">
        <v>20</v>
      </c>
      <c r="K2707" s="21">
        <v>0</v>
      </c>
      <c r="L2707" s="21">
        <v>0</v>
      </c>
      <c r="M2707" s="21">
        <f>COUNTIF($A$2:$A$5481,A2707)</f>
        <v>1</v>
      </c>
      <c r="N2707" s="24">
        <f t="shared" si="42"/>
        <v>20.0002707</v>
      </c>
    </row>
    <row r="2708" spans="1:14">
      <c r="A2708" s="21" t="s">
        <v>796</v>
      </c>
      <c r="B2708" s="21" t="s">
        <v>920</v>
      </c>
      <c r="C2708" s="21" t="s">
        <v>26</v>
      </c>
      <c r="D2708" s="21" t="s">
        <v>921</v>
      </c>
      <c r="E2708" s="21">
        <v>0</v>
      </c>
      <c r="F2708" s="22">
        <v>46251.7095138889</v>
      </c>
      <c r="G2708" s="22">
        <v>46254.6578819445</v>
      </c>
      <c r="H2708" s="23">
        <v>158</v>
      </c>
      <c r="I2708" s="23">
        <v>158</v>
      </c>
      <c r="J2708" s="24">
        <v>0</v>
      </c>
      <c r="K2708" s="21">
        <v>0</v>
      </c>
      <c r="L2708" s="21">
        <v>0</v>
      </c>
      <c r="M2708" s="21">
        <f>COUNTIF($A$2:$A$5481,A2708)</f>
        <v>1</v>
      </c>
      <c r="N2708" s="24">
        <f t="shared" si="42"/>
        <v>0.0002708</v>
      </c>
    </row>
    <row r="2709" spans="1:14">
      <c r="A2709" s="21" t="s">
        <v>795</v>
      </c>
      <c r="B2709" s="21" t="s">
        <v>920</v>
      </c>
      <c r="C2709" s="21" t="s">
        <v>26</v>
      </c>
      <c r="D2709" s="21" t="s">
        <v>921</v>
      </c>
      <c r="E2709" s="21">
        <v>0</v>
      </c>
      <c r="F2709" s="22">
        <v>46251.7095138889</v>
      </c>
      <c r="G2709" s="22">
        <v>46254.6578703704</v>
      </c>
      <c r="H2709" s="23">
        <v>158</v>
      </c>
      <c r="I2709" s="23">
        <v>158</v>
      </c>
      <c r="J2709" s="24">
        <v>0</v>
      </c>
      <c r="K2709" s="21">
        <v>0</v>
      </c>
      <c r="L2709" s="21">
        <v>0</v>
      </c>
      <c r="M2709" s="21">
        <f>COUNTIF($A$2:$A$5481,A2709)</f>
        <v>1</v>
      </c>
      <c r="N2709" s="24">
        <f t="shared" si="42"/>
        <v>0.0002709</v>
      </c>
    </row>
    <row r="2710" spans="1:14">
      <c r="A2710" s="21" t="s">
        <v>2900</v>
      </c>
      <c r="B2710" s="21" t="s">
        <v>920</v>
      </c>
      <c r="C2710" s="21" t="s">
        <v>26</v>
      </c>
      <c r="D2710" s="21" t="s">
        <v>921</v>
      </c>
      <c r="E2710" s="21">
        <v>1</v>
      </c>
      <c r="F2710" s="22">
        <v>45965.4476273148</v>
      </c>
      <c r="G2710" s="22">
        <v>45965.4490162037</v>
      </c>
      <c r="H2710" s="23">
        <v>76</v>
      </c>
      <c r="I2710" s="23">
        <v>38</v>
      </c>
      <c r="J2710" s="24">
        <v>38</v>
      </c>
      <c r="K2710" s="21">
        <v>0</v>
      </c>
      <c r="L2710" s="21">
        <v>0</v>
      </c>
      <c r="M2710" s="21">
        <f>COUNTIF($A$2:$A$5481,A2710)</f>
        <v>1</v>
      </c>
      <c r="N2710" s="24">
        <f t="shared" si="42"/>
        <v>38.000271</v>
      </c>
    </row>
    <row r="2711" spans="1:14">
      <c r="A2711" s="21" t="s">
        <v>2901</v>
      </c>
      <c r="B2711" s="21" t="s">
        <v>920</v>
      </c>
      <c r="C2711" s="21" t="s">
        <v>35</v>
      </c>
      <c r="D2711" s="21" t="s">
        <v>931</v>
      </c>
      <c r="E2711" s="21">
        <v>0</v>
      </c>
      <c r="F2711" s="22">
        <v>45843.6984259259</v>
      </c>
      <c r="G2711" s="22">
        <v>46002.4124421296</v>
      </c>
      <c r="H2711" s="23">
        <v>80</v>
      </c>
      <c r="I2711" s="23">
        <v>40</v>
      </c>
      <c r="J2711" s="24">
        <v>0</v>
      </c>
      <c r="K2711" s="21">
        <v>0</v>
      </c>
      <c r="L2711" s="21">
        <v>0</v>
      </c>
      <c r="M2711" s="21">
        <f>COUNTIF($A$2:$A$5481,A2711)</f>
        <v>1</v>
      </c>
      <c r="N2711" s="24">
        <f t="shared" si="42"/>
        <v>0.0002711</v>
      </c>
    </row>
    <row r="2712" spans="1:14">
      <c r="A2712" s="21" t="s">
        <v>2902</v>
      </c>
      <c r="B2712" s="21" t="s">
        <v>26</v>
      </c>
      <c r="C2712" s="21" t="s">
        <v>26</v>
      </c>
      <c r="D2712" s="21" t="s">
        <v>921</v>
      </c>
      <c r="E2712" s="21">
        <v>3</v>
      </c>
      <c r="F2712" s="22">
        <v>46183.8169212963</v>
      </c>
      <c r="G2712" s="22"/>
      <c r="H2712" s="23">
        <v>140.82</v>
      </c>
      <c r="I2712" s="23">
        <v>46.94</v>
      </c>
      <c r="J2712" s="24">
        <v>140.82</v>
      </c>
      <c r="K2712" s="21">
        <v>0</v>
      </c>
      <c r="L2712" s="21">
        <v>0</v>
      </c>
      <c r="M2712" s="21">
        <f>COUNTIF($A$2:$A$5481,A2712)</f>
        <v>1</v>
      </c>
      <c r="N2712" s="24">
        <f t="shared" si="42"/>
        <v>140.8202712</v>
      </c>
    </row>
    <row r="2713" spans="1:14">
      <c r="A2713" s="21" t="s">
        <v>448</v>
      </c>
      <c r="B2713" s="21" t="s">
        <v>929</v>
      </c>
      <c r="C2713" s="21" t="s">
        <v>26</v>
      </c>
      <c r="D2713" s="21" t="s">
        <v>921</v>
      </c>
      <c r="E2713" s="21">
        <v>0</v>
      </c>
      <c r="F2713" s="22">
        <v>45355.3800462963</v>
      </c>
      <c r="G2713" s="22">
        <v>46206.7861111111</v>
      </c>
      <c r="H2713" s="23">
        <v>9082.64</v>
      </c>
      <c r="I2713" s="23">
        <v>648.76</v>
      </c>
      <c r="J2713" s="24">
        <v>0</v>
      </c>
      <c r="K2713" s="21">
        <v>0</v>
      </c>
      <c r="L2713" s="21">
        <v>0</v>
      </c>
      <c r="M2713" s="21">
        <f>COUNTIF($A$2:$A$5481,A2713)</f>
        <v>3</v>
      </c>
      <c r="N2713" s="24">
        <f t="shared" si="42"/>
        <v>0.0002713</v>
      </c>
    </row>
    <row r="2714" spans="1:14">
      <c r="A2714" s="21" t="s">
        <v>448</v>
      </c>
      <c r="B2714" s="21" t="s">
        <v>929</v>
      </c>
      <c r="C2714" s="21" t="s">
        <v>182</v>
      </c>
      <c r="D2714" s="21" t="s">
        <v>921</v>
      </c>
      <c r="E2714" s="21">
        <v>54.5</v>
      </c>
      <c r="F2714" s="22">
        <v>45453.8076388889</v>
      </c>
      <c r="G2714" s="22"/>
      <c r="H2714" s="23">
        <v>3384.45</v>
      </c>
      <c r="I2714" s="23">
        <v>62.1</v>
      </c>
      <c r="J2714" s="24">
        <v>3384.45</v>
      </c>
      <c r="K2714" s="21">
        <v>0</v>
      </c>
      <c r="L2714" s="21">
        <v>0</v>
      </c>
      <c r="M2714" s="21">
        <f>COUNTIF($A$2:$A$5481,A2714)</f>
        <v>3</v>
      </c>
      <c r="N2714" s="24">
        <f t="shared" si="42"/>
        <v>3384.4502714</v>
      </c>
    </row>
    <row r="2715" spans="1:14">
      <c r="A2715" s="21" t="s">
        <v>448</v>
      </c>
      <c r="B2715" s="21" t="s">
        <v>929</v>
      </c>
      <c r="C2715" s="21" t="s">
        <v>35</v>
      </c>
      <c r="D2715" s="21" t="s">
        <v>921</v>
      </c>
      <c r="E2715" s="21">
        <v>6</v>
      </c>
      <c r="F2715" s="22">
        <v>45527.4192708333</v>
      </c>
      <c r="G2715" s="22"/>
      <c r="H2715" s="23">
        <v>4315.02</v>
      </c>
      <c r="I2715" s="23">
        <v>719.17</v>
      </c>
      <c r="J2715" s="24">
        <v>4315.02</v>
      </c>
      <c r="K2715" s="21">
        <v>0</v>
      </c>
      <c r="L2715" s="21">
        <v>0</v>
      </c>
      <c r="M2715" s="21">
        <f>COUNTIF($A$2:$A$5481,A2715)</f>
        <v>3</v>
      </c>
      <c r="N2715" s="24">
        <f t="shared" si="42"/>
        <v>4315.0202715</v>
      </c>
    </row>
    <row r="2716" spans="1:14">
      <c r="A2716" s="21" t="s">
        <v>2903</v>
      </c>
      <c r="B2716" s="21" t="s">
        <v>929</v>
      </c>
      <c r="C2716" s="21" t="s">
        <v>26</v>
      </c>
      <c r="D2716" s="21" t="s">
        <v>921</v>
      </c>
      <c r="E2716" s="21">
        <v>3</v>
      </c>
      <c r="F2716" s="22">
        <v>45712.3594097222</v>
      </c>
      <c r="G2716" s="22"/>
      <c r="H2716" s="23">
        <v>875</v>
      </c>
      <c r="I2716" s="23">
        <v>730.77333</v>
      </c>
      <c r="J2716" s="24">
        <v>2192.31</v>
      </c>
      <c r="K2716" s="21">
        <v>0</v>
      </c>
      <c r="L2716" s="21">
        <v>0</v>
      </c>
      <c r="M2716" s="21">
        <f>COUNTIF($A$2:$A$5481,A2716)</f>
        <v>2</v>
      </c>
      <c r="N2716" s="24">
        <f t="shared" si="42"/>
        <v>2192.3102716</v>
      </c>
    </row>
    <row r="2717" spans="1:14">
      <c r="A2717" s="21" t="s">
        <v>2903</v>
      </c>
      <c r="B2717" s="21" t="s">
        <v>929</v>
      </c>
      <c r="C2717" s="21" t="s">
        <v>35</v>
      </c>
      <c r="D2717" s="21" t="s">
        <v>921</v>
      </c>
      <c r="E2717" s="21">
        <v>5</v>
      </c>
      <c r="F2717" s="22">
        <v>45712.5350694444</v>
      </c>
      <c r="G2717" s="22"/>
      <c r="H2717" s="23">
        <v>4845</v>
      </c>
      <c r="I2717" s="23">
        <v>969</v>
      </c>
      <c r="J2717" s="24">
        <v>4845</v>
      </c>
      <c r="K2717" s="21">
        <v>0</v>
      </c>
      <c r="L2717" s="21">
        <v>0</v>
      </c>
      <c r="M2717" s="21">
        <f>COUNTIF($A$2:$A$5481,A2717)</f>
        <v>2</v>
      </c>
      <c r="N2717" s="24">
        <f t="shared" si="42"/>
        <v>4845.0002717</v>
      </c>
    </row>
    <row r="2718" spans="1:14">
      <c r="A2718" s="21" t="s">
        <v>2904</v>
      </c>
      <c r="B2718" s="21" t="s">
        <v>949</v>
      </c>
      <c r="C2718" s="21" t="s">
        <v>182</v>
      </c>
      <c r="D2718" s="21" t="s">
        <v>921</v>
      </c>
      <c r="E2718" s="21">
        <v>6</v>
      </c>
      <c r="F2718" s="22">
        <v>45370.8236226852</v>
      </c>
      <c r="G2718" s="22">
        <v>45359.4700694445</v>
      </c>
      <c r="H2718" s="23">
        <v>816</v>
      </c>
      <c r="I2718" s="23">
        <v>379.95333</v>
      </c>
      <c r="J2718" s="24">
        <v>2279.7</v>
      </c>
      <c r="K2718" s="21">
        <v>0</v>
      </c>
      <c r="L2718" s="21">
        <v>0</v>
      </c>
      <c r="M2718" s="21">
        <f>COUNTIF($A$2:$A$5481,A2718)</f>
        <v>2</v>
      </c>
      <c r="N2718" s="24">
        <f t="shared" si="42"/>
        <v>2279.7002718</v>
      </c>
    </row>
    <row r="2719" spans="1:14">
      <c r="A2719" s="21" t="s">
        <v>2904</v>
      </c>
      <c r="B2719" s="21" t="s">
        <v>949</v>
      </c>
      <c r="C2719" s="21" t="s">
        <v>26</v>
      </c>
      <c r="D2719" s="21" t="s">
        <v>921</v>
      </c>
      <c r="E2719" s="21">
        <v>41</v>
      </c>
      <c r="F2719" s="22">
        <v>46107.5386226852</v>
      </c>
      <c r="G2719" s="22"/>
      <c r="H2719" s="23">
        <v>840</v>
      </c>
      <c r="I2719" s="23">
        <v>402.5365853659</v>
      </c>
      <c r="J2719" s="24">
        <v>16504.14</v>
      </c>
      <c r="K2719" s="21">
        <v>0</v>
      </c>
      <c r="L2719" s="21">
        <v>0</v>
      </c>
      <c r="M2719" s="21">
        <f>COUNTIF($A$2:$A$5481,A2719)</f>
        <v>2</v>
      </c>
      <c r="N2719" s="24">
        <f t="shared" si="42"/>
        <v>16504.1402719</v>
      </c>
    </row>
    <row r="2720" spans="1:14">
      <c r="A2720" s="21" t="s">
        <v>2905</v>
      </c>
      <c r="B2720" s="21" t="s">
        <v>1115</v>
      </c>
      <c r="C2720" s="21" t="s">
        <v>390</v>
      </c>
      <c r="D2720" s="21" t="s">
        <v>921</v>
      </c>
      <c r="E2720" s="21">
        <v>1</v>
      </c>
      <c r="F2720" s="22">
        <v>45282.4045138889</v>
      </c>
      <c r="G2720" s="22"/>
      <c r="H2720" s="23">
        <v>177.99</v>
      </c>
      <c r="I2720" s="23">
        <v>177.99</v>
      </c>
      <c r="J2720" s="24">
        <v>177.99</v>
      </c>
      <c r="K2720" s="21">
        <v>0</v>
      </c>
      <c r="L2720" s="21">
        <v>0</v>
      </c>
      <c r="M2720" s="21">
        <f>COUNTIF($A$2:$A$5481,A2720)</f>
        <v>2</v>
      </c>
      <c r="N2720" s="24">
        <f t="shared" si="42"/>
        <v>177.990272</v>
      </c>
    </row>
    <row r="2721" spans="1:14">
      <c r="A2721" s="21" t="s">
        <v>2905</v>
      </c>
      <c r="B2721" s="21" t="s">
        <v>1115</v>
      </c>
      <c r="C2721" s="21" t="s">
        <v>26</v>
      </c>
      <c r="D2721" s="21" t="s">
        <v>921</v>
      </c>
      <c r="E2721" s="21">
        <v>14</v>
      </c>
      <c r="F2721" s="22">
        <v>46268.3425</v>
      </c>
      <c r="G2721" s="22"/>
      <c r="H2721" s="23">
        <v>211</v>
      </c>
      <c r="I2721" s="23">
        <v>191.746031746</v>
      </c>
      <c r="J2721" s="24">
        <v>2684.5</v>
      </c>
      <c r="K2721" s="21">
        <v>0</v>
      </c>
      <c r="L2721" s="21">
        <v>0</v>
      </c>
      <c r="M2721" s="21">
        <f>COUNTIF($A$2:$A$5481,A2721)</f>
        <v>2</v>
      </c>
      <c r="N2721" s="24">
        <f t="shared" si="42"/>
        <v>2684.5002721</v>
      </c>
    </row>
    <row r="2722" spans="1:14">
      <c r="A2722" s="21" t="s">
        <v>2906</v>
      </c>
      <c r="B2722" s="21" t="s">
        <v>949</v>
      </c>
      <c r="C2722" s="21" t="s">
        <v>182</v>
      </c>
      <c r="D2722" s="21" t="s">
        <v>921</v>
      </c>
      <c r="E2722" s="21">
        <v>2</v>
      </c>
      <c r="F2722" s="22">
        <v>45379.7736458333</v>
      </c>
      <c r="G2722" s="22">
        <v>45359.4700578704</v>
      </c>
      <c r="H2722" s="23">
        <v>110</v>
      </c>
      <c r="I2722" s="23">
        <v>110</v>
      </c>
      <c r="J2722" s="24">
        <v>220</v>
      </c>
      <c r="K2722" s="21">
        <v>0</v>
      </c>
      <c r="L2722" s="21">
        <v>0</v>
      </c>
      <c r="M2722" s="21">
        <f>COUNTIF($A$2:$A$5481,A2722)</f>
        <v>2</v>
      </c>
      <c r="N2722" s="24">
        <f t="shared" si="42"/>
        <v>220.0002722</v>
      </c>
    </row>
    <row r="2723" spans="1:14">
      <c r="A2723" s="21" t="s">
        <v>2906</v>
      </c>
      <c r="B2723" s="21" t="s">
        <v>949</v>
      </c>
      <c r="C2723" s="21" t="s">
        <v>26</v>
      </c>
      <c r="D2723" s="21" t="s">
        <v>921</v>
      </c>
      <c r="E2723" s="21">
        <v>7</v>
      </c>
      <c r="F2723" s="22">
        <v>46038.4333912037</v>
      </c>
      <c r="G2723" s="22"/>
      <c r="H2723" s="23">
        <v>118</v>
      </c>
      <c r="I2723" s="23">
        <v>115.1428571429</v>
      </c>
      <c r="J2723" s="24">
        <v>805.98</v>
      </c>
      <c r="K2723" s="21">
        <v>0</v>
      </c>
      <c r="L2723" s="21">
        <v>0</v>
      </c>
      <c r="M2723" s="21">
        <f>COUNTIF($A$2:$A$5481,A2723)</f>
        <v>2</v>
      </c>
      <c r="N2723" s="24">
        <f t="shared" si="42"/>
        <v>805.9802723</v>
      </c>
    </row>
    <row r="2724" spans="1:14">
      <c r="A2724" s="21" t="s">
        <v>2907</v>
      </c>
      <c r="B2724" s="21" t="s">
        <v>929</v>
      </c>
      <c r="C2724" s="21" t="s">
        <v>414</v>
      </c>
      <c r="D2724" s="21" t="s">
        <v>921</v>
      </c>
      <c r="E2724" s="21">
        <v>0</v>
      </c>
      <c r="F2724" s="22">
        <v>45299.8156018519</v>
      </c>
      <c r="G2724" s="22">
        <v>45300.8726157407</v>
      </c>
      <c r="H2724" s="23">
        <v>46.21</v>
      </c>
      <c r="I2724" s="23">
        <v>46.21</v>
      </c>
      <c r="J2724" s="24">
        <v>0</v>
      </c>
      <c r="K2724" s="21">
        <v>0</v>
      </c>
      <c r="L2724" s="21">
        <v>2</v>
      </c>
      <c r="M2724" s="21">
        <f>COUNTIF($A$2:$A$5481,A2724)</f>
        <v>2</v>
      </c>
      <c r="N2724" s="24">
        <f t="shared" si="42"/>
        <v>0.0002724</v>
      </c>
    </row>
    <row r="2725" spans="1:14">
      <c r="A2725" s="21" t="s">
        <v>2907</v>
      </c>
      <c r="B2725" s="21" t="s">
        <v>929</v>
      </c>
      <c r="C2725" s="21" t="s">
        <v>26</v>
      </c>
      <c r="D2725" s="21" t="s">
        <v>921</v>
      </c>
      <c r="E2725" s="21">
        <v>1</v>
      </c>
      <c r="F2725" s="22">
        <v>45749.8311689815</v>
      </c>
      <c r="G2725" s="22"/>
      <c r="H2725" s="23">
        <v>47.55</v>
      </c>
      <c r="I2725" s="23">
        <v>47.55</v>
      </c>
      <c r="J2725" s="24">
        <v>47.55</v>
      </c>
      <c r="K2725" s="21">
        <v>0</v>
      </c>
      <c r="L2725" s="21">
        <v>2</v>
      </c>
      <c r="M2725" s="21">
        <f>COUNTIF($A$2:$A$5481,A2725)</f>
        <v>2</v>
      </c>
      <c r="N2725" s="24">
        <f t="shared" si="42"/>
        <v>47.5502725</v>
      </c>
    </row>
    <row r="2726" spans="1:14">
      <c r="A2726" s="21" t="s">
        <v>2908</v>
      </c>
      <c r="B2726" s="21" t="s">
        <v>920</v>
      </c>
      <c r="C2726" s="21" t="s">
        <v>35</v>
      </c>
      <c r="D2726" s="21" t="s">
        <v>921</v>
      </c>
      <c r="E2726" s="21">
        <v>1</v>
      </c>
      <c r="F2726" s="22">
        <v>46007.5423263889</v>
      </c>
      <c r="G2726" s="22"/>
      <c r="H2726" s="23">
        <v>498</v>
      </c>
      <c r="I2726" s="23">
        <v>498</v>
      </c>
      <c r="J2726" s="24">
        <v>498</v>
      </c>
      <c r="K2726" s="21">
        <v>0</v>
      </c>
      <c r="L2726" s="21">
        <v>0</v>
      </c>
      <c r="M2726" s="21">
        <f>COUNTIF($A$2:$A$5481,A2726)</f>
        <v>1</v>
      </c>
      <c r="N2726" s="24">
        <f t="shared" si="42"/>
        <v>498.0002726</v>
      </c>
    </row>
    <row r="2727" spans="1:14">
      <c r="A2727" s="21" t="s">
        <v>2909</v>
      </c>
      <c r="B2727" s="21" t="s">
        <v>1510</v>
      </c>
      <c r="C2727" s="21" t="s">
        <v>390</v>
      </c>
      <c r="D2727" s="21" t="s">
        <v>931</v>
      </c>
      <c r="E2727" s="21">
        <v>1</v>
      </c>
      <c r="F2727" s="22">
        <v>45726.4181018519</v>
      </c>
      <c r="G2727" s="22"/>
      <c r="H2727" s="23">
        <v>385</v>
      </c>
      <c r="I2727" s="23">
        <v>385</v>
      </c>
      <c r="J2727" s="24">
        <v>385</v>
      </c>
      <c r="K2727" s="21">
        <v>0</v>
      </c>
      <c r="L2727" s="21">
        <v>0</v>
      </c>
      <c r="M2727" s="21">
        <f>COUNTIF($A$2:$A$5481,A2727)</f>
        <v>2</v>
      </c>
      <c r="N2727" s="24">
        <f t="shared" si="42"/>
        <v>385.0002727</v>
      </c>
    </row>
    <row r="2728" spans="1:14">
      <c r="A2728" s="21" t="s">
        <v>2909</v>
      </c>
      <c r="B2728" s="21" t="s">
        <v>1510</v>
      </c>
      <c r="C2728" s="21" t="s">
        <v>414</v>
      </c>
      <c r="D2728" s="21" t="s">
        <v>931</v>
      </c>
      <c r="E2728" s="21">
        <v>1</v>
      </c>
      <c r="F2728" s="22">
        <v>46009.6693634259</v>
      </c>
      <c r="G2728" s="22"/>
      <c r="H2728" s="23">
        <v>385</v>
      </c>
      <c r="I2728" s="23">
        <v>385</v>
      </c>
      <c r="J2728" s="24">
        <v>385</v>
      </c>
      <c r="K2728" s="21">
        <v>0</v>
      </c>
      <c r="L2728" s="21">
        <v>0</v>
      </c>
      <c r="M2728" s="21">
        <f>COUNTIF($A$2:$A$5481,A2728)</f>
        <v>2</v>
      </c>
      <c r="N2728" s="24">
        <f t="shared" si="42"/>
        <v>385.0002728</v>
      </c>
    </row>
    <row r="2729" spans="1:14">
      <c r="A2729" s="21" t="s">
        <v>2910</v>
      </c>
      <c r="B2729" s="21" t="s">
        <v>929</v>
      </c>
      <c r="C2729" s="21" t="s">
        <v>26</v>
      </c>
      <c r="D2729" s="21" t="s">
        <v>1068</v>
      </c>
      <c r="E2729" s="21">
        <v>30</v>
      </c>
      <c r="F2729" s="22">
        <v>45812.4369907407</v>
      </c>
      <c r="G2729" s="22"/>
      <c r="H2729" s="23">
        <v>26.4</v>
      </c>
      <c r="I2729" s="23">
        <v>0.88</v>
      </c>
      <c r="J2729" s="24">
        <v>26.4</v>
      </c>
      <c r="K2729" s="21">
        <v>0</v>
      </c>
      <c r="L2729" s="21">
        <v>0</v>
      </c>
      <c r="M2729" s="21">
        <f>COUNTIF($A$2:$A$5481,A2729)</f>
        <v>1</v>
      </c>
      <c r="N2729" s="24">
        <f t="shared" si="42"/>
        <v>26.4002729</v>
      </c>
    </row>
    <row r="2730" spans="1:14">
      <c r="A2730" s="21" t="s">
        <v>481</v>
      </c>
      <c r="B2730" s="21" t="s">
        <v>926</v>
      </c>
      <c r="C2730" s="21" t="s">
        <v>38</v>
      </c>
      <c r="D2730" s="21" t="s">
        <v>921</v>
      </c>
      <c r="E2730" s="21">
        <v>170</v>
      </c>
      <c r="F2730" s="22">
        <v>45999.3758912037</v>
      </c>
      <c r="G2730" s="22">
        <v>46258.6167013889</v>
      </c>
      <c r="H2730" s="23">
        <v>1414.4</v>
      </c>
      <c r="I2730" s="23">
        <v>20.7045457803</v>
      </c>
      <c r="J2730" s="24">
        <v>3519</v>
      </c>
      <c r="K2730" s="21">
        <v>0</v>
      </c>
      <c r="L2730" s="21">
        <v>0</v>
      </c>
      <c r="M2730" s="21">
        <f>COUNTIF($A$2:$A$5481,A2730)</f>
        <v>2</v>
      </c>
      <c r="N2730" s="24">
        <f t="shared" si="42"/>
        <v>3519.000273</v>
      </c>
    </row>
    <row r="2731" spans="1:14">
      <c r="A2731" s="21" t="s">
        <v>481</v>
      </c>
      <c r="B2731" s="21" t="s">
        <v>926</v>
      </c>
      <c r="C2731" s="21" t="s">
        <v>26</v>
      </c>
      <c r="D2731" s="21" t="s">
        <v>921</v>
      </c>
      <c r="E2731" s="21">
        <v>8</v>
      </c>
      <c r="F2731" s="22">
        <v>46129.3618055556</v>
      </c>
      <c r="G2731" s="22"/>
      <c r="H2731" s="23">
        <v>1056.16</v>
      </c>
      <c r="I2731" s="23">
        <v>132.02</v>
      </c>
      <c r="J2731" s="24">
        <v>1056.16</v>
      </c>
      <c r="K2731" s="21">
        <v>0</v>
      </c>
      <c r="L2731" s="21">
        <v>0</v>
      </c>
      <c r="M2731" s="21">
        <f>COUNTIF($A$2:$A$5481,A2731)</f>
        <v>2</v>
      </c>
      <c r="N2731" s="24">
        <f t="shared" si="42"/>
        <v>1056.1602731</v>
      </c>
    </row>
    <row r="2732" spans="1:14">
      <c r="A2732" s="21" t="s">
        <v>2911</v>
      </c>
      <c r="B2732" s="21" t="s">
        <v>920</v>
      </c>
      <c r="C2732" s="21" t="s">
        <v>26</v>
      </c>
      <c r="D2732" s="21" t="s">
        <v>921</v>
      </c>
      <c r="E2732" s="21">
        <v>2</v>
      </c>
      <c r="F2732" s="22">
        <v>45709.5597222222</v>
      </c>
      <c r="G2732" s="22">
        <v>45436.5965277778</v>
      </c>
      <c r="H2732" s="23">
        <v>220</v>
      </c>
      <c r="I2732" s="23">
        <v>110</v>
      </c>
      <c r="J2732" s="24">
        <v>220</v>
      </c>
      <c r="K2732" s="21">
        <v>0</v>
      </c>
      <c r="L2732" s="21">
        <v>0</v>
      </c>
      <c r="M2732" s="21">
        <f>COUNTIF($A$2:$A$5481,A2732)</f>
        <v>1</v>
      </c>
      <c r="N2732" s="24">
        <f t="shared" si="42"/>
        <v>220.0002732</v>
      </c>
    </row>
    <row r="2733" spans="1:14">
      <c r="A2733" s="21" t="s">
        <v>2912</v>
      </c>
      <c r="B2733" s="21" t="s">
        <v>949</v>
      </c>
      <c r="C2733" s="21" t="s">
        <v>182</v>
      </c>
      <c r="D2733" s="21" t="s">
        <v>921</v>
      </c>
      <c r="E2733" s="21">
        <v>0</v>
      </c>
      <c r="F2733" s="22">
        <v>45317.40625</v>
      </c>
      <c r="G2733" s="22">
        <v>45322.4096180556</v>
      </c>
      <c r="H2733" s="23">
        <v>26.4</v>
      </c>
      <c r="I2733" s="23">
        <v>6.6</v>
      </c>
      <c r="J2733" s="24">
        <v>0</v>
      </c>
      <c r="K2733" s="21">
        <v>0</v>
      </c>
      <c r="L2733" s="21">
        <v>0</v>
      </c>
      <c r="M2733" s="21">
        <f>COUNTIF($A$2:$A$5481,A2733)</f>
        <v>1</v>
      </c>
      <c r="N2733" s="24">
        <f t="shared" si="42"/>
        <v>0.0002733</v>
      </c>
    </row>
    <row r="2734" spans="1:14">
      <c r="A2734" s="21" t="s">
        <v>2913</v>
      </c>
      <c r="B2734" s="21" t="s">
        <v>949</v>
      </c>
      <c r="C2734" s="21" t="s">
        <v>26</v>
      </c>
      <c r="D2734" s="21" t="s">
        <v>921</v>
      </c>
      <c r="E2734" s="21">
        <v>2</v>
      </c>
      <c r="F2734" s="22">
        <v>45408.6117013889</v>
      </c>
      <c r="G2734" s="22"/>
      <c r="H2734" s="23">
        <v>30.36</v>
      </c>
      <c r="I2734" s="23">
        <v>15.18</v>
      </c>
      <c r="J2734" s="24">
        <v>30.36</v>
      </c>
      <c r="K2734" s="21">
        <v>0</v>
      </c>
      <c r="L2734" s="21">
        <v>0</v>
      </c>
      <c r="M2734" s="21">
        <f>COUNTIF($A$2:$A$5481,A2734)</f>
        <v>1</v>
      </c>
      <c r="N2734" s="24">
        <f t="shared" si="42"/>
        <v>30.3602734</v>
      </c>
    </row>
    <row r="2735" spans="1:14">
      <c r="A2735" s="21" t="s">
        <v>2914</v>
      </c>
      <c r="B2735" s="21" t="s">
        <v>929</v>
      </c>
      <c r="C2735" s="21" t="s">
        <v>26</v>
      </c>
      <c r="D2735" s="21" t="s">
        <v>921</v>
      </c>
      <c r="E2735" s="21">
        <v>2</v>
      </c>
      <c r="F2735" s="22">
        <v>45316.4806828704</v>
      </c>
      <c r="G2735" s="22"/>
      <c r="H2735" s="23">
        <v>56.24</v>
      </c>
      <c r="I2735" s="23">
        <v>28.12</v>
      </c>
      <c r="J2735" s="24">
        <v>56.24</v>
      </c>
      <c r="K2735" s="21">
        <v>0</v>
      </c>
      <c r="L2735" s="21">
        <v>0</v>
      </c>
      <c r="M2735" s="21">
        <f>COUNTIF($A$2:$A$5481,A2735)</f>
        <v>1</v>
      </c>
      <c r="N2735" s="24">
        <f t="shared" si="42"/>
        <v>56.2402735</v>
      </c>
    </row>
    <row r="2736" spans="1:14">
      <c r="A2736" s="21" t="s">
        <v>2915</v>
      </c>
      <c r="B2736" s="21" t="s">
        <v>929</v>
      </c>
      <c r="C2736" s="21" t="s">
        <v>26</v>
      </c>
      <c r="D2736" s="21" t="s">
        <v>921</v>
      </c>
      <c r="E2736" s="21">
        <v>2</v>
      </c>
      <c r="F2736" s="22">
        <v>45316.4806828704</v>
      </c>
      <c r="G2736" s="22"/>
      <c r="H2736" s="23">
        <v>26.76</v>
      </c>
      <c r="I2736" s="23">
        <v>13.38</v>
      </c>
      <c r="J2736" s="24">
        <v>26.76</v>
      </c>
      <c r="K2736" s="21">
        <v>0</v>
      </c>
      <c r="L2736" s="21">
        <v>0</v>
      </c>
      <c r="M2736" s="21">
        <f>COUNTIF($A$2:$A$5481,A2736)</f>
        <v>1</v>
      </c>
      <c r="N2736" s="24">
        <f t="shared" si="42"/>
        <v>26.7602736</v>
      </c>
    </row>
    <row r="2737" spans="1:14">
      <c r="A2737" s="21" t="s">
        <v>2916</v>
      </c>
      <c r="B2737" s="21" t="s">
        <v>2438</v>
      </c>
      <c r="C2737" s="21" t="s">
        <v>182</v>
      </c>
      <c r="D2737" s="21" t="s">
        <v>921</v>
      </c>
      <c r="E2737" s="21">
        <v>6</v>
      </c>
      <c r="F2737" s="22">
        <v>45415.4186805556</v>
      </c>
      <c r="G2737" s="22"/>
      <c r="H2737" s="23">
        <v>132</v>
      </c>
      <c r="I2737" s="23">
        <v>22</v>
      </c>
      <c r="J2737" s="24">
        <v>132</v>
      </c>
      <c r="K2737" s="21">
        <v>0</v>
      </c>
      <c r="L2737" s="21">
        <v>0</v>
      </c>
      <c r="M2737" s="21">
        <f>COUNTIF($A$2:$A$5481,A2737)</f>
        <v>2</v>
      </c>
      <c r="N2737" s="24">
        <f t="shared" si="42"/>
        <v>132.0002737</v>
      </c>
    </row>
    <row r="2738" spans="1:14">
      <c r="A2738" s="21" t="s">
        <v>2916</v>
      </c>
      <c r="B2738" s="21" t="s">
        <v>2438</v>
      </c>
      <c r="C2738" s="21" t="s">
        <v>26</v>
      </c>
      <c r="D2738" s="21" t="s">
        <v>921</v>
      </c>
      <c r="E2738" s="21">
        <v>9</v>
      </c>
      <c r="F2738" s="22">
        <v>46041.5683912037</v>
      </c>
      <c r="G2738" s="22">
        <v>45849.4449768519</v>
      </c>
      <c r="H2738" s="23">
        <v>68.8</v>
      </c>
      <c r="I2738" s="23">
        <v>25.3711111111</v>
      </c>
      <c r="J2738" s="24">
        <v>228.33</v>
      </c>
      <c r="K2738" s="21">
        <v>0</v>
      </c>
      <c r="L2738" s="21">
        <v>0</v>
      </c>
      <c r="M2738" s="21">
        <f>COUNTIF($A$2:$A$5481,A2738)</f>
        <v>2</v>
      </c>
      <c r="N2738" s="24">
        <f t="shared" si="42"/>
        <v>228.3302738</v>
      </c>
    </row>
    <row r="2739" spans="1:14">
      <c r="A2739" s="21" t="s">
        <v>2917</v>
      </c>
      <c r="B2739" s="21" t="s">
        <v>920</v>
      </c>
      <c r="C2739" s="21" t="s">
        <v>26</v>
      </c>
      <c r="D2739" s="21" t="s">
        <v>921</v>
      </c>
      <c r="E2739" s="21">
        <v>2</v>
      </c>
      <c r="F2739" s="22">
        <v>46178.7129513889</v>
      </c>
      <c r="G2739" s="22"/>
      <c r="H2739" s="23">
        <v>57.24</v>
      </c>
      <c r="I2739" s="23">
        <v>28.62</v>
      </c>
      <c r="J2739" s="24">
        <v>57.24</v>
      </c>
      <c r="K2739" s="21">
        <v>0</v>
      </c>
      <c r="L2739" s="21">
        <v>0</v>
      </c>
      <c r="M2739" s="21">
        <f>COUNTIF($A$2:$A$5481,A2739)</f>
        <v>1</v>
      </c>
      <c r="N2739" s="24">
        <f t="shared" si="42"/>
        <v>57.2402739</v>
      </c>
    </row>
    <row r="2740" spans="1:14">
      <c r="A2740" s="21" t="s">
        <v>2918</v>
      </c>
      <c r="B2740" s="21" t="s">
        <v>920</v>
      </c>
      <c r="C2740" s="21" t="s">
        <v>26</v>
      </c>
      <c r="D2740" s="21" t="s">
        <v>921</v>
      </c>
      <c r="E2740" s="21">
        <v>0</v>
      </c>
      <c r="F2740" s="22">
        <v>45449.8077199074</v>
      </c>
      <c r="G2740" s="22">
        <v>45449.8188425926</v>
      </c>
      <c r="H2740" s="23">
        <v>28</v>
      </c>
      <c r="I2740" s="23">
        <v>28</v>
      </c>
      <c r="J2740" s="24">
        <v>0</v>
      </c>
      <c r="K2740" s="21">
        <v>0</v>
      </c>
      <c r="L2740" s="21">
        <v>0</v>
      </c>
      <c r="M2740" s="21">
        <f>COUNTIF($A$2:$A$5481,A2740)</f>
        <v>1</v>
      </c>
      <c r="N2740" s="24">
        <f t="shared" si="42"/>
        <v>0.000274</v>
      </c>
    </row>
    <row r="2741" spans="1:14">
      <c r="A2741" s="21" t="s">
        <v>596</v>
      </c>
      <c r="B2741" s="21" t="s">
        <v>920</v>
      </c>
      <c r="C2741" s="21" t="s">
        <v>26</v>
      </c>
      <c r="D2741" s="21" t="s">
        <v>921</v>
      </c>
      <c r="E2741" s="21">
        <v>0</v>
      </c>
      <c r="F2741" s="22">
        <v>45414.8034722222</v>
      </c>
      <c r="G2741" s="22">
        <v>46252.362974537</v>
      </c>
      <c r="H2741" s="23">
        <v>30.86</v>
      </c>
      <c r="I2741" s="23">
        <v>15.43</v>
      </c>
      <c r="J2741" s="24">
        <v>0</v>
      </c>
      <c r="K2741" s="21">
        <v>0</v>
      </c>
      <c r="L2741" s="21">
        <v>0</v>
      </c>
      <c r="M2741" s="21">
        <f>COUNTIF($A$2:$A$5481,A2741)</f>
        <v>1</v>
      </c>
      <c r="N2741" s="24">
        <f t="shared" si="42"/>
        <v>0.0002741</v>
      </c>
    </row>
    <row r="2742" spans="1:14">
      <c r="A2742" s="21" t="s">
        <v>597</v>
      </c>
      <c r="B2742" s="21" t="s">
        <v>920</v>
      </c>
      <c r="C2742" s="21" t="s">
        <v>26</v>
      </c>
      <c r="D2742" s="21" t="s">
        <v>921</v>
      </c>
      <c r="E2742" s="21">
        <v>0</v>
      </c>
      <c r="F2742" s="22">
        <v>45414.8034722222</v>
      </c>
      <c r="G2742" s="22">
        <v>46252.3629861111</v>
      </c>
      <c r="H2742" s="23">
        <v>111</v>
      </c>
      <c r="I2742" s="23">
        <v>5.55</v>
      </c>
      <c r="J2742" s="24">
        <v>0</v>
      </c>
      <c r="K2742" s="21">
        <v>0</v>
      </c>
      <c r="L2742" s="21">
        <v>0</v>
      </c>
      <c r="M2742" s="21">
        <f>COUNTIF($A$2:$A$5481,A2742)</f>
        <v>1</v>
      </c>
      <c r="N2742" s="24">
        <f t="shared" si="42"/>
        <v>0.0002742</v>
      </c>
    </row>
    <row r="2743" spans="1:14">
      <c r="A2743" s="21" t="s">
        <v>388</v>
      </c>
      <c r="B2743" s="21" t="s">
        <v>920</v>
      </c>
      <c r="C2743" s="21" t="s">
        <v>26</v>
      </c>
      <c r="D2743" s="21" t="s">
        <v>921</v>
      </c>
      <c r="E2743" s="21">
        <v>0</v>
      </c>
      <c r="F2743" s="22">
        <v>46150.5513888889</v>
      </c>
      <c r="G2743" s="22">
        <v>46162.6484837963</v>
      </c>
      <c r="H2743" s="23">
        <v>238</v>
      </c>
      <c r="I2743" s="23">
        <v>119</v>
      </c>
      <c r="J2743" s="24">
        <v>0</v>
      </c>
      <c r="K2743" s="21">
        <v>0</v>
      </c>
      <c r="L2743" s="21">
        <v>0</v>
      </c>
      <c r="M2743" s="21">
        <f>COUNTIF($A$2:$A$5481,A2743)</f>
        <v>1</v>
      </c>
      <c r="N2743" s="24">
        <f t="shared" si="42"/>
        <v>0.0002743</v>
      </c>
    </row>
    <row r="2744" spans="1:14">
      <c r="A2744" s="21" t="s">
        <v>534</v>
      </c>
      <c r="B2744" s="21" t="s">
        <v>26</v>
      </c>
      <c r="C2744" s="21" t="s">
        <v>26</v>
      </c>
      <c r="D2744" s="21" t="s">
        <v>921</v>
      </c>
      <c r="E2744" s="21">
        <v>0</v>
      </c>
      <c r="F2744" s="22">
        <v>45693.3615509259</v>
      </c>
      <c r="G2744" s="22">
        <v>46247.4493055556</v>
      </c>
      <c r="H2744" s="23">
        <v>49.9</v>
      </c>
      <c r="I2744" s="23">
        <v>4.99</v>
      </c>
      <c r="J2744" s="24">
        <v>0</v>
      </c>
      <c r="K2744" s="21">
        <v>0</v>
      </c>
      <c r="L2744" s="21">
        <v>0</v>
      </c>
      <c r="M2744" s="21">
        <f>COUNTIF($A$2:$A$5481,A2744)</f>
        <v>3</v>
      </c>
      <c r="N2744" s="24">
        <f t="shared" si="42"/>
        <v>0.0002744</v>
      </c>
    </row>
    <row r="2745" spans="1:14">
      <c r="A2745" s="21" t="s">
        <v>534</v>
      </c>
      <c r="B2745" s="21" t="s">
        <v>26</v>
      </c>
      <c r="C2745" s="21" t="s">
        <v>51</v>
      </c>
      <c r="D2745" s="21" t="s">
        <v>921</v>
      </c>
      <c r="E2745" s="21">
        <v>52</v>
      </c>
      <c r="F2745" s="22">
        <v>45791.3891782407</v>
      </c>
      <c r="G2745" s="22">
        <v>45877.449212963</v>
      </c>
      <c r="H2745" s="23">
        <v>171.6</v>
      </c>
      <c r="I2745" s="23">
        <v>4.9187037037</v>
      </c>
      <c r="J2745" s="24">
        <v>255.84</v>
      </c>
      <c r="K2745" s="21">
        <v>0</v>
      </c>
      <c r="L2745" s="21">
        <v>0</v>
      </c>
      <c r="M2745" s="21">
        <f>COUNTIF($A$2:$A$5481,A2745)</f>
        <v>3</v>
      </c>
      <c r="N2745" s="24">
        <f t="shared" si="42"/>
        <v>255.8402745</v>
      </c>
    </row>
    <row r="2746" spans="1:14">
      <c r="A2746" s="21" t="s">
        <v>534</v>
      </c>
      <c r="B2746" s="21" t="s">
        <v>26</v>
      </c>
      <c r="C2746" s="21" t="s">
        <v>182</v>
      </c>
      <c r="D2746" s="21" t="s">
        <v>921</v>
      </c>
      <c r="E2746" s="21">
        <v>44</v>
      </c>
      <c r="F2746" s="22">
        <v>46260.4125</v>
      </c>
      <c r="G2746" s="22">
        <v>46266.3955671296</v>
      </c>
      <c r="H2746" s="23">
        <v>155.6</v>
      </c>
      <c r="I2746" s="23">
        <v>4.3131553355</v>
      </c>
      <c r="J2746" s="24">
        <v>189.64</v>
      </c>
      <c r="K2746" s="21">
        <v>0</v>
      </c>
      <c r="L2746" s="21">
        <v>0</v>
      </c>
      <c r="M2746" s="21">
        <f>COUNTIF($A$2:$A$5481,A2746)</f>
        <v>3</v>
      </c>
      <c r="N2746" s="24">
        <f t="shared" si="42"/>
        <v>189.6402746</v>
      </c>
    </row>
    <row r="2747" spans="1:14">
      <c r="A2747" s="21" t="s">
        <v>518</v>
      </c>
      <c r="B2747" s="21" t="s">
        <v>929</v>
      </c>
      <c r="C2747" s="21" t="s">
        <v>182</v>
      </c>
      <c r="D2747" s="21" t="s">
        <v>921</v>
      </c>
      <c r="E2747" s="21">
        <v>5</v>
      </c>
      <c r="F2747" s="22">
        <v>45411.3269328704</v>
      </c>
      <c r="G2747" s="22">
        <v>46259.6050694444</v>
      </c>
      <c r="H2747" s="23">
        <v>128.8</v>
      </c>
      <c r="I2747" s="23">
        <v>16.1</v>
      </c>
      <c r="J2747" s="24">
        <v>80.5</v>
      </c>
      <c r="K2747" s="21">
        <v>0</v>
      </c>
      <c r="L2747" s="21">
        <v>0</v>
      </c>
      <c r="M2747" s="21">
        <f>COUNTIF($A$2:$A$5481,A2747)</f>
        <v>3</v>
      </c>
      <c r="N2747" s="24">
        <f t="shared" si="42"/>
        <v>80.5002747</v>
      </c>
    </row>
    <row r="2748" spans="1:14">
      <c r="A2748" s="21" t="s">
        <v>518</v>
      </c>
      <c r="B2748" s="21" t="s">
        <v>929</v>
      </c>
      <c r="C2748" s="21" t="s">
        <v>26</v>
      </c>
      <c r="D2748" s="21" t="s">
        <v>921</v>
      </c>
      <c r="E2748" s="21">
        <v>12</v>
      </c>
      <c r="F2748" s="22">
        <v>45840.8296527778</v>
      </c>
      <c r="G2748" s="22">
        <v>46280.5743402778</v>
      </c>
      <c r="H2748" s="23">
        <v>39</v>
      </c>
      <c r="I2748" s="23">
        <v>21.8094676923</v>
      </c>
      <c r="J2748" s="24">
        <v>261.72</v>
      </c>
      <c r="K2748" s="21">
        <v>0</v>
      </c>
      <c r="L2748" s="21">
        <v>0</v>
      </c>
      <c r="M2748" s="21">
        <f>COUNTIF($A$2:$A$5481,A2748)</f>
        <v>3</v>
      </c>
      <c r="N2748" s="24">
        <f t="shared" si="42"/>
        <v>261.7202748</v>
      </c>
    </row>
    <row r="2749" spans="1:14">
      <c r="A2749" s="21" t="s">
        <v>518</v>
      </c>
      <c r="B2749" s="21" t="s">
        <v>929</v>
      </c>
      <c r="C2749" s="21" t="s">
        <v>51</v>
      </c>
      <c r="D2749" s="21" t="s">
        <v>921</v>
      </c>
      <c r="E2749" s="21">
        <v>19</v>
      </c>
      <c r="F2749" s="22">
        <v>45847.416400463</v>
      </c>
      <c r="G2749" s="22">
        <v>46244.6769907407</v>
      </c>
      <c r="H2749" s="23">
        <v>49.98</v>
      </c>
      <c r="I2749" s="23">
        <v>10.1971428571</v>
      </c>
      <c r="J2749" s="24">
        <v>193.8</v>
      </c>
      <c r="K2749" s="21">
        <v>0</v>
      </c>
      <c r="L2749" s="21">
        <v>0</v>
      </c>
      <c r="M2749" s="21">
        <f>COUNTIF($A$2:$A$5481,A2749)</f>
        <v>3</v>
      </c>
      <c r="N2749" s="24">
        <f t="shared" si="42"/>
        <v>193.8002749</v>
      </c>
    </row>
    <row r="2750" spans="1:14">
      <c r="A2750" s="21" t="s">
        <v>710</v>
      </c>
      <c r="B2750" s="21" t="s">
        <v>26</v>
      </c>
      <c r="C2750" s="21" t="s">
        <v>26</v>
      </c>
      <c r="D2750" s="21" t="s">
        <v>921</v>
      </c>
      <c r="E2750" s="21">
        <v>0</v>
      </c>
      <c r="F2750" s="22">
        <v>46043.5710532407</v>
      </c>
      <c r="G2750" s="22">
        <v>46252.5690740741</v>
      </c>
      <c r="H2750" s="23">
        <v>78.9</v>
      </c>
      <c r="I2750" s="23">
        <v>78.9</v>
      </c>
      <c r="J2750" s="24">
        <v>0</v>
      </c>
      <c r="K2750" s="21">
        <v>0</v>
      </c>
      <c r="L2750" s="21">
        <v>0</v>
      </c>
      <c r="M2750" s="21">
        <f>COUNTIF($A$2:$A$5481,A2750)</f>
        <v>1</v>
      </c>
      <c r="N2750" s="24">
        <f t="shared" si="42"/>
        <v>0.000275</v>
      </c>
    </row>
    <row r="2751" spans="1:14">
      <c r="A2751" s="21" t="s">
        <v>2919</v>
      </c>
      <c r="B2751" s="21" t="s">
        <v>948</v>
      </c>
      <c r="C2751" s="21" t="s">
        <v>26</v>
      </c>
      <c r="D2751" s="21" t="s">
        <v>921</v>
      </c>
      <c r="E2751" s="21">
        <v>0</v>
      </c>
      <c r="F2751" s="22">
        <v>45581.8490162037</v>
      </c>
      <c r="G2751" s="22">
        <v>45581.8518865741</v>
      </c>
      <c r="H2751" s="23">
        <v>980</v>
      </c>
      <c r="I2751" s="23">
        <v>14</v>
      </c>
      <c r="J2751" s="24">
        <v>0</v>
      </c>
      <c r="K2751" s="21">
        <v>0</v>
      </c>
      <c r="L2751" s="21">
        <v>0</v>
      </c>
      <c r="M2751" s="21">
        <f>COUNTIF($A$2:$A$5481,A2751)</f>
        <v>1</v>
      </c>
      <c r="N2751" s="24">
        <f t="shared" si="42"/>
        <v>0.0002751</v>
      </c>
    </row>
    <row r="2752" spans="1:14">
      <c r="A2752" s="21" t="s">
        <v>2920</v>
      </c>
      <c r="B2752" s="21" t="s">
        <v>948</v>
      </c>
      <c r="C2752" s="21" t="s">
        <v>182</v>
      </c>
      <c r="D2752" s="21" t="s">
        <v>1584</v>
      </c>
      <c r="E2752" s="21">
        <v>6</v>
      </c>
      <c r="F2752" s="22">
        <v>45364.46875</v>
      </c>
      <c r="G2752" s="22"/>
      <c r="H2752" s="23">
        <v>159</v>
      </c>
      <c r="I2752" s="23">
        <v>26.5</v>
      </c>
      <c r="J2752" s="24">
        <v>159</v>
      </c>
      <c r="K2752" s="21">
        <v>0</v>
      </c>
      <c r="L2752" s="21">
        <v>0</v>
      </c>
      <c r="M2752" s="21">
        <f>COUNTIF($A$2:$A$5481,A2752)</f>
        <v>2</v>
      </c>
      <c r="N2752" s="24">
        <f t="shared" si="42"/>
        <v>159.0002752</v>
      </c>
    </row>
    <row r="2753" spans="1:14">
      <c r="A2753" s="21" t="s">
        <v>2920</v>
      </c>
      <c r="B2753" s="21" t="s">
        <v>948</v>
      </c>
      <c r="C2753" s="21" t="s">
        <v>26</v>
      </c>
      <c r="D2753" s="21" t="s">
        <v>1584</v>
      </c>
      <c r="E2753" s="21">
        <v>4</v>
      </c>
      <c r="F2753" s="22">
        <v>45518.4012847222</v>
      </c>
      <c r="G2753" s="22"/>
      <c r="H2753" s="23">
        <v>128</v>
      </c>
      <c r="I2753" s="23">
        <v>32</v>
      </c>
      <c r="J2753" s="24">
        <v>128</v>
      </c>
      <c r="K2753" s="21">
        <v>0</v>
      </c>
      <c r="L2753" s="21">
        <v>0</v>
      </c>
      <c r="M2753" s="21">
        <f>COUNTIF($A$2:$A$5481,A2753)</f>
        <v>2</v>
      </c>
      <c r="N2753" s="24">
        <f t="shared" si="42"/>
        <v>128.0002753</v>
      </c>
    </row>
    <row r="2754" spans="1:14">
      <c r="A2754" s="21" t="s">
        <v>2921</v>
      </c>
      <c r="B2754" s="21" t="s">
        <v>26</v>
      </c>
      <c r="C2754" s="21" t="s">
        <v>26</v>
      </c>
      <c r="D2754" s="21" t="s">
        <v>921</v>
      </c>
      <c r="E2754" s="21">
        <v>12</v>
      </c>
      <c r="F2754" s="22">
        <v>45853.597974537</v>
      </c>
      <c r="G2754" s="22"/>
      <c r="H2754" s="23">
        <v>119.4</v>
      </c>
      <c r="I2754" s="23">
        <v>19.78667</v>
      </c>
      <c r="J2754" s="24">
        <v>237.48</v>
      </c>
      <c r="K2754" s="21">
        <v>0</v>
      </c>
      <c r="L2754" s="21">
        <v>0</v>
      </c>
      <c r="M2754" s="21">
        <f>COUNTIF($A$2:$A$5481,A2754)</f>
        <v>1</v>
      </c>
      <c r="N2754" s="24">
        <f t="shared" ref="N2754:N2817" si="43">J2754+ROW()/10000000</f>
        <v>237.4802754</v>
      </c>
    </row>
    <row r="2755" spans="1:14">
      <c r="A2755" s="21" t="s">
        <v>2922</v>
      </c>
      <c r="B2755" s="21" t="s">
        <v>1898</v>
      </c>
      <c r="C2755" s="21" t="s">
        <v>182</v>
      </c>
      <c r="D2755" s="21" t="s">
        <v>921</v>
      </c>
      <c r="E2755" s="21">
        <v>8</v>
      </c>
      <c r="F2755" s="22">
        <v>46260.4125</v>
      </c>
      <c r="G2755" s="22"/>
      <c r="H2755" s="23">
        <v>8.8</v>
      </c>
      <c r="I2755" s="23">
        <v>1.1</v>
      </c>
      <c r="J2755" s="24">
        <v>8.8</v>
      </c>
      <c r="K2755" s="21">
        <v>0</v>
      </c>
      <c r="L2755" s="21">
        <v>0</v>
      </c>
      <c r="M2755" s="21">
        <f>COUNTIF($A$2:$A$5481,A2755)</f>
        <v>1</v>
      </c>
      <c r="N2755" s="24">
        <f t="shared" si="43"/>
        <v>8.8002755</v>
      </c>
    </row>
    <row r="2756" spans="1:14">
      <c r="A2756" s="21" t="s">
        <v>2923</v>
      </c>
      <c r="B2756" s="21" t="s">
        <v>920</v>
      </c>
      <c r="C2756" s="21" t="s">
        <v>26</v>
      </c>
      <c r="D2756" s="21" t="s">
        <v>921</v>
      </c>
      <c r="E2756" s="21">
        <v>1</v>
      </c>
      <c r="F2756" s="22">
        <v>45699.8381944444</v>
      </c>
      <c r="G2756" s="22"/>
      <c r="H2756" s="23">
        <v>195.9</v>
      </c>
      <c r="I2756" s="23">
        <v>195.9</v>
      </c>
      <c r="J2756" s="24">
        <v>195.9</v>
      </c>
      <c r="K2756" s="21">
        <v>0</v>
      </c>
      <c r="L2756" s="21">
        <v>0</v>
      </c>
      <c r="M2756" s="21">
        <f>COUNTIF($A$2:$A$5481,A2756)</f>
        <v>1</v>
      </c>
      <c r="N2756" s="24">
        <f t="shared" si="43"/>
        <v>195.9002756</v>
      </c>
    </row>
    <row r="2757" spans="1:14">
      <c r="A2757" s="21" t="s">
        <v>2924</v>
      </c>
      <c r="B2757" s="21" t="s">
        <v>920</v>
      </c>
      <c r="C2757" s="21" t="s">
        <v>26</v>
      </c>
      <c r="D2757" s="21" t="s">
        <v>921</v>
      </c>
      <c r="E2757" s="21">
        <v>1</v>
      </c>
      <c r="F2757" s="22">
        <v>46171.6154050926</v>
      </c>
      <c r="G2757" s="22"/>
      <c r="H2757" s="23">
        <v>19</v>
      </c>
      <c r="I2757" s="23">
        <v>19</v>
      </c>
      <c r="J2757" s="24">
        <v>19</v>
      </c>
      <c r="K2757" s="21">
        <v>0</v>
      </c>
      <c r="L2757" s="21">
        <v>0</v>
      </c>
      <c r="M2757" s="21">
        <f>COUNTIF($A$2:$A$5481,A2757)</f>
        <v>1</v>
      </c>
      <c r="N2757" s="24">
        <f t="shared" si="43"/>
        <v>19.0002757</v>
      </c>
    </row>
    <row r="2758" spans="1:14">
      <c r="A2758" s="21" t="s">
        <v>2925</v>
      </c>
      <c r="B2758" s="21" t="s">
        <v>920</v>
      </c>
      <c r="C2758" s="21" t="s">
        <v>26</v>
      </c>
      <c r="D2758" s="21" t="s">
        <v>921</v>
      </c>
      <c r="E2758" s="21">
        <v>1</v>
      </c>
      <c r="F2758" s="22">
        <v>46171.6154050926</v>
      </c>
      <c r="G2758" s="22"/>
      <c r="H2758" s="23">
        <v>19</v>
      </c>
      <c r="I2758" s="23">
        <v>19</v>
      </c>
      <c r="J2758" s="24">
        <v>19</v>
      </c>
      <c r="K2758" s="21">
        <v>0</v>
      </c>
      <c r="L2758" s="21">
        <v>0</v>
      </c>
      <c r="M2758" s="21">
        <f>COUNTIF($A$2:$A$5481,A2758)</f>
        <v>1</v>
      </c>
      <c r="N2758" s="24">
        <f t="shared" si="43"/>
        <v>19.0002758</v>
      </c>
    </row>
    <row r="2759" spans="1:14">
      <c r="A2759" s="21" t="s">
        <v>2926</v>
      </c>
      <c r="B2759" s="21" t="s">
        <v>920</v>
      </c>
      <c r="C2759" s="21" t="s">
        <v>35</v>
      </c>
      <c r="D2759" s="21" t="s">
        <v>921</v>
      </c>
      <c r="E2759" s="21">
        <v>1</v>
      </c>
      <c r="F2759" s="22">
        <v>45483.4511226852</v>
      </c>
      <c r="G2759" s="22"/>
      <c r="H2759" s="23">
        <v>187</v>
      </c>
      <c r="I2759" s="23">
        <v>187</v>
      </c>
      <c r="J2759" s="24">
        <v>187</v>
      </c>
      <c r="K2759" s="21">
        <v>0</v>
      </c>
      <c r="L2759" s="21">
        <v>0</v>
      </c>
      <c r="M2759" s="21">
        <f>COUNTIF($A$2:$A$5481,A2759)</f>
        <v>1</v>
      </c>
      <c r="N2759" s="24">
        <f t="shared" si="43"/>
        <v>187.0002759</v>
      </c>
    </row>
    <row r="2760" spans="1:14">
      <c r="A2760" s="21" t="s">
        <v>2927</v>
      </c>
      <c r="B2760" s="21" t="s">
        <v>26</v>
      </c>
      <c r="C2760" s="21" t="s">
        <v>35</v>
      </c>
      <c r="D2760" s="21" t="s">
        <v>921</v>
      </c>
      <c r="E2760" s="21">
        <v>1</v>
      </c>
      <c r="F2760" s="22">
        <v>45608.3634259259</v>
      </c>
      <c r="G2760" s="22"/>
      <c r="H2760" s="23">
        <v>3200</v>
      </c>
      <c r="I2760" s="23">
        <v>3200</v>
      </c>
      <c r="J2760" s="24">
        <v>3200</v>
      </c>
      <c r="K2760" s="21">
        <v>0</v>
      </c>
      <c r="L2760" s="21">
        <v>0</v>
      </c>
      <c r="M2760" s="21">
        <f>COUNTIF($A$2:$A$5481,A2760)</f>
        <v>1</v>
      </c>
      <c r="N2760" s="24">
        <f t="shared" si="43"/>
        <v>3200.000276</v>
      </c>
    </row>
    <row r="2761" spans="1:14">
      <c r="A2761" s="21" t="s">
        <v>2928</v>
      </c>
      <c r="B2761" s="21" t="s">
        <v>929</v>
      </c>
      <c r="C2761" s="21" t="s">
        <v>26</v>
      </c>
      <c r="D2761" s="21" t="s">
        <v>921</v>
      </c>
      <c r="E2761" s="21">
        <v>2</v>
      </c>
      <c r="F2761" s="22">
        <v>45338.4631944444</v>
      </c>
      <c r="G2761" s="22"/>
      <c r="H2761" s="23">
        <v>2</v>
      </c>
      <c r="I2761" s="23">
        <v>1</v>
      </c>
      <c r="J2761" s="24">
        <v>2</v>
      </c>
      <c r="K2761" s="21">
        <v>0</v>
      </c>
      <c r="L2761" s="21">
        <v>0</v>
      </c>
      <c r="M2761" s="21">
        <f>COUNTIF($A$2:$A$5481,A2761)</f>
        <v>1</v>
      </c>
      <c r="N2761" s="24">
        <f t="shared" si="43"/>
        <v>2.0002761</v>
      </c>
    </row>
    <row r="2762" spans="1:14">
      <c r="A2762" s="21" t="s">
        <v>2929</v>
      </c>
      <c r="B2762" s="21" t="s">
        <v>920</v>
      </c>
      <c r="C2762" s="21" t="s">
        <v>26</v>
      </c>
      <c r="D2762" s="21" t="s">
        <v>921</v>
      </c>
      <c r="E2762" s="21">
        <v>4</v>
      </c>
      <c r="F2762" s="22">
        <v>46042.5533449074</v>
      </c>
      <c r="G2762" s="22"/>
      <c r="H2762" s="23">
        <v>35.6</v>
      </c>
      <c r="I2762" s="23">
        <v>8.9</v>
      </c>
      <c r="J2762" s="24">
        <v>35.6</v>
      </c>
      <c r="K2762" s="21">
        <v>0</v>
      </c>
      <c r="L2762" s="21">
        <v>0</v>
      </c>
      <c r="M2762" s="21">
        <f>COUNTIF($A$2:$A$5481,A2762)</f>
        <v>1</v>
      </c>
      <c r="N2762" s="24">
        <f t="shared" si="43"/>
        <v>35.6002762</v>
      </c>
    </row>
    <row r="2763" spans="1:14">
      <c r="A2763" s="21" t="s">
        <v>2930</v>
      </c>
      <c r="B2763" s="21" t="s">
        <v>26</v>
      </c>
      <c r="C2763" s="21" t="s">
        <v>26</v>
      </c>
      <c r="D2763" s="21" t="s">
        <v>921</v>
      </c>
      <c r="E2763" s="21">
        <v>10</v>
      </c>
      <c r="F2763" s="22">
        <v>45617.379212963</v>
      </c>
      <c r="G2763" s="22"/>
      <c r="H2763" s="23">
        <v>353.8</v>
      </c>
      <c r="I2763" s="23">
        <v>35.38</v>
      </c>
      <c r="J2763" s="24">
        <v>353.8</v>
      </c>
      <c r="K2763" s="21">
        <v>0</v>
      </c>
      <c r="L2763" s="21">
        <v>0</v>
      </c>
      <c r="M2763" s="21">
        <f>COUNTIF($A$2:$A$5481,A2763)</f>
        <v>1</v>
      </c>
      <c r="N2763" s="24">
        <f t="shared" si="43"/>
        <v>353.8002763</v>
      </c>
    </row>
    <row r="2764" spans="1:14">
      <c r="A2764" s="21" t="s">
        <v>2931</v>
      </c>
      <c r="B2764" s="21" t="s">
        <v>920</v>
      </c>
      <c r="C2764" s="21" t="s">
        <v>26</v>
      </c>
      <c r="D2764" s="21" t="s">
        <v>921</v>
      </c>
      <c r="E2764" s="21">
        <v>2</v>
      </c>
      <c r="F2764" s="22">
        <v>45583.8166666667</v>
      </c>
      <c r="G2764" s="22"/>
      <c r="H2764" s="23">
        <v>662.68</v>
      </c>
      <c r="I2764" s="23">
        <v>331.34</v>
      </c>
      <c r="J2764" s="24">
        <v>662.68</v>
      </c>
      <c r="K2764" s="21">
        <v>0</v>
      </c>
      <c r="L2764" s="21">
        <v>0</v>
      </c>
      <c r="M2764" s="21">
        <f>COUNTIF($A$2:$A$5481,A2764)</f>
        <v>1</v>
      </c>
      <c r="N2764" s="24">
        <f t="shared" si="43"/>
        <v>662.6802764</v>
      </c>
    </row>
    <row r="2765" spans="1:14">
      <c r="A2765" s="21" t="s">
        <v>2932</v>
      </c>
      <c r="B2765" s="21" t="s">
        <v>26</v>
      </c>
      <c r="C2765" s="21" t="s">
        <v>26</v>
      </c>
      <c r="D2765" s="21" t="s">
        <v>921</v>
      </c>
      <c r="E2765" s="21">
        <v>21</v>
      </c>
      <c r="F2765" s="22">
        <v>46245.5905439815</v>
      </c>
      <c r="G2765" s="22"/>
      <c r="H2765" s="23">
        <v>28.9</v>
      </c>
      <c r="I2765" s="23">
        <v>4.7095238095</v>
      </c>
      <c r="J2765" s="24">
        <v>98.91</v>
      </c>
      <c r="K2765" s="21">
        <v>0</v>
      </c>
      <c r="L2765" s="21">
        <v>0</v>
      </c>
      <c r="M2765" s="21">
        <f>COUNTIF($A$2:$A$5481,A2765)</f>
        <v>1</v>
      </c>
      <c r="N2765" s="24">
        <f t="shared" si="43"/>
        <v>98.9102765</v>
      </c>
    </row>
    <row r="2766" spans="1:14">
      <c r="A2766" s="21" t="s">
        <v>2933</v>
      </c>
      <c r="B2766" s="21" t="s">
        <v>929</v>
      </c>
      <c r="C2766" s="21" t="s">
        <v>26</v>
      </c>
      <c r="D2766" s="21" t="s">
        <v>921</v>
      </c>
      <c r="E2766" s="21">
        <v>2</v>
      </c>
      <c r="F2766" s="22">
        <v>46027.5492476852</v>
      </c>
      <c r="G2766" s="22"/>
      <c r="H2766" s="23">
        <v>12.9</v>
      </c>
      <c r="I2766" s="23">
        <v>6.45</v>
      </c>
      <c r="J2766" s="24">
        <v>12.9</v>
      </c>
      <c r="K2766" s="21">
        <v>0</v>
      </c>
      <c r="L2766" s="21">
        <v>0</v>
      </c>
      <c r="M2766" s="21">
        <f>COUNTIF($A$2:$A$5481,A2766)</f>
        <v>1</v>
      </c>
      <c r="N2766" s="24">
        <f t="shared" si="43"/>
        <v>12.9002766</v>
      </c>
    </row>
    <row r="2767" spans="1:14">
      <c r="A2767" s="21" t="s">
        <v>2934</v>
      </c>
      <c r="B2767" s="21" t="s">
        <v>929</v>
      </c>
      <c r="C2767" s="21" t="s">
        <v>26</v>
      </c>
      <c r="D2767" s="21" t="s">
        <v>921</v>
      </c>
      <c r="E2767" s="21">
        <v>1</v>
      </c>
      <c r="F2767" s="22">
        <v>46192.5547106482</v>
      </c>
      <c r="G2767" s="22"/>
      <c r="H2767" s="23">
        <v>18.87</v>
      </c>
      <c r="I2767" s="23">
        <v>18.87</v>
      </c>
      <c r="J2767" s="24">
        <v>18.87</v>
      </c>
      <c r="K2767" s="21">
        <v>0</v>
      </c>
      <c r="L2767" s="21">
        <v>0</v>
      </c>
      <c r="M2767" s="21">
        <f>COUNTIF($A$2:$A$5481,A2767)</f>
        <v>1</v>
      </c>
      <c r="N2767" s="24">
        <f t="shared" si="43"/>
        <v>18.8702767</v>
      </c>
    </row>
    <row r="2768" spans="1:14">
      <c r="A2768" s="21" t="s">
        <v>2935</v>
      </c>
      <c r="B2768" s="21" t="s">
        <v>26</v>
      </c>
      <c r="C2768" s="21" t="s">
        <v>26</v>
      </c>
      <c r="D2768" s="21" t="s">
        <v>921</v>
      </c>
      <c r="E2768" s="21">
        <v>12</v>
      </c>
      <c r="F2768" s="22">
        <v>46122.3555555556</v>
      </c>
      <c r="G2768" s="22">
        <v>45973.4564699074</v>
      </c>
      <c r="H2768" s="23">
        <v>89.25</v>
      </c>
      <c r="I2768" s="23">
        <v>21.3814690476</v>
      </c>
      <c r="J2768" s="24">
        <v>256.56</v>
      </c>
      <c r="K2768" s="21">
        <v>0</v>
      </c>
      <c r="L2768" s="21">
        <v>0</v>
      </c>
      <c r="M2768" s="21">
        <f>COUNTIF($A$2:$A$5481,A2768)</f>
        <v>1</v>
      </c>
      <c r="N2768" s="24">
        <f t="shared" si="43"/>
        <v>256.5602768</v>
      </c>
    </row>
    <row r="2769" spans="1:14">
      <c r="A2769" s="21" t="s">
        <v>2936</v>
      </c>
      <c r="B2769" s="21" t="s">
        <v>949</v>
      </c>
      <c r="C2769" s="21" t="s">
        <v>26</v>
      </c>
      <c r="D2769" s="21" t="s">
        <v>921</v>
      </c>
      <c r="E2769" s="21">
        <v>0</v>
      </c>
      <c r="F2769" s="22">
        <v>45330.39375</v>
      </c>
      <c r="G2769" s="22">
        <v>45331.4112037037</v>
      </c>
      <c r="H2769" s="23">
        <v>29.98</v>
      </c>
      <c r="I2769" s="23">
        <v>14.99</v>
      </c>
      <c r="J2769" s="24">
        <v>0</v>
      </c>
      <c r="K2769" s="21">
        <v>0</v>
      </c>
      <c r="L2769" s="21">
        <v>0</v>
      </c>
      <c r="M2769" s="21">
        <f>COUNTIF($A$2:$A$5481,A2769)</f>
        <v>1</v>
      </c>
      <c r="N2769" s="24">
        <f t="shared" si="43"/>
        <v>0.0002769</v>
      </c>
    </row>
    <row r="2770" spans="1:14">
      <c r="A2770" s="21" t="s">
        <v>2937</v>
      </c>
      <c r="B2770" s="21" t="s">
        <v>949</v>
      </c>
      <c r="C2770" s="21" t="s">
        <v>26</v>
      </c>
      <c r="D2770" s="21" t="s">
        <v>921</v>
      </c>
      <c r="E2770" s="21">
        <v>0</v>
      </c>
      <c r="F2770" s="22">
        <v>45330.39375</v>
      </c>
      <c r="G2770" s="22">
        <v>45331.4111921296</v>
      </c>
      <c r="H2770" s="23">
        <v>29.98</v>
      </c>
      <c r="I2770" s="23">
        <v>14.99</v>
      </c>
      <c r="J2770" s="24">
        <v>0</v>
      </c>
      <c r="K2770" s="21">
        <v>0</v>
      </c>
      <c r="L2770" s="21">
        <v>0</v>
      </c>
      <c r="M2770" s="21">
        <f>COUNTIF($A$2:$A$5481,A2770)</f>
        <v>1</v>
      </c>
      <c r="N2770" s="24">
        <f t="shared" si="43"/>
        <v>0.000277</v>
      </c>
    </row>
    <row r="2771" spans="1:14">
      <c r="A2771" s="21" t="s">
        <v>2938</v>
      </c>
      <c r="B2771" s="21" t="s">
        <v>948</v>
      </c>
      <c r="C2771" s="21" t="s">
        <v>26</v>
      </c>
      <c r="D2771" s="21" t="s">
        <v>921</v>
      </c>
      <c r="E2771" s="21">
        <v>1</v>
      </c>
      <c r="F2771" s="22">
        <v>45992.5750694444</v>
      </c>
      <c r="G2771" s="22"/>
      <c r="H2771" s="23">
        <v>47.5</v>
      </c>
      <c r="I2771" s="23">
        <v>47.5</v>
      </c>
      <c r="J2771" s="24">
        <v>47.5</v>
      </c>
      <c r="K2771" s="21">
        <v>0</v>
      </c>
      <c r="L2771" s="21">
        <v>0</v>
      </c>
      <c r="M2771" s="21">
        <f>COUNTIF($A$2:$A$5481,A2771)</f>
        <v>1</v>
      </c>
      <c r="N2771" s="24">
        <f t="shared" si="43"/>
        <v>47.5002771</v>
      </c>
    </row>
    <row r="2772" spans="1:14">
      <c r="A2772" s="21" t="s">
        <v>2939</v>
      </c>
      <c r="B2772" s="21" t="s">
        <v>920</v>
      </c>
      <c r="C2772" s="21" t="s">
        <v>35</v>
      </c>
      <c r="D2772" s="21" t="s">
        <v>921</v>
      </c>
      <c r="E2772" s="21">
        <v>5</v>
      </c>
      <c r="F2772" s="22">
        <v>45328.3069444444</v>
      </c>
      <c r="G2772" s="22"/>
      <c r="H2772" s="23">
        <v>95.1</v>
      </c>
      <c r="I2772" s="23">
        <v>19.02</v>
      </c>
      <c r="J2772" s="24">
        <v>95.1</v>
      </c>
      <c r="K2772" s="21">
        <v>0</v>
      </c>
      <c r="L2772" s="21">
        <v>0</v>
      </c>
      <c r="M2772" s="21">
        <f>COUNTIF($A$2:$A$5481,A2772)</f>
        <v>1</v>
      </c>
      <c r="N2772" s="24">
        <f t="shared" si="43"/>
        <v>95.1002772</v>
      </c>
    </row>
    <row r="2773" spans="1:14">
      <c r="A2773" s="21" t="s">
        <v>2940</v>
      </c>
      <c r="B2773" s="21" t="s">
        <v>926</v>
      </c>
      <c r="C2773" s="21" t="s">
        <v>26</v>
      </c>
      <c r="D2773" s="21" t="s">
        <v>921</v>
      </c>
      <c r="E2773" s="21">
        <v>1</v>
      </c>
      <c r="F2773" s="22">
        <v>46170.5729166667</v>
      </c>
      <c r="G2773" s="22"/>
      <c r="H2773" s="23">
        <v>14</v>
      </c>
      <c r="I2773" s="23">
        <v>14</v>
      </c>
      <c r="J2773" s="24">
        <v>14</v>
      </c>
      <c r="K2773" s="21">
        <v>0</v>
      </c>
      <c r="L2773" s="21">
        <v>0</v>
      </c>
      <c r="M2773" s="21">
        <f>COUNTIF($A$2:$A$5481,A2773)</f>
        <v>1</v>
      </c>
      <c r="N2773" s="24">
        <f t="shared" si="43"/>
        <v>14.0002773</v>
      </c>
    </row>
    <row r="2774" spans="1:14">
      <c r="A2774" s="21" t="s">
        <v>2941</v>
      </c>
      <c r="B2774" s="21" t="s">
        <v>920</v>
      </c>
      <c r="C2774" s="21" t="s">
        <v>26</v>
      </c>
      <c r="D2774" s="21" t="s">
        <v>921</v>
      </c>
      <c r="E2774" s="21">
        <v>1</v>
      </c>
      <c r="F2774" s="22">
        <v>46254.7157060185</v>
      </c>
      <c r="G2774" s="22"/>
      <c r="H2774" s="23">
        <v>69</v>
      </c>
      <c r="I2774" s="23">
        <v>69</v>
      </c>
      <c r="J2774" s="24">
        <v>69</v>
      </c>
      <c r="K2774" s="21">
        <v>0</v>
      </c>
      <c r="L2774" s="21">
        <v>0</v>
      </c>
      <c r="M2774" s="21">
        <f>COUNTIF($A$2:$A$5481,A2774)</f>
        <v>1</v>
      </c>
      <c r="N2774" s="24">
        <f t="shared" si="43"/>
        <v>69.0002774</v>
      </c>
    </row>
    <row r="2775" spans="1:14">
      <c r="A2775" s="21" t="s">
        <v>2942</v>
      </c>
      <c r="B2775" s="21" t="s">
        <v>929</v>
      </c>
      <c r="C2775" s="21" t="s">
        <v>26</v>
      </c>
      <c r="D2775" s="21" t="s">
        <v>921</v>
      </c>
      <c r="E2775" s="21">
        <v>2</v>
      </c>
      <c r="F2775" s="22">
        <v>45825.8369560185</v>
      </c>
      <c r="G2775" s="22"/>
      <c r="H2775" s="23">
        <v>63.3</v>
      </c>
      <c r="I2775" s="23">
        <v>31.65</v>
      </c>
      <c r="J2775" s="24">
        <v>63.3</v>
      </c>
      <c r="K2775" s="21">
        <v>0</v>
      </c>
      <c r="L2775" s="21">
        <v>0</v>
      </c>
      <c r="M2775" s="21">
        <f>COUNTIF($A$2:$A$5481,A2775)</f>
        <v>1</v>
      </c>
      <c r="N2775" s="24">
        <f t="shared" si="43"/>
        <v>63.3002775</v>
      </c>
    </row>
    <row r="2776" spans="1:14">
      <c r="A2776" s="21" t="s">
        <v>413</v>
      </c>
      <c r="B2776" s="21" t="s">
        <v>26</v>
      </c>
      <c r="C2776" s="21" t="s">
        <v>35</v>
      </c>
      <c r="D2776" s="21" t="s">
        <v>2339</v>
      </c>
      <c r="E2776" s="21">
        <v>0</v>
      </c>
      <c r="F2776" s="22">
        <v>45301.7893865741</v>
      </c>
      <c r="G2776" s="22">
        <v>46195.6355208333</v>
      </c>
      <c r="H2776" s="23">
        <v>294.5</v>
      </c>
      <c r="I2776" s="23">
        <v>5.89</v>
      </c>
      <c r="J2776" s="24">
        <v>0</v>
      </c>
      <c r="K2776" s="21">
        <v>0</v>
      </c>
      <c r="L2776" s="21">
        <v>0</v>
      </c>
      <c r="M2776" s="21">
        <f>COUNTIF($A$2:$A$5481,A2776)</f>
        <v>5</v>
      </c>
      <c r="N2776" s="24">
        <f t="shared" si="43"/>
        <v>0.0002776</v>
      </c>
    </row>
    <row r="2777" spans="1:14">
      <c r="A2777" s="21" t="s">
        <v>413</v>
      </c>
      <c r="B2777" s="21" t="s">
        <v>26</v>
      </c>
      <c r="C2777" s="21" t="s">
        <v>182</v>
      </c>
      <c r="D2777" s="21" t="s">
        <v>2339</v>
      </c>
      <c r="E2777" s="21">
        <v>0</v>
      </c>
      <c r="F2777" s="22">
        <v>45315.4621064815</v>
      </c>
      <c r="G2777" s="22">
        <v>45324.4358564815</v>
      </c>
      <c r="H2777" s="23">
        <v>294.5</v>
      </c>
      <c r="I2777" s="23">
        <v>5.89</v>
      </c>
      <c r="J2777" s="24">
        <v>0</v>
      </c>
      <c r="K2777" s="21">
        <v>0</v>
      </c>
      <c r="L2777" s="21">
        <v>0</v>
      </c>
      <c r="M2777" s="21">
        <f>COUNTIF($A$2:$A$5481,A2777)</f>
        <v>5</v>
      </c>
      <c r="N2777" s="24">
        <f t="shared" si="43"/>
        <v>0.0002777</v>
      </c>
    </row>
    <row r="2778" spans="1:14">
      <c r="A2778" s="21" t="s">
        <v>413</v>
      </c>
      <c r="B2778" s="21" t="s">
        <v>26</v>
      </c>
      <c r="C2778" s="21" t="s">
        <v>414</v>
      </c>
      <c r="D2778" s="21" t="s">
        <v>2339</v>
      </c>
      <c r="E2778" s="21">
        <v>0</v>
      </c>
      <c r="F2778" s="22">
        <v>45462.3520833333</v>
      </c>
      <c r="G2778" s="22">
        <v>46195.6355092593</v>
      </c>
      <c r="H2778" s="23">
        <v>182.7</v>
      </c>
      <c r="I2778" s="23">
        <v>6.09</v>
      </c>
      <c r="J2778" s="24">
        <v>0</v>
      </c>
      <c r="K2778" s="21">
        <v>0</v>
      </c>
      <c r="L2778" s="21">
        <v>0</v>
      </c>
      <c r="M2778" s="21">
        <f>COUNTIF($A$2:$A$5481,A2778)</f>
        <v>5</v>
      </c>
      <c r="N2778" s="24">
        <f t="shared" si="43"/>
        <v>0.0002778</v>
      </c>
    </row>
    <row r="2779" spans="1:14">
      <c r="A2779" s="21" t="s">
        <v>413</v>
      </c>
      <c r="B2779" s="21" t="s">
        <v>26</v>
      </c>
      <c r="C2779" s="21" t="s">
        <v>641</v>
      </c>
      <c r="D2779" s="21" t="s">
        <v>2339</v>
      </c>
      <c r="E2779" s="21">
        <v>0</v>
      </c>
      <c r="F2779" s="22">
        <v>45527.6041666667</v>
      </c>
      <c r="G2779" s="22">
        <v>45533.4715625</v>
      </c>
      <c r="H2779" s="23">
        <v>180.001</v>
      </c>
      <c r="I2779" s="23">
        <v>6.29</v>
      </c>
      <c r="J2779" s="24">
        <v>0</v>
      </c>
      <c r="K2779" s="21">
        <v>0</v>
      </c>
      <c r="L2779" s="21">
        <v>0</v>
      </c>
      <c r="M2779" s="21">
        <f>COUNTIF($A$2:$A$5481,A2779)</f>
        <v>5</v>
      </c>
      <c r="N2779" s="24">
        <f t="shared" si="43"/>
        <v>0.0002779</v>
      </c>
    </row>
    <row r="2780" spans="1:14">
      <c r="A2780" s="21" t="s">
        <v>413</v>
      </c>
      <c r="B2780" s="21" t="s">
        <v>26</v>
      </c>
      <c r="C2780" s="21" t="s">
        <v>26</v>
      </c>
      <c r="D2780" s="21" t="s">
        <v>2339</v>
      </c>
      <c r="E2780" s="21">
        <v>21.308</v>
      </c>
      <c r="F2780" s="22">
        <v>46274.5777777778</v>
      </c>
      <c r="G2780" s="22">
        <v>46282.5983564815</v>
      </c>
      <c r="H2780" s="23">
        <v>291.50212</v>
      </c>
      <c r="I2780" s="23">
        <v>6.89</v>
      </c>
      <c r="J2780" s="24">
        <v>146.81212</v>
      </c>
      <c r="K2780" s="21">
        <v>0</v>
      </c>
      <c r="L2780" s="21">
        <v>0</v>
      </c>
      <c r="M2780" s="21">
        <f>COUNTIF($A$2:$A$5481,A2780)</f>
        <v>5</v>
      </c>
      <c r="N2780" s="24">
        <f t="shared" si="43"/>
        <v>146.812398</v>
      </c>
    </row>
    <row r="2781" spans="1:14">
      <c r="A2781" s="21" t="s">
        <v>2943</v>
      </c>
      <c r="B2781" s="21" t="s">
        <v>2944</v>
      </c>
      <c r="C2781" s="21" t="s">
        <v>182</v>
      </c>
      <c r="D2781" s="21" t="s">
        <v>2339</v>
      </c>
      <c r="E2781" s="21">
        <v>50</v>
      </c>
      <c r="F2781" s="22">
        <v>45327.5981481482</v>
      </c>
      <c r="G2781" s="22"/>
      <c r="H2781" s="23">
        <v>299</v>
      </c>
      <c r="I2781" s="23">
        <v>5.98</v>
      </c>
      <c r="J2781" s="24">
        <v>299</v>
      </c>
      <c r="K2781" s="21">
        <v>0</v>
      </c>
      <c r="L2781" s="21">
        <v>0</v>
      </c>
      <c r="M2781" s="21">
        <f>COUNTIF($A$2:$A$5481,A2781)</f>
        <v>2</v>
      </c>
      <c r="N2781" s="24">
        <f t="shared" si="43"/>
        <v>299.0002781</v>
      </c>
    </row>
    <row r="2782" spans="1:14">
      <c r="A2782" s="21" t="s">
        <v>2943</v>
      </c>
      <c r="B2782" s="21" t="s">
        <v>2944</v>
      </c>
      <c r="C2782" s="21" t="s">
        <v>641</v>
      </c>
      <c r="D2782" s="21" t="s">
        <v>2339</v>
      </c>
      <c r="E2782" s="21">
        <v>50</v>
      </c>
      <c r="F2782" s="22">
        <v>45420.3770833333</v>
      </c>
      <c r="G2782" s="22"/>
      <c r="H2782" s="23">
        <v>300</v>
      </c>
      <c r="I2782" s="23">
        <v>6</v>
      </c>
      <c r="J2782" s="24">
        <v>300</v>
      </c>
      <c r="K2782" s="21">
        <v>0</v>
      </c>
      <c r="L2782" s="21">
        <v>0</v>
      </c>
      <c r="M2782" s="21">
        <f>COUNTIF($A$2:$A$5481,A2782)</f>
        <v>2</v>
      </c>
      <c r="N2782" s="24">
        <f t="shared" si="43"/>
        <v>300.0002782</v>
      </c>
    </row>
    <row r="2783" spans="1:14">
      <c r="A2783" s="21" t="s">
        <v>2945</v>
      </c>
      <c r="B2783" s="21" t="s">
        <v>920</v>
      </c>
      <c r="C2783" s="21" t="s">
        <v>35</v>
      </c>
      <c r="D2783" s="21" t="s">
        <v>931</v>
      </c>
      <c r="E2783" s="21">
        <v>1</v>
      </c>
      <c r="F2783" s="22">
        <v>45712.5350694444</v>
      </c>
      <c r="G2783" s="22"/>
      <c r="H2783" s="23">
        <v>917.32</v>
      </c>
      <c r="I2783" s="23">
        <v>917.32</v>
      </c>
      <c r="J2783" s="24">
        <v>917.32</v>
      </c>
      <c r="K2783" s="21">
        <v>0</v>
      </c>
      <c r="L2783" s="21">
        <v>0</v>
      </c>
      <c r="M2783" s="21">
        <f>COUNTIF($A$2:$A$5481,A2783)</f>
        <v>1</v>
      </c>
      <c r="N2783" s="24">
        <f t="shared" si="43"/>
        <v>917.3202783</v>
      </c>
    </row>
    <row r="2784" spans="1:14">
      <c r="A2784" s="21" t="s">
        <v>2946</v>
      </c>
      <c r="B2784" s="21" t="s">
        <v>920</v>
      </c>
      <c r="C2784" s="21" t="s">
        <v>35</v>
      </c>
      <c r="D2784" s="21" t="s">
        <v>921</v>
      </c>
      <c r="E2784" s="21">
        <v>1</v>
      </c>
      <c r="F2784" s="22">
        <v>45712.5350694444</v>
      </c>
      <c r="G2784" s="22"/>
      <c r="H2784" s="23">
        <v>837.33</v>
      </c>
      <c r="I2784" s="23">
        <v>837.33</v>
      </c>
      <c r="J2784" s="24">
        <v>837.33</v>
      </c>
      <c r="K2784" s="21">
        <v>0</v>
      </c>
      <c r="L2784" s="21">
        <v>0</v>
      </c>
      <c r="M2784" s="21">
        <f>COUNTIF($A$2:$A$5481,A2784)</f>
        <v>1</v>
      </c>
      <c r="N2784" s="24">
        <f t="shared" si="43"/>
        <v>837.3302784</v>
      </c>
    </row>
    <row r="2785" spans="1:14">
      <c r="A2785" s="21" t="s">
        <v>2947</v>
      </c>
      <c r="B2785" s="21" t="s">
        <v>920</v>
      </c>
      <c r="C2785" s="21" t="s">
        <v>35</v>
      </c>
      <c r="D2785" s="21" t="s">
        <v>921</v>
      </c>
      <c r="E2785" s="21">
        <v>0</v>
      </c>
      <c r="F2785" s="22">
        <v>45271.7300231482</v>
      </c>
      <c r="G2785" s="22">
        <v>45330.4646527778</v>
      </c>
      <c r="H2785" s="23">
        <v>199.95</v>
      </c>
      <c r="I2785" s="23">
        <v>39.99</v>
      </c>
      <c r="J2785" s="24">
        <v>0</v>
      </c>
      <c r="K2785" s="21">
        <v>0</v>
      </c>
      <c r="L2785" s="21">
        <v>0</v>
      </c>
      <c r="M2785" s="21">
        <f>COUNTIF($A$2:$A$5481,A2785)</f>
        <v>2</v>
      </c>
      <c r="N2785" s="24">
        <f t="shared" si="43"/>
        <v>0.0002785</v>
      </c>
    </row>
    <row r="2786" spans="1:14">
      <c r="A2786" s="21" t="s">
        <v>2947</v>
      </c>
      <c r="B2786" s="21" t="s">
        <v>920</v>
      </c>
      <c r="C2786" s="21" t="s">
        <v>26</v>
      </c>
      <c r="D2786" s="21" t="s">
        <v>921</v>
      </c>
      <c r="E2786" s="21">
        <v>0</v>
      </c>
      <c r="F2786" s="22">
        <v>45485.3784606482</v>
      </c>
      <c r="G2786" s="22">
        <v>45785.3804050926</v>
      </c>
      <c r="H2786" s="23">
        <v>159.98</v>
      </c>
      <c r="I2786" s="23">
        <v>28.70818</v>
      </c>
      <c r="J2786" s="24">
        <v>0</v>
      </c>
      <c r="K2786" s="21">
        <v>0</v>
      </c>
      <c r="L2786" s="21">
        <v>0</v>
      </c>
      <c r="M2786" s="21">
        <f>COUNTIF($A$2:$A$5481,A2786)</f>
        <v>2</v>
      </c>
      <c r="N2786" s="24">
        <f t="shared" si="43"/>
        <v>0.0002786</v>
      </c>
    </row>
    <row r="2787" spans="1:14">
      <c r="A2787" s="21" t="s">
        <v>2948</v>
      </c>
      <c r="B2787" s="21" t="s">
        <v>920</v>
      </c>
      <c r="C2787" s="21" t="s">
        <v>35</v>
      </c>
      <c r="D2787" s="21" t="s">
        <v>921</v>
      </c>
      <c r="E2787" s="21">
        <v>0</v>
      </c>
      <c r="F2787" s="22">
        <v>45271.7307060185</v>
      </c>
      <c r="G2787" s="22">
        <v>45310.4708101852</v>
      </c>
      <c r="H2787" s="23">
        <v>359.91</v>
      </c>
      <c r="I2787" s="23">
        <v>39.99</v>
      </c>
      <c r="J2787" s="24">
        <v>0</v>
      </c>
      <c r="K2787" s="21">
        <v>0</v>
      </c>
      <c r="L2787" s="21">
        <v>0</v>
      </c>
      <c r="M2787" s="21">
        <f>COUNTIF($A$2:$A$5481,A2787)</f>
        <v>3</v>
      </c>
      <c r="N2787" s="24">
        <f t="shared" si="43"/>
        <v>0.0002787</v>
      </c>
    </row>
    <row r="2788" spans="1:14">
      <c r="A2788" s="21" t="s">
        <v>2948</v>
      </c>
      <c r="B2788" s="21" t="s">
        <v>920</v>
      </c>
      <c r="C2788" s="21" t="s">
        <v>182</v>
      </c>
      <c r="D2788" s="21" t="s">
        <v>921</v>
      </c>
      <c r="E2788" s="21">
        <v>7</v>
      </c>
      <c r="F2788" s="22">
        <v>45349.7104166667</v>
      </c>
      <c r="G2788" s="22">
        <v>45502.8348726852</v>
      </c>
      <c r="H2788" s="23">
        <v>399.9</v>
      </c>
      <c r="I2788" s="23">
        <v>39.99</v>
      </c>
      <c r="J2788" s="24">
        <v>279.93</v>
      </c>
      <c r="K2788" s="21">
        <v>0</v>
      </c>
      <c r="L2788" s="21">
        <v>0</v>
      </c>
      <c r="M2788" s="21">
        <f>COUNTIF($A$2:$A$5481,A2788)</f>
        <v>3</v>
      </c>
      <c r="N2788" s="24">
        <f t="shared" si="43"/>
        <v>279.9302788</v>
      </c>
    </row>
    <row r="2789" spans="1:14">
      <c r="A2789" s="21" t="s">
        <v>2948</v>
      </c>
      <c r="B2789" s="21" t="s">
        <v>920</v>
      </c>
      <c r="C2789" s="21" t="s">
        <v>26</v>
      </c>
      <c r="D2789" s="21" t="s">
        <v>921</v>
      </c>
      <c r="E2789" s="21">
        <v>30</v>
      </c>
      <c r="F2789" s="22">
        <v>46203.5819444444</v>
      </c>
      <c r="G2789" s="22">
        <v>45785.3804166667</v>
      </c>
      <c r="H2789" s="23">
        <v>179.6</v>
      </c>
      <c r="I2789" s="23">
        <v>43.7806666667</v>
      </c>
      <c r="J2789" s="24">
        <v>1313.4</v>
      </c>
      <c r="K2789" s="21">
        <v>0</v>
      </c>
      <c r="L2789" s="21">
        <v>0</v>
      </c>
      <c r="M2789" s="21">
        <f>COUNTIF($A$2:$A$5481,A2789)</f>
        <v>3</v>
      </c>
      <c r="N2789" s="24">
        <f t="shared" si="43"/>
        <v>1313.4002789</v>
      </c>
    </row>
    <row r="2790" spans="1:14">
      <c r="A2790" s="21" t="s">
        <v>817</v>
      </c>
      <c r="B2790" s="21" t="s">
        <v>26</v>
      </c>
      <c r="C2790" s="21" t="s">
        <v>182</v>
      </c>
      <c r="D2790" s="21" t="s">
        <v>921</v>
      </c>
      <c r="E2790" s="21">
        <v>0</v>
      </c>
      <c r="F2790" s="22">
        <v>45469.841875</v>
      </c>
      <c r="G2790" s="22">
        <v>46261.4749768519</v>
      </c>
      <c r="H2790" s="23">
        <v>141.8</v>
      </c>
      <c r="I2790" s="23">
        <v>70.9</v>
      </c>
      <c r="J2790" s="24">
        <v>0</v>
      </c>
      <c r="K2790" s="21">
        <v>0</v>
      </c>
      <c r="L2790" s="21">
        <v>0</v>
      </c>
      <c r="M2790" s="21">
        <f>COUNTIF($A$2:$A$5481,A2790)</f>
        <v>1</v>
      </c>
      <c r="N2790" s="24">
        <f t="shared" si="43"/>
        <v>0.000279</v>
      </c>
    </row>
    <row r="2791" spans="1:14">
      <c r="A2791" s="21" t="s">
        <v>2949</v>
      </c>
      <c r="B2791" s="21" t="s">
        <v>949</v>
      </c>
      <c r="C2791" s="21" t="s">
        <v>182</v>
      </c>
      <c r="D2791" s="21" t="s">
        <v>921</v>
      </c>
      <c r="E2791" s="21">
        <v>2</v>
      </c>
      <c r="F2791" s="22">
        <v>45376.7877777778</v>
      </c>
      <c r="G2791" s="22"/>
      <c r="H2791" s="23">
        <v>59.98</v>
      </c>
      <c r="I2791" s="23">
        <v>29.99</v>
      </c>
      <c r="J2791" s="24">
        <v>59.98</v>
      </c>
      <c r="K2791" s="21">
        <v>0</v>
      </c>
      <c r="L2791" s="21">
        <v>0</v>
      </c>
      <c r="M2791" s="21">
        <f>COUNTIF($A$2:$A$5481,A2791)</f>
        <v>2</v>
      </c>
      <c r="N2791" s="24">
        <f t="shared" si="43"/>
        <v>59.9802791</v>
      </c>
    </row>
    <row r="2792" spans="1:14">
      <c r="A2792" s="21" t="s">
        <v>2949</v>
      </c>
      <c r="B2792" s="21" t="s">
        <v>949</v>
      </c>
      <c r="C2792" s="21" t="s">
        <v>26</v>
      </c>
      <c r="D2792" s="21" t="s">
        <v>921</v>
      </c>
      <c r="E2792" s="21">
        <v>1</v>
      </c>
      <c r="F2792" s="22">
        <v>45908.8042824074</v>
      </c>
      <c r="G2792" s="22"/>
      <c r="H2792" s="23">
        <v>49.99</v>
      </c>
      <c r="I2792" s="23">
        <v>49.99</v>
      </c>
      <c r="J2792" s="24">
        <v>49.99</v>
      </c>
      <c r="K2792" s="21">
        <v>0</v>
      </c>
      <c r="L2792" s="21">
        <v>0</v>
      </c>
      <c r="M2792" s="21">
        <f>COUNTIF($A$2:$A$5481,A2792)</f>
        <v>2</v>
      </c>
      <c r="N2792" s="24">
        <f t="shared" si="43"/>
        <v>49.9902792</v>
      </c>
    </row>
    <row r="2793" spans="1:14">
      <c r="A2793" s="21" t="s">
        <v>2950</v>
      </c>
      <c r="B2793" s="21" t="s">
        <v>949</v>
      </c>
      <c r="C2793" s="21" t="s">
        <v>51</v>
      </c>
      <c r="D2793" s="21" t="s">
        <v>921</v>
      </c>
      <c r="E2793" s="21">
        <v>2</v>
      </c>
      <c r="F2793" s="22">
        <v>45601.4220601852</v>
      </c>
      <c r="G2793" s="22"/>
      <c r="H2793" s="23">
        <v>75.1</v>
      </c>
      <c r="I2793" s="23">
        <v>37.55</v>
      </c>
      <c r="J2793" s="24">
        <v>75.1</v>
      </c>
      <c r="K2793" s="21">
        <v>0</v>
      </c>
      <c r="L2793" s="21">
        <v>0</v>
      </c>
      <c r="M2793" s="21">
        <f>COUNTIF($A$2:$A$5481,A2793)</f>
        <v>2</v>
      </c>
      <c r="N2793" s="24">
        <f t="shared" si="43"/>
        <v>75.1002793</v>
      </c>
    </row>
    <row r="2794" spans="1:14">
      <c r="A2794" s="21" t="s">
        <v>2950</v>
      </c>
      <c r="B2794" s="21" t="s">
        <v>949</v>
      </c>
      <c r="C2794" s="21" t="s">
        <v>26</v>
      </c>
      <c r="D2794" s="21" t="s">
        <v>921</v>
      </c>
      <c r="E2794" s="21">
        <v>13</v>
      </c>
      <c r="F2794" s="22">
        <v>46251.7271527778</v>
      </c>
      <c r="G2794" s="22">
        <v>45594.4559259259</v>
      </c>
      <c r="H2794" s="23">
        <v>95</v>
      </c>
      <c r="I2794" s="23">
        <v>60.3404615385</v>
      </c>
      <c r="J2794" s="24">
        <v>784.42</v>
      </c>
      <c r="K2794" s="21">
        <v>0</v>
      </c>
      <c r="L2794" s="21">
        <v>0</v>
      </c>
      <c r="M2794" s="21">
        <f>COUNTIF($A$2:$A$5481,A2794)</f>
        <v>2</v>
      </c>
      <c r="N2794" s="24">
        <f t="shared" si="43"/>
        <v>784.4202794</v>
      </c>
    </row>
    <row r="2795" spans="1:14">
      <c r="A2795" s="21" t="s">
        <v>2951</v>
      </c>
      <c r="B2795" s="21" t="s">
        <v>920</v>
      </c>
      <c r="C2795" s="21" t="s">
        <v>26</v>
      </c>
      <c r="D2795" s="21" t="s">
        <v>921</v>
      </c>
      <c r="E2795" s="21">
        <v>1</v>
      </c>
      <c r="F2795" s="22">
        <v>45833.429537037</v>
      </c>
      <c r="G2795" s="22">
        <v>45834.4780092593</v>
      </c>
      <c r="H2795" s="23">
        <v>14.43</v>
      </c>
      <c r="I2795" s="23">
        <v>13.825</v>
      </c>
      <c r="J2795" s="24">
        <v>13.83</v>
      </c>
      <c r="K2795" s="21">
        <v>0</v>
      </c>
      <c r="L2795" s="21">
        <v>0</v>
      </c>
      <c r="M2795" s="21">
        <f>COUNTIF($A$2:$A$5481,A2795)</f>
        <v>1</v>
      </c>
      <c r="N2795" s="24">
        <f t="shared" si="43"/>
        <v>13.8302795</v>
      </c>
    </row>
    <row r="2796" spans="1:14">
      <c r="A2796" s="21" t="s">
        <v>2952</v>
      </c>
      <c r="B2796" s="21" t="s">
        <v>920</v>
      </c>
      <c r="C2796" s="21" t="s">
        <v>35</v>
      </c>
      <c r="D2796" s="21" t="s">
        <v>921</v>
      </c>
      <c r="E2796" s="21">
        <v>1</v>
      </c>
      <c r="F2796" s="22">
        <v>45383.573275463</v>
      </c>
      <c r="G2796" s="22"/>
      <c r="H2796" s="23">
        <v>2.9</v>
      </c>
      <c r="I2796" s="23">
        <v>2.9</v>
      </c>
      <c r="J2796" s="24">
        <v>2.9</v>
      </c>
      <c r="K2796" s="21">
        <v>0</v>
      </c>
      <c r="L2796" s="21">
        <v>0</v>
      </c>
      <c r="M2796" s="21">
        <f>COUNTIF($A$2:$A$5481,A2796)</f>
        <v>2</v>
      </c>
      <c r="N2796" s="24">
        <f t="shared" si="43"/>
        <v>2.9002796</v>
      </c>
    </row>
    <row r="2797" spans="1:14">
      <c r="A2797" s="21" t="s">
        <v>2952</v>
      </c>
      <c r="B2797" s="21" t="s">
        <v>920</v>
      </c>
      <c r="C2797" s="21" t="s">
        <v>26</v>
      </c>
      <c r="D2797" s="21" t="s">
        <v>921</v>
      </c>
      <c r="E2797" s="21">
        <v>2</v>
      </c>
      <c r="F2797" s="22">
        <v>45986.3750347222</v>
      </c>
      <c r="G2797" s="22"/>
      <c r="H2797" s="23">
        <v>6.52</v>
      </c>
      <c r="I2797" s="23">
        <v>3.26</v>
      </c>
      <c r="J2797" s="24">
        <v>6.52</v>
      </c>
      <c r="K2797" s="21">
        <v>0</v>
      </c>
      <c r="L2797" s="21">
        <v>0</v>
      </c>
      <c r="M2797" s="21">
        <f>COUNTIF($A$2:$A$5481,A2797)</f>
        <v>2</v>
      </c>
      <c r="N2797" s="24">
        <f t="shared" si="43"/>
        <v>6.5202797</v>
      </c>
    </row>
    <row r="2798" spans="1:14">
      <c r="A2798" s="21" t="s">
        <v>2953</v>
      </c>
      <c r="B2798" s="21" t="s">
        <v>920</v>
      </c>
      <c r="C2798" s="21" t="s">
        <v>35</v>
      </c>
      <c r="D2798" s="21" t="s">
        <v>921</v>
      </c>
      <c r="E2798" s="21">
        <v>1</v>
      </c>
      <c r="F2798" s="22">
        <v>45383.5708217593</v>
      </c>
      <c r="G2798" s="22"/>
      <c r="H2798" s="23">
        <v>2.5</v>
      </c>
      <c r="I2798" s="23">
        <v>2.5</v>
      </c>
      <c r="J2798" s="24">
        <v>2.5</v>
      </c>
      <c r="K2798" s="21">
        <v>0</v>
      </c>
      <c r="L2798" s="21">
        <v>0</v>
      </c>
      <c r="M2798" s="21">
        <f>COUNTIF($A$2:$A$5481,A2798)</f>
        <v>2</v>
      </c>
      <c r="N2798" s="24">
        <f t="shared" si="43"/>
        <v>2.5002798</v>
      </c>
    </row>
    <row r="2799" spans="1:14">
      <c r="A2799" s="21" t="s">
        <v>2953</v>
      </c>
      <c r="B2799" s="21" t="s">
        <v>920</v>
      </c>
      <c r="C2799" s="21" t="s">
        <v>26</v>
      </c>
      <c r="D2799" s="21" t="s">
        <v>921</v>
      </c>
      <c r="E2799" s="21">
        <v>2</v>
      </c>
      <c r="F2799" s="22">
        <v>45786.3870023148</v>
      </c>
      <c r="G2799" s="22"/>
      <c r="H2799" s="23">
        <v>45.6</v>
      </c>
      <c r="I2799" s="23">
        <v>22.8</v>
      </c>
      <c r="J2799" s="24">
        <v>45.6</v>
      </c>
      <c r="K2799" s="21">
        <v>0</v>
      </c>
      <c r="L2799" s="21">
        <v>0</v>
      </c>
      <c r="M2799" s="21">
        <f>COUNTIF($A$2:$A$5481,A2799)</f>
        <v>2</v>
      </c>
      <c r="N2799" s="24">
        <f t="shared" si="43"/>
        <v>45.6002799</v>
      </c>
    </row>
    <row r="2800" spans="1:14">
      <c r="A2800" s="21" t="s">
        <v>2954</v>
      </c>
      <c r="B2800" s="21" t="s">
        <v>920</v>
      </c>
      <c r="C2800" s="21" t="s">
        <v>26</v>
      </c>
      <c r="D2800" s="21" t="s">
        <v>921</v>
      </c>
      <c r="E2800" s="21">
        <v>4</v>
      </c>
      <c r="F2800" s="22">
        <v>46120.5298611111</v>
      </c>
      <c r="G2800" s="22"/>
      <c r="H2800" s="23">
        <v>32.18</v>
      </c>
      <c r="I2800" s="23">
        <v>16.165</v>
      </c>
      <c r="J2800" s="24">
        <v>64.68</v>
      </c>
      <c r="K2800" s="21">
        <v>0</v>
      </c>
      <c r="L2800" s="21">
        <v>0</v>
      </c>
      <c r="M2800" s="21">
        <f>COUNTIF($A$2:$A$5481,A2800)</f>
        <v>1</v>
      </c>
      <c r="N2800" s="24">
        <f t="shared" si="43"/>
        <v>64.68028</v>
      </c>
    </row>
    <row r="2801" spans="1:14">
      <c r="A2801" s="21" t="s">
        <v>2955</v>
      </c>
      <c r="B2801" s="21" t="s">
        <v>26</v>
      </c>
      <c r="C2801" s="21" t="s">
        <v>26</v>
      </c>
      <c r="D2801" s="21" t="s">
        <v>921</v>
      </c>
      <c r="E2801" s="21">
        <v>2</v>
      </c>
      <c r="F2801" s="22">
        <v>45492.3810185185</v>
      </c>
      <c r="G2801" s="22"/>
      <c r="H2801" s="23">
        <v>5.8</v>
      </c>
      <c r="I2801" s="23">
        <v>2.9</v>
      </c>
      <c r="J2801" s="24">
        <v>5.8</v>
      </c>
      <c r="K2801" s="21">
        <v>0</v>
      </c>
      <c r="L2801" s="21">
        <v>0</v>
      </c>
      <c r="M2801" s="21">
        <f>COUNTIF($A$2:$A$5481,A2801)</f>
        <v>1</v>
      </c>
      <c r="N2801" s="24">
        <f t="shared" si="43"/>
        <v>5.8002801</v>
      </c>
    </row>
    <row r="2802" spans="1:14">
      <c r="A2802" s="21" t="s">
        <v>2956</v>
      </c>
      <c r="B2802" s="21" t="s">
        <v>26</v>
      </c>
      <c r="C2802" s="21" t="s">
        <v>26</v>
      </c>
      <c r="D2802" s="21" t="s">
        <v>921</v>
      </c>
      <c r="E2802" s="21">
        <v>2</v>
      </c>
      <c r="F2802" s="22">
        <v>45492.3810185185</v>
      </c>
      <c r="G2802" s="22"/>
      <c r="H2802" s="23">
        <v>5.8</v>
      </c>
      <c r="I2802" s="23">
        <v>2.9</v>
      </c>
      <c r="J2802" s="24">
        <v>5.8</v>
      </c>
      <c r="K2802" s="21">
        <v>0</v>
      </c>
      <c r="L2802" s="21">
        <v>0</v>
      </c>
      <c r="M2802" s="21">
        <f>COUNTIF($A$2:$A$5481,A2802)</f>
        <v>1</v>
      </c>
      <c r="N2802" s="24">
        <f t="shared" si="43"/>
        <v>5.8002802</v>
      </c>
    </row>
    <row r="2803" spans="1:14">
      <c r="A2803" s="21" t="s">
        <v>2957</v>
      </c>
      <c r="B2803" s="21" t="s">
        <v>920</v>
      </c>
      <c r="C2803" s="21" t="s">
        <v>26</v>
      </c>
      <c r="D2803" s="21" t="s">
        <v>921</v>
      </c>
      <c r="E2803" s="21">
        <v>1</v>
      </c>
      <c r="F2803" s="22">
        <v>45922.5696296296</v>
      </c>
      <c r="G2803" s="22"/>
      <c r="H2803" s="23">
        <v>22.84</v>
      </c>
      <c r="I2803" s="23">
        <v>22.84</v>
      </c>
      <c r="J2803" s="24">
        <v>22.84</v>
      </c>
      <c r="K2803" s="21">
        <v>0</v>
      </c>
      <c r="L2803" s="21">
        <v>0</v>
      </c>
      <c r="M2803" s="21">
        <f>COUNTIF($A$2:$A$5481,A2803)</f>
        <v>1</v>
      </c>
      <c r="N2803" s="24">
        <f t="shared" si="43"/>
        <v>22.8402803</v>
      </c>
    </row>
    <row r="2804" spans="1:14">
      <c r="A2804" s="21" t="s">
        <v>2958</v>
      </c>
      <c r="B2804" s="21" t="s">
        <v>920</v>
      </c>
      <c r="C2804" s="21" t="s">
        <v>26</v>
      </c>
      <c r="D2804" s="21" t="s">
        <v>921</v>
      </c>
      <c r="E2804" s="21">
        <v>1</v>
      </c>
      <c r="F2804" s="22">
        <v>45922.5660069444</v>
      </c>
      <c r="G2804" s="22"/>
      <c r="H2804" s="23">
        <v>29.9</v>
      </c>
      <c r="I2804" s="23">
        <v>29.9</v>
      </c>
      <c r="J2804" s="24">
        <v>29.9</v>
      </c>
      <c r="K2804" s="21">
        <v>0</v>
      </c>
      <c r="L2804" s="21">
        <v>0</v>
      </c>
      <c r="M2804" s="21">
        <f>COUNTIF($A$2:$A$5481,A2804)</f>
        <v>1</v>
      </c>
      <c r="N2804" s="24">
        <f t="shared" si="43"/>
        <v>29.9002804</v>
      </c>
    </row>
    <row r="2805" spans="1:14">
      <c r="A2805" s="21" t="s">
        <v>2959</v>
      </c>
      <c r="B2805" s="21" t="s">
        <v>920</v>
      </c>
      <c r="C2805" s="21" t="s">
        <v>35</v>
      </c>
      <c r="D2805" s="21" t="s">
        <v>921</v>
      </c>
      <c r="E2805" s="21">
        <v>0</v>
      </c>
      <c r="F2805" s="22">
        <v>45987.3845601852</v>
      </c>
      <c r="G2805" s="22">
        <v>46007.4199652778</v>
      </c>
      <c r="H2805" s="23">
        <v>460</v>
      </c>
      <c r="I2805" s="23">
        <v>460</v>
      </c>
      <c r="J2805" s="24">
        <v>0</v>
      </c>
      <c r="K2805" s="21">
        <v>0</v>
      </c>
      <c r="L2805" s="21">
        <v>0</v>
      </c>
      <c r="M2805" s="21">
        <f>COUNTIF($A$2:$A$5481,A2805)</f>
        <v>1</v>
      </c>
      <c r="N2805" s="24">
        <f t="shared" si="43"/>
        <v>0.0002805</v>
      </c>
    </row>
    <row r="2806" spans="1:14">
      <c r="A2806" s="21" t="s">
        <v>2960</v>
      </c>
      <c r="B2806" s="21" t="s">
        <v>949</v>
      </c>
      <c r="C2806" s="21" t="s">
        <v>26</v>
      </c>
      <c r="D2806" s="21" t="s">
        <v>921</v>
      </c>
      <c r="E2806" s="21">
        <v>1</v>
      </c>
      <c r="F2806" s="22">
        <v>45607.8067939815</v>
      </c>
      <c r="G2806" s="22"/>
      <c r="H2806" s="23">
        <v>45</v>
      </c>
      <c r="I2806" s="23">
        <v>45</v>
      </c>
      <c r="J2806" s="24">
        <v>45</v>
      </c>
      <c r="K2806" s="21">
        <v>0</v>
      </c>
      <c r="L2806" s="21">
        <v>0</v>
      </c>
      <c r="M2806" s="21">
        <f>COUNTIF($A$2:$A$5481,A2806)</f>
        <v>1</v>
      </c>
      <c r="N2806" s="24">
        <f t="shared" si="43"/>
        <v>45.0002806</v>
      </c>
    </row>
    <row r="2807" spans="1:14">
      <c r="A2807" s="21" t="s">
        <v>2961</v>
      </c>
      <c r="B2807" s="21" t="s">
        <v>949</v>
      </c>
      <c r="C2807" s="21" t="s">
        <v>182</v>
      </c>
      <c r="D2807" s="21" t="s">
        <v>921</v>
      </c>
      <c r="E2807" s="21">
        <v>6</v>
      </c>
      <c r="F2807" s="22">
        <v>45317.7875925926</v>
      </c>
      <c r="G2807" s="22"/>
      <c r="H2807" s="23">
        <v>41.94</v>
      </c>
      <c r="I2807" s="23">
        <v>6.99</v>
      </c>
      <c r="J2807" s="24">
        <v>41.94</v>
      </c>
      <c r="K2807" s="21">
        <v>0</v>
      </c>
      <c r="L2807" s="21">
        <v>0</v>
      </c>
      <c r="M2807" s="21">
        <f>COUNTIF($A$2:$A$5481,A2807)</f>
        <v>1</v>
      </c>
      <c r="N2807" s="24">
        <f t="shared" si="43"/>
        <v>41.9402807</v>
      </c>
    </row>
    <row r="2808" spans="1:14">
      <c r="A2808" s="21" t="s">
        <v>2962</v>
      </c>
      <c r="B2808" s="21" t="s">
        <v>949</v>
      </c>
      <c r="C2808" s="21" t="s">
        <v>182</v>
      </c>
      <c r="D2808" s="21" t="s">
        <v>1217</v>
      </c>
      <c r="E2808" s="21">
        <v>0</v>
      </c>
      <c r="F2808" s="22">
        <v>45355.6104166667</v>
      </c>
      <c r="G2808" s="22">
        <v>45357.4119212963</v>
      </c>
      <c r="H2808" s="23">
        <v>13.98</v>
      </c>
      <c r="I2808" s="23">
        <v>6.99</v>
      </c>
      <c r="J2808" s="24">
        <v>0</v>
      </c>
      <c r="K2808" s="21">
        <v>0</v>
      </c>
      <c r="L2808" s="21">
        <v>0</v>
      </c>
      <c r="M2808" s="21">
        <f>COUNTIF($A$2:$A$5481,A2808)</f>
        <v>2</v>
      </c>
      <c r="N2808" s="24">
        <f t="shared" si="43"/>
        <v>0.0002808</v>
      </c>
    </row>
    <row r="2809" spans="1:14">
      <c r="A2809" s="21" t="s">
        <v>2962</v>
      </c>
      <c r="B2809" s="21" t="s">
        <v>949</v>
      </c>
      <c r="C2809" s="21" t="s">
        <v>26</v>
      </c>
      <c r="D2809" s="21" t="s">
        <v>1217</v>
      </c>
      <c r="E2809" s="21">
        <v>20</v>
      </c>
      <c r="F2809" s="22">
        <v>45484.7950462963</v>
      </c>
      <c r="G2809" s="22">
        <v>45331.4256712963</v>
      </c>
      <c r="H2809" s="23">
        <v>23.6</v>
      </c>
      <c r="I2809" s="23">
        <v>6.836</v>
      </c>
      <c r="J2809" s="24">
        <v>136.8</v>
      </c>
      <c r="K2809" s="21">
        <v>0</v>
      </c>
      <c r="L2809" s="21">
        <v>0</v>
      </c>
      <c r="M2809" s="21">
        <f>COUNTIF($A$2:$A$5481,A2809)</f>
        <v>2</v>
      </c>
      <c r="N2809" s="24">
        <f t="shared" si="43"/>
        <v>136.8002809</v>
      </c>
    </row>
    <row r="2810" spans="1:14">
      <c r="A2810" s="21" t="s">
        <v>2963</v>
      </c>
      <c r="B2810" s="21" t="s">
        <v>949</v>
      </c>
      <c r="C2810" s="21" t="s">
        <v>26</v>
      </c>
      <c r="D2810" s="21" t="s">
        <v>921</v>
      </c>
      <c r="E2810" s="21">
        <v>24</v>
      </c>
      <c r="F2810" s="22">
        <v>46006.3757986111</v>
      </c>
      <c r="G2810" s="22"/>
      <c r="H2810" s="23">
        <v>108</v>
      </c>
      <c r="I2810" s="23">
        <v>4.5</v>
      </c>
      <c r="J2810" s="24">
        <v>108</v>
      </c>
      <c r="K2810" s="21">
        <v>0</v>
      </c>
      <c r="L2810" s="21">
        <v>0</v>
      </c>
      <c r="M2810" s="21">
        <f>COUNTIF($A$2:$A$5481,A2810)</f>
        <v>1</v>
      </c>
      <c r="N2810" s="24">
        <f t="shared" si="43"/>
        <v>108.000281</v>
      </c>
    </row>
    <row r="2811" spans="1:14">
      <c r="A2811" s="21" t="s">
        <v>2964</v>
      </c>
      <c r="B2811" s="21" t="s">
        <v>920</v>
      </c>
      <c r="C2811" s="21" t="s">
        <v>26</v>
      </c>
      <c r="D2811" s="21" t="s">
        <v>931</v>
      </c>
      <c r="E2811" s="21">
        <v>0</v>
      </c>
      <c r="F2811" s="22">
        <v>45715.8104166667</v>
      </c>
      <c r="G2811" s="22">
        <v>45733.3650578704</v>
      </c>
      <c r="H2811" s="23">
        <v>359.82</v>
      </c>
      <c r="I2811" s="23">
        <v>359.82</v>
      </c>
      <c r="J2811" s="24">
        <v>0</v>
      </c>
      <c r="K2811" s="21">
        <v>0</v>
      </c>
      <c r="L2811" s="21">
        <v>0</v>
      </c>
      <c r="M2811" s="21">
        <f>COUNTIF($A$2:$A$5481,A2811)</f>
        <v>1</v>
      </c>
      <c r="N2811" s="24">
        <f t="shared" si="43"/>
        <v>0.0002811</v>
      </c>
    </row>
    <row r="2812" spans="1:14">
      <c r="A2812" s="21" t="s">
        <v>2965</v>
      </c>
      <c r="B2812" s="21" t="s">
        <v>920</v>
      </c>
      <c r="C2812" s="21" t="s">
        <v>26</v>
      </c>
      <c r="D2812" s="21" t="s">
        <v>931</v>
      </c>
      <c r="E2812" s="21">
        <v>0</v>
      </c>
      <c r="F2812" s="22">
        <v>45866.5473263889</v>
      </c>
      <c r="G2812" s="22">
        <v>45867.4262268519</v>
      </c>
      <c r="H2812" s="23">
        <v>43</v>
      </c>
      <c r="I2812" s="23">
        <v>43</v>
      </c>
      <c r="J2812" s="24">
        <v>0</v>
      </c>
      <c r="K2812" s="21">
        <v>0</v>
      </c>
      <c r="L2812" s="21">
        <v>0</v>
      </c>
      <c r="M2812" s="21">
        <f>COUNTIF($A$2:$A$5481,A2812)</f>
        <v>1</v>
      </c>
      <c r="N2812" s="24">
        <f t="shared" si="43"/>
        <v>0.0002812</v>
      </c>
    </row>
    <row r="2813" spans="1:14">
      <c r="A2813" s="21" t="s">
        <v>2966</v>
      </c>
      <c r="B2813" s="21" t="s">
        <v>920</v>
      </c>
      <c r="C2813" s="21" t="s">
        <v>26</v>
      </c>
      <c r="D2813" s="21" t="s">
        <v>921</v>
      </c>
      <c r="E2813" s="21">
        <v>1</v>
      </c>
      <c r="F2813" s="22">
        <v>46099.5333333333</v>
      </c>
      <c r="G2813" s="22"/>
      <c r="H2813" s="23">
        <v>140</v>
      </c>
      <c r="I2813" s="23">
        <v>140</v>
      </c>
      <c r="J2813" s="24">
        <v>140</v>
      </c>
      <c r="K2813" s="21">
        <v>0</v>
      </c>
      <c r="L2813" s="21">
        <v>0</v>
      </c>
      <c r="M2813" s="21">
        <f>COUNTIF($A$2:$A$5481,A2813)</f>
        <v>1</v>
      </c>
      <c r="N2813" s="24">
        <f t="shared" si="43"/>
        <v>140.0002813</v>
      </c>
    </row>
    <row r="2814" spans="1:14">
      <c r="A2814" s="21" t="s">
        <v>2967</v>
      </c>
      <c r="B2814" s="21" t="s">
        <v>929</v>
      </c>
      <c r="C2814" s="21" t="s">
        <v>26</v>
      </c>
      <c r="D2814" s="21" t="s">
        <v>921</v>
      </c>
      <c r="E2814" s="21">
        <v>30</v>
      </c>
      <c r="F2814" s="22">
        <v>46248.5992824074</v>
      </c>
      <c r="G2814" s="22"/>
      <c r="H2814" s="23">
        <v>179.7</v>
      </c>
      <c r="I2814" s="23">
        <v>5.99</v>
      </c>
      <c r="J2814" s="24">
        <v>179.7</v>
      </c>
      <c r="K2814" s="21">
        <v>0</v>
      </c>
      <c r="L2814" s="21">
        <v>0</v>
      </c>
      <c r="M2814" s="21">
        <f>COUNTIF($A$2:$A$5481,A2814)</f>
        <v>1</v>
      </c>
      <c r="N2814" s="24">
        <f t="shared" si="43"/>
        <v>179.7002814</v>
      </c>
    </row>
    <row r="2815" spans="1:14">
      <c r="A2815" s="21" t="s">
        <v>2968</v>
      </c>
      <c r="B2815" s="21" t="s">
        <v>1346</v>
      </c>
      <c r="C2815" s="21" t="s">
        <v>182</v>
      </c>
      <c r="D2815" s="21" t="s">
        <v>921</v>
      </c>
      <c r="E2815" s="21">
        <v>3</v>
      </c>
      <c r="F2815" s="22">
        <v>45313.3527777778</v>
      </c>
      <c r="G2815" s="22"/>
      <c r="H2815" s="23">
        <v>894.6</v>
      </c>
      <c r="I2815" s="23">
        <v>298.2</v>
      </c>
      <c r="J2815" s="24">
        <v>894.6</v>
      </c>
      <c r="K2815" s="21">
        <v>0</v>
      </c>
      <c r="L2815" s="21">
        <v>0</v>
      </c>
      <c r="M2815" s="21">
        <f>COUNTIF($A$2:$A$5481,A2815)</f>
        <v>1</v>
      </c>
      <c r="N2815" s="24">
        <f t="shared" si="43"/>
        <v>894.6002815</v>
      </c>
    </row>
    <row r="2816" spans="1:14">
      <c r="A2816" s="21" t="s">
        <v>2969</v>
      </c>
      <c r="B2816" s="21" t="s">
        <v>920</v>
      </c>
      <c r="C2816" s="21" t="s">
        <v>26</v>
      </c>
      <c r="D2816" s="21" t="s">
        <v>921</v>
      </c>
      <c r="E2816" s="21">
        <v>1</v>
      </c>
      <c r="F2816" s="22">
        <v>46220.5863541667</v>
      </c>
      <c r="G2816" s="22"/>
      <c r="H2816" s="23">
        <v>620</v>
      </c>
      <c r="I2816" s="23">
        <v>620</v>
      </c>
      <c r="J2816" s="24">
        <v>620</v>
      </c>
      <c r="K2816" s="21">
        <v>0</v>
      </c>
      <c r="L2816" s="21">
        <v>0</v>
      </c>
      <c r="M2816" s="21">
        <f>COUNTIF($A$2:$A$5481,A2816)</f>
        <v>1</v>
      </c>
      <c r="N2816" s="24">
        <f t="shared" si="43"/>
        <v>620.0002816</v>
      </c>
    </row>
    <row r="2817" spans="1:14">
      <c r="A2817" s="21" t="s">
        <v>2970</v>
      </c>
      <c r="B2817" s="21" t="s">
        <v>929</v>
      </c>
      <c r="C2817" s="21" t="s">
        <v>26</v>
      </c>
      <c r="D2817" s="21" t="s">
        <v>921</v>
      </c>
      <c r="E2817" s="21">
        <v>1</v>
      </c>
      <c r="F2817" s="22">
        <v>45799.4346990741</v>
      </c>
      <c r="G2817" s="22"/>
      <c r="H2817" s="23">
        <v>71.71</v>
      </c>
      <c r="I2817" s="23">
        <v>71.71</v>
      </c>
      <c r="J2817" s="24">
        <v>71.71</v>
      </c>
      <c r="K2817" s="21">
        <v>0</v>
      </c>
      <c r="L2817" s="21">
        <v>0</v>
      </c>
      <c r="M2817" s="21">
        <f>COUNTIF($A$2:$A$5481,A2817)</f>
        <v>1</v>
      </c>
      <c r="N2817" s="24">
        <f t="shared" si="43"/>
        <v>71.7102817</v>
      </c>
    </row>
    <row r="2818" spans="1:14">
      <c r="A2818" s="21" t="s">
        <v>2971</v>
      </c>
      <c r="B2818" s="21" t="s">
        <v>929</v>
      </c>
      <c r="C2818" s="21" t="s">
        <v>414</v>
      </c>
      <c r="D2818" s="21" t="s">
        <v>921</v>
      </c>
      <c r="E2818" s="21">
        <v>2</v>
      </c>
      <c r="F2818" s="22">
        <v>45321.4652777778</v>
      </c>
      <c r="G2818" s="22">
        <v>45310.4118055556</v>
      </c>
      <c r="H2818" s="23">
        <v>60.5</v>
      </c>
      <c r="I2818" s="23">
        <v>30.25</v>
      </c>
      <c r="J2818" s="24">
        <v>60.5</v>
      </c>
      <c r="K2818" s="21">
        <v>0</v>
      </c>
      <c r="L2818" s="21">
        <v>0</v>
      </c>
      <c r="M2818" s="21">
        <f>COUNTIF($A$2:$A$5481,A2818)</f>
        <v>1</v>
      </c>
      <c r="N2818" s="24">
        <f t="shared" ref="N2818:N2881" si="44">J2818+ROW()/10000000</f>
        <v>60.5002818</v>
      </c>
    </row>
    <row r="2819" spans="1:14">
      <c r="A2819" s="21" t="s">
        <v>2972</v>
      </c>
      <c r="B2819" s="21" t="s">
        <v>929</v>
      </c>
      <c r="C2819" s="21" t="s">
        <v>414</v>
      </c>
      <c r="D2819" s="21" t="s">
        <v>921</v>
      </c>
      <c r="E2819" s="21">
        <v>4</v>
      </c>
      <c r="F2819" s="22">
        <v>45308.8221990741</v>
      </c>
      <c r="G2819" s="22"/>
      <c r="H2819" s="23">
        <v>55.4</v>
      </c>
      <c r="I2819" s="23">
        <v>13.85</v>
      </c>
      <c r="J2819" s="24">
        <v>55.4</v>
      </c>
      <c r="K2819" s="21">
        <v>0</v>
      </c>
      <c r="L2819" s="21">
        <v>0</v>
      </c>
      <c r="M2819" s="21">
        <f>COUNTIF($A$2:$A$5481,A2819)</f>
        <v>2</v>
      </c>
      <c r="N2819" s="24">
        <f t="shared" si="44"/>
        <v>55.4002819</v>
      </c>
    </row>
    <row r="2820" spans="1:14">
      <c r="A2820" s="21" t="s">
        <v>2972</v>
      </c>
      <c r="B2820" s="21" t="s">
        <v>929</v>
      </c>
      <c r="C2820" s="21" t="s">
        <v>26</v>
      </c>
      <c r="D2820" s="21" t="s">
        <v>921</v>
      </c>
      <c r="E2820" s="21">
        <v>2</v>
      </c>
      <c r="F2820" s="22">
        <v>45967.5721990741</v>
      </c>
      <c r="G2820" s="22"/>
      <c r="H2820" s="23">
        <v>29.82</v>
      </c>
      <c r="I2820" s="23">
        <v>14.91</v>
      </c>
      <c r="J2820" s="24">
        <v>29.82</v>
      </c>
      <c r="K2820" s="21">
        <v>0</v>
      </c>
      <c r="L2820" s="21">
        <v>0</v>
      </c>
      <c r="M2820" s="21">
        <f>COUNTIF($A$2:$A$5481,A2820)</f>
        <v>2</v>
      </c>
      <c r="N2820" s="24">
        <f t="shared" si="44"/>
        <v>29.820282</v>
      </c>
    </row>
    <row r="2821" spans="1:14">
      <c r="A2821" s="21" t="s">
        <v>2973</v>
      </c>
      <c r="B2821" s="21" t="s">
        <v>929</v>
      </c>
      <c r="C2821" s="21" t="s">
        <v>414</v>
      </c>
      <c r="D2821" s="21" t="s">
        <v>921</v>
      </c>
      <c r="E2821" s="21">
        <v>2</v>
      </c>
      <c r="F2821" s="22">
        <v>45321.4652777778</v>
      </c>
      <c r="G2821" s="22"/>
      <c r="H2821" s="23">
        <v>16.66</v>
      </c>
      <c r="I2821" s="23">
        <v>8.33</v>
      </c>
      <c r="J2821" s="24">
        <v>16.66</v>
      </c>
      <c r="K2821" s="21">
        <v>0</v>
      </c>
      <c r="L2821" s="21">
        <v>0</v>
      </c>
      <c r="M2821" s="21">
        <f>COUNTIF($A$2:$A$5481,A2821)</f>
        <v>2</v>
      </c>
      <c r="N2821" s="24">
        <f t="shared" si="44"/>
        <v>16.6602821</v>
      </c>
    </row>
    <row r="2822" spans="1:14">
      <c r="A2822" s="21" t="s">
        <v>2973</v>
      </c>
      <c r="B2822" s="21" t="s">
        <v>929</v>
      </c>
      <c r="C2822" s="21" t="s">
        <v>26</v>
      </c>
      <c r="D2822" s="21" t="s">
        <v>921</v>
      </c>
      <c r="E2822" s="21">
        <v>1</v>
      </c>
      <c r="F2822" s="22">
        <v>45937.7960763889</v>
      </c>
      <c r="G2822" s="22"/>
      <c r="H2822" s="23">
        <v>4.16</v>
      </c>
      <c r="I2822" s="23">
        <v>4.16</v>
      </c>
      <c r="J2822" s="24">
        <v>4.16</v>
      </c>
      <c r="K2822" s="21">
        <v>0</v>
      </c>
      <c r="L2822" s="21">
        <v>0</v>
      </c>
      <c r="M2822" s="21">
        <f>COUNTIF($A$2:$A$5481,A2822)</f>
        <v>2</v>
      </c>
      <c r="N2822" s="24">
        <f t="shared" si="44"/>
        <v>4.1602822</v>
      </c>
    </row>
    <row r="2823" spans="1:14">
      <c r="A2823" s="21" t="s">
        <v>2974</v>
      </c>
      <c r="B2823" s="21" t="s">
        <v>929</v>
      </c>
      <c r="C2823" s="21" t="s">
        <v>414</v>
      </c>
      <c r="D2823" s="21" t="s">
        <v>921</v>
      </c>
      <c r="E2823" s="21">
        <v>0</v>
      </c>
      <c r="F2823" s="22">
        <v>45308.6813657407</v>
      </c>
      <c r="G2823" s="22">
        <v>45310.4118287037</v>
      </c>
      <c r="H2823" s="23">
        <v>77.58</v>
      </c>
      <c r="I2823" s="23">
        <v>12.93</v>
      </c>
      <c r="J2823" s="24">
        <v>0</v>
      </c>
      <c r="K2823" s="21">
        <v>0</v>
      </c>
      <c r="L2823" s="21">
        <v>0</v>
      </c>
      <c r="M2823" s="21">
        <f>COUNTIF($A$2:$A$5481,A2823)</f>
        <v>2</v>
      </c>
      <c r="N2823" s="24">
        <f t="shared" si="44"/>
        <v>0.0002823</v>
      </c>
    </row>
    <row r="2824" spans="1:14">
      <c r="A2824" s="21" t="s">
        <v>2974</v>
      </c>
      <c r="B2824" s="21" t="s">
        <v>929</v>
      </c>
      <c r="C2824" s="21" t="s">
        <v>26</v>
      </c>
      <c r="D2824" s="21" t="s">
        <v>921</v>
      </c>
      <c r="E2824" s="21">
        <v>6</v>
      </c>
      <c r="F2824" s="22">
        <v>45366.4652777778</v>
      </c>
      <c r="G2824" s="22"/>
      <c r="H2824" s="23">
        <v>25.86</v>
      </c>
      <c r="I2824" s="23">
        <v>14.43</v>
      </c>
      <c r="J2824" s="24">
        <v>86.58</v>
      </c>
      <c r="K2824" s="21">
        <v>0</v>
      </c>
      <c r="L2824" s="21">
        <v>0</v>
      </c>
      <c r="M2824" s="21">
        <f>COUNTIF($A$2:$A$5481,A2824)</f>
        <v>2</v>
      </c>
      <c r="N2824" s="24">
        <f t="shared" si="44"/>
        <v>86.5802824</v>
      </c>
    </row>
    <row r="2825" spans="1:14">
      <c r="A2825" s="21" t="s">
        <v>2975</v>
      </c>
      <c r="B2825" s="21" t="s">
        <v>929</v>
      </c>
      <c r="C2825" s="21" t="s">
        <v>414</v>
      </c>
      <c r="D2825" s="21" t="s">
        <v>921</v>
      </c>
      <c r="E2825" s="21">
        <v>10</v>
      </c>
      <c r="F2825" s="22">
        <v>45301.811875</v>
      </c>
      <c r="G2825" s="22"/>
      <c r="H2825" s="23">
        <v>78.3</v>
      </c>
      <c r="I2825" s="23">
        <v>7.83</v>
      </c>
      <c r="J2825" s="24">
        <v>78.3</v>
      </c>
      <c r="K2825" s="21">
        <v>0</v>
      </c>
      <c r="L2825" s="21">
        <v>20</v>
      </c>
      <c r="M2825" s="21">
        <f>COUNTIF($A$2:$A$5481,A2825)</f>
        <v>2</v>
      </c>
      <c r="N2825" s="24">
        <f t="shared" si="44"/>
        <v>78.3002825</v>
      </c>
    </row>
    <row r="2826" spans="1:14">
      <c r="A2826" s="21" t="s">
        <v>2975</v>
      </c>
      <c r="B2826" s="21" t="s">
        <v>929</v>
      </c>
      <c r="C2826" s="21" t="s">
        <v>26</v>
      </c>
      <c r="D2826" s="21" t="s">
        <v>921</v>
      </c>
      <c r="E2826" s="21">
        <v>4</v>
      </c>
      <c r="F2826" s="22">
        <v>45967.5721990741</v>
      </c>
      <c r="G2826" s="22"/>
      <c r="H2826" s="23">
        <v>12.44</v>
      </c>
      <c r="I2826" s="23">
        <v>3.11</v>
      </c>
      <c r="J2826" s="24">
        <v>12.44</v>
      </c>
      <c r="K2826" s="21">
        <v>0</v>
      </c>
      <c r="L2826" s="21">
        <v>20</v>
      </c>
      <c r="M2826" s="21">
        <f>COUNTIF($A$2:$A$5481,A2826)</f>
        <v>2</v>
      </c>
      <c r="N2826" s="24">
        <f t="shared" si="44"/>
        <v>12.4402826</v>
      </c>
    </row>
    <row r="2827" spans="1:14">
      <c r="A2827" s="21" t="s">
        <v>2976</v>
      </c>
      <c r="B2827" s="21" t="s">
        <v>929</v>
      </c>
      <c r="C2827" s="21" t="s">
        <v>26</v>
      </c>
      <c r="D2827" s="21" t="s">
        <v>921</v>
      </c>
      <c r="E2827" s="21">
        <v>3</v>
      </c>
      <c r="F2827" s="22">
        <v>45967.5721990741</v>
      </c>
      <c r="G2827" s="22"/>
      <c r="H2827" s="23">
        <v>105.75</v>
      </c>
      <c r="I2827" s="23">
        <v>35.25</v>
      </c>
      <c r="J2827" s="24">
        <v>105.75</v>
      </c>
      <c r="K2827" s="21">
        <v>0</v>
      </c>
      <c r="L2827" s="21">
        <v>0</v>
      </c>
      <c r="M2827" s="21">
        <f>COUNTIF($A$2:$A$5481,A2827)</f>
        <v>1</v>
      </c>
      <c r="N2827" s="24">
        <f t="shared" si="44"/>
        <v>105.7502827</v>
      </c>
    </row>
    <row r="2828" spans="1:14">
      <c r="A2828" s="21" t="s">
        <v>2977</v>
      </c>
      <c r="B2828" s="21" t="s">
        <v>929</v>
      </c>
      <c r="C2828" s="21" t="s">
        <v>414</v>
      </c>
      <c r="D2828" s="21" t="s">
        <v>921</v>
      </c>
      <c r="E2828" s="21">
        <v>8</v>
      </c>
      <c r="F2828" s="22">
        <v>45321.4652777778</v>
      </c>
      <c r="G2828" s="22"/>
      <c r="H2828" s="23">
        <v>171.36</v>
      </c>
      <c r="I2828" s="23">
        <v>21.42</v>
      </c>
      <c r="J2828" s="24">
        <v>171.36</v>
      </c>
      <c r="K2828" s="21">
        <v>0</v>
      </c>
      <c r="L2828" s="21">
        <v>0</v>
      </c>
      <c r="M2828" s="21">
        <f>COUNTIF($A$2:$A$5481,A2828)</f>
        <v>1</v>
      </c>
      <c r="N2828" s="24">
        <f t="shared" si="44"/>
        <v>171.3602828</v>
      </c>
    </row>
    <row r="2829" spans="1:14">
      <c r="A2829" s="21" t="s">
        <v>2978</v>
      </c>
      <c r="B2829" s="21" t="s">
        <v>929</v>
      </c>
      <c r="C2829" s="21" t="s">
        <v>414</v>
      </c>
      <c r="D2829" s="21" t="s">
        <v>921</v>
      </c>
      <c r="E2829" s="21">
        <v>4</v>
      </c>
      <c r="F2829" s="22">
        <v>45321.4652777778</v>
      </c>
      <c r="G2829" s="22">
        <v>45310.4118634259</v>
      </c>
      <c r="H2829" s="23">
        <v>43.48</v>
      </c>
      <c r="I2829" s="23">
        <v>10.87</v>
      </c>
      <c r="J2829" s="24">
        <v>43.48</v>
      </c>
      <c r="K2829" s="21">
        <v>0</v>
      </c>
      <c r="L2829" s="21">
        <v>0</v>
      </c>
      <c r="M2829" s="21">
        <f>COUNTIF($A$2:$A$5481,A2829)</f>
        <v>2</v>
      </c>
      <c r="N2829" s="24">
        <f t="shared" si="44"/>
        <v>43.4802829</v>
      </c>
    </row>
    <row r="2830" spans="1:14">
      <c r="A2830" s="21" t="s">
        <v>2978</v>
      </c>
      <c r="B2830" s="21" t="s">
        <v>929</v>
      </c>
      <c r="C2830" s="21" t="s">
        <v>26</v>
      </c>
      <c r="D2830" s="21" t="s">
        <v>921</v>
      </c>
      <c r="E2830" s="21">
        <v>7</v>
      </c>
      <c r="F2830" s="22">
        <v>45967.5721990741</v>
      </c>
      <c r="G2830" s="22"/>
      <c r="H2830" s="23">
        <v>32.64</v>
      </c>
      <c r="I2830" s="23">
        <v>16.6971428571</v>
      </c>
      <c r="J2830" s="24">
        <v>116.9</v>
      </c>
      <c r="K2830" s="21">
        <v>0</v>
      </c>
      <c r="L2830" s="21">
        <v>0</v>
      </c>
      <c r="M2830" s="21">
        <f>COUNTIF($A$2:$A$5481,A2830)</f>
        <v>2</v>
      </c>
      <c r="N2830" s="24">
        <f t="shared" si="44"/>
        <v>116.900283</v>
      </c>
    </row>
    <row r="2831" spans="1:14">
      <c r="A2831" s="21" t="s">
        <v>2979</v>
      </c>
      <c r="B2831" s="21" t="s">
        <v>929</v>
      </c>
      <c r="C2831" s="21" t="s">
        <v>414</v>
      </c>
      <c r="D2831" s="21" t="s">
        <v>921</v>
      </c>
      <c r="E2831" s="21">
        <v>0</v>
      </c>
      <c r="F2831" s="22">
        <v>45308.6813657407</v>
      </c>
      <c r="G2831" s="22">
        <v>45310.4118518519</v>
      </c>
      <c r="H2831" s="23">
        <v>62.82</v>
      </c>
      <c r="I2831" s="23">
        <v>10.47</v>
      </c>
      <c r="J2831" s="24">
        <v>0</v>
      </c>
      <c r="K2831" s="21">
        <v>0</v>
      </c>
      <c r="L2831" s="21">
        <v>0</v>
      </c>
      <c r="M2831" s="21">
        <f>COUNTIF($A$2:$A$5481,A2831)</f>
        <v>1</v>
      </c>
      <c r="N2831" s="24">
        <f t="shared" si="44"/>
        <v>0.0002831</v>
      </c>
    </row>
    <row r="2832" spans="1:14">
      <c r="A2832" s="21" t="s">
        <v>2980</v>
      </c>
      <c r="B2832" s="21" t="s">
        <v>929</v>
      </c>
      <c r="C2832" s="21" t="s">
        <v>414</v>
      </c>
      <c r="D2832" s="21" t="s">
        <v>921</v>
      </c>
      <c r="E2832" s="21">
        <v>0</v>
      </c>
      <c r="F2832" s="22">
        <v>45308.68125</v>
      </c>
      <c r="G2832" s="22">
        <v>45310.411875</v>
      </c>
      <c r="H2832" s="23">
        <v>23.3</v>
      </c>
      <c r="I2832" s="23">
        <v>11.65</v>
      </c>
      <c r="J2832" s="24">
        <v>0</v>
      </c>
      <c r="K2832" s="21">
        <v>0</v>
      </c>
      <c r="L2832" s="21">
        <v>0</v>
      </c>
      <c r="M2832" s="21">
        <f>COUNTIF($A$2:$A$5481,A2832)</f>
        <v>1</v>
      </c>
      <c r="N2832" s="24">
        <f t="shared" si="44"/>
        <v>0.0002832</v>
      </c>
    </row>
    <row r="2833" spans="1:14">
      <c r="A2833" s="21" t="s">
        <v>2981</v>
      </c>
      <c r="B2833" s="21" t="s">
        <v>929</v>
      </c>
      <c r="C2833" s="21" t="s">
        <v>414</v>
      </c>
      <c r="D2833" s="21" t="s">
        <v>921</v>
      </c>
      <c r="E2833" s="21">
        <v>0</v>
      </c>
      <c r="F2833" s="22">
        <v>45308.6813657407</v>
      </c>
      <c r="G2833" s="22">
        <v>45310.4118171296</v>
      </c>
      <c r="H2833" s="23">
        <v>39.6</v>
      </c>
      <c r="I2833" s="23">
        <v>9.9</v>
      </c>
      <c r="J2833" s="24">
        <v>0</v>
      </c>
      <c r="K2833" s="21">
        <v>0</v>
      </c>
      <c r="L2833" s="21">
        <v>0</v>
      </c>
      <c r="M2833" s="21">
        <f>COUNTIF($A$2:$A$5481,A2833)</f>
        <v>2</v>
      </c>
      <c r="N2833" s="24">
        <f t="shared" si="44"/>
        <v>0.0002833</v>
      </c>
    </row>
    <row r="2834" spans="1:14">
      <c r="A2834" s="21" t="s">
        <v>2981</v>
      </c>
      <c r="B2834" s="21" t="s">
        <v>929</v>
      </c>
      <c r="C2834" s="21" t="s">
        <v>26</v>
      </c>
      <c r="D2834" s="21" t="s">
        <v>921</v>
      </c>
      <c r="E2834" s="21">
        <v>1</v>
      </c>
      <c r="F2834" s="22">
        <v>46239.5992013889</v>
      </c>
      <c r="G2834" s="22">
        <v>45327.4688773148</v>
      </c>
      <c r="H2834" s="23">
        <v>22.24</v>
      </c>
      <c r="I2834" s="23">
        <v>22.24</v>
      </c>
      <c r="J2834" s="24">
        <v>22.24</v>
      </c>
      <c r="K2834" s="21">
        <v>0</v>
      </c>
      <c r="L2834" s="21">
        <v>0</v>
      </c>
      <c r="M2834" s="21">
        <f>COUNTIF($A$2:$A$5481,A2834)</f>
        <v>2</v>
      </c>
      <c r="N2834" s="24">
        <f t="shared" si="44"/>
        <v>22.2402834</v>
      </c>
    </row>
    <row r="2835" spans="1:14">
      <c r="A2835" s="21" t="s">
        <v>2982</v>
      </c>
      <c r="B2835" s="21" t="s">
        <v>929</v>
      </c>
      <c r="C2835" s="21" t="s">
        <v>414</v>
      </c>
      <c r="D2835" s="21" t="s">
        <v>921</v>
      </c>
      <c r="E2835" s="21">
        <v>0</v>
      </c>
      <c r="F2835" s="22">
        <v>45308.68125</v>
      </c>
      <c r="G2835" s="22">
        <v>45310.4118402778</v>
      </c>
      <c r="H2835" s="23">
        <v>18.71</v>
      </c>
      <c r="I2835" s="23">
        <v>18.71</v>
      </c>
      <c r="J2835" s="24">
        <v>0</v>
      </c>
      <c r="K2835" s="21">
        <v>0</v>
      </c>
      <c r="L2835" s="21">
        <v>0</v>
      </c>
      <c r="M2835" s="21">
        <f>COUNTIF($A$2:$A$5481,A2835)</f>
        <v>1</v>
      </c>
      <c r="N2835" s="24">
        <f t="shared" si="44"/>
        <v>0.0002835</v>
      </c>
    </row>
    <row r="2836" spans="1:14">
      <c r="A2836" s="21" t="s">
        <v>2983</v>
      </c>
      <c r="B2836" s="21" t="s">
        <v>929</v>
      </c>
      <c r="C2836" s="21" t="s">
        <v>414</v>
      </c>
      <c r="D2836" s="21" t="s">
        <v>921</v>
      </c>
      <c r="E2836" s="21">
        <v>1</v>
      </c>
      <c r="F2836" s="22">
        <v>45313.5755324074</v>
      </c>
      <c r="G2836" s="22"/>
      <c r="H2836" s="23">
        <v>24.41</v>
      </c>
      <c r="I2836" s="23">
        <v>24.41</v>
      </c>
      <c r="J2836" s="24">
        <v>24.41</v>
      </c>
      <c r="K2836" s="21">
        <v>0</v>
      </c>
      <c r="L2836" s="21">
        <v>0</v>
      </c>
      <c r="M2836" s="21">
        <f>COUNTIF($A$2:$A$5481,A2836)</f>
        <v>1</v>
      </c>
      <c r="N2836" s="24">
        <f t="shared" si="44"/>
        <v>24.4102836</v>
      </c>
    </row>
    <row r="2837" spans="1:14">
      <c r="A2837" s="21" t="s">
        <v>2984</v>
      </c>
      <c r="B2837" s="21" t="s">
        <v>929</v>
      </c>
      <c r="C2837" s="21" t="s">
        <v>414</v>
      </c>
      <c r="D2837" s="21" t="s">
        <v>921</v>
      </c>
      <c r="E2837" s="21">
        <v>1</v>
      </c>
      <c r="F2837" s="22">
        <v>45321.4652777778</v>
      </c>
      <c r="G2837" s="22"/>
      <c r="H2837" s="23">
        <v>22.68</v>
      </c>
      <c r="I2837" s="23">
        <v>22.68</v>
      </c>
      <c r="J2837" s="24">
        <v>22.68</v>
      </c>
      <c r="K2837" s="21">
        <v>0</v>
      </c>
      <c r="L2837" s="21">
        <v>0</v>
      </c>
      <c r="M2837" s="21">
        <f>COUNTIF($A$2:$A$5481,A2837)</f>
        <v>1</v>
      </c>
      <c r="N2837" s="24">
        <f t="shared" si="44"/>
        <v>22.6802837</v>
      </c>
    </row>
    <row r="2838" spans="1:14">
      <c r="A2838" s="21" t="s">
        <v>2985</v>
      </c>
      <c r="B2838" s="21" t="s">
        <v>929</v>
      </c>
      <c r="C2838" s="21" t="s">
        <v>26</v>
      </c>
      <c r="D2838" s="21" t="s">
        <v>921</v>
      </c>
      <c r="E2838" s="21">
        <v>1</v>
      </c>
      <c r="F2838" s="22">
        <v>45803.3540393519</v>
      </c>
      <c r="G2838" s="22"/>
      <c r="H2838" s="23">
        <v>89.9</v>
      </c>
      <c r="I2838" s="23">
        <v>89.9</v>
      </c>
      <c r="J2838" s="24">
        <v>89.9</v>
      </c>
      <c r="K2838" s="21">
        <v>0</v>
      </c>
      <c r="L2838" s="21">
        <v>0</v>
      </c>
      <c r="M2838" s="21">
        <f>COUNTIF($A$2:$A$5481,A2838)</f>
        <v>1</v>
      </c>
      <c r="N2838" s="24">
        <f t="shared" si="44"/>
        <v>89.9002838</v>
      </c>
    </row>
    <row r="2839" spans="1:14">
      <c r="A2839" s="21" t="s">
        <v>2986</v>
      </c>
      <c r="B2839" s="21" t="s">
        <v>929</v>
      </c>
      <c r="C2839" s="21" t="s">
        <v>26</v>
      </c>
      <c r="D2839" s="21" t="s">
        <v>921</v>
      </c>
      <c r="E2839" s="21">
        <v>1</v>
      </c>
      <c r="F2839" s="22">
        <v>45803.3473032407</v>
      </c>
      <c r="G2839" s="22"/>
      <c r="H2839" s="23">
        <v>121.06</v>
      </c>
      <c r="I2839" s="23">
        <v>121.06</v>
      </c>
      <c r="J2839" s="24">
        <v>121.06</v>
      </c>
      <c r="K2839" s="21">
        <v>0</v>
      </c>
      <c r="L2839" s="21">
        <v>0</v>
      </c>
      <c r="M2839" s="21">
        <f>COUNTIF($A$2:$A$5481,A2839)</f>
        <v>1</v>
      </c>
      <c r="N2839" s="24">
        <f t="shared" si="44"/>
        <v>121.0602839</v>
      </c>
    </row>
    <row r="2840" spans="1:14">
      <c r="A2840" s="21" t="s">
        <v>2987</v>
      </c>
      <c r="B2840" s="21" t="s">
        <v>929</v>
      </c>
      <c r="C2840" s="21" t="s">
        <v>26</v>
      </c>
      <c r="D2840" s="21" t="s">
        <v>921</v>
      </c>
      <c r="E2840" s="21">
        <v>1</v>
      </c>
      <c r="F2840" s="22">
        <v>45803.3540393519</v>
      </c>
      <c r="G2840" s="22"/>
      <c r="H2840" s="23">
        <v>97.53</v>
      </c>
      <c r="I2840" s="23">
        <v>97.53</v>
      </c>
      <c r="J2840" s="24">
        <v>97.53</v>
      </c>
      <c r="K2840" s="21">
        <v>0</v>
      </c>
      <c r="L2840" s="21">
        <v>0</v>
      </c>
      <c r="M2840" s="21">
        <f>COUNTIF($A$2:$A$5481,A2840)</f>
        <v>1</v>
      </c>
      <c r="N2840" s="24">
        <f t="shared" si="44"/>
        <v>97.530284</v>
      </c>
    </row>
    <row r="2841" spans="1:14">
      <c r="A2841" s="21" t="s">
        <v>2988</v>
      </c>
      <c r="B2841" s="21" t="s">
        <v>26</v>
      </c>
      <c r="C2841" s="21" t="s">
        <v>26</v>
      </c>
      <c r="D2841" s="21" t="s">
        <v>921</v>
      </c>
      <c r="E2841" s="21">
        <v>1</v>
      </c>
      <c r="F2841" s="22">
        <v>45646.4171990741</v>
      </c>
      <c r="G2841" s="22"/>
      <c r="H2841" s="23">
        <v>4250</v>
      </c>
      <c r="I2841" s="23">
        <v>4250</v>
      </c>
      <c r="J2841" s="24">
        <v>4250</v>
      </c>
      <c r="K2841" s="21">
        <v>0</v>
      </c>
      <c r="L2841" s="21">
        <v>0</v>
      </c>
      <c r="M2841" s="21">
        <f>COUNTIF($A$2:$A$5481,A2841)</f>
        <v>1</v>
      </c>
      <c r="N2841" s="24">
        <f t="shared" si="44"/>
        <v>4250.0002841</v>
      </c>
    </row>
    <row r="2842" spans="1:14">
      <c r="A2842" s="21" t="s">
        <v>2989</v>
      </c>
      <c r="B2842" s="21" t="s">
        <v>926</v>
      </c>
      <c r="C2842" s="21" t="s">
        <v>38</v>
      </c>
      <c r="D2842" s="21" t="s">
        <v>1309</v>
      </c>
      <c r="E2842" s="21">
        <v>1</v>
      </c>
      <c r="F2842" s="22">
        <v>45919.3923148148</v>
      </c>
      <c r="G2842" s="22"/>
      <c r="H2842" s="23">
        <v>119.35</v>
      </c>
      <c r="I2842" s="23">
        <v>119.35</v>
      </c>
      <c r="J2842" s="24">
        <v>119.35</v>
      </c>
      <c r="K2842" s="21">
        <v>0</v>
      </c>
      <c r="L2842" s="21">
        <v>0</v>
      </c>
      <c r="M2842" s="21">
        <f>COUNTIF($A$2:$A$5481,A2842)</f>
        <v>1</v>
      </c>
      <c r="N2842" s="24">
        <f t="shared" si="44"/>
        <v>119.3502842</v>
      </c>
    </row>
    <row r="2843" spans="1:14">
      <c r="A2843" s="21" t="s">
        <v>2990</v>
      </c>
      <c r="B2843" s="21" t="s">
        <v>920</v>
      </c>
      <c r="C2843" s="21" t="s">
        <v>35</v>
      </c>
      <c r="D2843" s="21" t="s">
        <v>921</v>
      </c>
      <c r="E2843" s="21">
        <v>50</v>
      </c>
      <c r="F2843" s="22">
        <v>45313.7501157407</v>
      </c>
      <c r="G2843" s="22"/>
      <c r="H2843" s="23">
        <v>34.67</v>
      </c>
      <c r="I2843" s="23">
        <v>0.6934</v>
      </c>
      <c r="J2843" s="24">
        <v>34.5</v>
      </c>
      <c r="K2843" s="21">
        <v>0</v>
      </c>
      <c r="L2843" s="21">
        <v>0</v>
      </c>
      <c r="M2843" s="21">
        <f>COUNTIF($A$2:$A$5481,A2843)</f>
        <v>2</v>
      </c>
      <c r="N2843" s="24">
        <f t="shared" si="44"/>
        <v>34.5002843</v>
      </c>
    </row>
    <row r="2844" spans="1:14">
      <c r="A2844" s="21" t="s">
        <v>2990</v>
      </c>
      <c r="B2844" s="21" t="s">
        <v>920</v>
      </c>
      <c r="C2844" s="21" t="s">
        <v>26</v>
      </c>
      <c r="D2844" s="21" t="s">
        <v>921</v>
      </c>
      <c r="E2844" s="21">
        <v>100</v>
      </c>
      <c r="F2844" s="22">
        <v>45526.4375810185</v>
      </c>
      <c r="G2844" s="22"/>
      <c r="H2844" s="23">
        <v>75</v>
      </c>
      <c r="I2844" s="23">
        <v>0.75</v>
      </c>
      <c r="J2844" s="24">
        <v>75</v>
      </c>
      <c r="K2844" s="21">
        <v>0</v>
      </c>
      <c r="L2844" s="21">
        <v>0</v>
      </c>
      <c r="M2844" s="21">
        <f>COUNTIF($A$2:$A$5481,A2844)</f>
        <v>2</v>
      </c>
      <c r="N2844" s="24">
        <f t="shared" si="44"/>
        <v>75.0002844</v>
      </c>
    </row>
    <row r="2845" spans="1:14">
      <c r="A2845" s="21" t="s">
        <v>2991</v>
      </c>
      <c r="B2845" s="21" t="s">
        <v>920</v>
      </c>
      <c r="C2845" s="21" t="s">
        <v>35</v>
      </c>
      <c r="D2845" s="21" t="s">
        <v>921</v>
      </c>
      <c r="E2845" s="21">
        <v>50</v>
      </c>
      <c r="F2845" s="22">
        <v>45313.7501157407</v>
      </c>
      <c r="G2845" s="22"/>
      <c r="H2845" s="23">
        <v>34.67</v>
      </c>
      <c r="I2845" s="23">
        <v>0.6934</v>
      </c>
      <c r="J2845" s="24">
        <v>34.5</v>
      </c>
      <c r="K2845" s="21">
        <v>0</v>
      </c>
      <c r="L2845" s="21">
        <v>0</v>
      </c>
      <c r="M2845" s="21">
        <f>COUNTIF($A$2:$A$5481,A2845)</f>
        <v>2</v>
      </c>
      <c r="N2845" s="24">
        <f t="shared" si="44"/>
        <v>34.5002845</v>
      </c>
    </row>
    <row r="2846" spans="1:14">
      <c r="A2846" s="21" t="s">
        <v>2991</v>
      </c>
      <c r="B2846" s="21" t="s">
        <v>920</v>
      </c>
      <c r="C2846" s="21" t="s">
        <v>26</v>
      </c>
      <c r="D2846" s="21" t="s">
        <v>921</v>
      </c>
      <c r="E2846" s="21">
        <v>150</v>
      </c>
      <c r="F2846" s="22">
        <v>45633.35</v>
      </c>
      <c r="G2846" s="22"/>
      <c r="H2846" s="23">
        <v>38.5</v>
      </c>
      <c r="I2846" s="23">
        <v>0.75667</v>
      </c>
      <c r="J2846" s="24">
        <v>114</v>
      </c>
      <c r="K2846" s="21">
        <v>0</v>
      </c>
      <c r="L2846" s="21">
        <v>0</v>
      </c>
      <c r="M2846" s="21">
        <f>COUNTIF($A$2:$A$5481,A2846)</f>
        <v>2</v>
      </c>
      <c r="N2846" s="24">
        <f t="shared" si="44"/>
        <v>114.0002846</v>
      </c>
    </row>
    <row r="2847" spans="1:14">
      <c r="A2847" s="21" t="s">
        <v>2992</v>
      </c>
      <c r="B2847" s="21" t="s">
        <v>920</v>
      </c>
      <c r="C2847" s="21" t="s">
        <v>35</v>
      </c>
      <c r="D2847" s="21" t="s">
        <v>921</v>
      </c>
      <c r="E2847" s="21">
        <v>50</v>
      </c>
      <c r="F2847" s="22">
        <v>45313.7501157407</v>
      </c>
      <c r="G2847" s="22"/>
      <c r="H2847" s="23">
        <v>34.67</v>
      </c>
      <c r="I2847" s="23">
        <v>0.6934</v>
      </c>
      <c r="J2847" s="24">
        <v>34.5</v>
      </c>
      <c r="K2847" s="21">
        <v>0</v>
      </c>
      <c r="L2847" s="21">
        <v>0</v>
      </c>
      <c r="M2847" s="21">
        <f>COUNTIF($A$2:$A$5481,A2847)</f>
        <v>2</v>
      </c>
      <c r="N2847" s="24">
        <f t="shared" si="44"/>
        <v>34.5002847</v>
      </c>
    </row>
    <row r="2848" spans="1:14">
      <c r="A2848" s="21" t="s">
        <v>2992</v>
      </c>
      <c r="B2848" s="21" t="s">
        <v>920</v>
      </c>
      <c r="C2848" s="21" t="s">
        <v>26</v>
      </c>
      <c r="D2848" s="21" t="s">
        <v>921</v>
      </c>
      <c r="E2848" s="21">
        <v>150</v>
      </c>
      <c r="F2848" s="22">
        <v>45633.35</v>
      </c>
      <c r="G2848" s="22"/>
      <c r="H2848" s="23">
        <v>38.5</v>
      </c>
      <c r="I2848" s="23">
        <v>0.75667</v>
      </c>
      <c r="J2848" s="24">
        <v>114</v>
      </c>
      <c r="K2848" s="21">
        <v>0</v>
      </c>
      <c r="L2848" s="21">
        <v>0</v>
      </c>
      <c r="M2848" s="21">
        <f>COUNTIF($A$2:$A$5481,A2848)</f>
        <v>2</v>
      </c>
      <c r="N2848" s="24">
        <f t="shared" si="44"/>
        <v>114.0002848</v>
      </c>
    </row>
    <row r="2849" spans="1:14">
      <c r="A2849" s="21" t="s">
        <v>2993</v>
      </c>
      <c r="B2849" s="21" t="s">
        <v>920</v>
      </c>
      <c r="C2849" s="21" t="s">
        <v>35</v>
      </c>
      <c r="D2849" s="21" t="s">
        <v>921</v>
      </c>
      <c r="E2849" s="21">
        <v>1</v>
      </c>
      <c r="F2849" s="22">
        <v>45293.8127314815</v>
      </c>
      <c r="G2849" s="22">
        <v>45293.8293865741</v>
      </c>
      <c r="H2849" s="23">
        <v>66</v>
      </c>
      <c r="I2849" s="23">
        <v>33</v>
      </c>
      <c r="J2849" s="24">
        <v>33</v>
      </c>
      <c r="K2849" s="21">
        <v>0</v>
      </c>
      <c r="L2849" s="21">
        <v>0</v>
      </c>
      <c r="M2849" s="21">
        <f>COUNTIF($A$2:$A$5481,A2849)</f>
        <v>2</v>
      </c>
      <c r="N2849" s="24">
        <f t="shared" si="44"/>
        <v>33.0002849</v>
      </c>
    </row>
    <row r="2850" spans="1:14">
      <c r="A2850" s="21" t="s">
        <v>2993</v>
      </c>
      <c r="B2850" s="21" t="s">
        <v>920</v>
      </c>
      <c r="C2850" s="21" t="s">
        <v>26</v>
      </c>
      <c r="D2850" s="21" t="s">
        <v>921</v>
      </c>
      <c r="E2850" s="21">
        <v>3</v>
      </c>
      <c r="F2850" s="22">
        <v>45420.3472222222</v>
      </c>
      <c r="G2850" s="22"/>
      <c r="H2850" s="23">
        <v>78</v>
      </c>
      <c r="I2850" s="23">
        <v>26</v>
      </c>
      <c r="J2850" s="24">
        <v>78</v>
      </c>
      <c r="K2850" s="21">
        <v>0</v>
      </c>
      <c r="L2850" s="21">
        <v>0</v>
      </c>
      <c r="M2850" s="21">
        <f>COUNTIF($A$2:$A$5481,A2850)</f>
        <v>2</v>
      </c>
      <c r="N2850" s="24">
        <f t="shared" si="44"/>
        <v>78.000285</v>
      </c>
    </row>
    <row r="2851" spans="1:14">
      <c r="A2851" s="21" t="s">
        <v>2994</v>
      </c>
      <c r="B2851" s="21" t="s">
        <v>929</v>
      </c>
      <c r="C2851" s="21" t="s">
        <v>182</v>
      </c>
      <c r="D2851" s="21" t="s">
        <v>921</v>
      </c>
      <c r="E2851" s="21">
        <v>1</v>
      </c>
      <c r="F2851" s="22">
        <v>45377.8465277778</v>
      </c>
      <c r="G2851" s="22"/>
      <c r="H2851" s="23">
        <v>3.52</v>
      </c>
      <c r="I2851" s="23">
        <v>3.52</v>
      </c>
      <c r="J2851" s="24">
        <v>3.52</v>
      </c>
      <c r="K2851" s="21">
        <v>0</v>
      </c>
      <c r="L2851" s="21">
        <v>0</v>
      </c>
      <c r="M2851" s="21">
        <f>COUNTIF($A$2:$A$5481,A2851)</f>
        <v>1</v>
      </c>
      <c r="N2851" s="24">
        <f t="shared" si="44"/>
        <v>3.5202851</v>
      </c>
    </row>
    <row r="2852" spans="1:14">
      <c r="A2852" s="21" t="s">
        <v>2995</v>
      </c>
      <c r="B2852" s="21" t="s">
        <v>920</v>
      </c>
      <c r="C2852" s="21" t="s">
        <v>26</v>
      </c>
      <c r="D2852" s="21" t="s">
        <v>921</v>
      </c>
      <c r="E2852" s="21">
        <v>1</v>
      </c>
      <c r="F2852" s="22">
        <v>46015.5380092593</v>
      </c>
      <c r="G2852" s="22"/>
      <c r="H2852" s="23">
        <v>6.62</v>
      </c>
      <c r="I2852" s="23">
        <v>6.62</v>
      </c>
      <c r="J2852" s="24">
        <v>6.62</v>
      </c>
      <c r="K2852" s="21">
        <v>0</v>
      </c>
      <c r="L2852" s="21">
        <v>0</v>
      </c>
      <c r="M2852" s="21">
        <f>COUNTIF($A$2:$A$5481,A2852)</f>
        <v>1</v>
      </c>
      <c r="N2852" s="24">
        <f t="shared" si="44"/>
        <v>6.6202852</v>
      </c>
    </row>
    <row r="2853" spans="1:14">
      <c r="A2853" s="21" t="s">
        <v>2996</v>
      </c>
      <c r="B2853" s="21" t="s">
        <v>26</v>
      </c>
      <c r="C2853" s="21" t="s">
        <v>26</v>
      </c>
      <c r="D2853" s="21" t="s">
        <v>921</v>
      </c>
      <c r="E2853" s="21">
        <v>25</v>
      </c>
      <c r="F2853" s="22">
        <v>45526.4375810185</v>
      </c>
      <c r="G2853" s="22"/>
      <c r="H2853" s="23">
        <v>18.75</v>
      </c>
      <c r="I2853" s="23">
        <v>0.75</v>
      </c>
      <c r="J2853" s="24">
        <v>18.75</v>
      </c>
      <c r="K2853" s="21">
        <v>0</v>
      </c>
      <c r="L2853" s="21">
        <v>0</v>
      </c>
      <c r="M2853" s="21">
        <f>COUNTIF($A$2:$A$5481,A2853)</f>
        <v>1</v>
      </c>
      <c r="N2853" s="24">
        <f t="shared" si="44"/>
        <v>18.7502853</v>
      </c>
    </row>
    <row r="2854" spans="1:14">
      <c r="A2854" s="21" t="s">
        <v>2997</v>
      </c>
      <c r="B2854" s="21" t="s">
        <v>920</v>
      </c>
      <c r="C2854" s="21" t="s">
        <v>26</v>
      </c>
      <c r="D2854" s="21" t="s">
        <v>921</v>
      </c>
      <c r="E2854" s="21">
        <v>45</v>
      </c>
      <c r="F2854" s="22">
        <v>45902.6585185185</v>
      </c>
      <c r="G2854" s="22"/>
      <c r="H2854" s="23">
        <v>14</v>
      </c>
      <c r="I2854" s="23">
        <v>0.7277777778</v>
      </c>
      <c r="J2854" s="24">
        <v>32.85</v>
      </c>
      <c r="K2854" s="21">
        <v>0</v>
      </c>
      <c r="L2854" s="21">
        <v>0</v>
      </c>
      <c r="M2854" s="21">
        <f>COUNTIF($A$2:$A$5481,A2854)</f>
        <v>1</v>
      </c>
      <c r="N2854" s="24">
        <f t="shared" si="44"/>
        <v>32.8502854</v>
      </c>
    </row>
    <row r="2855" spans="1:14">
      <c r="A2855" s="21" t="s">
        <v>2998</v>
      </c>
      <c r="B2855" s="21" t="s">
        <v>920</v>
      </c>
      <c r="C2855" s="21" t="s">
        <v>26</v>
      </c>
      <c r="D2855" s="21" t="s">
        <v>921</v>
      </c>
      <c r="E2855" s="21">
        <v>95</v>
      </c>
      <c r="F2855" s="22">
        <v>45902.6585185185</v>
      </c>
      <c r="G2855" s="22"/>
      <c r="H2855" s="23">
        <v>14</v>
      </c>
      <c r="I2855" s="23">
        <v>0.75</v>
      </c>
      <c r="J2855" s="24">
        <v>71.25</v>
      </c>
      <c r="K2855" s="21">
        <v>0</v>
      </c>
      <c r="L2855" s="21">
        <v>0</v>
      </c>
      <c r="M2855" s="21">
        <f>COUNTIF($A$2:$A$5481,A2855)</f>
        <v>1</v>
      </c>
      <c r="N2855" s="24">
        <f t="shared" si="44"/>
        <v>71.2502855</v>
      </c>
    </row>
    <row r="2856" spans="1:14">
      <c r="A2856" s="21" t="s">
        <v>2999</v>
      </c>
      <c r="B2856" s="21" t="s">
        <v>920</v>
      </c>
      <c r="C2856" s="21" t="s">
        <v>26</v>
      </c>
      <c r="D2856" s="21" t="s">
        <v>921</v>
      </c>
      <c r="E2856" s="21">
        <v>45</v>
      </c>
      <c r="F2856" s="22">
        <v>45902.6585185185</v>
      </c>
      <c r="G2856" s="22"/>
      <c r="H2856" s="23">
        <v>14</v>
      </c>
      <c r="I2856" s="23">
        <v>0.7277777778</v>
      </c>
      <c r="J2856" s="24">
        <v>32.85</v>
      </c>
      <c r="K2856" s="21">
        <v>0</v>
      </c>
      <c r="L2856" s="21">
        <v>0</v>
      </c>
      <c r="M2856" s="21">
        <f>COUNTIF($A$2:$A$5481,A2856)</f>
        <v>1</v>
      </c>
      <c r="N2856" s="24">
        <f t="shared" si="44"/>
        <v>32.8502856</v>
      </c>
    </row>
    <row r="2857" spans="1:14">
      <c r="A2857" s="21" t="s">
        <v>3000</v>
      </c>
      <c r="B2857" s="21" t="s">
        <v>920</v>
      </c>
      <c r="C2857" s="21" t="s">
        <v>26</v>
      </c>
      <c r="D2857" s="21" t="s">
        <v>921</v>
      </c>
      <c r="E2857" s="21">
        <v>14</v>
      </c>
      <c r="F2857" s="22">
        <v>46057.5785185185</v>
      </c>
      <c r="G2857" s="22"/>
      <c r="H2857" s="23">
        <v>4</v>
      </c>
      <c r="I2857" s="23">
        <v>2.4285714286</v>
      </c>
      <c r="J2857" s="24">
        <v>34.02</v>
      </c>
      <c r="K2857" s="21">
        <v>0</v>
      </c>
      <c r="L2857" s="21">
        <v>0</v>
      </c>
      <c r="M2857" s="21">
        <f>COUNTIF($A$2:$A$5481,A2857)</f>
        <v>1</v>
      </c>
      <c r="N2857" s="24">
        <f t="shared" si="44"/>
        <v>34.0202857</v>
      </c>
    </row>
    <row r="2858" spans="1:14">
      <c r="A2858" s="21" t="s">
        <v>457</v>
      </c>
      <c r="B2858" s="21" t="s">
        <v>920</v>
      </c>
      <c r="C2858" s="21" t="s">
        <v>26</v>
      </c>
      <c r="D2858" s="21" t="s">
        <v>931</v>
      </c>
      <c r="E2858" s="21">
        <v>0</v>
      </c>
      <c r="F2858" s="22">
        <v>45838.3738194444</v>
      </c>
      <c r="G2858" s="22">
        <v>46210.3714236111</v>
      </c>
      <c r="H2858" s="23">
        <v>40</v>
      </c>
      <c r="I2858" s="23">
        <v>20</v>
      </c>
      <c r="J2858" s="24">
        <v>0</v>
      </c>
      <c r="K2858" s="21">
        <v>0</v>
      </c>
      <c r="L2858" s="21">
        <v>0</v>
      </c>
      <c r="M2858" s="21">
        <f>COUNTIF($A$2:$A$5481,A2858)</f>
        <v>1</v>
      </c>
      <c r="N2858" s="24">
        <f t="shared" si="44"/>
        <v>0.0002858</v>
      </c>
    </row>
    <row r="2859" spans="1:14">
      <c r="A2859" s="21" t="s">
        <v>3001</v>
      </c>
      <c r="B2859" s="21" t="s">
        <v>1352</v>
      </c>
      <c r="C2859" s="21" t="s">
        <v>51</v>
      </c>
      <c r="D2859" s="21" t="s">
        <v>921</v>
      </c>
      <c r="E2859" s="21">
        <v>3</v>
      </c>
      <c r="F2859" s="22">
        <v>46051.5738773148</v>
      </c>
      <c r="G2859" s="22"/>
      <c r="H2859" s="23">
        <v>902.22</v>
      </c>
      <c r="I2859" s="23">
        <v>300.74</v>
      </c>
      <c r="J2859" s="24">
        <v>902.22</v>
      </c>
      <c r="K2859" s="21">
        <v>0</v>
      </c>
      <c r="L2859" s="21">
        <v>0</v>
      </c>
      <c r="M2859" s="21">
        <f>COUNTIF($A$2:$A$5481,A2859)</f>
        <v>1</v>
      </c>
      <c r="N2859" s="24">
        <f t="shared" si="44"/>
        <v>902.2202859</v>
      </c>
    </row>
    <row r="2860" spans="1:14">
      <c r="A2860" s="21" t="s">
        <v>3002</v>
      </c>
      <c r="B2860" s="21" t="s">
        <v>1352</v>
      </c>
      <c r="C2860" s="21" t="s">
        <v>51</v>
      </c>
      <c r="D2860" s="21" t="s">
        <v>921</v>
      </c>
      <c r="E2860" s="21">
        <v>2</v>
      </c>
      <c r="F2860" s="22">
        <v>46051.5738773148</v>
      </c>
      <c r="G2860" s="22"/>
      <c r="H2860" s="23">
        <v>525</v>
      </c>
      <c r="I2860" s="23">
        <v>262.5</v>
      </c>
      <c r="J2860" s="24">
        <v>525</v>
      </c>
      <c r="K2860" s="21">
        <v>0</v>
      </c>
      <c r="L2860" s="21">
        <v>0</v>
      </c>
      <c r="M2860" s="21">
        <f>COUNTIF($A$2:$A$5481,A2860)</f>
        <v>1</v>
      </c>
      <c r="N2860" s="24">
        <f t="shared" si="44"/>
        <v>525.000286</v>
      </c>
    </row>
    <row r="2861" spans="1:14">
      <c r="A2861" s="21" t="s">
        <v>3003</v>
      </c>
      <c r="B2861" s="21" t="s">
        <v>929</v>
      </c>
      <c r="C2861" s="21" t="s">
        <v>26</v>
      </c>
      <c r="D2861" s="21" t="s">
        <v>921</v>
      </c>
      <c r="E2861" s="21">
        <v>20</v>
      </c>
      <c r="F2861" s="22">
        <v>45693.5964699074</v>
      </c>
      <c r="G2861" s="22"/>
      <c r="H2861" s="23">
        <v>10</v>
      </c>
      <c r="I2861" s="23">
        <v>1</v>
      </c>
      <c r="J2861" s="24">
        <v>20</v>
      </c>
      <c r="K2861" s="21">
        <v>0</v>
      </c>
      <c r="L2861" s="21">
        <v>0</v>
      </c>
      <c r="M2861" s="21">
        <f>COUNTIF($A$2:$A$5481,A2861)</f>
        <v>1</v>
      </c>
      <c r="N2861" s="24">
        <f t="shared" si="44"/>
        <v>20.0002861</v>
      </c>
    </row>
    <row r="2862" spans="1:14">
      <c r="A2862" s="21" t="s">
        <v>743</v>
      </c>
      <c r="B2862" s="21" t="s">
        <v>920</v>
      </c>
      <c r="C2862" s="21" t="s">
        <v>26</v>
      </c>
      <c r="D2862" s="21" t="s">
        <v>931</v>
      </c>
      <c r="E2862" s="21">
        <v>0</v>
      </c>
      <c r="F2862" s="22">
        <v>45726.4844097222</v>
      </c>
      <c r="G2862" s="22">
        <v>46252.5694560185</v>
      </c>
      <c r="H2862" s="23">
        <v>1069.9</v>
      </c>
      <c r="I2862" s="23">
        <v>1069.9</v>
      </c>
      <c r="J2862" s="24">
        <v>0</v>
      </c>
      <c r="K2862" s="21">
        <v>0</v>
      </c>
      <c r="L2862" s="21">
        <v>0</v>
      </c>
      <c r="M2862" s="21">
        <f>COUNTIF($A$2:$A$5481,A2862)</f>
        <v>1</v>
      </c>
      <c r="N2862" s="24">
        <f t="shared" si="44"/>
        <v>0.0002862</v>
      </c>
    </row>
    <row r="2863" spans="1:14">
      <c r="A2863" s="21" t="s">
        <v>3004</v>
      </c>
      <c r="B2863" s="21" t="s">
        <v>920</v>
      </c>
      <c r="C2863" s="21" t="s">
        <v>26</v>
      </c>
      <c r="D2863" s="21" t="s">
        <v>921</v>
      </c>
      <c r="E2863" s="21">
        <v>2</v>
      </c>
      <c r="F2863" s="22">
        <v>45777.3967361111</v>
      </c>
      <c r="G2863" s="22">
        <v>45463.8232291667</v>
      </c>
      <c r="H2863" s="23">
        <v>40</v>
      </c>
      <c r="I2863" s="23">
        <v>20</v>
      </c>
      <c r="J2863" s="24">
        <v>40</v>
      </c>
      <c r="K2863" s="21">
        <v>0</v>
      </c>
      <c r="L2863" s="21">
        <v>0</v>
      </c>
      <c r="M2863" s="21">
        <f>COUNTIF($A$2:$A$5481,A2863)</f>
        <v>1</v>
      </c>
      <c r="N2863" s="24">
        <f t="shared" si="44"/>
        <v>40.0002863</v>
      </c>
    </row>
    <row r="2864" spans="1:14">
      <c r="A2864" s="21" t="s">
        <v>3005</v>
      </c>
      <c r="B2864" s="21" t="s">
        <v>26</v>
      </c>
      <c r="C2864" s="21" t="s">
        <v>26</v>
      </c>
      <c r="D2864" s="21" t="s">
        <v>921</v>
      </c>
      <c r="E2864" s="21">
        <v>1</v>
      </c>
      <c r="F2864" s="22">
        <v>45758.4407407407</v>
      </c>
      <c r="G2864" s="22"/>
      <c r="H2864" s="23">
        <v>5.99</v>
      </c>
      <c r="I2864" s="23">
        <v>5.99</v>
      </c>
      <c r="J2864" s="24">
        <v>5.99</v>
      </c>
      <c r="K2864" s="21">
        <v>0</v>
      </c>
      <c r="L2864" s="21">
        <v>0</v>
      </c>
      <c r="M2864" s="21">
        <f>COUNTIF($A$2:$A$5481,A2864)</f>
        <v>1</v>
      </c>
      <c r="N2864" s="24">
        <f t="shared" si="44"/>
        <v>5.9902864</v>
      </c>
    </row>
    <row r="2865" spans="1:14">
      <c r="A2865" s="21" t="s">
        <v>3006</v>
      </c>
      <c r="B2865" s="21" t="s">
        <v>929</v>
      </c>
      <c r="C2865" s="21" t="s">
        <v>26</v>
      </c>
      <c r="D2865" s="21" t="s">
        <v>921</v>
      </c>
      <c r="E2865" s="21">
        <v>1</v>
      </c>
      <c r="F2865" s="22">
        <v>45316.4806828704</v>
      </c>
      <c r="G2865" s="22"/>
      <c r="H2865" s="23">
        <v>1034</v>
      </c>
      <c r="I2865" s="23">
        <v>1034</v>
      </c>
      <c r="J2865" s="24">
        <v>1034</v>
      </c>
      <c r="K2865" s="21">
        <v>0</v>
      </c>
      <c r="L2865" s="21">
        <v>0</v>
      </c>
      <c r="M2865" s="21">
        <f>COUNTIF($A$2:$A$5481,A2865)</f>
        <v>1</v>
      </c>
      <c r="N2865" s="24">
        <f t="shared" si="44"/>
        <v>1034.0002865</v>
      </c>
    </row>
    <row r="2866" spans="1:14">
      <c r="A2866" s="21" t="s">
        <v>3007</v>
      </c>
      <c r="B2866" s="21" t="s">
        <v>26</v>
      </c>
      <c r="C2866" s="21" t="s">
        <v>26</v>
      </c>
      <c r="D2866" s="21" t="s">
        <v>921</v>
      </c>
      <c r="E2866" s="21">
        <v>1</v>
      </c>
      <c r="F2866" s="22">
        <v>45840.8224305556</v>
      </c>
      <c r="G2866" s="22"/>
      <c r="H2866" s="23">
        <v>699.88</v>
      </c>
      <c r="I2866" s="23">
        <v>699.88</v>
      </c>
      <c r="J2866" s="24">
        <v>699.88</v>
      </c>
      <c r="K2866" s="21">
        <v>0</v>
      </c>
      <c r="L2866" s="21">
        <v>0</v>
      </c>
      <c r="M2866" s="21">
        <f>COUNTIF($A$2:$A$5481,A2866)</f>
        <v>1</v>
      </c>
      <c r="N2866" s="24">
        <f t="shared" si="44"/>
        <v>699.8802866</v>
      </c>
    </row>
    <row r="2867" spans="1:14">
      <c r="A2867" s="21" t="s">
        <v>3008</v>
      </c>
      <c r="B2867" s="21" t="s">
        <v>949</v>
      </c>
      <c r="C2867" s="21" t="s">
        <v>182</v>
      </c>
      <c r="D2867" s="21" t="s">
        <v>921</v>
      </c>
      <c r="E2867" s="21">
        <v>2</v>
      </c>
      <c r="F2867" s="22">
        <v>45323.3763888889</v>
      </c>
      <c r="G2867" s="22">
        <v>45316.4557407407</v>
      </c>
      <c r="H2867" s="23">
        <v>7.58</v>
      </c>
      <c r="I2867" s="23">
        <v>3.79</v>
      </c>
      <c r="J2867" s="24">
        <v>7.58</v>
      </c>
      <c r="K2867" s="21">
        <v>0</v>
      </c>
      <c r="L2867" s="21">
        <v>0</v>
      </c>
      <c r="M2867" s="21">
        <f>COUNTIF($A$2:$A$5481,A2867)</f>
        <v>2</v>
      </c>
      <c r="N2867" s="24">
        <f t="shared" si="44"/>
        <v>7.5802867</v>
      </c>
    </row>
    <row r="2868" spans="1:14">
      <c r="A2868" s="21" t="s">
        <v>3008</v>
      </c>
      <c r="B2868" s="21" t="s">
        <v>949</v>
      </c>
      <c r="C2868" s="21" t="s">
        <v>26</v>
      </c>
      <c r="D2868" s="21" t="s">
        <v>921</v>
      </c>
      <c r="E2868" s="21">
        <v>0</v>
      </c>
      <c r="F2868" s="22">
        <v>45329.6798611111</v>
      </c>
      <c r="G2868" s="22">
        <v>45331.4110532407</v>
      </c>
      <c r="H2868" s="23">
        <v>15.16</v>
      </c>
      <c r="I2868" s="23">
        <v>3.79</v>
      </c>
      <c r="J2868" s="24">
        <v>0</v>
      </c>
      <c r="K2868" s="21">
        <v>0</v>
      </c>
      <c r="L2868" s="21">
        <v>0</v>
      </c>
      <c r="M2868" s="21">
        <f>COUNTIF($A$2:$A$5481,A2868)</f>
        <v>2</v>
      </c>
      <c r="N2868" s="24">
        <f t="shared" si="44"/>
        <v>0.0002868</v>
      </c>
    </row>
    <row r="2869" spans="1:14">
      <c r="A2869" s="21" t="s">
        <v>338</v>
      </c>
      <c r="B2869" s="21" t="s">
        <v>920</v>
      </c>
      <c r="C2869" s="21" t="s">
        <v>35</v>
      </c>
      <c r="D2869" s="21" t="s">
        <v>921</v>
      </c>
      <c r="E2869" s="21">
        <v>0</v>
      </c>
      <c r="F2869" s="22">
        <v>46112.3555555556</v>
      </c>
      <c r="G2869" s="22">
        <v>46121.5356365741</v>
      </c>
      <c r="H2869" s="23">
        <v>180</v>
      </c>
      <c r="I2869" s="23">
        <v>180</v>
      </c>
      <c r="J2869" s="24">
        <v>0</v>
      </c>
      <c r="K2869" s="21">
        <v>0</v>
      </c>
      <c r="L2869" s="21">
        <v>0</v>
      </c>
      <c r="M2869" s="21">
        <f>COUNTIF($A$2:$A$5481,A2869)</f>
        <v>1</v>
      </c>
      <c r="N2869" s="24">
        <f t="shared" si="44"/>
        <v>0.0002869</v>
      </c>
    </row>
    <row r="2870" spans="1:14">
      <c r="A2870" s="21" t="s">
        <v>3009</v>
      </c>
      <c r="B2870" s="21" t="s">
        <v>920</v>
      </c>
      <c r="C2870" s="21" t="s">
        <v>35</v>
      </c>
      <c r="D2870" s="21" t="s">
        <v>921</v>
      </c>
      <c r="E2870" s="21">
        <v>1</v>
      </c>
      <c r="F2870" s="22">
        <v>46136.5673611111</v>
      </c>
      <c r="G2870" s="22"/>
      <c r="H2870" s="23">
        <v>721</v>
      </c>
      <c r="I2870" s="23">
        <v>721</v>
      </c>
      <c r="J2870" s="24">
        <v>721</v>
      </c>
      <c r="K2870" s="21">
        <v>0</v>
      </c>
      <c r="L2870" s="21">
        <v>0</v>
      </c>
      <c r="M2870" s="21">
        <f>COUNTIF($A$2:$A$5481,A2870)</f>
        <v>1</v>
      </c>
      <c r="N2870" s="24">
        <f t="shared" si="44"/>
        <v>721.000287</v>
      </c>
    </row>
    <row r="2871" spans="1:14">
      <c r="A2871" s="21" t="s">
        <v>342</v>
      </c>
      <c r="B2871" s="21" t="s">
        <v>920</v>
      </c>
      <c r="C2871" s="21" t="s">
        <v>35</v>
      </c>
      <c r="D2871" s="21" t="s">
        <v>921</v>
      </c>
      <c r="E2871" s="21">
        <v>0</v>
      </c>
      <c r="F2871" s="22">
        <v>46112.3555555556</v>
      </c>
      <c r="G2871" s="22">
        <v>46121.5356828704</v>
      </c>
      <c r="H2871" s="23">
        <v>180</v>
      </c>
      <c r="I2871" s="23">
        <v>180</v>
      </c>
      <c r="J2871" s="24">
        <v>0</v>
      </c>
      <c r="K2871" s="21">
        <v>0</v>
      </c>
      <c r="L2871" s="21">
        <v>0</v>
      </c>
      <c r="M2871" s="21">
        <f>COUNTIF($A$2:$A$5481,A2871)</f>
        <v>1</v>
      </c>
      <c r="N2871" s="24">
        <f t="shared" si="44"/>
        <v>0.0002871</v>
      </c>
    </row>
    <row r="2872" spans="1:14">
      <c r="A2872" s="21" t="s">
        <v>3010</v>
      </c>
      <c r="B2872" s="21" t="s">
        <v>949</v>
      </c>
      <c r="C2872" s="21" t="s">
        <v>26</v>
      </c>
      <c r="D2872" s="21" t="s">
        <v>921</v>
      </c>
      <c r="E2872" s="21">
        <v>0</v>
      </c>
      <c r="F2872" s="22">
        <v>45989.4230555556</v>
      </c>
      <c r="G2872" s="22">
        <v>45989.4236689815</v>
      </c>
      <c r="H2872" s="23">
        <v>85.9</v>
      </c>
      <c r="I2872" s="23">
        <v>85.9</v>
      </c>
      <c r="J2872" s="24">
        <v>0</v>
      </c>
      <c r="K2872" s="21">
        <v>0</v>
      </c>
      <c r="L2872" s="21">
        <v>0</v>
      </c>
      <c r="M2872" s="21">
        <f>COUNTIF($A$2:$A$5481,A2872)</f>
        <v>1</v>
      </c>
      <c r="N2872" s="24">
        <f t="shared" si="44"/>
        <v>0.0002872</v>
      </c>
    </row>
    <row r="2873" spans="1:14">
      <c r="A2873" s="21" t="s">
        <v>3011</v>
      </c>
      <c r="B2873" s="21" t="s">
        <v>926</v>
      </c>
      <c r="C2873" s="21" t="s">
        <v>26</v>
      </c>
      <c r="D2873" s="21" t="s">
        <v>921</v>
      </c>
      <c r="E2873" s="21">
        <v>4</v>
      </c>
      <c r="F2873" s="22">
        <v>46196.647662037</v>
      </c>
      <c r="G2873" s="22"/>
      <c r="H2873" s="23">
        <v>51</v>
      </c>
      <c r="I2873" s="23">
        <v>12.75</v>
      </c>
      <c r="J2873" s="24">
        <v>51</v>
      </c>
      <c r="K2873" s="21">
        <v>0</v>
      </c>
      <c r="L2873" s="21">
        <v>0</v>
      </c>
      <c r="M2873" s="21">
        <f>COUNTIF($A$2:$A$5481,A2873)</f>
        <v>1</v>
      </c>
      <c r="N2873" s="24">
        <f t="shared" si="44"/>
        <v>51.0002873</v>
      </c>
    </row>
    <row r="2874" spans="1:14">
      <c r="A2874" s="21" t="s">
        <v>3012</v>
      </c>
      <c r="B2874" s="21" t="s">
        <v>920</v>
      </c>
      <c r="C2874" s="21" t="s">
        <v>35</v>
      </c>
      <c r="D2874" s="21" t="s">
        <v>931</v>
      </c>
      <c r="E2874" s="21">
        <v>0</v>
      </c>
      <c r="F2874" s="22">
        <v>45688.4612731482</v>
      </c>
      <c r="G2874" s="22">
        <v>45692.4605208333</v>
      </c>
      <c r="H2874" s="23">
        <v>2276</v>
      </c>
      <c r="I2874" s="23">
        <v>2276</v>
      </c>
      <c r="J2874" s="24">
        <v>0</v>
      </c>
      <c r="K2874" s="21">
        <v>0</v>
      </c>
      <c r="L2874" s="21">
        <v>0</v>
      </c>
      <c r="M2874" s="21">
        <f>COUNTIF($A$2:$A$5481,A2874)</f>
        <v>1</v>
      </c>
      <c r="N2874" s="24">
        <f t="shared" si="44"/>
        <v>0.0002874</v>
      </c>
    </row>
    <row r="2875" spans="1:14">
      <c r="A2875" s="21" t="s">
        <v>3013</v>
      </c>
      <c r="B2875" s="21" t="s">
        <v>26</v>
      </c>
      <c r="C2875" s="21" t="s">
        <v>26</v>
      </c>
      <c r="D2875" s="21" t="s">
        <v>921</v>
      </c>
      <c r="E2875" s="21">
        <v>1</v>
      </c>
      <c r="F2875" s="22">
        <v>45467.8177546296</v>
      </c>
      <c r="G2875" s="22"/>
      <c r="H2875" s="23">
        <v>366.63</v>
      </c>
      <c r="I2875" s="23">
        <v>366.63</v>
      </c>
      <c r="J2875" s="24">
        <v>366.63</v>
      </c>
      <c r="K2875" s="21">
        <v>0</v>
      </c>
      <c r="L2875" s="21">
        <v>0</v>
      </c>
      <c r="M2875" s="21">
        <f>COUNTIF($A$2:$A$5481,A2875)</f>
        <v>1</v>
      </c>
      <c r="N2875" s="24">
        <f t="shared" si="44"/>
        <v>366.6302875</v>
      </c>
    </row>
    <row r="2876" spans="1:14">
      <c r="A2876" s="21" t="s">
        <v>3014</v>
      </c>
      <c r="B2876" s="21" t="s">
        <v>929</v>
      </c>
      <c r="C2876" s="21" t="s">
        <v>26</v>
      </c>
      <c r="D2876" s="21" t="s">
        <v>921</v>
      </c>
      <c r="E2876" s="21">
        <v>8</v>
      </c>
      <c r="F2876" s="22">
        <v>45953.6036342593</v>
      </c>
      <c r="G2876" s="22"/>
      <c r="H2876" s="23">
        <v>143.2</v>
      </c>
      <c r="I2876" s="23">
        <v>31.5</v>
      </c>
      <c r="J2876" s="24">
        <v>252</v>
      </c>
      <c r="K2876" s="21">
        <v>0</v>
      </c>
      <c r="L2876" s="21">
        <v>0</v>
      </c>
      <c r="M2876" s="21">
        <f>COUNTIF($A$2:$A$5481,A2876)</f>
        <v>1</v>
      </c>
      <c r="N2876" s="24">
        <f t="shared" si="44"/>
        <v>252.0002876</v>
      </c>
    </row>
    <row r="2877" spans="1:14">
      <c r="A2877" s="21" t="s">
        <v>3015</v>
      </c>
      <c r="B2877" s="21" t="s">
        <v>948</v>
      </c>
      <c r="C2877" s="21" t="s">
        <v>26</v>
      </c>
      <c r="D2877" s="21" t="s">
        <v>921</v>
      </c>
      <c r="E2877" s="21">
        <v>1</v>
      </c>
      <c r="F2877" s="22">
        <v>46129.5444907407</v>
      </c>
      <c r="G2877" s="22"/>
      <c r="H2877" s="23">
        <v>65</v>
      </c>
      <c r="I2877" s="23">
        <v>65</v>
      </c>
      <c r="J2877" s="24">
        <v>65</v>
      </c>
      <c r="K2877" s="21">
        <v>0</v>
      </c>
      <c r="L2877" s="21">
        <v>0</v>
      </c>
      <c r="M2877" s="21">
        <f>COUNTIF($A$2:$A$5481,A2877)</f>
        <v>1</v>
      </c>
      <c r="N2877" s="24">
        <f t="shared" si="44"/>
        <v>65.0002877</v>
      </c>
    </row>
    <row r="2878" spans="1:14">
      <c r="A2878" s="21" t="s">
        <v>3016</v>
      </c>
      <c r="B2878" s="21" t="s">
        <v>1346</v>
      </c>
      <c r="C2878" s="21" t="s">
        <v>390</v>
      </c>
      <c r="D2878" s="21" t="s">
        <v>921</v>
      </c>
      <c r="E2878" s="21">
        <v>2</v>
      </c>
      <c r="F2878" s="22">
        <v>45418.3797453704</v>
      </c>
      <c r="G2878" s="22"/>
      <c r="H2878" s="23">
        <v>40</v>
      </c>
      <c r="I2878" s="23">
        <v>62.5</v>
      </c>
      <c r="J2878" s="24">
        <v>125</v>
      </c>
      <c r="K2878" s="21">
        <v>0</v>
      </c>
      <c r="L2878" s="21">
        <v>0</v>
      </c>
      <c r="M2878" s="21">
        <f>COUNTIF($A$2:$A$5481,A2878)</f>
        <v>1</v>
      </c>
      <c r="N2878" s="24">
        <f t="shared" si="44"/>
        <v>125.0002878</v>
      </c>
    </row>
    <row r="2879" spans="1:14">
      <c r="A2879" s="21" t="s">
        <v>3017</v>
      </c>
      <c r="B2879" s="21" t="s">
        <v>1175</v>
      </c>
      <c r="C2879" s="21" t="s">
        <v>26</v>
      </c>
      <c r="D2879" s="21" t="s">
        <v>921</v>
      </c>
      <c r="E2879" s="21">
        <v>1</v>
      </c>
      <c r="F2879" s="22">
        <v>46030.5705208333</v>
      </c>
      <c r="G2879" s="22"/>
      <c r="H2879" s="23">
        <v>193.7</v>
      </c>
      <c r="I2879" s="23">
        <v>193.7</v>
      </c>
      <c r="J2879" s="24">
        <v>193.7</v>
      </c>
      <c r="K2879" s="21">
        <v>0</v>
      </c>
      <c r="L2879" s="21">
        <v>0</v>
      </c>
      <c r="M2879" s="21">
        <f>COUNTIF($A$2:$A$5481,A2879)</f>
        <v>1</v>
      </c>
      <c r="N2879" s="24">
        <f t="shared" si="44"/>
        <v>193.7002879</v>
      </c>
    </row>
    <row r="2880" spans="1:14">
      <c r="A2880" s="21" t="s">
        <v>3018</v>
      </c>
      <c r="B2880" s="21" t="s">
        <v>1510</v>
      </c>
      <c r="C2880" s="21" t="s">
        <v>26</v>
      </c>
      <c r="D2880" s="21" t="s">
        <v>931</v>
      </c>
      <c r="E2880" s="21">
        <v>2</v>
      </c>
      <c r="F2880" s="22">
        <v>45698.3901736111</v>
      </c>
      <c r="G2880" s="22"/>
      <c r="H2880" s="23">
        <v>104</v>
      </c>
      <c r="I2880" s="23">
        <v>52</v>
      </c>
      <c r="J2880" s="24">
        <v>104</v>
      </c>
      <c r="K2880" s="21">
        <v>0</v>
      </c>
      <c r="L2880" s="21">
        <v>0</v>
      </c>
      <c r="M2880" s="21">
        <f>COUNTIF($A$2:$A$5481,A2880)</f>
        <v>1</v>
      </c>
      <c r="N2880" s="24">
        <f t="shared" si="44"/>
        <v>104.000288</v>
      </c>
    </row>
    <row r="2881" spans="1:14">
      <c r="A2881" s="21" t="s">
        <v>739</v>
      </c>
      <c r="B2881" s="21" t="s">
        <v>26</v>
      </c>
      <c r="C2881" s="21" t="s">
        <v>26</v>
      </c>
      <c r="D2881" s="21" t="s">
        <v>921</v>
      </c>
      <c r="E2881" s="21">
        <v>0</v>
      </c>
      <c r="F2881" s="22">
        <v>45544.8444444445</v>
      </c>
      <c r="G2881" s="22">
        <v>46252.5694097222</v>
      </c>
      <c r="H2881" s="23">
        <v>116.72</v>
      </c>
      <c r="I2881" s="23">
        <v>58.36</v>
      </c>
      <c r="J2881" s="24">
        <v>0</v>
      </c>
      <c r="K2881" s="21">
        <v>0</v>
      </c>
      <c r="L2881" s="21">
        <v>0</v>
      </c>
      <c r="M2881" s="21">
        <f>COUNTIF($A$2:$A$5481,A2881)</f>
        <v>1</v>
      </c>
      <c r="N2881" s="24">
        <f t="shared" si="44"/>
        <v>0.0002881</v>
      </c>
    </row>
    <row r="2882" spans="1:14">
      <c r="A2882" s="21" t="s">
        <v>671</v>
      </c>
      <c r="B2882" s="21" t="s">
        <v>1175</v>
      </c>
      <c r="C2882" s="21" t="s">
        <v>26</v>
      </c>
      <c r="D2882" s="21" t="s">
        <v>921</v>
      </c>
      <c r="E2882" s="21">
        <v>0</v>
      </c>
      <c r="F2882" s="22">
        <v>45953.6162037037</v>
      </c>
      <c r="G2882" s="22">
        <v>46252.5530208333</v>
      </c>
      <c r="H2882" s="23">
        <v>10</v>
      </c>
      <c r="I2882" s="23">
        <v>10</v>
      </c>
      <c r="J2882" s="24">
        <v>0</v>
      </c>
      <c r="K2882" s="21">
        <v>0</v>
      </c>
      <c r="L2882" s="21">
        <v>0</v>
      </c>
      <c r="M2882" s="21">
        <f>COUNTIF($A$2:$A$5481,A2882)</f>
        <v>1</v>
      </c>
      <c r="N2882" s="24">
        <f t="shared" ref="N2882:N2945" si="45">J2882+ROW()/10000000</f>
        <v>0.0002882</v>
      </c>
    </row>
    <row r="2883" spans="1:14">
      <c r="A2883" s="21" t="s">
        <v>670</v>
      </c>
      <c r="B2883" s="21" t="s">
        <v>1175</v>
      </c>
      <c r="C2883" s="21" t="s">
        <v>26</v>
      </c>
      <c r="D2883" s="21" t="s">
        <v>921</v>
      </c>
      <c r="E2883" s="21">
        <v>0</v>
      </c>
      <c r="F2883" s="22">
        <v>46230.4395833333</v>
      </c>
      <c r="G2883" s="22">
        <v>46252.5530092593</v>
      </c>
      <c r="H2883" s="23">
        <v>125</v>
      </c>
      <c r="I2883" s="23">
        <v>125</v>
      </c>
      <c r="J2883" s="24">
        <v>0</v>
      </c>
      <c r="K2883" s="21">
        <v>0</v>
      </c>
      <c r="L2883" s="21">
        <v>0</v>
      </c>
      <c r="M2883" s="21">
        <f>COUNTIF($A$2:$A$5481,A2883)</f>
        <v>1</v>
      </c>
      <c r="N2883" s="24">
        <f t="shared" si="45"/>
        <v>0.0002883</v>
      </c>
    </row>
    <row r="2884" spans="1:14">
      <c r="A2884" s="21" t="s">
        <v>387</v>
      </c>
      <c r="B2884" s="21" t="s">
        <v>920</v>
      </c>
      <c r="C2884" s="21" t="s">
        <v>26</v>
      </c>
      <c r="D2884" s="21" t="s">
        <v>921</v>
      </c>
      <c r="E2884" s="21">
        <v>0</v>
      </c>
      <c r="F2884" s="22">
        <v>46150.5513888889</v>
      </c>
      <c r="G2884" s="22">
        <v>46162.6484722222</v>
      </c>
      <c r="H2884" s="23">
        <v>448</v>
      </c>
      <c r="I2884" s="23">
        <v>448</v>
      </c>
      <c r="J2884" s="24">
        <v>0</v>
      </c>
      <c r="K2884" s="21">
        <v>0</v>
      </c>
      <c r="L2884" s="21">
        <v>0</v>
      </c>
      <c r="M2884" s="21">
        <f>COUNTIF($A$2:$A$5481,A2884)</f>
        <v>1</v>
      </c>
      <c r="N2884" s="24">
        <f t="shared" si="45"/>
        <v>0.0002884</v>
      </c>
    </row>
    <row r="2885" spans="1:14">
      <c r="A2885" s="21" t="s">
        <v>351</v>
      </c>
      <c r="B2885" s="21" t="s">
        <v>920</v>
      </c>
      <c r="C2885" s="21" t="s">
        <v>26</v>
      </c>
      <c r="D2885" s="21" t="s">
        <v>921</v>
      </c>
      <c r="E2885" s="21">
        <v>1</v>
      </c>
      <c r="F2885" s="22">
        <v>46121.5588425926</v>
      </c>
      <c r="G2885" s="22">
        <v>46146.6408101852</v>
      </c>
      <c r="H2885" s="23">
        <v>218</v>
      </c>
      <c r="I2885" s="23">
        <v>112.3333333333</v>
      </c>
      <c r="J2885" s="24">
        <v>112.33</v>
      </c>
      <c r="K2885" s="21">
        <v>0</v>
      </c>
      <c r="L2885" s="21">
        <v>0</v>
      </c>
      <c r="M2885" s="21">
        <f>COUNTIF($A$2:$A$5481,A2885)</f>
        <v>1</v>
      </c>
      <c r="N2885" s="24">
        <f t="shared" si="45"/>
        <v>112.3302885</v>
      </c>
    </row>
    <row r="2886" spans="1:14">
      <c r="A2886" s="21" t="s">
        <v>3019</v>
      </c>
      <c r="B2886" s="21" t="s">
        <v>966</v>
      </c>
      <c r="C2886" s="21" t="s">
        <v>26</v>
      </c>
      <c r="D2886" s="21" t="s">
        <v>921</v>
      </c>
      <c r="E2886" s="21">
        <v>1</v>
      </c>
      <c r="F2886" s="22">
        <v>46111.3708333333</v>
      </c>
      <c r="G2886" s="22"/>
      <c r="H2886" s="23">
        <v>612.87</v>
      </c>
      <c r="I2886" s="23">
        <v>612.87</v>
      </c>
      <c r="J2886" s="24">
        <v>612.87</v>
      </c>
      <c r="K2886" s="21">
        <v>0</v>
      </c>
      <c r="L2886" s="21">
        <v>0</v>
      </c>
      <c r="M2886" s="21">
        <f>COUNTIF($A$2:$A$5481,A2886)</f>
        <v>1</v>
      </c>
      <c r="N2886" s="24">
        <f t="shared" si="45"/>
        <v>612.8702886</v>
      </c>
    </row>
    <row r="2887" spans="1:14">
      <c r="A2887" s="21" t="s">
        <v>3020</v>
      </c>
      <c r="B2887" s="21" t="s">
        <v>26</v>
      </c>
      <c r="C2887" s="21" t="s">
        <v>35</v>
      </c>
      <c r="D2887" s="21" t="s">
        <v>921</v>
      </c>
      <c r="E2887" s="21">
        <v>99.34</v>
      </c>
      <c r="F2887" s="22">
        <v>45973.6209259259</v>
      </c>
      <c r="G2887" s="22"/>
      <c r="H2887" s="23">
        <v>4363.848</v>
      </c>
      <c r="I2887" s="23">
        <v>104.3519025569</v>
      </c>
      <c r="J2887" s="24">
        <v>10366.129</v>
      </c>
      <c r="K2887" s="21">
        <v>0</v>
      </c>
      <c r="L2887" s="21">
        <v>0</v>
      </c>
      <c r="M2887" s="21">
        <f>COUNTIF($A$2:$A$5481,A2887)</f>
        <v>2</v>
      </c>
      <c r="N2887" s="24">
        <f t="shared" si="45"/>
        <v>10366.1292887</v>
      </c>
    </row>
    <row r="2888" spans="1:14">
      <c r="A2888" s="21" t="s">
        <v>3020</v>
      </c>
      <c r="B2888" s="21" t="s">
        <v>26</v>
      </c>
      <c r="C2888" s="21" t="s">
        <v>182</v>
      </c>
      <c r="D2888" s="21" t="s">
        <v>921</v>
      </c>
      <c r="E2888" s="21">
        <v>108.96</v>
      </c>
      <c r="F2888" s="22">
        <v>46154.5368055556</v>
      </c>
      <c r="G2888" s="22"/>
      <c r="H2888" s="23">
        <v>5148.36</v>
      </c>
      <c r="I2888" s="23">
        <v>89.1</v>
      </c>
      <c r="J2888" s="24">
        <v>9708.336</v>
      </c>
      <c r="K2888" s="21">
        <v>0</v>
      </c>
      <c r="L2888" s="21">
        <v>0</v>
      </c>
      <c r="M2888" s="21">
        <f>COUNTIF($A$2:$A$5481,A2888)</f>
        <v>2</v>
      </c>
      <c r="N2888" s="24">
        <f t="shared" si="45"/>
        <v>9708.3362888</v>
      </c>
    </row>
    <row r="2889" spans="1:14">
      <c r="A2889" s="21" t="s">
        <v>3021</v>
      </c>
      <c r="B2889" s="21" t="s">
        <v>26</v>
      </c>
      <c r="C2889" s="21" t="s">
        <v>51</v>
      </c>
      <c r="D2889" s="21" t="s">
        <v>921</v>
      </c>
      <c r="E2889" s="21">
        <v>15</v>
      </c>
      <c r="F2889" s="22">
        <v>45643.4894444444</v>
      </c>
      <c r="G2889" s="22"/>
      <c r="H2889" s="23">
        <v>12420</v>
      </c>
      <c r="I2889" s="23">
        <v>828</v>
      </c>
      <c r="J2889" s="24">
        <v>12420</v>
      </c>
      <c r="K2889" s="21">
        <v>0</v>
      </c>
      <c r="L2889" s="21">
        <v>0</v>
      </c>
      <c r="M2889" s="21">
        <f>COUNTIF($A$2:$A$5481,A2889)</f>
        <v>3</v>
      </c>
      <c r="N2889" s="24">
        <f t="shared" si="45"/>
        <v>12420.0002889</v>
      </c>
    </row>
    <row r="2890" spans="1:14">
      <c r="A2890" s="21" t="s">
        <v>3021</v>
      </c>
      <c r="B2890" s="21" t="s">
        <v>26</v>
      </c>
      <c r="C2890" s="21" t="s">
        <v>182</v>
      </c>
      <c r="D2890" s="21" t="s">
        <v>921</v>
      </c>
      <c r="E2890" s="21">
        <v>501.4</v>
      </c>
      <c r="F2890" s="22">
        <v>46154.5368055556</v>
      </c>
      <c r="G2890" s="22"/>
      <c r="H2890" s="23">
        <v>9634.728</v>
      </c>
      <c r="I2890" s="23">
        <v>83.8243478261</v>
      </c>
      <c r="J2890" s="24">
        <v>42027.348</v>
      </c>
      <c r="K2890" s="21">
        <v>0</v>
      </c>
      <c r="L2890" s="21">
        <v>0</v>
      </c>
      <c r="M2890" s="21">
        <f>COUNTIF($A$2:$A$5481,A2890)</f>
        <v>3</v>
      </c>
      <c r="N2890" s="24">
        <f t="shared" si="45"/>
        <v>42027.348289</v>
      </c>
    </row>
    <row r="2891" spans="1:14">
      <c r="A2891" s="21" t="s">
        <v>3021</v>
      </c>
      <c r="B2891" s="21" t="s">
        <v>26</v>
      </c>
      <c r="C2891" s="21" t="s">
        <v>35</v>
      </c>
      <c r="D2891" s="21" t="s">
        <v>921</v>
      </c>
      <c r="E2891" s="21">
        <v>468.3</v>
      </c>
      <c r="F2891" s="22">
        <v>46191.7256944445</v>
      </c>
      <c r="G2891" s="22"/>
      <c r="H2891" s="23">
        <v>13956.36</v>
      </c>
      <c r="I2891" s="23">
        <v>84.4069856929</v>
      </c>
      <c r="J2891" s="24">
        <v>39529.203</v>
      </c>
      <c r="K2891" s="21">
        <v>0</v>
      </c>
      <c r="L2891" s="21">
        <v>0</v>
      </c>
      <c r="M2891" s="21">
        <f>COUNTIF($A$2:$A$5481,A2891)</f>
        <v>3</v>
      </c>
      <c r="N2891" s="24">
        <f t="shared" si="45"/>
        <v>39529.2032891</v>
      </c>
    </row>
    <row r="2892" spans="1:14">
      <c r="A2892" s="21" t="s">
        <v>3022</v>
      </c>
      <c r="B2892" s="21" t="s">
        <v>26</v>
      </c>
      <c r="C2892" s="21" t="s">
        <v>182</v>
      </c>
      <c r="D2892" s="21" t="s">
        <v>921</v>
      </c>
      <c r="E2892" s="21">
        <v>11.35</v>
      </c>
      <c r="F2892" s="22">
        <v>46072.371412037</v>
      </c>
      <c r="G2892" s="22"/>
      <c r="H2892" s="23">
        <v>1501.605</v>
      </c>
      <c r="I2892" s="23">
        <v>132.3</v>
      </c>
      <c r="J2892" s="24">
        <v>1501.605</v>
      </c>
      <c r="K2892" s="21">
        <v>0</v>
      </c>
      <c r="L2892" s="21">
        <v>0</v>
      </c>
      <c r="M2892" s="21">
        <f>COUNTIF($A$2:$A$5481,A2892)</f>
        <v>1</v>
      </c>
      <c r="N2892" s="24">
        <f t="shared" si="45"/>
        <v>1501.6052892</v>
      </c>
    </row>
    <row r="2893" spans="1:14">
      <c r="A2893" s="21" t="s">
        <v>3023</v>
      </c>
      <c r="B2893" s="21" t="s">
        <v>920</v>
      </c>
      <c r="C2893" s="21" t="s">
        <v>35</v>
      </c>
      <c r="D2893" s="21" t="s">
        <v>921</v>
      </c>
      <c r="E2893" s="21">
        <v>54</v>
      </c>
      <c r="F2893" s="22">
        <v>46163.5867361111</v>
      </c>
      <c r="G2893" s="22">
        <v>45609.4395717593</v>
      </c>
      <c r="H2893" s="23">
        <v>132</v>
      </c>
      <c r="I2893" s="23">
        <v>25.5833333333</v>
      </c>
      <c r="J2893" s="24">
        <v>1381.32</v>
      </c>
      <c r="K2893" s="21">
        <v>0</v>
      </c>
      <c r="L2893" s="21">
        <v>0</v>
      </c>
      <c r="M2893" s="21">
        <f>COUNTIF($A$2:$A$5481,A2893)</f>
        <v>2</v>
      </c>
      <c r="N2893" s="24">
        <f t="shared" si="45"/>
        <v>1381.3202893</v>
      </c>
    </row>
    <row r="2894" spans="1:14">
      <c r="A2894" s="21" t="s">
        <v>3023</v>
      </c>
      <c r="B2894" s="21" t="s">
        <v>920</v>
      </c>
      <c r="C2894" s="21" t="s">
        <v>26</v>
      </c>
      <c r="D2894" s="21" t="s">
        <v>921</v>
      </c>
      <c r="E2894" s="21">
        <v>96</v>
      </c>
      <c r="F2894" s="22">
        <v>46216.6027777778</v>
      </c>
      <c r="G2894" s="22">
        <v>45982.3593055556</v>
      </c>
      <c r="H2894" s="23">
        <v>614.88</v>
      </c>
      <c r="I2894" s="23">
        <v>30.548465782</v>
      </c>
      <c r="J2894" s="24">
        <v>2932.8</v>
      </c>
      <c r="K2894" s="21">
        <v>0</v>
      </c>
      <c r="L2894" s="21">
        <v>0</v>
      </c>
      <c r="M2894" s="21">
        <f>COUNTIF($A$2:$A$5481,A2894)</f>
        <v>2</v>
      </c>
      <c r="N2894" s="24">
        <f t="shared" si="45"/>
        <v>2932.8002894</v>
      </c>
    </row>
    <row r="2895" spans="1:14">
      <c r="A2895" s="21" t="s">
        <v>3024</v>
      </c>
      <c r="B2895" s="21" t="s">
        <v>929</v>
      </c>
      <c r="C2895" s="21" t="s">
        <v>414</v>
      </c>
      <c r="D2895" s="21" t="s">
        <v>3025</v>
      </c>
      <c r="E2895" s="21">
        <v>13.6</v>
      </c>
      <c r="F2895" s="22">
        <v>45813.4411805556</v>
      </c>
      <c r="G2895" s="22"/>
      <c r="H2895" s="23">
        <v>820.08</v>
      </c>
      <c r="I2895" s="23">
        <v>60.3</v>
      </c>
      <c r="J2895" s="24">
        <v>820.08</v>
      </c>
      <c r="K2895" s="21">
        <v>0</v>
      </c>
      <c r="L2895" s="21">
        <v>0</v>
      </c>
      <c r="M2895" s="21">
        <f>COUNTIF($A$2:$A$5481,A2895)</f>
        <v>1</v>
      </c>
      <c r="N2895" s="24">
        <f t="shared" si="45"/>
        <v>820.0802895</v>
      </c>
    </row>
    <row r="2896" spans="1:14">
      <c r="A2896" s="21" t="s">
        <v>3026</v>
      </c>
      <c r="B2896" s="21" t="s">
        <v>920</v>
      </c>
      <c r="C2896" s="21" t="s">
        <v>26</v>
      </c>
      <c r="D2896" s="21" t="s">
        <v>1309</v>
      </c>
      <c r="E2896" s="21">
        <v>1</v>
      </c>
      <c r="F2896" s="22">
        <v>45513.6743055556</v>
      </c>
      <c r="G2896" s="22"/>
      <c r="H2896" s="23">
        <v>100</v>
      </c>
      <c r="I2896" s="23">
        <v>100</v>
      </c>
      <c r="J2896" s="24">
        <v>100</v>
      </c>
      <c r="K2896" s="21">
        <v>0</v>
      </c>
      <c r="L2896" s="21">
        <v>0</v>
      </c>
      <c r="M2896" s="21">
        <f>COUNTIF($A$2:$A$5481,A2896)</f>
        <v>1</v>
      </c>
      <c r="N2896" s="24">
        <f t="shared" si="45"/>
        <v>100.0002896</v>
      </c>
    </row>
    <row r="2897" spans="1:14">
      <c r="A2897" s="21" t="s">
        <v>3027</v>
      </c>
      <c r="B2897" s="21" t="s">
        <v>926</v>
      </c>
      <c r="C2897" s="21" t="s">
        <v>38</v>
      </c>
      <c r="D2897" s="21" t="s">
        <v>921</v>
      </c>
      <c r="E2897" s="21">
        <v>22</v>
      </c>
      <c r="F2897" s="22">
        <v>46044.4349884259</v>
      </c>
      <c r="G2897" s="22">
        <v>45895.4293865741</v>
      </c>
      <c r="H2897" s="23">
        <v>966.08</v>
      </c>
      <c r="I2897" s="23">
        <v>110.7309090909</v>
      </c>
      <c r="J2897" s="24">
        <v>2436.06</v>
      </c>
      <c r="K2897" s="21">
        <v>0</v>
      </c>
      <c r="L2897" s="21">
        <v>0</v>
      </c>
      <c r="M2897" s="21">
        <f>COUNTIF($A$2:$A$5481,A2897)</f>
        <v>1</v>
      </c>
      <c r="N2897" s="24">
        <f t="shared" si="45"/>
        <v>2436.0602897</v>
      </c>
    </row>
    <row r="2898" spans="1:14">
      <c r="A2898" s="21" t="s">
        <v>257</v>
      </c>
      <c r="B2898" s="21" t="s">
        <v>926</v>
      </c>
      <c r="C2898" s="21" t="s">
        <v>38</v>
      </c>
      <c r="D2898" s="21" t="s">
        <v>921</v>
      </c>
      <c r="E2898" s="21">
        <v>13</v>
      </c>
      <c r="F2898" s="22">
        <v>45771.3660763889</v>
      </c>
      <c r="G2898" s="22">
        <v>46072.4217476852</v>
      </c>
      <c r="H2898" s="23">
        <v>489.88</v>
      </c>
      <c r="I2898" s="23">
        <v>133.5628571429</v>
      </c>
      <c r="J2898" s="24">
        <v>1736.28</v>
      </c>
      <c r="K2898" s="21">
        <v>0</v>
      </c>
      <c r="L2898" s="21">
        <v>0</v>
      </c>
      <c r="M2898" s="21">
        <f>COUNTIF($A$2:$A$5481,A2898)</f>
        <v>1</v>
      </c>
      <c r="N2898" s="24">
        <f t="shared" si="45"/>
        <v>1736.2802898</v>
      </c>
    </row>
    <row r="2899" spans="1:14">
      <c r="A2899" s="21" t="s">
        <v>3028</v>
      </c>
      <c r="B2899" s="21" t="s">
        <v>949</v>
      </c>
      <c r="C2899" s="21" t="s">
        <v>26</v>
      </c>
      <c r="D2899" s="21" t="s">
        <v>921</v>
      </c>
      <c r="E2899" s="21">
        <v>20</v>
      </c>
      <c r="F2899" s="22">
        <v>45469.8344907407</v>
      </c>
      <c r="G2899" s="22"/>
      <c r="H2899" s="23">
        <v>35.8</v>
      </c>
      <c r="I2899" s="23">
        <v>1.79</v>
      </c>
      <c r="J2899" s="24">
        <v>35.8</v>
      </c>
      <c r="K2899" s="21">
        <v>0</v>
      </c>
      <c r="L2899" s="21">
        <v>0</v>
      </c>
      <c r="M2899" s="21">
        <f>COUNTIF($A$2:$A$5481,A2899)</f>
        <v>1</v>
      </c>
      <c r="N2899" s="24">
        <f t="shared" si="45"/>
        <v>35.8002899</v>
      </c>
    </row>
    <row r="2900" spans="1:14">
      <c r="A2900" s="21" t="s">
        <v>3029</v>
      </c>
      <c r="B2900" s="21" t="s">
        <v>920</v>
      </c>
      <c r="C2900" s="21" t="s">
        <v>26</v>
      </c>
      <c r="D2900" s="21" t="s">
        <v>921</v>
      </c>
      <c r="E2900" s="21">
        <v>0</v>
      </c>
      <c r="F2900" s="22">
        <v>45936.5899421296</v>
      </c>
      <c r="G2900" s="22">
        <v>45951.4320138889</v>
      </c>
      <c r="H2900" s="23">
        <v>470</v>
      </c>
      <c r="I2900" s="23">
        <v>470</v>
      </c>
      <c r="J2900" s="24">
        <v>0</v>
      </c>
      <c r="K2900" s="21">
        <v>0</v>
      </c>
      <c r="L2900" s="21">
        <v>0</v>
      </c>
      <c r="M2900" s="21">
        <f>COUNTIF($A$2:$A$5481,A2900)</f>
        <v>1</v>
      </c>
      <c r="N2900" s="24">
        <f t="shared" si="45"/>
        <v>0.00029</v>
      </c>
    </row>
    <row r="2901" spans="1:14">
      <c r="A2901" s="21" t="s">
        <v>3030</v>
      </c>
      <c r="B2901" s="21" t="s">
        <v>920</v>
      </c>
      <c r="C2901" s="21" t="s">
        <v>26</v>
      </c>
      <c r="D2901" s="21" t="s">
        <v>921</v>
      </c>
      <c r="E2901" s="21">
        <v>3</v>
      </c>
      <c r="F2901" s="22">
        <v>45447.8431134259</v>
      </c>
      <c r="G2901" s="22">
        <v>45447.84375</v>
      </c>
      <c r="H2901" s="23">
        <v>188</v>
      </c>
      <c r="I2901" s="23">
        <v>0</v>
      </c>
      <c r="J2901" s="24">
        <v>0</v>
      </c>
      <c r="K2901" s="21">
        <v>0</v>
      </c>
      <c r="L2901" s="21">
        <v>0</v>
      </c>
      <c r="M2901" s="21">
        <f>COUNTIF($A$2:$A$5481,A2901)</f>
        <v>1</v>
      </c>
      <c r="N2901" s="24">
        <f t="shared" si="45"/>
        <v>0.0002901</v>
      </c>
    </row>
    <row r="2902" spans="1:14">
      <c r="A2902" s="21" t="s">
        <v>3031</v>
      </c>
      <c r="B2902" s="21" t="s">
        <v>26</v>
      </c>
      <c r="C2902" s="21" t="s">
        <v>26</v>
      </c>
      <c r="D2902" s="21" t="s">
        <v>921</v>
      </c>
      <c r="E2902" s="21">
        <v>0</v>
      </c>
      <c r="F2902" s="22">
        <v>45540.3539236111</v>
      </c>
      <c r="G2902" s="22">
        <v>45541.851400463</v>
      </c>
      <c r="H2902" s="23">
        <v>489</v>
      </c>
      <c r="I2902" s="23">
        <v>489</v>
      </c>
      <c r="J2902" s="24">
        <v>0</v>
      </c>
      <c r="K2902" s="21">
        <v>0</v>
      </c>
      <c r="L2902" s="21">
        <v>0</v>
      </c>
      <c r="M2902" s="21">
        <f>COUNTIF($A$2:$A$5481,A2902)</f>
        <v>1</v>
      </c>
      <c r="N2902" s="24">
        <f t="shared" si="45"/>
        <v>0.0002902</v>
      </c>
    </row>
    <row r="2903" spans="1:14">
      <c r="A2903" s="21" t="s">
        <v>520</v>
      </c>
      <c r="B2903" s="21" t="s">
        <v>1115</v>
      </c>
      <c r="C2903" s="21" t="s">
        <v>26</v>
      </c>
      <c r="D2903" s="21" t="s">
        <v>921</v>
      </c>
      <c r="E2903" s="21">
        <v>9</v>
      </c>
      <c r="F2903" s="22">
        <v>46237.703587963</v>
      </c>
      <c r="G2903" s="22">
        <v>46244.6770138889</v>
      </c>
      <c r="H2903" s="23">
        <v>212</v>
      </c>
      <c r="I2903" s="23">
        <v>21.2</v>
      </c>
      <c r="J2903" s="24">
        <v>190.8</v>
      </c>
      <c r="K2903" s="21">
        <v>0</v>
      </c>
      <c r="L2903" s="21">
        <v>0</v>
      </c>
      <c r="M2903" s="21">
        <f>COUNTIF($A$2:$A$5481,A2903)</f>
        <v>1</v>
      </c>
      <c r="N2903" s="24">
        <f t="shared" si="45"/>
        <v>190.8002903</v>
      </c>
    </row>
    <row r="2904" spans="1:14">
      <c r="A2904" s="21" t="s">
        <v>549</v>
      </c>
      <c r="B2904" s="21" t="s">
        <v>926</v>
      </c>
      <c r="C2904" s="21" t="s">
        <v>26</v>
      </c>
      <c r="D2904" s="21" t="s">
        <v>921</v>
      </c>
      <c r="E2904" s="21">
        <v>8</v>
      </c>
      <c r="F2904" s="22">
        <v>46220.5821180556</v>
      </c>
      <c r="G2904" s="22">
        <v>46251.6557060185</v>
      </c>
      <c r="H2904" s="23">
        <v>190</v>
      </c>
      <c r="I2904" s="23">
        <v>23.8888888889</v>
      </c>
      <c r="J2904" s="24">
        <v>191.12</v>
      </c>
      <c r="K2904" s="21">
        <v>0</v>
      </c>
      <c r="L2904" s="21">
        <v>0</v>
      </c>
      <c r="M2904" s="21">
        <f>COUNTIF($A$2:$A$5481,A2904)</f>
        <v>1</v>
      </c>
      <c r="N2904" s="24">
        <f t="shared" si="45"/>
        <v>191.1202904</v>
      </c>
    </row>
    <row r="2905" spans="1:14">
      <c r="A2905" s="21" t="s">
        <v>3032</v>
      </c>
      <c r="B2905" s="21" t="s">
        <v>920</v>
      </c>
      <c r="C2905" s="21" t="s">
        <v>26</v>
      </c>
      <c r="D2905" s="21" t="s">
        <v>921</v>
      </c>
      <c r="E2905" s="21">
        <v>1</v>
      </c>
      <c r="F2905" s="22">
        <v>45425.8694444444</v>
      </c>
      <c r="G2905" s="22"/>
      <c r="H2905" s="23">
        <v>24.5</v>
      </c>
      <c r="I2905" s="23">
        <v>24.5</v>
      </c>
      <c r="J2905" s="24">
        <v>24.5</v>
      </c>
      <c r="K2905" s="21">
        <v>0</v>
      </c>
      <c r="L2905" s="21">
        <v>0</v>
      </c>
      <c r="M2905" s="21">
        <f>COUNTIF($A$2:$A$5481,A2905)</f>
        <v>1</v>
      </c>
      <c r="N2905" s="24">
        <f t="shared" si="45"/>
        <v>24.5002905</v>
      </c>
    </row>
    <row r="2906" spans="1:14">
      <c r="A2906" s="21" t="s">
        <v>3033</v>
      </c>
      <c r="B2906" s="21" t="s">
        <v>26</v>
      </c>
      <c r="C2906" s="21" t="s">
        <v>26</v>
      </c>
      <c r="D2906" s="21" t="s">
        <v>921</v>
      </c>
      <c r="E2906" s="21">
        <v>4</v>
      </c>
      <c r="F2906" s="22">
        <v>45945.3463078704</v>
      </c>
      <c r="G2906" s="22"/>
      <c r="H2906" s="23">
        <v>207.12</v>
      </c>
      <c r="I2906" s="23">
        <v>51.78</v>
      </c>
      <c r="J2906" s="24">
        <v>207.12</v>
      </c>
      <c r="K2906" s="21">
        <v>0</v>
      </c>
      <c r="L2906" s="21">
        <v>0</v>
      </c>
      <c r="M2906" s="21">
        <f>COUNTIF($A$2:$A$5481,A2906)</f>
        <v>1</v>
      </c>
      <c r="N2906" s="24">
        <f t="shared" si="45"/>
        <v>207.1202906</v>
      </c>
    </row>
    <row r="2907" spans="1:14">
      <c r="A2907" s="21" t="s">
        <v>608</v>
      </c>
      <c r="B2907" s="21" t="s">
        <v>929</v>
      </c>
      <c r="C2907" s="21" t="s">
        <v>414</v>
      </c>
      <c r="D2907" s="21" t="s">
        <v>921</v>
      </c>
      <c r="E2907" s="21">
        <v>1</v>
      </c>
      <c r="F2907" s="22">
        <v>45323.5759837963</v>
      </c>
      <c r="G2907" s="22"/>
      <c r="H2907" s="23">
        <v>8.12</v>
      </c>
      <c r="I2907" s="23">
        <v>8.12</v>
      </c>
      <c r="J2907" s="24">
        <v>8.12</v>
      </c>
      <c r="K2907" s="21">
        <v>0</v>
      </c>
      <c r="L2907" s="21">
        <v>0</v>
      </c>
      <c r="M2907" s="21">
        <f>COUNTIF($A$2:$A$5481,A2907)</f>
        <v>2</v>
      </c>
      <c r="N2907" s="24">
        <f t="shared" si="45"/>
        <v>8.1202907</v>
      </c>
    </row>
    <row r="2908" spans="1:14">
      <c r="A2908" s="21" t="s">
        <v>608</v>
      </c>
      <c r="B2908" s="21" t="s">
        <v>929</v>
      </c>
      <c r="C2908" s="21" t="s">
        <v>26</v>
      </c>
      <c r="D2908" s="21" t="s">
        <v>921</v>
      </c>
      <c r="E2908" s="21">
        <v>2</v>
      </c>
      <c r="F2908" s="22">
        <v>46199.7203587963</v>
      </c>
      <c r="G2908" s="22">
        <v>46252.4136458333</v>
      </c>
      <c r="H2908" s="23">
        <v>99.4</v>
      </c>
      <c r="I2908" s="23">
        <v>16.9835897436</v>
      </c>
      <c r="J2908" s="24">
        <v>33.96</v>
      </c>
      <c r="K2908" s="21">
        <v>0</v>
      </c>
      <c r="L2908" s="21">
        <v>0</v>
      </c>
      <c r="M2908" s="21">
        <f>COUNTIF($A$2:$A$5481,A2908)</f>
        <v>2</v>
      </c>
      <c r="N2908" s="24">
        <f t="shared" si="45"/>
        <v>33.9602908</v>
      </c>
    </row>
    <row r="2909" spans="1:14">
      <c r="A2909" s="21" t="s">
        <v>3034</v>
      </c>
      <c r="B2909" s="21" t="s">
        <v>26</v>
      </c>
      <c r="C2909" s="21" t="s">
        <v>26</v>
      </c>
      <c r="D2909" s="21" t="s">
        <v>921</v>
      </c>
      <c r="E2909" s="21">
        <v>4</v>
      </c>
      <c r="F2909" s="22">
        <v>45945.3463078704</v>
      </c>
      <c r="G2909" s="22"/>
      <c r="H2909" s="23">
        <v>77.72</v>
      </c>
      <c r="I2909" s="23">
        <v>19.43</v>
      </c>
      <c r="J2909" s="24">
        <v>77.72</v>
      </c>
      <c r="K2909" s="21">
        <v>0</v>
      </c>
      <c r="L2909" s="21">
        <v>0</v>
      </c>
      <c r="M2909" s="21">
        <f>COUNTIF($A$2:$A$5481,A2909)</f>
        <v>1</v>
      </c>
      <c r="N2909" s="24">
        <f t="shared" si="45"/>
        <v>77.7202909</v>
      </c>
    </row>
    <row r="2910" spans="1:14">
      <c r="A2910" s="21" t="s">
        <v>3035</v>
      </c>
      <c r="B2910" s="21" t="s">
        <v>26</v>
      </c>
      <c r="C2910" s="21" t="s">
        <v>26</v>
      </c>
      <c r="D2910" s="21" t="s">
        <v>921</v>
      </c>
      <c r="E2910" s="21">
        <v>4</v>
      </c>
      <c r="F2910" s="22">
        <v>45945.3463078704</v>
      </c>
      <c r="G2910" s="22"/>
      <c r="H2910" s="23">
        <v>77.72</v>
      </c>
      <c r="I2910" s="23">
        <v>19.43</v>
      </c>
      <c r="J2910" s="24">
        <v>77.72</v>
      </c>
      <c r="K2910" s="21">
        <v>0</v>
      </c>
      <c r="L2910" s="21">
        <v>0</v>
      </c>
      <c r="M2910" s="21">
        <f>COUNTIF($A$2:$A$5481,A2910)</f>
        <v>1</v>
      </c>
      <c r="N2910" s="24">
        <f t="shared" si="45"/>
        <v>77.720291</v>
      </c>
    </row>
    <row r="2911" spans="1:14">
      <c r="A2911" s="21" t="s">
        <v>811</v>
      </c>
      <c r="B2911" s="21" t="s">
        <v>26</v>
      </c>
      <c r="C2911" s="21" t="s">
        <v>26</v>
      </c>
      <c r="D2911" s="21" t="s">
        <v>921</v>
      </c>
      <c r="E2911" s="21">
        <v>0</v>
      </c>
      <c r="F2911" s="22">
        <v>45362.4944444444</v>
      </c>
      <c r="G2911" s="22">
        <v>45566.4418171296</v>
      </c>
      <c r="H2911" s="23">
        <v>285.3</v>
      </c>
      <c r="I2911" s="23">
        <v>9.51</v>
      </c>
      <c r="J2911" s="24">
        <v>0</v>
      </c>
      <c r="K2911" s="21">
        <v>0</v>
      </c>
      <c r="L2911" s="21">
        <v>0</v>
      </c>
      <c r="M2911" s="21">
        <f>COUNTIF($A$2:$A$5481,A2911)</f>
        <v>3</v>
      </c>
      <c r="N2911" s="24">
        <f t="shared" si="45"/>
        <v>0.0002911</v>
      </c>
    </row>
    <row r="2912" spans="1:14">
      <c r="A2912" s="21" t="s">
        <v>811</v>
      </c>
      <c r="B2912" s="21" t="s">
        <v>26</v>
      </c>
      <c r="C2912" s="21" t="s">
        <v>51</v>
      </c>
      <c r="D2912" s="21" t="s">
        <v>921</v>
      </c>
      <c r="E2912" s="21">
        <v>32</v>
      </c>
      <c r="F2912" s="22">
        <v>45729.4196643519</v>
      </c>
      <c r="G2912" s="22"/>
      <c r="H2912" s="23">
        <v>123.2</v>
      </c>
      <c r="I2912" s="23">
        <v>3.85</v>
      </c>
      <c r="J2912" s="24">
        <v>123.2</v>
      </c>
      <c r="K2912" s="21">
        <v>0</v>
      </c>
      <c r="L2912" s="21">
        <v>0</v>
      </c>
      <c r="M2912" s="21">
        <f>COUNTIF($A$2:$A$5481,A2912)</f>
        <v>3</v>
      </c>
      <c r="N2912" s="24">
        <f t="shared" si="45"/>
        <v>123.2002912</v>
      </c>
    </row>
    <row r="2913" spans="1:14">
      <c r="A2913" s="21" t="s">
        <v>811</v>
      </c>
      <c r="B2913" s="21" t="s">
        <v>26</v>
      </c>
      <c r="C2913" s="21" t="s">
        <v>182</v>
      </c>
      <c r="D2913" s="21" t="s">
        <v>921</v>
      </c>
      <c r="E2913" s="21">
        <v>126</v>
      </c>
      <c r="F2913" s="22">
        <v>45903.4110416667</v>
      </c>
      <c r="G2913" s="22">
        <v>46262.6907986111</v>
      </c>
      <c r="H2913" s="23">
        <v>678</v>
      </c>
      <c r="I2913" s="23">
        <v>3.7857142308</v>
      </c>
      <c r="J2913" s="24">
        <v>477.54</v>
      </c>
      <c r="K2913" s="21">
        <v>0</v>
      </c>
      <c r="L2913" s="21">
        <v>0</v>
      </c>
      <c r="M2913" s="21">
        <f>COUNTIF($A$2:$A$5481,A2913)</f>
        <v>3</v>
      </c>
      <c r="N2913" s="24">
        <f t="shared" si="45"/>
        <v>477.5402913</v>
      </c>
    </row>
    <row r="2914" spans="1:14">
      <c r="A2914" s="21" t="s">
        <v>532</v>
      </c>
      <c r="B2914" s="21" t="s">
        <v>26</v>
      </c>
      <c r="C2914" s="21" t="s">
        <v>26</v>
      </c>
      <c r="D2914" s="21" t="s">
        <v>921</v>
      </c>
      <c r="E2914" s="21">
        <v>10</v>
      </c>
      <c r="F2914" s="22">
        <v>45695.3652777778</v>
      </c>
      <c r="G2914" s="22">
        <v>45973.4564583333</v>
      </c>
      <c r="H2914" s="23">
        <v>620</v>
      </c>
      <c r="I2914" s="23">
        <v>6.2</v>
      </c>
      <c r="J2914" s="24">
        <v>62</v>
      </c>
      <c r="K2914" s="21">
        <v>0</v>
      </c>
      <c r="L2914" s="21">
        <v>0</v>
      </c>
      <c r="M2914" s="21">
        <f>COUNTIF($A$2:$A$5481,A2914)</f>
        <v>2</v>
      </c>
      <c r="N2914" s="24">
        <f t="shared" si="45"/>
        <v>62.0002914</v>
      </c>
    </row>
    <row r="2915" spans="1:14">
      <c r="A2915" s="21" t="s">
        <v>532</v>
      </c>
      <c r="B2915" s="21" t="s">
        <v>26</v>
      </c>
      <c r="C2915" s="21" t="s">
        <v>51</v>
      </c>
      <c r="D2915" s="21" t="s">
        <v>921</v>
      </c>
      <c r="E2915" s="21">
        <v>45</v>
      </c>
      <c r="F2915" s="22">
        <v>45776.440775463</v>
      </c>
      <c r="G2915" s="22">
        <v>46251.6525115741</v>
      </c>
      <c r="H2915" s="23">
        <v>550.8</v>
      </c>
      <c r="I2915" s="23">
        <v>3.06</v>
      </c>
      <c r="J2915" s="24">
        <v>137.7</v>
      </c>
      <c r="K2915" s="21">
        <v>0</v>
      </c>
      <c r="L2915" s="21">
        <v>0</v>
      </c>
      <c r="M2915" s="21">
        <f>COUNTIF($A$2:$A$5481,A2915)</f>
        <v>2</v>
      </c>
      <c r="N2915" s="24">
        <f t="shared" si="45"/>
        <v>137.7002915</v>
      </c>
    </row>
    <row r="2916" spans="1:14">
      <c r="A2916" s="21" t="s">
        <v>3036</v>
      </c>
      <c r="B2916" s="21" t="s">
        <v>1346</v>
      </c>
      <c r="C2916" s="21" t="s">
        <v>390</v>
      </c>
      <c r="D2916" s="21" t="s">
        <v>921</v>
      </c>
      <c r="E2916" s="21">
        <v>72</v>
      </c>
      <c r="F2916" s="22">
        <v>46232.585462963</v>
      </c>
      <c r="G2916" s="22"/>
      <c r="H2916" s="23">
        <v>5472</v>
      </c>
      <c r="I2916" s="23">
        <v>226.89</v>
      </c>
      <c r="J2916" s="24">
        <v>16336.08</v>
      </c>
      <c r="K2916" s="21">
        <v>2</v>
      </c>
      <c r="L2916" s="21">
        <v>100</v>
      </c>
      <c r="M2916" s="21">
        <f>COUNTIF($A$2:$A$5481,A2916)</f>
        <v>1</v>
      </c>
      <c r="N2916" s="24">
        <f t="shared" si="45"/>
        <v>16336.0802916</v>
      </c>
    </row>
    <row r="2917" spans="1:14">
      <c r="A2917" s="21" t="s">
        <v>3037</v>
      </c>
      <c r="B2917" s="21" t="s">
        <v>929</v>
      </c>
      <c r="C2917" s="21" t="s">
        <v>182</v>
      </c>
      <c r="D2917" s="21" t="s">
        <v>921</v>
      </c>
      <c r="E2917" s="21">
        <v>5</v>
      </c>
      <c r="F2917" s="22">
        <v>45342.8175115741</v>
      </c>
      <c r="G2917" s="22"/>
      <c r="H2917" s="23">
        <v>22.5</v>
      </c>
      <c r="I2917" s="23">
        <v>4.5</v>
      </c>
      <c r="J2917" s="24">
        <v>22.5</v>
      </c>
      <c r="K2917" s="21">
        <v>0</v>
      </c>
      <c r="L2917" s="21">
        <v>0</v>
      </c>
      <c r="M2917" s="21">
        <f>COUNTIF($A$2:$A$5481,A2917)</f>
        <v>1</v>
      </c>
      <c r="N2917" s="24">
        <f t="shared" si="45"/>
        <v>22.5002917</v>
      </c>
    </row>
    <row r="2918" spans="1:14">
      <c r="A2918" s="21" t="s">
        <v>3038</v>
      </c>
      <c r="B2918" s="21" t="s">
        <v>26</v>
      </c>
      <c r="C2918" s="21" t="s">
        <v>26</v>
      </c>
      <c r="D2918" s="21" t="s">
        <v>921</v>
      </c>
      <c r="E2918" s="21">
        <v>2</v>
      </c>
      <c r="F2918" s="22">
        <v>45833.4474189815</v>
      </c>
      <c r="G2918" s="22"/>
      <c r="H2918" s="23">
        <v>11.98</v>
      </c>
      <c r="I2918" s="23">
        <v>5.99</v>
      </c>
      <c r="J2918" s="24">
        <v>11.98</v>
      </c>
      <c r="K2918" s="21">
        <v>0</v>
      </c>
      <c r="L2918" s="21">
        <v>0</v>
      </c>
      <c r="M2918" s="21">
        <f>COUNTIF($A$2:$A$5481,A2918)</f>
        <v>1</v>
      </c>
      <c r="N2918" s="24">
        <f t="shared" si="45"/>
        <v>11.9802918</v>
      </c>
    </row>
    <row r="2919" spans="1:14">
      <c r="A2919" s="21" t="s">
        <v>3039</v>
      </c>
      <c r="B2919" s="21" t="s">
        <v>26</v>
      </c>
      <c r="C2919" s="21" t="s">
        <v>26</v>
      </c>
      <c r="D2919" s="21" t="s">
        <v>921</v>
      </c>
      <c r="E2919" s="21">
        <v>5</v>
      </c>
      <c r="F2919" s="22">
        <v>45814.3527546296</v>
      </c>
      <c r="G2919" s="22"/>
      <c r="H2919" s="23">
        <v>13.38</v>
      </c>
      <c r="I2919" s="23">
        <v>6.87</v>
      </c>
      <c r="J2919" s="24">
        <v>34.35</v>
      </c>
      <c r="K2919" s="21">
        <v>0</v>
      </c>
      <c r="L2919" s="21">
        <v>0</v>
      </c>
      <c r="M2919" s="21">
        <f>COUNTIF($A$2:$A$5481,A2919)</f>
        <v>1</v>
      </c>
      <c r="N2919" s="24">
        <f t="shared" si="45"/>
        <v>34.3502919</v>
      </c>
    </row>
    <row r="2920" spans="1:14">
      <c r="A2920" s="21" t="s">
        <v>3040</v>
      </c>
      <c r="B2920" s="21" t="s">
        <v>26</v>
      </c>
      <c r="C2920" s="21" t="s">
        <v>26</v>
      </c>
      <c r="D2920" s="21" t="s">
        <v>921</v>
      </c>
      <c r="E2920" s="21">
        <v>1</v>
      </c>
      <c r="F2920" s="22">
        <v>45338.5861111111</v>
      </c>
      <c r="G2920" s="22"/>
      <c r="H2920" s="23">
        <v>24.99</v>
      </c>
      <c r="I2920" s="23">
        <v>24.99</v>
      </c>
      <c r="J2920" s="24">
        <v>24.99</v>
      </c>
      <c r="K2920" s="21">
        <v>0</v>
      </c>
      <c r="L2920" s="21">
        <v>0</v>
      </c>
      <c r="M2920" s="21">
        <f>COUNTIF($A$2:$A$5481,A2920)</f>
        <v>1</v>
      </c>
      <c r="N2920" s="24">
        <f t="shared" si="45"/>
        <v>24.990292</v>
      </c>
    </row>
    <row r="2921" spans="1:14">
      <c r="A2921" s="21" t="s">
        <v>3041</v>
      </c>
      <c r="B2921" s="21" t="s">
        <v>26</v>
      </c>
      <c r="C2921" s="21" t="s">
        <v>414</v>
      </c>
      <c r="D2921" s="21" t="s">
        <v>921</v>
      </c>
      <c r="E2921" s="21">
        <v>2</v>
      </c>
      <c r="F2921" s="22">
        <v>45434.3576388889</v>
      </c>
      <c r="G2921" s="22"/>
      <c r="H2921" s="23">
        <v>103.5</v>
      </c>
      <c r="I2921" s="23">
        <v>51.75</v>
      </c>
      <c r="J2921" s="24">
        <v>103.5</v>
      </c>
      <c r="K2921" s="21">
        <v>0</v>
      </c>
      <c r="L2921" s="21">
        <v>0</v>
      </c>
      <c r="M2921" s="21">
        <f>COUNTIF($A$2:$A$5481,A2921)</f>
        <v>2</v>
      </c>
      <c r="N2921" s="24">
        <f t="shared" si="45"/>
        <v>103.5002921</v>
      </c>
    </row>
    <row r="2922" spans="1:14">
      <c r="A2922" s="21" t="s">
        <v>3041</v>
      </c>
      <c r="B2922" s="21" t="s">
        <v>26</v>
      </c>
      <c r="C2922" s="21" t="s">
        <v>26</v>
      </c>
      <c r="D2922" s="21" t="s">
        <v>921</v>
      </c>
      <c r="E2922" s="21">
        <v>3</v>
      </c>
      <c r="F2922" s="22">
        <v>45810.3924305556</v>
      </c>
      <c r="G2922" s="22"/>
      <c r="H2922" s="23">
        <v>118</v>
      </c>
      <c r="I2922" s="23">
        <v>77.17333</v>
      </c>
      <c r="J2922" s="24">
        <v>231.51</v>
      </c>
      <c r="K2922" s="21">
        <v>0</v>
      </c>
      <c r="L2922" s="21">
        <v>0</v>
      </c>
      <c r="M2922" s="21">
        <f>COUNTIF($A$2:$A$5481,A2922)</f>
        <v>2</v>
      </c>
      <c r="N2922" s="24">
        <f t="shared" si="45"/>
        <v>231.5102922</v>
      </c>
    </row>
    <row r="2923" spans="1:14">
      <c r="A2923" s="21" t="s">
        <v>584</v>
      </c>
      <c r="B2923" s="21" t="s">
        <v>26</v>
      </c>
      <c r="C2923" s="21" t="s">
        <v>26</v>
      </c>
      <c r="D2923" s="21" t="s">
        <v>921</v>
      </c>
      <c r="E2923" s="21">
        <v>0</v>
      </c>
      <c r="F2923" s="22">
        <v>46136.5707060185</v>
      </c>
      <c r="G2923" s="22">
        <v>46252.347962963</v>
      </c>
      <c r="H2923" s="23">
        <v>106.89</v>
      </c>
      <c r="I2923" s="23">
        <v>24.3965625</v>
      </c>
      <c r="J2923" s="24">
        <v>0</v>
      </c>
      <c r="K2923" s="21">
        <v>0</v>
      </c>
      <c r="L2923" s="21">
        <v>0</v>
      </c>
      <c r="M2923" s="21">
        <f>COUNTIF($A$2:$A$5481,A2923)</f>
        <v>1</v>
      </c>
      <c r="N2923" s="24">
        <f t="shared" si="45"/>
        <v>0.0002923</v>
      </c>
    </row>
    <row r="2924" spans="1:14">
      <c r="A2924" s="21" t="s">
        <v>470</v>
      </c>
      <c r="B2924" s="21" t="s">
        <v>929</v>
      </c>
      <c r="C2924" s="21" t="s">
        <v>414</v>
      </c>
      <c r="D2924" s="21" t="s">
        <v>921</v>
      </c>
      <c r="E2924" s="21">
        <v>18</v>
      </c>
      <c r="F2924" s="22">
        <v>45631.4231597222</v>
      </c>
      <c r="G2924" s="22">
        <v>45769.4941435185</v>
      </c>
      <c r="H2924" s="23">
        <v>34.85</v>
      </c>
      <c r="I2924" s="23">
        <v>16.51842</v>
      </c>
      <c r="J2924" s="24">
        <v>297.36</v>
      </c>
      <c r="K2924" s="21">
        <v>0</v>
      </c>
      <c r="L2924" s="21">
        <v>0</v>
      </c>
      <c r="M2924" s="21">
        <f>COUNTIF($A$2:$A$5481,A2924)</f>
        <v>4</v>
      </c>
      <c r="N2924" s="24">
        <f t="shared" si="45"/>
        <v>297.3602924</v>
      </c>
    </row>
    <row r="2925" spans="1:14">
      <c r="A2925" s="21" t="s">
        <v>470</v>
      </c>
      <c r="B2925" s="21" t="s">
        <v>929</v>
      </c>
      <c r="C2925" s="21" t="s">
        <v>35</v>
      </c>
      <c r="D2925" s="21" t="s">
        <v>921</v>
      </c>
      <c r="E2925" s="21">
        <v>10</v>
      </c>
      <c r="F2925" s="22">
        <v>45793.4261921296</v>
      </c>
      <c r="G2925" s="22"/>
      <c r="H2925" s="23">
        <v>67.2</v>
      </c>
      <c r="I2925" s="23">
        <v>6.72</v>
      </c>
      <c r="J2925" s="24">
        <v>67.2</v>
      </c>
      <c r="K2925" s="21">
        <v>0</v>
      </c>
      <c r="L2925" s="21">
        <v>0</v>
      </c>
      <c r="M2925" s="21">
        <f>COUNTIF($A$2:$A$5481,A2925)</f>
        <v>4</v>
      </c>
      <c r="N2925" s="24">
        <f t="shared" si="45"/>
        <v>67.2002925</v>
      </c>
    </row>
    <row r="2926" spans="1:14">
      <c r="A2926" s="21" t="s">
        <v>470</v>
      </c>
      <c r="B2926" s="21" t="s">
        <v>929</v>
      </c>
      <c r="C2926" s="21" t="s">
        <v>26</v>
      </c>
      <c r="D2926" s="21" t="s">
        <v>921</v>
      </c>
      <c r="E2926" s="21">
        <v>6</v>
      </c>
      <c r="F2926" s="22">
        <v>46232.5832986111</v>
      </c>
      <c r="G2926" s="22">
        <v>46265.5906481482</v>
      </c>
      <c r="H2926" s="23">
        <v>93.55</v>
      </c>
      <c r="I2926" s="23">
        <v>17.4618259613</v>
      </c>
      <c r="J2926" s="24">
        <v>104.76</v>
      </c>
      <c r="K2926" s="21">
        <v>0</v>
      </c>
      <c r="L2926" s="21">
        <v>0</v>
      </c>
      <c r="M2926" s="21">
        <f>COUNTIF($A$2:$A$5481,A2926)</f>
        <v>4</v>
      </c>
      <c r="N2926" s="24">
        <f t="shared" si="45"/>
        <v>104.7602926</v>
      </c>
    </row>
    <row r="2927" spans="1:14">
      <c r="A2927" s="21" t="s">
        <v>470</v>
      </c>
      <c r="B2927" s="21" t="s">
        <v>929</v>
      </c>
      <c r="C2927" s="21" t="s">
        <v>182</v>
      </c>
      <c r="D2927" s="21" t="s">
        <v>921</v>
      </c>
      <c r="E2927" s="21">
        <v>10</v>
      </c>
      <c r="F2927" s="22">
        <v>46251.7070717593</v>
      </c>
      <c r="G2927" s="22">
        <v>46267.4094675926</v>
      </c>
      <c r="H2927" s="23">
        <v>253.44</v>
      </c>
      <c r="I2927" s="23">
        <v>35.1536363636</v>
      </c>
      <c r="J2927" s="24">
        <v>351.5</v>
      </c>
      <c r="K2927" s="21">
        <v>0</v>
      </c>
      <c r="L2927" s="21">
        <v>0</v>
      </c>
      <c r="M2927" s="21">
        <f>COUNTIF($A$2:$A$5481,A2927)</f>
        <v>4</v>
      </c>
      <c r="N2927" s="24">
        <f t="shared" si="45"/>
        <v>351.5002927</v>
      </c>
    </row>
    <row r="2928" spans="1:14">
      <c r="A2928" s="21" t="s">
        <v>3042</v>
      </c>
      <c r="B2928" s="21" t="s">
        <v>929</v>
      </c>
      <c r="C2928" s="21" t="s">
        <v>26</v>
      </c>
      <c r="D2928" s="21" t="s">
        <v>921</v>
      </c>
      <c r="E2928" s="21">
        <v>2</v>
      </c>
      <c r="F2928" s="22">
        <v>45968.4407523148</v>
      </c>
      <c r="G2928" s="22"/>
      <c r="H2928" s="23">
        <v>13.88</v>
      </c>
      <c r="I2928" s="23">
        <v>6.94</v>
      </c>
      <c r="J2928" s="24">
        <v>13.88</v>
      </c>
      <c r="K2928" s="21">
        <v>0</v>
      </c>
      <c r="L2928" s="21">
        <v>0</v>
      </c>
      <c r="M2928" s="21">
        <f>COUNTIF($A$2:$A$5481,A2928)</f>
        <v>1</v>
      </c>
      <c r="N2928" s="24">
        <f t="shared" si="45"/>
        <v>13.8802928</v>
      </c>
    </row>
    <row r="2929" spans="1:14">
      <c r="A2929" s="21" t="s">
        <v>3043</v>
      </c>
      <c r="B2929" s="21" t="s">
        <v>929</v>
      </c>
      <c r="C2929" s="21" t="s">
        <v>26</v>
      </c>
      <c r="D2929" s="21" t="s">
        <v>921</v>
      </c>
      <c r="E2929" s="21">
        <v>2</v>
      </c>
      <c r="F2929" s="22">
        <v>45968.4407523148</v>
      </c>
      <c r="G2929" s="22"/>
      <c r="H2929" s="23">
        <v>18.58</v>
      </c>
      <c r="I2929" s="23">
        <v>9.29</v>
      </c>
      <c r="J2929" s="24">
        <v>18.58</v>
      </c>
      <c r="K2929" s="21">
        <v>0</v>
      </c>
      <c r="L2929" s="21">
        <v>0</v>
      </c>
      <c r="M2929" s="21">
        <f>COUNTIF($A$2:$A$5481,A2929)</f>
        <v>1</v>
      </c>
      <c r="N2929" s="24">
        <f t="shared" si="45"/>
        <v>18.5802929</v>
      </c>
    </row>
    <row r="2930" spans="1:14">
      <c r="A2930" s="21" t="s">
        <v>3044</v>
      </c>
      <c r="B2930" s="21" t="s">
        <v>929</v>
      </c>
      <c r="C2930" s="21" t="s">
        <v>26</v>
      </c>
      <c r="D2930" s="21" t="s">
        <v>921</v>
      </c>
      <c r="E2930" s="21">
        <v>2</v>
      </c>
      <c r="F2930" s="22">
        <v>45968.4407523148</v>
      </c>
      <c r="G2930" s="22"/>
      <c r="H2930" s="23">
        <v>18.58</v>
      </c>
      <c r="I2930" s="23">
        <v>9.29</v>
      </c>
      <c r="J2930" s="24">
        <v>18.58</v>
      </c>
      <c r="K2930" s="21">
        <v>0</v>
      </c>
      <c r="L2930" s="21">
        <v>0</v>
      </c>
      <c r="M2930" s="21">
        <f>COUNTIF($A$2:$A$5481,A2930)</f>
        <v>1</v>
      </c>
      <c r="N2930" s="24">
        <f t="shared" si="45"/>
        <v>18.580293</v>
      </c>
    </row>
    <row r="2931" spans="1:14">
      <c r="A2931" s="21" t="s">
        <v>583</v>
      </c>
      <c r="B2931" s="21" t="s">
        <v>920</v>
      </c>
      <c r="C2931" s="21" t="s">
        <v>26</v>
      </c>
      <c r="D2931" s="21" t="s">
        <v>921</v>
      </c>
      <c r="E2931" s="21">
        <v>0</v>
      </c>
      <c r="F2931" s="22">
        <v>46090.6130208333</v>
      </c>
      <c r="G2931" s="22">
        <v>46252.3479513889</v>
      </c>
      <c r="H2931" s="23">
        <v>58.25</v>
      </c>
      <c r="I2931" s="23">
        <v>26.945</v>
      </c>
      <c r="J2931" s="24">
        <v>0</v>
      </c>
      <c r="K2931" s="21">
        <v>0</v>
      </c>
      <c r="L2931" s="21">
        <v>0</v>
      </c>
      <c r="M2931" s="21">
        <f>COUNTIF($A$2:$A$5481,A2931)</f>
        <v>1</v>
      </c>
      <c r="N2931" s="24">
        <f t="shared" si="45"/>
        <v>0.0002931</v>
      </c>
    </row>
    <row r="2932" spans="1:14">
      <c r="A2932" s="21" t="s">
        <v>501</v>
      </c>
      <c r="B2932" s="21" t="s">
        <v>26</v>
      </c>
      <c r="C2932" s="21" t="s">
        <v>26</v>
      </c>
      <c r="D2932" s="21" t="s">
        <v>921</v>
      </c>
      <c r="E2932" s="21">
        <v>51</v>
      </c>
      <c r="F2932" s="22">
        <v>45756.3563773148</v>
      </c>
      <c r="G2932" s="22">
        <v>46258.6222222222</v>
      </c>
      <c r="H2932" s="23">
        <v>549</v>
      </c>
      <c r="I2932" s="23">
        <v>6.7008</v>
      </c>
      <c r="J2932" s="24">
        <v>341.7</v>
      </c>
      <c r="K2932" s="21">
        <v>0</v>
      </c>
      <c r="L2932" s="21">
        <v>0</v>
      </c>
      <c r="M2932" s="21">
        <f>COUNTIF($A$2:$A$5481,A2932)</f>
        <v>3</v>
      </c>
      <c r="N2932" s="24">
        <f t="shared" si="45"/>
        <v>341.7002932</v>
      </c>
    </row>
    <row r="2933" spans="1:14">
      <c r="A2933" s="21" t="s">
        <v>501</v>
      </c>
      <c r="B2933" s="21" t="s">
        <v>26</v>
      </c>
      <c r="C2933" s="21" t="s">
        <v>51</v>
      </c>
      <c r="D2933" s="21" t="s">
        <v>921</v>
      </c>
      <c r="E2933" s="21">
        <v>250</v>
      </c>
      <c r="F2933" s="22">
        <v>45882.354837963</v>
      </c>
      <c r="G2933" s="22">
        <v>46232.7125231482</v>
      </c>
      <c r="H2933" s="23">
        <v>677.5</v>
      </c>
      <c r="I2933" s="23">
        <v>2.8004277027</v>
      </c>
      <c r="J2933" s="24">
        <v>700</v>
      </c>
      <c r="K2933" s="21">
        <v>0</v>
      </c>
      <c r="L2933" s="21">
        <v>0</v>
      </c>
      <c r="M2933" s="21">
        <f>COUNTIF($A$2:$A$5481,A2933)</f>
        <v>3</v>
      </c>
      <c r="N2933" s="24">
        <f t="shared" si="45"/>
        <v>700.0002933</v>
      </c>
    </row>
    <row r="2934" spans="1:14">
      <c r="A2934" s="21" t="s">
        <v>501</v>
      </c>
      <c r="B2934" s="21" t="s">
        <v>26</v>
      </c>
      <c r="C2934" s="21" t="s">
        <v>182</v>
      </c>
      <c r="D2934" s="21" t="s">
        <v>921</v>
      </c>
      <c r="E2934" s="21">
        <v>40.99</v>
      </c>
      <c r="F2934" s="22">
        <v>46161.4354166667</v>
      </c>
      <c r="G2934" s="22">
        <v>45973.4535763889</v>
      </c>
      <c r="H2934" s="23">
        <v>110.4</v>
      </c>
      <c r="I2934" s="23">
        <v>2.7598861887</v>
      </c>
      <c r="J2934" s="24">
        <v>113.1324</v>
      </c>
      <c r="K2934" s="21">
        <v>0</v>
      </c>
      <c r="L2934" s="21">
        <v>0</v>
      </c>
      <c r="M2934" s="21">
        <f>COUNTIF($A$2:$A$5481,A2934)</f>
        <v>3</v>
      </c>
      <c r="N2934" s="24">
        <f t="shared" si="45"/>
        <v>113.1326934</v>
      </c>
    </row>
    <row r="2935" spans="1:14">
      <c r="A2935" s="21" t="s">
        <v>3045</v>
      </c>
      <c r="B2935" s="21" t="s">
        <v>26</v>
      </c>
      <c r="C2935" s="21" t="s">
        <v>26</v>
      </c>
      <c r="D2935" s="21" t="s">
        <v>921</v>
      </c>
      <c r="E2935" s="21">
        <v>5</v>
      </c>
      <c r="F2935" s="22">
        <v>45653.7407291667</v>
      </c>
      <c r="G2935" s="22"/>
      <c r="H2935" s="23">
        <v>101.65</v>
      </c>
      <c r="I2935" s="23">
        <v>87.09</v>
      </c>
      <c r="J2935" s="24">
        <v>435.45</v>
      </c>
      <c r="K2935" s="21">
        <v>0</v>
      </c>
      <c r="L2935" s="21">
        <v>0</v>
      </c>
      <c r="M2935" s="21">
        <f>COUNTIF($A$2:$A$5481,A2935)</f>
        <v>1</v>
      </c>
      <c r="N2935" s="24">
        <f t="shared" si="45"/>
        <v>435.4502935</v>
      </c>
    </row>
    <row r="2936" spans="1:14">
      <c r="A2936" s="21" t="s">
        <v>3046</v>
      </c>
      <c r="B2936" s="21" t="s">
        <v>26</v>
      </c>
      <c r="C2936" s="21" t="s">
        <v>26</v>
      </c>
      <c r="D2936" s="21" t="s">
        <v>921</v>
      </c>
      <c r="E2936" s="21">
        <v>2</v>
      </c>
      <c r="F2936" s="22">
        <v>45653.7407291667</v>
      </c>
      <c r="G2936" s="22"/>
      <c r="H2936" s="23">
        <v>128.36</v>
      </c>
      <c r="I2936" s="23">
        <v>64.18</v>
      </c>
      <c r="J2936" s="24">
        <v>128.36</v>
      </c>
      <c r="K2936" s="21">
        <v>0</v>
      </c>
      <c r="L2936" s="21">
        <v>0</v>
      </c>
      <c r="M2936" s="21">
        <f>COUNTIF($A$2:$A$5481,A2936)</f>
        <v>1</v>
      </c>
      <c r="N2936" s="24">
        <f t="shared" si="45"/>
        <v>128.3602936</v>
      </c>
    </row>
    <row r="2937" spans="1:14">
      <c r="A2937" s="21" t="s">
        <v>3047</v>
      </c>
      <c r="B2937" s="21" t="s">
        <v>26</v>
      </c>
      <c r="C2937" s="21" t="s">
        <v>26</v>
      </c>
      <c r="D2937" s="21" t="s">
        <v>921</v>
      </c>
      <c r="E2937" s="21">
        <v>3</v>
      </c>
      <c r="F2937" s="22">
        <v>45714.8446064815</v>
      </c>
      <c r="G2937" s="22">
        <v>45813.4400462963</v>
      </c>
      <c r="H2937" s="23">
        <v>173.64</v>
      </c>
      <c r="I2937" s="23">
        <v>43.41</v>
      </c>
      <c r="J2937" s="24">
        <v>130.23</v>
      </c>
      <c r="K2937" s="21">
        <v>0</v>
      </c>
      <c r="L2937" s="21">
        <v>0</v>
      </c>
      <c r="M2937" s="21">
        <f>COUNTIF($A$2:$A$5481,A2937)</f>
        <v>1</v>
      </c>
      <c r="N2937" s="24">
        <f t="shared" si="45"/>
        <v>130.2302937</v>
      </c>
    </row>
    <row r="2938" spans="1:14">
      <c r="A2938" s="21" t="s">
        <v>3048</v>
      </c>
      <c r="B2938" s="21" t="s">
        <v>26</v>
      </c>
      <c r="C2938" s="21" t="s">
        <v>26</v>
      </c>
      <c r="D2938" s="21" t="s">
        <v>921</v>
      </c>
      <c r="E2938" s="21">
        <v>5</v>
      </c>
      <c r="F2938" s="22">
        <v>45576.3766087963</v>
      </c>
      <c r="G2938" s="22"/>
      <c r="H2938" s="23">
        <v>48.95</v>
      </c>
      <c r="I2938" s="23">
        <v>9.79</v>
      </c>
      <c r="J2938" s="24">
        <v>48.95</v>
      </c>
      <c r="K2938" s="21">
        <v>0</v>
      </c>
      <c r="L2938" s="21">
        <v>0</v>
      </c>
      <c r="M2938" s="21">
        <f>COUNTIF($A$2:$A$5481,A2938)</f>
        <v>1</v>
      </c>
      <c r="N2938" s="24">
        <f t="shared" si="45"/>
        <v>48.9502938</v>
      </c>
    </row>
    <row r="2939" spans="1:14">
      <c r="A2939" s="21" t="s">
        <v>770</v>
      </c>
      <c r="B2939" s="21" t="s">
        <v>1895</v>
      </c>
      <c r="C2939" s="21" t="s">
        <v>26</v>
      </c>
      <c r="D2939" s="21" t="s">
        <v>921</v>
      </c>
      <c r="E2939" s="21">
        <v>0</v>
      </c>
      <c r="F2939" s="22">
        <v>45425.4616666667</v>
      </c>
      <c r="G2939" s="22">
        <v>46252.6097106482</v>
      </c>
      <c r="H2939" s="23">
        <v>103.96</v>
      </c>
      <c r="I2939" s="23">
        <v>25.99</v>
      </c>
      <c r="J2939" s="24">
        <v>0</v>
      </c>
      <c r="K2939" s="21">
        <v>0</v>
      </c>
      <c r="L2939" s="21">
        <v>0</v>
      </c>
      <c r="M2939" s="21">
        <f>COUNTIF($A$2:$A$5481,A2939)</f>
        <v>1</v>
      </c>
      <c r="N2939" s="24">
        <f t="shared" si="45"/>
        <v>0.0002939</v>
      </c>
    </row>
    <row r="2940" spans="1:14">
      <c r="A2940" s="21" t="s">
        <v>3049</v>
      </c>
      <c r="B2940" s="21" t="s">
        <v>26</v>
      </c>
      <c r="C2940" s="21" t="s">
        <v>390</v>
      </c>
      <c r="D2940" s="21" t="s">
        <v>921</v>
      </c>
      <c r="E2940" s="21">
        <v>150</v>
      </c>
      <c r="F2940" s="22">
        <v>45502.3461689815</v>
      </c>
      <c r="G2940" s="22"/>
      <c r="H2940" s="23">
        <v>1798.5</v>
      </c>
      <c r="I2940" s="23">
        <v>11.99</v>
      </c>
      <c r="J2940" s="24">
        <v>1798.5</v>
      </c>
      <c r="K2940" s="21">
        <v>0</v>
      </c>
      <c r="L2940" s="21">
        <v>0</v>
      </c>
      <c r="M2940" s="21">
        <f>COUNTIF($A$2:$A$5481,A2940)</f>
        <v>3</v>
      </c>
      <c r="N2940" s="24">
        <f t="shared" si="45"/>
        <v>1798.500294</v>
      </c>
    </row>
    <row r="2941" spans="1:14">
      <c r="A2941" s="21" t="s">
        <v>3049</v>
      </c>
      <c r="B2941" s="21" t="s">
        <v>26</v>
      </c>
      <c r="C2941" s="21" t="s">
        <v>26</v>
      </c>
      <c r="D2941" s="21" t="s">
        <v>921</v>
      </c>
      <c r="E2941" s="21">
        <v>37</v>
      </c>
      <c r="F2941" s="22">
        <v>45574.8472685185</v>
      </c>
      <c r="G2941" s="22">
        <v>46009.3450694445</v>
      </c>
      <c r="H2941" s="23">
        <v>638.4</v>
      </c>
      <c r="I2941" s="23">
        <v>22.55436</v>
      </c>
      <c r="J2941" s="24">
        <v>834.35</v>
      </c>
      <c r="K2941" s="21">
        <v>0</v>
      </c>
      <c r="L2941" s="21">
        <v>0</v>
      </c>
      <c r="M2941" s="21">
        <f>COUNTIF($A$2:$A$5481,A2941)</f>
        <v>3</v>
      </c>
      <c r="N2941" s="24">
        <f t="shared" si="45"/>
        <v>834.3502941</v>
      </c>
    </row>
    <row r="2942" spans="1:14">
      <c r="A2942" s="21" t="s">
        <v>3049</v>
      </c>
      <c r="B2942" s="21" t="s">
        <v>26</v>
      </c>
      <c r="C2942" s="21" t="s">
        <v>51</v>
      </c>
      <c r="D2942" s="21" t="s">
        <v>921</v>
      </c>
      <c r="E2942" s="21">
        <v>10</v>
      </c>
      <c r="F2942" s="22">
        <v>45601.4220601852</v>
      </c>
      <c r="G2942" s="22">
        <v>45904.5849884259</v>
      </c>
      <c r="H2942" s="23">
        <v>373.2</v>
      </c>
      <c r="I2942" s="23">
        <v>18.66</v>
      </c>
      <c r="J2942" s="24">
        <v>186.6</v>
      </c>
      <c r="K2942" s="21">
        <v>0</v>
      </c>
      <c r="L2942" s="21">
        <v>0</v>
      </c>
      <c r="M2942" s="21">
        <f>COUNTIF($A$2:$A$5481,A2942)</f>
        <v>3</v>
      </c>
      <c r="N2942" s="24">
        <f t="shared" si="45"/>
        <v>186.6002942</v>
      </c>
    </row>
    <row r="2943" spans="1:14">
      <c r="A2943" s="21" t="s">
        <v>3050</v>
      </c>
      <c r="B2943" s="21" t="s">
        <v>26</v>
      </c>
      <c r="C2943" s="21" t="s">
        <v>182</v>
      </c>
      <c r="D2943" s="21" t="s">
        <v>921</v>
      </c>
      <c r="E2943" s="21">
        <v>0</v>
      </c>
      <c r="F2943" s="22">
        <v>45462.3868055556</v>
      </c>
      <c r="G2943" s="22">
        <v>45932.3839930556</v>
      </c>
      <c r="H2943" s="23">
        <v>898.5</v>
      </c>
      <c r="I2943" s="23">
        <v>5.99</v>
      </c>
      <c r="J2943" s="24">
        <v>0</v>
      </c>
      <c r="K2943" s="21">
        <v>0</v>
      </c>
      <c r="L2943" s="21">
        <v>0</v>
      </c>
      <c r="M2943" s="21">
        <f>COUNTIF($A$2:$A$5481,A2943)</f>
        <v>2</v>
      </c>
      <c r="N2943" s="24">
        <f t="shared" si="45"/>
        <v>0.0002943</v>
      </c>
    </row>
    <row r="2944" spans="1:14">
      <c r="A2944" s="21" t="s">
        <v>3050</v>
      </c>
      <c r="B2944" s="21" t="s">
        <v>26</v>
      </c>
      <c r="C2944" s="21" t="s">
        <v>26</v>
      </c>
      <c r="D2944" s="21" t="s">
        <v>921</v>
      </c>
      <c r="E2944" s="21">
        <v>0</v>
      </c>
      <c r="F2944" s="22">
        <v>45660.4383449074</v>
      </c>
      <c r="G2944" s="22">
        <v>45938.3928935185</v>
      </c>
      <c r="H2944" s="23">
        <v>397.5</v>
      </c>
      <c r="I2944" s="23">
        <v>11.0319148936</v>
      </c>
      <c r="J2944" s="24">
        <v>0</v>
      </c>
      <c r="K2944" s="21">
        <v>0</v>
      </c>
      <c r="L2944" s="21">
        <v>0</v>
      </c>
      <c r="M2944" s="21">
        <f>COUNTIF($A$2:$A$5481,A2944)</f>
        <v>2</v>
      </c>
      <c r="N2944" s="24">
        <f t="shared" si="45"/>
        <v>0.0002944</v>
      </c>
    </row>
    <row r="2945" spans="1:14">
      <c r="A2945" s="21" t="s">
        <v>3051</v>
      </c>
      <c r="B2945" s="21" t="s">
        <v>26</v>
      </c>
      <c r="C2945" s="21" t="s">
        <v>51</v>
      </c>
      <c r="D2945" s="21" t="s">
        <v>921</v>
      </c>
      <c r="E2945" s="21">
        <v>30</v>
      </c>
      <c r="F2945" s="22">
        <v>45762.3576967593</v>
      </c>
      <c r="G2945" s="22"/>
      <c r="H2945" s="23">
        <v>91.8</v>
      </c>
      <c r="I2945" s="23">
        <v>3.06</v>
      </c>
      <c r="J2945" s="24">
        <v>91.8</v>
      </c>
      <c r="K2945" s="21">
        <v>0</v>
      </c>
      <c r="L2945" s="21">
        <v>0</v>
      </c>
      <c r="M2945" s="21">
        <f>COUNTIF($A$2:$A$5481,A2945)</f>
        <v>2</v>
      </c>
      <c r="N2945" s="24">
        <f t="shared" si="45"/>
        <v>91.8002945</v>
      </c>
    </row>
    <row r="2946" spans="1:14">
      <c r="A2946" s="21" t="s">
        <v>3051</v>
      </c>
      <c r="B2946" s="21" t="s">
        <v>26</v>
      </c>
      <c r="C2946" s="21" t="s">
        <v>182</v>
      </c>
      <c r="D2946" s="21" t="s">
        <v>921</v>
      </c>
      <c r="E2946" s="21">
        <v>1314</v>
      </c>
      <c r="F2946" s="22">
        <v>46251.5368055556</v>
      </c>
      <c r="G2946" s="22">
        <v>45951.4372337963</v>
      </c>
      <c r="H2946" s="23">
        <v>481.6</v>
      </c>
      <c r="I2946" s="23">
        <v>5.4104116322</v>
      </c>
      <c r="J2946" s="24">
        <v>7108.74</v>
      </c>
      <c r="K2946" s="21">
        <v>0</v>
      </c>
      <c r="L2946" s="21">
        <v>0</v>
      </c>
      <c r="M2946" s="21">
        <f>COUNTIF($A$2:$A$5481,A2946)</f>
        <v>2</v>
      </c>
      <c r="N2946" s="24">
        <f t="shared" ref="N2946:N3009" si="46">J2946+ROW()/10000000</f>
        <v>7108.7402946</v>
      </c>
    </row>
    <row r="2947" spans="1:14">
      <c r="A2947" s="21" t="s">
        <v>674</v>
      </c>
      <c r="B2947" s="21" t="s">
        <v>1346</v>
      </c>
      <c r="C2947" s="21" t="s">
        <v>26</v>
      </c>
      <c r="D2947" s="21" t="s">
        <v>921</v>
      </c>
      <c r="E2947" s="21">
        <v>2</v>
      </c>
      <c r="F2947" s="22">
        <v>46182.6152777778</v>
      </c>
      <c r="G2947" s="22">
        <v>46252.5530671296</v>
      </c>
      <c r="H2947" s="23">
        <v>898</v>
      </c>
      <c r="I2947" s="23">
        <v>408.0909090909</v>
      </c>
      <c r="J2947" s="24">
        <v>816.18</v>
      </c>
      <c r="K2947" s="21">
        <v>0</v>
      </c>
      <c r="L2947" s="21">
        <v>0</v>
      </c>
      <c r="M2947" s="21">
        <f>COUNTIF($A$2:$A$5481,A2947)</f>
        <v>1</v>
      </c>
      <c r="N2947" s="24">
        <f t="shared" si="46"/>
        <v>816.1802947</v>
      </c>
    </row>
    <row r="2948" spans="1:14">
      <c r="A2948" s="21" t="s">
        <v>537</v>
      </c>
      <c r="B2948" s="21" t="s">
        <v>920</v>
      </c>
      <c r="C2948" s="21" t="s">
        <v>26</v>
      </c>
      <c r="D2948" s="21" t="s">
        <v>921</v>
      </c>
      <c r="E2948" s="21">
        <v>38</v>
      </c>
      <c r="F2948" s="22">
        <v>46083.6095138889</v>
      </c>
      <c r="G2948" s="22">
        <v>46247.6080671296</v>
      </c>
      <c r="H2948" s="23">
        <v>79.1</v>
      </c>
      <c r="I2948" s="23">
        <v>7.0744871795</v>
      </c>
      <c r="J2948" s="24">
        <v>268.66</v>
      </c>
      <c r="K2948" s="21">
        <v>0</v>
      </c>
      <c r="L2948" s="21">
        <v>0</v>
      </c>
      <c r="M2948" s="21">
        <f>COUNTIF($A$2:$A$5481,A2948)</f>
        <v>1</v>
      </c>
      <c r="N2948" s="24">
        <f t="shared" si="46"/>
        <v>268.6602948</v>
      </c>
    </row>
    <row r="2949" spans="1:14">
      <c r="A2949" s="21" t="s">
        <v>3052</v>
      </c>
      <c r="B2949" s="21" t="s">
        <v>929</v>
      </c>
      <c r="C2949" s="21" t="s">
        <v>26</v>
      </c>
      <c r="D2949" s="21" t="s">
        <v>921</v>
      </c>
      <c r="E2949" s="21">
        <v>58</v>
      </c>
      <c r="F2949" s="22">
        <v>45902.6624189815</v>
      </c>
      <c r="G2949" s="22">
        <v>45812.4030671296</v>
      </c>
      <c r="H2949" s="23">
        <v>358</v>
      </c>
      <c r="I2949" s="23">
        <v>20.0296463793</v>
      </c>
      <c r="J2949" s="24">
        <v>1161.74</v>
      </c>
      <c r="K2949" s="21">
        <v>0</v>
      </c>
      <c r="L2949" s="21">
        <v>0</v>
      </c>
      <c r="M2949" s="21">
        <f>COUNTIF($A$2:$A$5481,A2949)</f>
        <v>1</v>
      </c>
      <c r="N2949" s="24">
        <f t="shared" si="46"/>
        <v>1161.7402949</v>
      </c>
    </row>
    <row r="2950" spans="1:14">
      <c r="A2950" s="21" t="s">
        <v>738</v>
      </c>
      <c r="B2950" s="21" t="s">
        <v>929</v>
      </c>
      <c r="C2950" s="21" t="s">
        <v>182</v>
      </c>
      <c r="D2950" s="21" t="s">
        <v>921</v>
      </c>
      <c r="E2950" s="21">
        <v>0</v>
      </c>
      <c r="F2950" s="22">
        <v>45307.5653009259</v>
      </c>
      <c r="G2950" s="22">
        <v>46253.6360185185</v>
      </c>
      <c r="H2950" s="23">
        <v>116.88</v>
      </c>
      <c r="I2950" s="23">
        <v>38.96</v>
      </c>
      <c r="J2950" s="24">
        <v>0</v>
      </c>
      <c r="K2950" s="21">
        <v>0</v>
      </c>
      <c r="L2950" s="21">
        <v>20</v>
      </c>
      <c r="M2950" s="21">
        <f>COUNTIF($A$2:$A$5481,A2950)</f>
        <v>2</v>
      </c>
      <c r="N2950" s="24">
        <f t="shared" si="46"/>
        <v>0.000295</v>
      </c>
    </row>
    <row r="2951" spans="1:14">
      <c r="A2951" s="21" t="s">
        <v>738</v>
      </c>
      <c r="B2951" s="21" t="s">
        <v>929</v>
      </c>
      <c r="C2951" s="21" t="s">
        <v>26</v>
      </c>
      <c r="D2951" s="21" t="s">
        <v>921</v>
      </c>
      <c r="E2951" s="21">
        <v>0</v>
      </c>
      <c r="F2951" s="22">
        <v>45614.8541666667</v>
      </c>
      <c r="G2951" s="22">
        <v>46253.6354976852</v>
      </c>
      <c r="H2951" s="23">
        <v>148.16</v>
      </c>
      <c r="I2951" s="23">
        <v>37.04</v>
      </c>
      <c r="J2951" s="24">
        <v>0</v>
      </c>
      <c r="K2951" s="21">
        <v>0</v>
      </c>
      <c r="L2951" s="21">
        <v>20</v>
      </c>
      <c r="M2951" s="21">
        <f>COUNTIF($A$2:$A$5481,A2951)</f>
        <v>2</v>
      </c>
      <c r="N2951" s="24">
        <f t="shared" si="46"/>
        <v>0.0002951</v>
      </c>
    </row>
    <row r="2952" spans="1:14">
      <c r="A2952" s="21" t="s">
        <v>3053</v>
      </c>
      <c r="B2952" s="21" t="s">
        <v>929</v>
      </c>
      <c r="C2952" s="21" t="s">
        <v>414</v>
      </c>
      <c r="D2952" s="21" t="s">
        <v>921</v>
      </c>
      <c r="E2952" s="21">
        <v>0</v>
      </c>
      <c r="F2952" s="22">
        <v>45308.68125</v>
      </c>
      <c r="G2952" s="22">
        <v>45310.412037037</v>
      </c>
      <c r="H2952" s="23">
        <v>29.9</v>
      </c>
      <c r="I2952" s="23">
        <v>29.9</v>
      </c>
      <c r="J2952" s="24">
        <v>0</v>
      </c>
      <c r="K2952" s="21">
        <v>0</v>
      </c>
      <c r="L2952" s="21">
        <v>0</v>
      </c>
      <c r="M2952" s="21">
        <f>COUNTIF($A$2:$A$5481,A2952)</f>
        <v>1</v>
      </c>
      <c r="N2952" s="24">
        <f t="shared" si="46"/>
        <v>0.0002952</v>
      </c>
    </row>
    <row r="2953" spans="1:14">
      <c r="A2953" s="21" t="s">
        <v>3054</v>
      </c>
      <c r="B2953" s="21" t="s">
        <v>1115</v>
      </c>
      <c r="C2953" s="21" t="s">
        <v>51</v>
      </c>
      <c r="D2953" s="21" t="s">
        <v>1068</v>
      </c>
      <c r="E2953" s="21">
        <v>30</v>
      </c>
      <c r="F2953" s="22">
        <v>45474.5506944444</v>
      </c>
      <c r="G2953" s="22"/>
      <c r="H2953" s="23">
        <v>960</v>
      </c>
      <c r="I2953" s="23">
        <v>32</v>
      </c>
      <c r="J2953" s="24">
        <v>960</v>
      </c>
      <c r="K2953" s="21">
        <v>0</v>
      </c>
      <c r="L2953" s="21">
        <v>0</v>
      </c>
      <c r="M2953" s="21">
        <f>COUNTIF($A$2:$A$5481,A2953)</f>
        <v>2</v>
      </c>
      <c r="N2953" s="24">
        <f t="shared" si="46"/>
        <v>960.0002953</v>
      </c>
    </row>
    <row r="2954" spans="1:14">
      <c r="A2954" s="21" t="s">
        <v>3054</v>
      </c>
      <c r="B2954" s="21" t="s">
        <v>1115</v>
      </c>
      <c r="C2954" s="21" t="s">
        <v>390</v>
      </c>
      <c r="D2954" s="21" t="s">
        <v>1068</v>
      </c>
      <c r="E2954" s="21">
        <v>30</v>
      </c>
      <c r="F2954" s="22">
        <v>45726.4272337963</v>
      </c>
      <c r="G2954" s="22"/>
      <c r="H2954" s="23">
        <v>1050</v>
      </c>
      <c r="I2954" s="23">
        <v>35</v>
      </c>
      <c r="J2954" s="24">
        <v>1050</v>
      </c>
      <c r="K2954" s="21">
        <v>0</v>
      </c>
      <c r="L2954" s="21">
        <v>0</v>
      </c>
      <c r="M2954" s="21">
        <f>COUNTIF($A$2:$A$5481,A2954)</f>
        <v>2</v>
      </c>
      <c r="N2954" s="24">
        <f t="shared" si="46"/>
        <v>1050.0002954</v>
      </c>
    </row>
    <row r="2955" spans="1:14">
      <c r="A2955" s="21" t="s">
        <v>3055</v>
      </c>
      <c r="B2955" s="21" t="s">
        <v>929</v>
      </c>
      <c r="C2955" s="21" t="s">
        <v>26</v>
      </c>
      <c r="D2955" s="21" t="s">
        <v>921</v>
      </c>
      <c r="E2955" s="21">
        <v>1</v>
      </c>
      <c r="F2955" s="22">
        <v>46175.808587963</v>
      </c>
      <c r="G2955" s="22"/>
      <c r="H2955" s="23">
        <v>52.4</v>
      </c>
      <c r="I2955" s="23">
        <v>52.4</v>
      </c>
      <c r="J2955" s="24">
        <v>52.4</v>
      </c>
      <c r="K2955" s="21">
        <v>0</v>
      </c>
      <c r="L2955" s="21">
        <v>0</v>
      </c>
      <c r="M2955" s="21">
        <f>COUNTIF($A$2:$A$5481,A2955)</f>
        <v>1</v>
      </c>
      <c r="N2955" s="24">
        <f t="shared" si="46"/>
        <v>52.4002955</v>
      </c>
    </row>
    <row r="2956" spans="1:14">
      <c r="A2956" s="21" t="s">
        <v>3056</v>
      </c>
      <c r="B2956" s="21" t="s">
        <v>929</v>
      </c>
      <c r="C2956" s="21" t="s">
        <v>26</v>
      </c>
      <c r="D2956" s="21" t="s">
        <v>921</v>
      </c>
      <c r="E2956" s="21">
        <v>1</v>
      </c>
      <c r="F2956" s="22">
        <v>45937.3787384259</v>
      </c>
      <c r="G2956" s="22"/>
      <c r="H2956" s="23">
        <v>19.15</v>
      </c>
      <c r="I2956" s="23">
        <v>19.15</v>
      </c>
      <c r="J2956" s="24">
        <v>19.15</v>
      </c>
      <c r="K2956" s="21">
        <v>0</v>
      </c>
      <c r="L2956" s="21">
        <v>0</v>
      </c>
      <c r="M2956" s="21">
        <f>COUNTIF($A$2:$A$5481,A2956)</f>
        <v>1</v>
      </c>
      <c r="N2956" s="24">
        <f t="shared" si="46"/>
        <v>19.1502956</v>
      </c>
    </row>
    <row r="2957" spans="1:14">
      <c r="A2957" s="21" t="s">
        <v>3057</v>
      </c>
      <c r="B2957" s="21" t="s">
        <v>26</v>
      </c>
      <c r="C2957" s="21" t="s">
        <v>26</v>
      </c>
      <c r="D2957" s="21" t="s">
        <v>921</v>
      </c>
      <c r="E2957" s="21">
        <v>3</v>
      </c>
      <c r="F2957" s="22">
        <v>46034.5791666667</v>
      </c>
      <c r="G2957" s="22"/>
      <c r="H2957" s="23">
        <v>220.8</v>
      </c>
      <c r="I2957" s="23">
        <v>95.9133333333</v>
      </c>
      <c r="J2957" s="24">
        <v>287.73</v>
      </c>
      <c r="K2957" s="21">
        <v>0</v>
      </c>
      <c r="L2957" s="21">
        <v>0</v>
      </c>
      <c r="M2957" s="21">
        <f>COUNTIF($A$2:$A$5481,A2957)</f>
        <v>1</v>
      </c>
      <c r="N2957" s="24">
        <f t="shared" si="46"/>
        <v>287.7302957</v>
      </c>
    </row>
    <row r="2958" spans="1:14">
      <c r="A2958" s="21" t="s">
        <v>3058</v>
      </c>
      <c r="B2958" s="21" t="s">
        <v>1115</v>
      </c>
      <c r="C2958" s="21" t="s">
        <v>51</v>
      </c>
      <c r="D2958" s="21" t="s">
        <v>921</v>
      </c>
      <c r="E2958" s="21">
        <v>4</v>
      </c>
      <c r="F2958" s="22">
        <v>45474.5506944444</v>
      </c>
      <c r="G2958" s="22"/>
      <c r="H2958" s="23">
        <v>740</v>
      </c>
      <c r="I2958" s="23">
        <v>185</v>
      </c>
      <c r="J2958" s="24">
        <v>740</v>
      </c>
      <c r="K2958" s="21">
        <v>0</v>
      </c>
      <c r="L2958" s="21">
        <v>0</v>
      </c>
      <c r="M2958" s="21">
        <f>COUNTIF($A$2:$A$5481,A2958)</f>
        <v>3</v>
      </c>
      <c r="N2958" s="24">
        <f t="shared" si="46"/>
        <v>740.0002958</v>
      </c>
    </row>
    <row r="2959" spans="1:14">
      <c r="A2959" s="21" t="s">
        <v>3058</v>
      </c>
      <c r="B2959" s="21" t="s">
        <v>1115</v>
      </c>
      <c r="C2959" s="21" t="s">
        <v>390</v>
      </c>
      <c r="D2959" s="21" t="s">
        <v>921</v>
      </c>
      <c r="E2959" s="21">
        <v>8</v>
      </c>
      <c r="F2959" s="22">
        <v>45726.4272337963</v>
      </c>
      <c r="G2959" s="22"/>
      <c r="H2959" s="23">
        <v>788</v>
      </c>
      <c r="I2959" s="23">
        <v>191</v>
      </c>
      <c r="J2959" s="24">
        <v>1528</v>
      </c>
      <c r="K2959" s="21">
        <v>0</v>
      </c>
      <c r="L2959" s="21">
        <v>0</v>
      </c>
      <c r="M2959" s="21">
        <f>COUNTIF($A$2:$A$5481,A2959)</f>
        <v>3</v>
      </c>
      <c r="N2959" s="24">
        <f t="shared" si="46"/>
        <v>1528.0002959</v>
      </c>
    </row>
    <row r="2960" spans="1:14">
      <c r="A2960" s="21" t="s">
        <v>3058</v>
      </c>
      <c r="B2960" s="21" t="s">
        <v>1115</v>
      </c>
      <c r="C2960" s="21" t="s">
        <v>414</v>
      </c>
      <c r="D2960" s="21" t="s">
        <v>921</v>
      </c>
      <c r="E2960" s="21">
        <v>2</v>
      </c>
      <c r="F2960" s="22">
        <v>46009.6686689815</v>
      </c>
      <c r="G2960" s="22"/>
      <c r="H2960" s="23">
        <v>370</v>
      </c>
      <c r="I2960" s="23">
        <v>185</v>
      </c>
      <c r="J2960" s="24">
        <v>370</v>
      </c>
      <c r="K2960" s="21">
        <v>0</v>
      </c>
      <c r="L2960" s="21">
        <v>0</v>
      </c>
      <c r="M2960" s="21">
        <f>COUNTIF($A$2:$A$5481,A2960)</f>
        <v>3</v>
      </c>
      <c r="N2960" s="24">
        <f t="shared" si="46"/>
        <v>370.000296</v>
      </c>
    </row>
    <row r="2961" spans="1:14">
      <c r="A2961" s="21" t="s">
        <v>851</v>
      </c>
      <c r="B2961" s="21" t="s">
        <v>929</v>
      </c>
      <c r="C2961" s="21" t="s">
        <v>414</v>
      </c>
      <c r="D2961" s="21" t="s">
        <v>921</v>
      </c>
      <c r="E2961" s="21">
        <v>1</v>
      </c>
      <c r="F2961" s="22">
        <v>45301.4074652778</v>
      </c>
      <c r="G2961" s="22"/>
      <c r="H2961" s="23">
        <v>495.9</v>
      </c>
      <c r="I2961" s="23">
        <v>495.9</v>
      </c>
      <c r="J2961" s="24">
        <v>495.9</v>
      </c>
      <c r="K2961" s="21">
        <v>0</v>
      </c>
      <c r="L2961" s="21">
        <v>0</v>
      </c>
      <c r="M2961" s="21">
        <f>COUNTIF($A$2:$A$5481,A2961)</f>
        <v>2</v>
      </c>
      <c r="N2961" s="24">
        <f t="shared" si="46"/>
        <v>495.9002961</v>
      </c>
    </row>
    <row r="2962" spans="1:14">
      <c r="A2962" s="21" t="s">
        <v>851</v>
      </c>
      <c r="B2962" s="21" t="s">
        <v>929</v>
      </c>
      <c r="C2962" s="21" t="s">
        <v>26</v>
      </c>
      <c r="D2962" s="21" t="s">
        <v>921</v>
      </c>
      <c r="E2962" s="21">
        <v>0</v>
      </c>
      <c r="F2962" s="22">
        <v>46049.587974537</v>
      </c>
      <c r="G2962" s="22">
        <v>46267.3889699074</v>
      </c>
      <c r="H2962" s="23">
        <v>803.35</v>
      </c>
      <c r="I2962" s="23">
        <v>803.35</v>
      </c>
      <c r="J2962" s="24">
        <v>0</v>
      </c>
      <c r="K2962" s="21">
        <v>0</v>
      </c>
      <c r="L2962" s="21">
        <v>0</v>
      </c>
      <c r="M2962" s="21">
        <f>COUNTIF($A$2:$A$5481,A2962)</f>
        <v>2</v>
      </c>
      <c r="N2962" s="24">
        <f t="shared" si="46"/>
        <v>0.0002962</v>
      </c>
    </row>
    <row r="2963" spans="1:14">
      <c r="A2963" s="21" t="s">
        <v>3059</v>
      </c>
      <c r="B2963" s="21" t="s">
        <v>929</v>
      </c>
      <c r="C2963" s="21" t="s">
        <v>414</v>
      </c>
      <c r="D2963" s="21" t="s">
        <v>921</v>
      </c>
      <c r="E2963" s="21">
        <v>1</v>
      </c>
      <c r="F2963" s="22">
        <v>45301.4074652778</v>
      </c>
      <c r="G2963" s="22"/>
      <c r="H2963" s="23">
        <v>334.9</v>
      </c>
      <c r="I2963" s="23">
        <v>334.9</v>
      </c>
      <c r="J2963" s="24">
        <v>334.9</v>
      </c>
      <c r="K2963" s="21">
        <v>0</v>
      </c>
      <c r="L2963" s="21">
        <v>0</v>
      </c>
      <c r="M2963" s="21">
        <f>COUNTIF($A$2:$A$5481,A2963)</f>
        <v>1</v>
      </c>
      <c r="N2963" s="24">
        <f t="shared" si="46"/>
        <v>334.9002963</v>
      </c>
    </row>
    <row r="2964" spans="1:14">
      <c r="A2964" s="21" t="s">
        <v>3060</v>
      </c>
      <c r="B2964" s="21" t="s">
        <v>929</v>
      </c>
      <c r="C2964" s="21" t="s">
        <v>414</v>
      </c>
      <c r="D2964" s="21" t="s">
        <v>921</v>
      </c>
      <c r="E2964" s="21">
        <v>1</v>
      </c>
      <c r="F2964" s="22">
        <v>45301.4074652778</v>
      </c>
      <c r="G2964" s="22"/>
      <c r="H2964" s="23">
        <v>185.78</v>
      </c>
      <c r="I2964" s="23">
        <v>185.78</v>
      </c>
      <c r="J2964" s="24">
        <v>185.78</v>
      </c>
      <c r="K2964" s="21">
        <v>0</v>
      </c>
      <c r="L2964" s="21">
        <v>0</v>
      </c>
      <c r="M2964" s="21">
        <f>COUNTIF($A$2:$A$5481,A2964)</f>
        <v>1</v>
      </c>
      <c r="N2964" s="24">
        <f t="shared" si="46"/>
        <v>185.7802964</v>
      </c>
    </row>
    <row r="2965" spans="1:14">
      <c r="A2965" s="21" t="s">
        <v>3061</v>
      </c>
      <c r="B2965" s="21" t="s">
        <v>929</v>
      </c>
      <c r="C2965" s="21" t="s">
        <v>414</v>
      </c>
      <c r="D2965" s="21" t="s">
        <v>921</v>
      </c>
      <c r="E2965" s="21">
        <v>1</v>
      </c>
      <c r="F2965" s="22">
        <v>45399.8458217593</v>
      </c>
      <c r="G2965" s="22">
        <v>45310.4119791667</v>
      </c>
      <c r="H2965" s="23">
        <v>217.65</v>
      </c>
      <c r="I2965" s="23">
        <v>217.65</v>
      </c>
      <c r="J2965" s="24">
        <v>217.65</v>
      </c>
      <c r="K2965" s="21">
        <v>0</v>
      </c>
      <c r="L2965" s="21">
        <v>0</v>
      </c>
      <c r="M2965" s="21">
        <f>COUNTIF($A$2:$A$5481,A2965)</f>
        <v>2</v>
      </c>
      <c r="N2965" s="24">
        <f t="shared" si="46"/>
        <v>217.6502965</v>
      </c>
    </row>
    <row r="2966" spans="1:14">
      <c r="A2966" s="21" t="s">
        <v>3061</v>
      </c>
      <c r="B2966" s="21" t="s">
        <v>929</v>
      </c>
      <c r="C2966" s="21" t="s">
        <v>26</v>
      </c>
      <c r="D2966" s="21" t="s">
        <v>921</v>
      </c>
      <c r="E2966" s="21">
        <v>6</v>
      </c>
      <c r="F2966" s="22">
        <v>46147.3763888889</v>
      </c>
      <c r="G2966" s="22"/>
      <c r="H2966" s="23">
        <v>568.4</v>
      </c>
      <c r="I2966" s="23">
        <v>256.5783333333</v>
      </c>
      <c r="J2966" s="24">
        <v>1539.48</v>
      </c>
      <c r="K2966" s="21">
        <v>0</v>
      </c>
      <c r="L2966" s="21">
        <v>0</v>
      </c>
      <c r="M2966" s="21">
        <f>COUNTIF($A$2:$A$5481,A2966)</f>
        <v>2</v>
      </c>
      <c r="N2966" s="24">
        <f t="shared" si="46"/>
        <v>1539.4802966</v>
      </c>
    </row>
    <row r="2967" spans="1:14">
      <c r="A2967" s="21" t="s">
        <v>3062</v>
      </c>
      <c r="B2967" s="21" t="s">
        <v>929</v>
      </c>
      <c r="C2967" s="21" t="s">
        <v>414</v>
      </c>
      <c r="D2967" s="21" t="s">
        <v>921</v>
      </c>
      <c r="E2967" s="21">
        <v>0</v>
      </c>
      <c r="F2967" s="22">
        <v>45308.68125</v>
      </c>
      <c r="G2967" s="22">
        <v>45310.4120023148</v>
      </c>
      <c r="H2967" s="23">
        <v>185.78</v>
      </c>
      <c r="I2967" s="23">
        <v>185.78</v>
      </c>
      <c r="J2967" s="24">
        <v>0</v>
      </c>
      <c r="K2967" s="21">
        <v>0</v>
      </c>
      <c r="L2967" s="21">
        <v>0</v>
      </c>
      <c r="M2967" s="21">
        <f>COUNTIF($A$2:$A$5481,A2967)</f>
        <v>2</v>
      </c>
      <c r="N2967" s="24">
        <f t="shared" si="46"/>
        <v>0.0002967</v>
      </c>
    </row>
    <row r="2968" spans="1:14">
      <c r="A2968" s="21" t="s">
        <v>3062</v>
      </c>
      <c r="B2968" s="21" t="s">
        <v>929</v>
      </c>
      <c r="C2968" s="21" t="s">
        <v>26</v>
      </c>
      <c r="D2968" s="21" t="s">
        <v>921</v>
      </c>
      <c r="E2968" s="21">
        <v>2</v>
      </c>
      <c r="F2968" s="22">
        <v>45784.3867824074</v>
      </c>
      <c r="G2968" s="22"/>
      <c r="H2968" s="23">
        <v>275.2</v>
      </c>
      <c r="I2968" s="23">
        <v>231.66</v>
      </c>
      <c r="J2968" s="24">
        <v>463.32</v>
      </c>
      <c r="K2968" s="21">
        <v>0</v>
      </c>
      <c r="L2968" s="21">
        <v>0</v>
      </c>
      <c r="M2968" s="21">
        <f>COUNTIF($A$2:$A$5481,A2968)</f>
        <v>2</v>
      </c>
      <c r="N2968" s="24">
        <f t="shared" si="46"/>
        <v>463.3202968</v>
      </c>
    </row>
    <row r="2969" spans="1:14">
      <c r="A2969" s="21" t="s">
        <v>3063</v>
      </c>
      <c r="B2969" s="21" t="s">
        <v>929</v>
      </c>
      <c r="C2969" s="21" t="s">
        <v>414</v>
      </c>
      <c r="D2969" s="21" t="s">
        <v>921</v>
      </c>
      <c r="E2969" s="21">
        <v>1</v>
      </c>
      <c r="F2969" s="22">
        <v>45301.4074652778</v>
      </c>
      <c r="G2969" s="22"/>
      <c r="H2969" s="23">
        <v>185.78</v>
      </c>
      <c r="I2969" s="23">
        <v>185.78</v>
      </c>
      <c r="J2969" s="24">
        <v>185.78</v>
      </c>
      <c r="K2969" s="21">
        <v>0</v>
      </c>
      <c r="L2969" s="21">
        <v>0</v>
      </c>
      <c r="M2969" s="21">
        <f>COUNTIF($A$2:$A$5481,A2969)</f>
        <v>2</v>
      </c>
      <c r="N2969" s="24">
        <f t="shared" si="46"/>
        <v>185.7802969</v>
      </c>
    </row>
    <row r="2970" spans="1:14">
      <c r="A2970" s="21" t="s">
        <v>3063</v>
      </c>
      <c r="B2970" s="21" t="s">
        <v>929</v>
      </c>
      <c r="C2970" s="21" t="s">
        <v>26</v>
      </c>
      <c r="D2970" s="21" t="s">
        <v>921</v>
      </c>
      <c r="E2970" s="21">
        <v>3</v>
      </c>
      <c r="F2970" s="22">
        <v>46085.5339930556</v>
      </c>
      <c r="G2970" s="22"/>
      <c r="H2970" s="23">
        <v>330.47</v>
      </c>
      <c r="I2970" s="23">
        <v>274.79</v>
      </c>
      <c r="J2970" s="24">
        <v>824.37</v>
      </c>
      <c r="K2970" s="21">
        <v>0</v>
      </c>
      <c r="L2970" s="21">
        <v>0</v>
      </c>
      <c r="M2970" s="21">
        <f>COUNTIF($A$2:$A$5481,A2970)</f>
        <v>2</v>
      </c>
      <c r="N2970" s="24">
        <f t="shared" si="46"/>
        <v>824.370297</v>
      </c>
    </row>
    <row r="2971" spans="1:14">
      <c r="A2971" s="21" t="s">
        <v>3064</v>
      </c>
      <c r="B2971" s="21" t="s">
        <v>929</v>
      </c>
      <c r="C2971" s="21" t="s">
        <v>414</v>
      </c>
      <c r="D2971" s="21" t="s">
        <v>921</v>
      </c>
      <c r="E2971" s="21">
        <v>1</v>
      </c>
      <c r="F2971" s="22">
        <v>45399.8458217593</v>
      </c>
      <c r="G2971" s="22">
        <v>45310.4119907407</v>
      </c>
      <c r="H2971" s="23">
        <v>217.65</v>
      </c>
      <c r="I2971" s="23">
        <v>217.65</v>
      </c>
      <c r="J2971" s="24">
        <v>217.65</v>
      </c>
      <c r="K2971" s="21">
        <v>0</v>
      </c>
      <c r="L2971" s="21">
        <v>0</v>
      </c>
      <c r="M2971" s="21">
        <f>COUNTIF($A$2:$A$5481,A2971)</f>
        <v>2</v>
      </c>
      <c r="N2971" s="24">
        <f t="shared" si="46"/>
        <v>217.6502971</v>
      </c>
    </row>
    <row r="2972" spans="1:14">
      <c r="A2972" s="21" t="s">
        <v>3064</v>
      </c>
      <c r="B2972" s="21" t="s">
        <v>929</v>
      </c>
      <c r="C2972" s="21" t="s">
        <v>26</v>
      </c>
      <c r="D2972" s="21" t="s">
        <v>921</v>
      </c>
      <c r="E2972" s="21">
        <v>4</v>
      </c>
      <c r="F2972" s="22">
        <v>46147.3763888889</v>
      </c>
      <c r="G2972" s="22"/>
      <c r="H2972" s="23">
        <v>568.4</v>
      </c>
      <c r="I2972" s="23">
        <v>266.755</v>
      </c>
      <c r="J2972" s="24">
        <v>1067.04</v>
      </c>
      <c r="K2972" s="21">
        <v>0</v>
      </c>
      <c r="L2972" s="21">
        <v>0</v>
      </c>
      <c r="M2972" s="21">
        <f>COUNTIF($A$2:$A$5481,A2972)</f>
        <v>2</v>
      </c>
      <c r="N2972" s="24">
        <f t="shared" si="46"/>
        <v>1067.0402972</v>
      </c>
    </row>
    <row r="2973" spans="1:14">
      <c r="A2973" s="21" t="s">
        <v>3065</v>
      </c>
      <c r="B2973" s="21" t="s">
        <v>929</v>
      </c>
      <c r="C2973" s="21" t="s">
        <v>414</v>
      </c>
      <c r="D2973" s="21" t="s">
        <v>921</v>
      </c>
      <c r="E2973" s="21">
        <v>1</v>
      </c>
      <c r="F2973" s="22">
        <v>45301.4074652778</v>
      </c>
      <c r="G2973" s="22"/>
      <c r="H2973" s="23">
        <v>185.77</v>
      </c>
      <c r="I2973" s="23">
        <v>185.77</v>
      </c>
      <c r="J2973" s="24">
        <v>185.77</v>
      </c>
      <c r="K2973" s="21">
        <v>0</v>
      </c>
      <c r="L2973" s="21">
        <v>0</v>
      </c>
      <c r="M2973" s="21">
        <f>COUNTIF($A$2:$A$5481,A2973)</f>
        <v>2</v>
      </c>
      <c r="N2973" s="24">
        <f t="shared" si="46"/>
        <v>185.7702973</v>
      </c>
    </row>
    <row r="2974" spans="1:14">
      <c r="A2974" s="21" t="s">
        <v>3065</v>
      </c>
      <c r="B2974" s="21" t="s">
        <v>929</v>
      </c>
      <c r="C2974" s="21" t="s">
        <v>26</v>
      </c>
      <c r="D2974" s="21" t="s">
        <v>921</v>
      </c>
      <c r="E2974" s="21">
        <v>1</v>
      </c>
      <c r="F2974" s="22">
        <v>45784.3867824074</v>
      </c>
      <c r="G2974" s="22"/>
      <c r="H2974" s="23">
        <v>275.2</v>
      </c>
      <c r="I2974" s="23">
        <v>275.2</v>
      </c>
      <c r="J2974" s="24">
        <v>275.2</v>
      </c>
      <c r="K2974" s="21">
        <v>0</v>
      </c>
      <c r="L2974" s="21">
        <v>0</v>
      </c>
      <c r="M2974" s="21">
        <f>COUNTIF($A$2:$A$5481,A2974)</f>
        <v>2</v>
      </c>
      <c r="N2974" s="24">
        <f t="shared" si="46"/>
        <v>275.2002974</v>
      </c>
    </row>
    <row r="2975" spans="1:14">
      <c r="A2975" s="21" t="s">
        <v>3066</v>
      </c>
      <c r="B2975" s="21" t="s">
        <v>929</v>
      </c>
      <c r="C2975" s="21" t="s">
        <v>26</v>
      </c>
      <c r="D2975" s="21" t="s">
        <v>921</v>
      </c>
      <c r="E2975" s="21">
        <v>101</v>
      </c>
      <c r="F2975" s="22">
        <v>45455.5595949074</v>
      </c>
      <c r="G2975" s="22"/>
      <c r="H2975" s="23">
        <v>1095</v>
      </c>
      <c r="I2975" s="23">
        <v>19.15743</v>
      </c>
      <c r="J2975" s="24">
        <v>1935.16</v>
      </c>
      <c r="K2975" s="21">
        <v>0</v>
      </c>
      <c r="L2975" s="21">
        <v>0</v>
      </c>
      <c r="M2975" s="21">
        <f>COUNTIF($A$2:$A$5481,A2975)</f>
        <v>1</v>
      </c>
      <c r="N2975" s="24">
        <f t="shared" si="46"/>
        <v>1935.1602975</v>
      </c>
    </row>
    <row r="2976" spans="1:14">
      <c r="A2976" s="21" t="s">
        <v>3067</v>
      </c>
      <c r="B2976" s="21" t="s">
        <v>929</v>
      </c>
      <c r="C2976" s="21" t="s">
        <v>414</v>
      </c>
      <c r="D2976" s="21" t="s">
        <v>921</v>
      </c>
      <c r="E2976" s="21">
        <v>1</v>
      </c>
      <c r="F2976" s="22">
        <v>45301.4074652778</v>
      </c>
      <c r="G2976" s="22"/>
      <c r="H2976" s="23">
        <v>124.9</v>
      </c>
      <c r="I2976" s="23">
        <v>124.9</v>
      </c>
      <c r="J2976" s="24">
        <v>124.9</v>
      </c>
      <c r="K2976" s="21">
        <v>0</v>
      </c>
      <c r="L2976" s="21">
        <v>0</v>
      </c>
      <c r="M2976" s="21">
        <f>COUNTIF($A$2:$A$5481,A2976)</f>
        <v>2</v>
      </c>
      <c r="N2976" s="24">
        <f t="shared" si="46"/>
        <v>124.9002976</v>
      </c>
    </row>
    <row r="2977" spans="1:14">
      <c r="A2977" s="21" t="s">
        <v>3067</v>
      </c>
      <c r="B2977" s="21" t="s">
        <v>929</v>
      </c>
      <c r="C2977" s="21" t="s">
        <v>26</v>
      </c>
      <c r="D2977" s="21" t="s">
        <v>921</v>
      </c>
      <c r="E2977" s="21">
        <v>2</v>
      </c>
      <c r="F2977" s="22">
        <v>45365.4284722222</v>
      </c>
      <c r="G2977" s="22"/>
      <c r="H2977" s="23">
        <v>260.94</v>
      </c>
      <c r="I2977" s="23">
        <v>130.47</v>
      </c>
      <c r="J2977" s="24">
        <v>260.94</v>
      </c>
      <c r="K2977" s="21">
        <v>0</v>
      </c>
      <c r="L2977" s="21">
        <v>0</v>
      </c>
      <c r="M2977" s="21">
        <f>COUNTIF($A$2:$A$5481,A2977)</f>
        <v>2</v>
      </c>
      <c r="N2977" s="24">
        <f t="shared" si="46"/>
        <v>260.9402977</v>
      </c>
    </row>
    <row r="2978" spans="1:14">
      <c r="A2978" s="21" t="s">
        <v>3068</v>
      </c>
      <c r="B2978" s="21" t="s">
        <v>929</v>
      </c>
      <c r="C2978" s="21" t="s">
        <v>414</v>
      </c>
      <c r="D2978" s="21" t="s">
        <v>921</v>
      </c>
      <c r="E2978" s="21">
        <v>1</v>
      </c>
      <c r="F2978" s="22">
        <v>45301.4074652778</v>
      </c>
      <c r="G2978" s="22"/>
      <c r="H2978" s="23">
        <v>124.91</v>
      </c>
      <c r="I2978" s="23">
        <v>124.91</v>
      </c>
      <c r="J2978" s="24">
        <v>124.91</v>
      </c>
      <c r="K2978" s="21">
        <v>0</v>
      </c>
      <c r="L2978" s="21">
        <v>0</v>
      </c>
      <c r="M2978" s="21">
        <f>COUNTIF($A$2:$A$5481,A2978)</f>
        <v>2</v>
      </c>
      <c r="N2978" s="24">
        <f t="shared" si="46"/>
        <v>124.9102978</v>
      </c>
    </row>
    <row r="2979" spans="1:14">
      <c r="A2979" s="21" t="s">
        <v>3068</v>
      </c>
      <c r="B2979" s="21" t="s">
        <v>929</v>
      </c>
      <c r="C2979" s="21" t="s">
        <v>26</v>
      </c>
      <c r="D2979" s="21" t="s">
        <v>921</v>
      </c>
      <c r="E2979" s="21">
        <v>3</v>
      </c>
      <c r="F2979" s="22">
        <v>45365.4284722222</v>
      </c>
      <c r="G2979" s="22"/>
      <c r="H2979" s="23">
        <v>260.94</v>
      </c>
      <c r="I2979" s="23">
        <v>149.68667</v>
      </c>
      <c r="J2979" s="24">
        <v>449.07</v>
      </c>
      <c r="K2979" s="21">
        <v>0</v>
      </c>
      <c r="L2979" s="21">
        <v>0</v>
      </c>
      <c r="M2979" s="21">
        <f>COUNTIF($A$2:$A$5481,A2979)</f>
        <v>2</v>
      </c>
      <c r="N2979" s="24">
        <f t="shared" si="46"/>
        <v>449.0702979</v>
      </c>
    </row>
    <row r="2980" spans="1:14">
      <c r="A2980" s="21" t="s">
        <v>3069</v>
      </c>
      <c r="B2980" s="21" t="s">
        <v>929</v>
      </c>
      <c r="C2980" s="21" t="s">
        <v>26</v>
      </c>
      <c r="D2980" s="21" t="s">
        <v>921</v>
      </c>
      <c r="E2980" s="21">
        <v>2</v>
      </c>
      <c r="F2980" s="22">
        <v>45365.4284722222</v>
      </c>
      <c r="G2980" s="22"/>
      <c r="H2980" s="23">
        <v>260.94</v>
      </c>
      <c r="I2980" s="23">
        <v>130.47</v>
      </c>
      <c r="J2980" s="24">
        <v>260.94</v>
      </c>
      <c r="K2980" s="21">
        <v>0</v>
      </c>
      <c r="L2980" s="21">
        <v>0</v>
      </c>
      <c r="M2980" s="21">
        <f>COUNTIF($A$2:$A$5481,A2980)</f>
        <v>1</v>
      </c>
      <c r="N2980" s="24">
        <f t="shared" si="46"/>
        <v>260.940298</v>
      </c>
    </row>
    <row r="2981" spans="1:14">
      <c r="A2981" s="21" t="s">
        <v>3070</v>
      </c>
      <c r="B2981" s="21" t="s">
        <v>929</v>
      </c>
      <c r="C2981" s="21" t="s">
        <v>26</v>
      </c>
      <c r="D2981" s="21" t="s">
        <v>921</v>
      </c>
      <c r="E2981" s="21">
        <v>2</v>
      </c>
      <c r="F2981" s="22">
        <v>45365.4284722222</v>
      </c>
      <c r="G2981" s="22"/>
      <c r="H2981" s="23">
        <v>260.94</v>
      </c>
      <c r="I2981" s="23">
        <v>130.47</v>
      </c>
      <c r="J2981" s="24">
        <v>260.94</v>
      </c>
      <c r="K2981" s="21">
        <v>0</v>
      </c>
      <c r="L2981" s="21">
        <v>0</v>
      </c>
      <c r="M2981" s="21">
        <f>COUNTIF($A$2:$A$5481,A2981)</f>
        <v>1</v>
      </c>
      <c r="N2981" s="24">
        <f t="shared" si="46"/>
        <v>260.9402981</v>
      </c>
    </row>
    <row r="2982" spans="1:14">
      <c r="A2982" s="21" t="s">
        <v>3071</v>
      </c>
      <c r="B2982" s="21" t="s">
        <v>929</v>
      </c>
      <c r="C2982" s="21" t="s">
        <v>26</v>
      </c>
      <c r="D2982" s="21" t="s">
        <v>921</v>
      </c>
      <c r="E2982" s="21">
        <v>2</v>
      </c>
      <c r="F2982" s="22">
        <v>45365.4284722222</v>
      </c>
      <c r="G2982" s="22"/>
      <c r="H2982" s="23">
        <v>260.94</v>
      </c>
      <c r="I2982" s="23">
        <v>130.47</v>
      </c>
      <c r="J2982" s="24">
        <v>260.94</v>
      </c>
      <c r="K2982" s="21">
        <v>0</v>
      </c>
      <c r="L2982" s="21">
        <v>0</v>
      </c>
      <c r="M2982" s="21">
        <f>COUNTIF($A$2:$A$5481,A2982)</f>
        <v>1</v>
      </c>
      <c r="N2982" s="24">
        <f t="shared" si="46"/>
        <v>260.9402982</v>
      </c>
    </row>
    <row r="2983" spans="1:14">
      <c r="A2983" s="21" t="s">
        <v>3072</v>
      </c>
      <c r="B2983" s="21" t="s">
        <v>929</v>
      </c>
      <c r="C2983" s="21" t="s">
        <v>26</v>
      </c>
      <c r="D2983" s="21" t="s">
        <v>921</v>
      </c>
      <c r="E2983" s="21">
        <v>2</v>
      </c>
      <c r="F2983" s="22">
        <v>45365.4284722222</v>
      </c>
      <c r="G2983" s="22"/>
      <c r="H2983" s="23">
        <v>260.98</v>
      </c>
      <c r="I2983" s="23">
        <v>130.49</v>
      </c>
      <c r="J2983" s="24">
        <v>260.98</v>
      </c>
      <c r="K2983" s="21">
        <v>0</v>
      </c>
      <c r="L2983" s="21">
        <v>0</v>
      </c>
      <c r="M2983" s="21">
        <f>COUNTIF($A$2:$A$5481,A2983)</f>
        <v>1</v>
      </c>
      <c r="N2983" s="24">
        <f t="shared" si="46"/>
        <v>260.9802983</v>
      </c>
    </row>
    <row r="2984" spans="1:14">
      <c r="A2984" s="21" t="s">
        <v>3073</v>
      </c>
      <c r="B2984" s="21" t="s">
        <v>929</v>
      </c>
      <c r="C2984" s="21" t="s">
        <v>26</v>
      </c>
      <c r="D2984" s="21" t="s">
        <v>921</v>
      </c>
      <c r="E2984" s="21">
        <v>1</v>
      </c>
      <c r="F2984" s="22">
        <v>45790.352974537</v>
      </c>
      <c r="G2984" s="22"/>
      <c r="H2984" s="23">
        <v>260</v>
      </c>
      <c r="I2984" s="23">
        <v>260</v>
      </c>
      <c r="J2984" s="24">
        <v>260</v>
      </c>
      <c r="K2984" s="21">
        <v>0</v>
      </c>
      <c r="L2984" s="21">
        <v>0</v>
      </c>
      <c r="M2984" s="21">
        <f>COUNTIF($A$2:$A$5481,A2984)</f>
        <v>1</v>
      </c>
      <c r="N2984" s="24">
        <f t="shared" si="46"/>
        <v>260.0002984</v>
      </c>
    </row>
    <row r="2985" spans="1:14">
      <c r="A2985" s="21" t="s">
        <v>3074</v>
      </c>
      <c r="B2985" s="21" t="s">
        <v>929</v>
      </c>
      <c r="C2985" s="21" t="s">
        <v>26</v>
      </c>
      <c r="D2985" s="21" t="s">
        <v>921</v>
      </c>
      <c r="E2985" s="21">
        <v>1</v>
      </c>
      <c r="F2985" s="22">
        <v>45790.352974537</v>
      </c>
      <c r="G2985" s="22"/>
      <c r="H2985" s="23">
        <v>260</v>
      </c>
      <c r="I2985" s="23">
        <v>260</v>
      </c>
      <c r="J2985" s="24">
        <v>260</v>
      </c>
      <c r="K2985" s="21">
        <v>0</v>
      </c>
      <c r="L2985" s="21">
        <v>0</v>
      </c>
      <c r="M2985" s="21">
        <f>COUNTIF($A$2:$A$5481,A2985)</f>
        <v>1</v>
      </c>
      <c r="N2985" s="24">
        <f t="shared" si="46"/>
        <v>260.0002985</v>
      </c>
    </row>
    <row r="2986" spans="1:14">
      <c r="A2986" s="21" t="s">
        <v>3075</v>
      </c>
      <c r="B2986" s="21" t="s">
        <v>929</v>
      </c>
      <c r="C2986" s="21" t="s">
        <v>26</v>
      </c>
      <c r="D2986" s="21" t="s">
        <v>921</v>
      </c>
      <c r="E2986" s="21">
        <v>1</v>
      </c>
      <c r="F2986" s="22">
        <v>45790.352974537</v>
      </c>
      <c r="G2986" s="22"/>
      <c r="H2986" s="23">
        <v>200</v>
      </c>
      <c r="I2986" s="23">
        <v>200</v>
      </c>
      <c r="J2986" s="24">
        <v>200</v>
      </c>
      <c r="K2986" s="21">
        <v>0</v>
      </c>
      <c r="L2986" s="21">
        <v>0</v>
      </c>
      <c r="M2986" s="21">
        <f>COUNTIF($A$2:$A$5481,A2986)</f>
        <v>1</v>
      </c>
      <c r="N2986" s="24">
        <f t="shared" si="46"/>
        <v>200.0002986</v>
      </c>
    </row>
    <row r="2987" spans="1:14">
      <c r="A2987" s="21" t="s">
        <v>3076</v>
      </c>
      <c r="B2987" s="21" t="s">
        <v>929</v>
      </c>
      <c r="C2987" s="21" t="s">
        <v>26</v>
      </c>
      <c r="D2987" s="21" t="s">
        <v>931</v>
      </c>
      <c r="E2987" s="21">
        <v>1</v>
      </c>
      <c r="F2987" s="22">
        <v>45784.3867824074</v>
      </c>
      <c r="G2987" s="22"/>
      <c r="H2987" s="23">
        <v>275.2</v>
      </c>
      <c r="I2987" s="23">
        <v>275.2</v>
      </c>
      <c r="J2987" s="24">
        <v>275.2</v>
      </c>
      <c r="K2987" s="21">
        <v>0</v>
      </c>
      <c r="L2987" s="21">
        <v>0</v>
      </c>
      <c r="M2987" s="21">
        <f>COUNTIF($A$2:$A$5481,A2987)</f>
        <v>1</v>
      </c>
      <c r="N2987" s="24">
        <f t="shared" si="46"/>
        <v>275.2002987</v>
      </c>
    </row>
    <row r="2988" spans="1:14">
      <c r="A2988" s="21" t="s">
        <v>3077</v>
      </c>
      <c r="B2988" s="21" t="s">
        <v>929</v>
      </c>
      <c r="C2988" s="21" t="s">
        <v>26</v>
      </c>
      <c r="D2988" s="21" t="s">
        <v>1068</v>
      </c>
      <c r="E2988" s="21">
        <v>100</v>
      </c>
      <c r="F2988" s="22">
        <v>45455.5595949074</v>
      </c>
      <c r="G2988" s="22"/>
      <c r="H2988" s="23">
        <v>1095</v>
      </c>
      <c r="I2988" s="23">
        <v>10.95</v>
      </c>
      <c r="J2988" s="24">
        <v>1095</v>
      </c>
      <c r="K2988" s="21">
        <v>0</v>
      </c>
      <c r="L2988" s="21">
        <v>0</v>
      </c>
      <c r="M2988" s="21">
        <f>COUNTIF($A$2:$A$5481,A2988)</f>
        <v>1</v>
      </c>
      <c r="N2988" s="24">
        <f t="shared" si="46"/>
        <v>1095.0002988</v>
      </c>
    </row>
    <row r="2989" spans="1:14">
      <c r="A2989" s="21" t="s">
        <v>3078</v>
      </c>
      <c r="B2989" s="21" t="s">
        <v>920</v>
      </c>
      <c r="C2989" s="21" t="s">
        <v>26</v>
      </c>
      <c r="D2989" s="21" t="s">
        <v>921</v>
      </c>
      <c r="E2989" s="21">
        <v>1</v>
      </c>
      <c r="F2989" s="22">
        <v>45344.4641087963</v>
      </c>
      <c r="G2989" s="22"/>
      <c r="H2989" s="23">
        <v>67.32</v>
      </c>
      <c r="I2989" s="23">
        <v>67.32</v>
      </c>
      <c r="J2989" s="24">
        <v>67.32</v>
      </c>
      <c r="K2989" s="21">
        <v>0</v>
      </c>
      <c r="L2989" s="21">
        <v>0</v>
      </c>
      <c r="M2989" s="21">
        <f>COUNTIF($A$2:$A$5481,A2989)</f>
        <v>1</v>
      </c>
      <c r="N2989" s="24">
        <f t="shared" si="46"/>
        <v>67.3202989</v>
      </c>
    </row>
    <row r="2990" spans="1:14">
      <c r="A2990" s="21" t="s">
        <v>3079</v>
      </c>
      <c r="B2990" s="21" t="s">
        <v>26</v>
      </c>
      <c r="C2990" s="21" t="s">
        <v>26</v>
      </c>
      <c r="D2990" s="21" t="s">
        <v>921</v>
      </c>
      <c r="E2990" s="21">
        <v>2</v>
      </c>
      <c r="F2990" s="22">
        <v>46037.4615972222</v>
      </c>
      <c r="G2990" s="22"/>
      <c r="H2990" s="23">
        <v>20</v>
      </c>
      <c r="I2990" s="23">
        <v>10</v>
      </c>
      <c r="J2990" s="24">
        <v>20</v>
      </c>
      <c r="K2990" s="21">
        <v>0</v>
      </c>
      <c r="L2990" s="21">
        <v>0</v>
      </c>
      <c r="M2990" s="21">
        <f>COUNTIF($A$2:$A$5481,A2990)</f>
        <v>1</v>
      </c>
      <c r="N2990" s="24">
        <f t="shared" si="46"/>
        <v>20.000299</v>
      </c>
    </row>
    <row r="2991" spans="1:14">
      <c r="A2991" s="21" t="s">
        <v>3080</v>
      </c>
      <c r="B2991" s="21" t="s">
        <v>26</v>
      </c>
      <c r="C2991" s="21" t="s">
        <v>26</v>
      </c>
      <c r="D2991" s="21" t="s">
        <v>921</v>
      </c>
      <c r="E2991" s="21">
        <v>6</v>
      </c>
      <c r="F2991" s="22">
        <v>46006.6010300926</v>
      </c>
      <c r="G2991" s="22"/>
      <c r="H2991" s="23">
        <v>34.97</v>
      </c>
      <c r="I2991" s="23">
        <v>33.7783333333</v>
      </c>
      <c r="J2991" s="24">
        <v>202.68</v>
      </c>
      <c r="K2991" s="21">
        <v>0</v>
      </c>
      <c r="L2991" s="21">
        <v>0</v>
      </c>
      <c r="M2991" s="21">
        <f>COUNTIF($A$2:$A$5481,A2991)</f>
        <v>1</v>
      </c>
      <c r="N2991" s="24">
        <f t="shared" si="46"/>
        <v>202.6802991</v>
      </c>
    </row>
    <row r="2992" spans="1:14">
      <c r="A2992" s="21" t="s">
        <v>3081</v>
      </c>
      <c r="B2992" s="21" t="s">
        <v>26</v>
      </c>
      <c r="C2992" s="21" t="s">
        <v>26</v>
      </c>
      <c r="D2992" s="21" t="s">
        <v>921</v>
      </c>
      <c r="E2992" s="21">
        <v>1</v>
      </c>
      <c r="F2992" s="22">
        <v>45992.5357638889</v>
      </c>
      <c r="G2992" s="22"/>
      <c r="H2992" s="23">
        <v>84.91</v>
      </c>
      <c r="I2992" s="23">
        <v>84.91</v>
      </c>
      <c r="J2992" s="24">
        <v>84.91</v>
      </c>
      <c r="K2992" s="21">
        <v>0</v>
      </c>
      <c r="L2992" s="21">
        <v>0</v>
      </c>
      <c r="M2992" s="21">
        <f>COUNTIF($A$2:$A$5481,A2992)</f>
        <v>1</v>
      </c>
      <c r="N2992" s="24">
        <f t="shared" si="46"/>
        <v>84.9102992</v>
      </c>
    </row>
    <row r="2993" spans="1:14">
      <c r="A2993" s="21" t="s">
        <v>3082</v>
      </c>
      <c r="B2993" s="21" t="s">
        <v>929</v>
      </c>
      <c r="C2993" s="21" t="s">
        <v>26</v>
      </c>
      <c r="D2993" s="21" t="s">
        <v>931</v>
      </c>
      <c r="E2993" s="21">
        <v>1</v>
      </c>
      <c r="F2993" s="22">
        <v>45393.6860532407</v>
      </c>
      <c r="G2993" s="22"/>
      <c r="H2993" s="23">
        <v>144.69</v>
      </c>
      <c r="I2993" s="23">
        <v>144.69</v>
      </c>
      <c r="J2993" s="24">
        <v>144.69</v>
      </c>
      <c r="K2993" s="21">
        <v>0</v>
      </c>
      <c r="L2993" s="21">
        <v>0</v>
      </c>
      <c r="M2993" s="21">
        <f>COUNTIF($A$2:$A$5481,A2993)</f>
        <v>1</v>
      </c>
      <c r="N2993" s="24">
        <f t="shared" si="46"/>
        <v>144.6902993</v>
      </c>
    </row>
    <row r="2994" spans="1:14">
      <c r="A2994" s="21" t="s">
        <v>3083</v>
      </c>
      <c r="B2994" s="21" t="s">
        <v>920</v>
      </c>
      <c r="C2994" s="21" t="s">
        <v>35</v>
      </c>
      <c r="D2994" s="21" t="s">
        <v>921</v>
      </c>
      <c r="E2994" s="21">
        <v>0</v>
      </c>
      <c r="F2994" s="22">
        <v>45278.7019328704</v>
      </c>
      <c r="G2994" s="22">
        <v>45735.362662037</v>
      </c>
      <c r="H2994" s="23">
        <v>310</v>
      </c>
      <c r="I2994" s="23">
        <v>155</v>
      </c>
      <c r="J2994" s="24">
        <v>0</v>
      </c>
      <c r="K2994" s="21">
        <v>2</v>
      </c>
      <c r="L2994" s="21">
        <v>8</v>
      </c>
      <c r="M2994" s="21">
        <f>COUNTIF($A$2:$A$5481,A2994)</f>
        <v>1</v>
      </c>
      <c r="N2994" s="24">
        <f t="shared" si="46"/>
        <v>0.0002994</v>
      </c>
    </row>
    <row r="2995" spans="1:14">
      <c r="A2995" s="21" t="s">
        <v>3084</v>
      </c>
      <c r="B2995" s="21" t="s">
        <v>920</v>
      </c>
      <c r="C2995" s="21" t="s">
        <v>35</v>
      </c>
      <c r="D2995" s="21" t="s">
        <v>921</v>
      </c>
      <c r="E2995" s="21">
        <v>0</v>
      </c>
      <c r="F2995" s="22">
        <v>45306.3958564815</v>
      </c>
      <c r="G2995" s="22">
        <v>45527.6775462963</v>
      </c>
      <c r="H2995" s="23">
        <v>575</v>
      </c>
      <c r="I2995" s="23">
        <v>115</v>
      </c>
      <c r="J2995" s="24">
        <v>0</v>
      </c>
      <c r="K2995" s="21">
        <v>2</v>
      </c>
      <c r="L2995" s="21">
        <v>8</v>
      </c>
      <c r="M2995" s="21">
        <f>COUNTIF($A$2:$A$5481,A2995)</f>
        <v>1</v>
      </c>
      <c r="N2995" s="24">
        <f t="shared" si="46"/>
        <v>0.0002995</v>
      </c>
    </row>
    <row r="2996" spans="1:14">
      <c r="A2996" s="21" t="s">
        <v>237</v>
      </c>
      <c r="B2996" s="21" t="s">
        <v>920</v>
      </c>
      <c r="C2996" s="21" t="s">
        <v>26</v>
      </c>
      <c r="D2996" s="21" t="s">
        <v>921</v>
      </c>
      <c r="E2996" s="21">
        <v>0</v>
      </c>
      <c r="F2996" s="22">
        <v>45608.3592708333</v>
      </c>
      <c r="G2996" s="22">
        <v>45854.427337963</v>
      </c>
      <c r="H2996" s="23">
        <v>465</v>
      </c>
      <c r="I2996" s="23">
        <v>161.4</v>
      </c>
      <c r="J2996" s="24">
        <v>0</v>
      </c>
      <c r="K2996" s="21">
        <v>0</v>
      </c>
      <c r="L2996" s="21">
        <v>0</v>
      </c>
      <c r="M2996" s="21">
        <f>COUNTIF($A$2:$A$5481,A2996)</f>
        <v>2</v>
      </c>
      <c r="N2996" s="24">
        <f t="shared" si="46"/>
        <v>0.0002996</v>
      </c>
    </row>
    <row r="2997" spans="1:14">
      <c r="A2997" s="21" t="s">
        <v>237</v>
      </c>
      <c r="B2997" s="21" t="s">
        <v>920</v>
      </c>
      <c r="C2997" s="21" t="s">
        <v>35</v>
      </c>
      <c r="D2997" s="21" t="s">
        <v>921</v>
      </c>
      <c r="E2997" s="21">
        <v>5</v>
      </c>
      <c r="F2997" s="22">
        <v>46085.4340277778</v>
      </c>
      <c r="G2997" s="22">
        <v>46223.8685532407</v>
      </c>
      <c r="H2997" s="23">
        <v>1611</v>
      </c>
      <c r="I2997" s="23">
        <v>160.738095</v>
      </c>
      <c r="J2997" s="24">
        <v>803.7</v>
      </c>
      <c r="K2997" s="21">
        <v>0</v>
      </c>
      <c r="L2997" s="21">
        <v>0</v>
      </c>
      <c r="M2997" s="21">
        <f>COUNTIF($A$2:$A$5481,A2997)</f>
        <v>2</v>
      </c>
      <c r="N2997" s="24">
        <f t="shared" si="46"/>
        <v>803.7002997</v>
      </c>
    </row>
    <row r="2998" spans="1:14">
      <c r="A2998" s="21" t="s">
        <v>3085</v>
      </c>
      <c r="B2998" s="21" t="s">
        <v>920</v>
      </c>
      <c r="C2998" s="21" t="s">
        <v>26</v>
      </c>
      <c r="D2998" s="21" t="s">
        <v>931</v>
      </c>
      <c r="E2998" s="21">
        <v>1</v>
      </c>
      <c r="F2998" s="22">
        <v>45992.6856712963</v>
      </c>
      <c r="G2998" s="22"/>
      <c r="H2998" s="23">
        <v>89</v>
      </c>
      <c r="I2998" s="23">
        <v>89</v>
      </c>
      <c r="J2998" s="24">
        <v>89</v>
      </c>
      <c r="K2998" s="21">
        <v>0</v>
      </c>
      <c r="L2998" s="21">
        <v>0</v>
      </c>
      <c r="M2998" s="21">
        <f>COUNTIF($A$2:$A$5481,A2998)</f>
        <v>1</v>
      </c>
      <c r="N2998" s="24">
        <f t="shared" si="46"/>
        <v>89.0002998</v>
      </c>
    </row>
    <row r="2999" spans="1:14">
      <c r="A2999" s="21" t="s">
        <v>3086</v>
      </c>
      <c r="B2999" s="21" t="s">
        <v>920</v>
      </c>
      <c r="C2999" s="21" t="s">
        <v>26</v>
      </c>
      <c r="D2999" s="21" t="s">
        <v>931</v>
      </c>
      <c r="E2999" s="21">
        <v>0</v>
      </c>
      <c r="F2999" s="22">
        <v>45762.806087963</v>
      </c>
      <c r="G2999" s="22">
        <v>45779.8457986111</v>
      </c>
      <c r="H2999" s="23">
        <v>122</v>
      </c>
      <c r="I2999" s="23">
        <v>122</v>
      </c>
      <c r="J2999" s="24">
        <v>0</v>
      </c>
      <c r="K2999" s="21">
        <v>0</v>
      </c>
      <c r="L2999" s="21">
        <v>0</v>
      </c>
      <c r="M2999" s="21">
        <f>COUNTIF($A$2:$A$5481,A2999)</f>
        <v>1</v>
      </c>
      <c r="N2999" s="24">
        <f t="shared" si="46"/>
        <v>0.0002999</v>
      </c>
    </row>
    <row r="3000" spans="1:14">
      <c r="A3000" s="21" t="s">
        <v>3087</v>
      </c>
      <c r="B3000" s="21" t="s">
        <v>920</v>
      </c>
      <c r="C3000" s="21" t="s">
        <v>26</v>
      </c>
      <c r="D3000" s="21" t="s">
        <v>921</v>
      </c>
      <c r="E3000" s="21">
        <v>1</v>
      </c>
      <c r="F3000" s="22">
        <v>45803.832349537</v>
      </c>
      <c r="G3000" s="22">
        <v>45804.4224305556</v>
      </c>
      <c r="H3000" s="23">
        <v>178</v>
      </c>
      <c r="I3000" s="23">
        <v>89</v>
      </c>
      <c r="J3000" s="24">
        <v>89</v>
      </c>
      <c r="K3000" s="21">
        <v>0</v>
      </c>
      <c r="L3000" s="21">
        <v>0</v>
      </c>
      <c r="M3000" s="21">
        <f>COUNTIF($A$2:$A$5481,A3000)</f>
        <v>1</v>
      </c>
      <c r="N3000" s="24">
        <f t="shared" si="46"/>
        <v>89.0003</v>
      </c>
    </row>
    <row r="3001" spans="1:14">
      <c r="A3001" s="21" t="s">
        <v>3088</v>
      </c>
      <c r="B3001" s="21" t="s">
        <v>920</v>
      </c>
      <c r="C3001" s="21" t="s">
        <v>26</v>
      </c>
      <c r="D3001" s="21" t="s">
        <v>921</v>
      </c>
      <c r="E3001" s="21">
        <v>0</v>
      </c>
      <c r="F3001" s="22">
        <v>45516.7305555556</v>
      </c>
      <c r="G3001" s="22">
        <v>45663.7437731482</v>
      </c>
      <c r="H3001" s="23">
        <v>59.74</v>
      </c>
      <c r="I3001" s="23">
        <v>29.87</v>
      </c>
      <c r="J3001" s="24">
        <v>0</v>
      </c>
      <c r="K3001" s="21">
        <v>0</v>
      </c>
      <c r="L3001" s="21">
        <v>0</v>
      </c>
      <c r="M3001" s="21">
        <f>COUNTIF($A$2:$A$5481,A3001)</f>
        <v>1</v>
      </c>
      <c r="N3001" s="24">
        <f t="shared" si="46"/>
        <v>0.0003001</v>
      </c>
    </row>
    <row r="3002" spans="1:14">
      <c r="A3002" s="21" t="s">
        <v>3089</v>
      </c>
      <c r="B3002" s="21" t="s">
        <v>26</v>
      </c>
      <c r="C3002" s="21" t="s">
        <v>35</v>
      </c>
      <c r="D3002" s="21" t="s">
        <v>921</v>
      </c>
      <c r="E3002" s="21">
        <v>0</v>
      </c>
      <c r="F3002" s="22">
        <v>45688.4424305556</v>
      </c>
      <c r="G3002" s="22">
        <v>45776.7802430556</v>
      </c>
      <c r="H3002" s="23">
        <v>422.58</v>
      </c>
      <c r="I3002" s="23">
        <v>140.86</v>
      </c>
      <c r="J3002" s="24">
        <v>0</v>
      </c>
      <c r="K3002" s="21">
        <v>0</v>
      </c>
      <c r="L3002" s="21">
        <v>0</v>
      </c>
      <c r="M3002" s="21">
        <f>COUNTIF($A$2:$A$5481,A3002)</f>
        <v>1</v>
      </c>
      <c r="N3002" s="24">
        <f t="shared" si="46"/>
        <v>0.0003002</v>
      </c>
    </row>
    <row r="3003" spans="1:14">
      <c r="A3003" s="21" t="s">
        <v>3090</v>
      </c>
      <c r="B3003" s="21" t="s">
        <v>26</v>
      </c>
      <c r="C3003" s="21" t="s">
        <v>26</v>
      </c>
      <c r="D3003" s="21" t="s">
        <v>921</v>
      </c>
      <c r="E3003" s="21">
        <v>4</v>
      </c>
      <c r="F3003" s="22">
        <v>45666.4355787037</v>
      </c>
      <c r="G3003" s="22"/>
      <c r="H3003" s="23">
        <v>427.24</v>
      </c>
      <c r="I3003" s="23">
        <v>106.81</v>
      </c>
      <c r="J3003" s="24">
        <v>427.24</v>
      </c>
      <c r="K3003" s="21">
        <v>0</v>
      </c>
      <c r="L3003" s="21">
        <v>0</v>
      </c>
      <c r="M3003" s="21">
        <f>COUNTIF($A$2:$A$5481,A3003)</f>
        <v>1</v>
      </c>
      <c r="N3003" s="24">
        <f t="shared" si="46"/>
        <v>427.2403003</v>
      </c>
    </row>
    <row r="3004" spans="1:14">
      <c r="A3004" s="21" t="s">
        <v>3091</v>
      </c>
      <c r="B3004" s="21" t="s">
        <v>920</v>
      </c>
      <c r="C3004" s="21" t="s">
        <v>26</v>
      </c>
      <c r="D3004" s="21" t="s">
        <v>921</v>
      </c>
      <c r="E3004" s="21">
        <v>0</v>
      </c>
      <c r="F3004" s="22">
        <v>45870.4482175926</v>
      </c>
      <c r="G3004" s="22">
        <v>45870.4504976852</v>
      </c>
      <c r="H3004" s="23">
        <v>150</v>
      </c>
      <c r="I3004" s="23">
        <v>150</v>
      </c>
      <c r="J3004" s="24">
        <v>0</v>
      </c>
      <c r="K3004" s="21">
        <v>0</v>
      </c>
      <c r="L3004" s="21">
        <v>0</v>
      </c>
      <c r="M3004" s="21">
        <f>COUNTIF($A$2:$A$5481,A3004)</f>
        <v>1</v>
      </c>
      <c r="N3004" s="24">
        <f t="shared" si="46"/>
        <v>0.0003004</v>
      </c>
    </row>
    <row r="3005" spans="1:14">
      <c r="A3005" s="21" t="s">
        <v>3092</v>
      </c>
      <c r="B3005" s="21" t="s">
        <v>920</v>
      </c>
      <c r="C3005" s="21" t="s">
        <v>35</v>
      </c>
      <c r="D3005" s="21" t="s">
        <v>921</v>
      </c>
      <c r="E3005" s="21">
        <v>0</v>
      </c>
      <c r="F3005" s="22">
        <v>45302.827662037</v>
      </c>
      <c r="G3005" s="22">
        <v>45316.4967361111</v>
      </c>
      <c r="H3005" s="23">
        <v>378</v>
      </c>
      <c r="I3005" s="23">
        <v>189</v>
      </c>
      <c r="J3005" s="24">
        <v>0</v>
      </c>
      <c r="K3005" s="21">
        <v>1</v>
      </c>
      <c r="L3005" s="21">
        <v>5</v>
      </c>
      <c r="M3005" s="21">
        <f>COUNTIF($A$2:$A$5481,A3005)</f>
        <v>2</v>
      </c>
      <c r="N3005" s="24">
        <f t="shared" si="46"/>
        <v>0.0003005</v>
      </c>
    </row>
    <row r="3006" spans="1:14">
      <c r="A3006" s="21" t="s">
        <v>3092</v>
      </c>
      <c r="B3006" s="21" t="s">
        <v>920</v>
      </c>
      <c r="C3006" s="21" t="s">
        <v>26</v>
      </c>
      <c r="D3006" s="21" t="s">
        <v>921</v>
      </c>
      <c r="E3006" s="21">
        <v>2</v>
      </c>
      <c r="F3006" s="22">
        <v>45685.4737152778</v>
      </c>
      <c r="G3006" s="22"/>
      <c r="H3006" s="23">
        <v>320</v>
      </c>
      <c r="I3006" s="23">
        <v>160</v>
      </c>
      <c r="J3006" s="24">
        <v>320</v>
      </c>
      <c r="K3006" s="21">
        <v>1</v>
      </c>
      <c r="L3006" s="21">
        <v>5</v>
      </c>
      <c r="M3006" s="21">
        <f>COUNTIF($A$2:$A$5481,A3006)</f>
        <v>2</v>
      </c>
      <c r="N3006" s="24">
        <f t="shared" si="46"/>
        <v>320.0003006</v>
      </c>
    </row>
    <row r="3007" spans="1:14">
      <c r="A3007" s="21" t="s">
        <v>3093</v>
      </c>
      <c r="B3007" s="21" t="s">
        <v>920</v>
      </c>
      <c r="C3007" s="21" t="s">
        <v>26</v>
      </c>
      <c r="D3007" s="21" t="s">
        <v>921</v>
      </c>
      <c r="E3007" s="21">
        <v>1</v>
      </c>
      <c r="F3007" s="22">
        <v>45888.4077199074</v>
      </c>
      <c r="G3007" s="22"/>
      <c r="H3007" s="23">
        <v>169</v>
      </c>
      <c r="I3007" s="23">
        <v>169</v>
      </c>
      <c r="J3007" s="24">
        <v>169</v>
      </c>
      <c r="K3007" s="21">
        <v>0</v>
      </c>
      <c r="L3007" s="21">
        <v>0</v>
      </c>
      <c r="M3007" s="21">
        <f>COUNTIF($A$2:$A$5481,A3007)</f>
        <v>1</v>
      </c>
      <c r="N3007" s="24">
        <f t="shared" si="46"/>
        <v>169.0003007</v>
      </c>
    </row>
    <row r="3008" spans="1:14">
      <c r="A3008" s="21" t="s">
        <v>494</v>
      </c>
      <c r="B3008" s="21" t="s">
        <v>920</v>
      </c>
      <c r="C3008" s="21" t="s">
        <v>26</v>
      </c>
      <c r="D3008" s="21" t="s">
        <v>921</v>
      </c>
      <c r="E3008" s="21">
        <v>0</v>
      </c>
      <c r="F3008" s="22">
        <v>46210.5221990741</v>
      </c>
      <c r="G3008" s="22">
        <v>46231.3969328704</v>
      </c>
      <c r="H3008" s="23">
        <v>120</v>
      </c>
      <c r="I3008" s="23">
        <v>120</v>
      </c>
      <c r="J3008" s="24">
        <v>0</v>
      </c>
      <c r="K3008" s="21">
        <v>0</v>
      </c>
      <c r="L3008" s="21">
        <v>0</v>
      </c>
      <c r="M3008" s="21">
        <f>COUNTIF($A$2:$A$5481,A3008)</f>
        <v>1</v>
      </c>
      <c r="N3008" s="24">
        <f t="shared" si="46"/>
        <v>0.0003008</v>
      </c>
    </row>
    <row r="3009" spans="1:14">
      <c r="A3009" s="21" t="s">
        <v>210</v>
      </c>
      <c r="B3009" s="21" t="s">
        <v>920</v>
      </c>
      <c r="C3009" s="21" t="s">
        <v>35</v>
      </c>
      <c r="D3009" s="21" t="s">
        <v>921</v>
      </c>
      <c r="E3009" s="21">
        <v>8</v>
      </c>
      <c r="F3009" s="22">
        <v>45854.6145601852</v>
      </c>
      <c r="G3009" s="22">
        <v>46050.443900463</v>
      </c>
      <c r="H3009" s="23">
        <v>720</v>
      </c>
      <c r="I3009" s="23">
        <v>168.8888888889</v>
      </c>
      <c r="J3009" s="24">
        <v>1351.12</v>
      </c>
      <c r="K3009" s="21">
        <v>0</v>
      </c>
      <c r="L3009" s="21">
        <v>0</v>
      </c>
      <c r="M3009" s="21">
        <f>COUNTIF($A$2:$A$5481,A3009)</f>
        <v>1</v>
      </c>
      <c r="N3009" s="24">
        <f t="shared" si="46"/>
        <v>1351.1203009</v>
      </c>
    </row>
    <row r="3010" spans="1:14">
      <c r="A3010" s="21" t="s">
        <v>3094</v>
      </c>
      <c r="B3010" s="21" t="s">
        <v>920</v>
      </c>
      <c r="C3010" s="21" t="s">
        <v>26</v>
      </c>
      <c r="D3010" s="21" t="s">
        <v>921</v>
      </c>
      <c r="E3010" s="21">
        <v>0</v>
      </c>
      <c r="F3010" s="22">
        <v>46003.4075115741</v>
      </c>
      <c r="G3010" s="22">
        <v>46010.5729398148</v>
      </c>
      <c r="H3010" s="23">
        <v>20</v>
      </c>
      <c r="I3010" s="23">
        <v>20</v>
      </c>
      <c r="J3010" s="24">
        <v>0</v>
      </c>
      <c r="K3010" s="21">
        <v>0</v>
      </c>
      <c r="L3010" s="21">
        <v>0</v>
      </c>
      <c r="M3010" s="21">
        <f>COUNTIF($A$2:$A$5481,A3010)</f>
        <v>1</v>
      </c>
      <c r="N3010" s="24">
        <f t="shared" ref="N3010:N3073" si="47">J3010+ROW()/10000000</f>
        <v>0.000301</v>
      </c>
    </row>
    <row r="3011" spans="1:14">
      <c r="A3011" s="21" t="s">
        <v>3095</v>
      </c>
      <c r="B3011" s="21" t="s">
        <v>920</v>
      </c>
      <c r="C3011" s="21" t="s">
        <v>35</v>
      </c>
      <c r="D3011" s="21" t="s">
        <v>921</v>
      </c>
      <c r="E3011" s="21">
        <v>6</v>
      </c>
      <c r="F3011" s="22">
        <v>45688.8659722222</v>
      </c>
      <c r="G3011" s="22">
        <v>45705.877337963</v>
      </c>
      <c r="H3011" s="23">
        <v>780</v>
      </c>
      <c r="I3011" s="23">
        <v>129.14286</v>
      </c>
      <c r="J3011" s="24">
        <v>774.84</v>
      </c>
      <c r="K3011" s="21">
        <v>0</v>
      </c>
      <c r="L3011" s="21">
        <v>0</v>
      </c>
      <c r="M3011" s="21">
        <f>COUNTIF($A$2:$A$5481,A3011)</f>
        <v>1</v>
      </c>
      <c r="N3011" s="24">
        <f t="shared" si="47"/>
        <v>774.8403011</v>
      </c>
    </row>
    <row r="3012" spans="1:14">
      <c r="A3012" s="21" t="s">
        <v>3096</v>
      </c>
      <c r="B3012" s="21" t="s">
        <v>920</v>
      </c>
      <c r="C3012" s="21" t="s">
        <v>35</v>
      </c>
      <c r="D3012" s="21" t="s">
        <v>921</v>
      </c>
      <c r="E3012" s="21">
        <v>0</v>
      </c>
      <c r="F3012" s="22">
        <v>45278.7017361111</v>
      </c>
      <c r="G3012" s="22">
        <v>45359.3953009259</v>
      </c>
      <c r="H3012" s="23">
        <v>136</v>
      </c>
      <c r="I3012" s="23">
        <v>68</v>
      </c>
      <c r="J3012" s="24">
        <v>0</v>
      </c>
      <c r="K3012" s="21">
        <v>0</v>
      </c>
      <c r="L3012" s="21">
        <v>0</v>
      </c>
      <c r="M3012" s="21">
        <f>COUNTIF($A$2:$A$5481,A3012)</f>
        <v>1</v>
      </c>
      <c r="N3012" s="24">
        <f t="shared" si="47"/>
        <v>0.0003012</v>
      </c>
    </row>
    <row r="3013" spans="1:14">
      <c r="A3013" s="21" t="s">
        <v>3097</v>
      </c>
      <c r="B3013" s="21" t="s">
        <v>920</v>
      </c>
      <c r="C3013" s="21" t="s">
        <v>26</v>
      </c>
      <c r="D3013" s="21" t="s">
        <v>921</v>
      </c>
      <c r="E3013" s="21">
        <v>1</v>
      </c>
      <c r="F3013" s="22">
        <v>45888.4077199074</v>
      </c>
      <c r="G3013" s="22"/>
      <c r="H3013" s="23">
        <v>79</v>
      </c>
      <c r="I3013" s="23">
        <v>79</v>
      </c>
      <c r="J3013" s="24">
        <v>79</v>
      </c>
      <c r="K3013" s="21">
        <v>0</v>
      </c>
      <c r="L3013" s="21">
        <v>0</v>
      </c>
      <c r="M3013" s="21">
        <f>COUNTIF($A$2:$A$5481,A3013)</f>
        <v>1</v>
      </c>
      <c r="N3013" s="24">
        <f t="shared" si="47"/>
        <v>79.0003013</v>
      </c>
    </row>
    <row r="3014" spans="1:14">
      <c r="A3014" s="21" t="s">
        <v>156</v>
      </c>
      <c r="B3014" s="21" t="s">
        <v>920</v>
      </c>
      <c r="C3014" s="21" t="s">
        <v>35</v>
      </c>
      <c r="D3014" s="21" t="s">
        <v>921</v>
      </c>
      <c r="E3014" s="21">
        <v>3</v>
      </c>
      <c r="F3014" s="22">
        <v>46219.3555555556</v>
      </c>
      <c r="G3014" s="22">
        <v>46267.3801157407</v>
      </c>
      <c r="H3014" s="23">
        <v>350</v>
      </c>
      <c r="I3014" s="23">
        <v>130.9455776191</v>
      </c>
      <c r="J3014" s="24">
        <v>392.85</v>
      </c>
      <c r="K3014" s="21">
        <v>0</v>
      </c>
      <c r="L3014" s="21">
        <v>0</v>
      </c>
      <c r="M3014" s="21">
        <f>COUNTIF($A$2:$A$5481,A3014)</f>
        <v>1</v>
      </c>
      <c r="N3014" s="24">
        <f t="shared" si="47"/>
        <v>392.8503014</v>
      </c>
    </row>
    <row r="3015" spans="1:14">
      <c r="A3015" s="21" t="s">
        <v>3098</v>
      </c>
      <c r="B3015" s="21" t="s">
        <v>920</v>
      </c>
      <c r="C3015" s="21" t="s">
        <v>26</v>
      </c>
      <c r="D3015" s="21" t="s">
        <v>921</v>
      </c>
      <c r="E3015" s="21">
        <v>0</v>
      </c>
      <c r="F3015" s="22">
        <v>45992.6856712963</v>
      </c>
      <c r="G3015" s="22">
        <v>45996.395</v>
      </c>
      <c r="H3015" s="23">
        <v>72</v>
      </c>
      <c r="I3015" s="23">
        <v>72</v>
      </c>
      <c r="J3015" s="24">
        <v>0</v>
      </c>
      <c r="K3015" s="21">
        <v>0</v>
      </c>
      <c r="L3015" s="21">
        <v>0</v>
      </c>
      <c r="M3015" s="21">
        <f>COUNTIF($A$2:$A$5481,A3015)</f>
        <v>1</v>
      </c>
      <c r="N3015" s="24">
        <f t="shared" si="47"/>
        <v>0.0003015</v>
      </c>
    </row>
    <row r="3016" spans="1:14">
      <c r="A3016" s="21" t="s">
        <v>3099</v>
      </c>
      <c r="B3016" s="21" t="s">
        <v>920</v>
      </c>
      <c r="C3016" s="21" t="s">
        <v>26</v>
      </c>
      <c r="D3016" s="21" t="s">
        <v>931</v>
      </c>
      <c r="E3016" s="21">
        <v>2</v>
      </c>
      <c r="F3016" s="22">
        <v>46209.6440046296</v>
      </c>
      <c r="G3016" s="22">
        <v>45484.3702893519</v>
      </c>
      <c r="H3016" s="23">
        <v>30</v>
      </c>
      <c r="I3016" s="23">
        <v>40.9</v>
      </c>
      <c r="J3016" s="24">
        <v>81.8</v>
      </c>
      <c r="K3016" s="21">
        <v>0</v>
      </c>
      <c r="L3016" s="21">
        <v>0</v>
      </c>
      <c r="M3016" s="21">
        <f>COUNTIF($A$2:$A$5481,A3016)</f>
        <v>1</v>
      </c>
      <c r="N3016" s="24">
        <f t="shared" si="47"/>
        <v>81.8003016</v>
      </c>
    </row>
    <row r="3017" spans="1:14">
      <c r="A3017" s="21" t="s">
        <v>3100</v>
      </c>
      <c r="B3017" s="21" t="s">
        <v>920</v>
      </c>
      <c r="C3017" s="21" t="s">
        <v>35</v>
      </c>
      <c r="D3017" s="21" t="s">
        <v>921</v>
      </c>
      <c r="E3017" s="21">
        <v>1</v>
      </c>
      <c r="F3017" s="22">
        <v>45364.8360185185</v>
      </c>
      <c r="G3017" s="22">
        <v>45366.4650578704</v>
      </c>
      <c r="H3017" s="23">
        <v>83.2</v>
      </c>
      <c r="I3017" s="23">
        <v>41.6</v>
      </c>
      <c r="J3017" s="24">
        <v>41.6</v>
      </c>
      <c r="K3017" s="21">
        <v>0</v>
      </c>
      <c r="L3017" s="21">
        <v>0</v>
      </c>
      <c r="M3017" s="21">
        <f>COUNTIF($A$2:$A$5481,A3017)</f>
        <v>1</v>
      </c>
      <c r="N3017" s="24">
        <f t="shared" si="47"/>
        <v>41.6003017</v>
      </c>
    </row>
    <row r="3018" spans="1:14">
      <c r="A3018" s="21" t="s">
        <v>3101</v>
      </c>
      <c r="B3018" s="21" t="s">
        <v>920</v>
      </c>
      <c r="C3018" s="21" t="s">
        <v>26</v>
      </c>
      <c r="D3018" s="21" t="s">
        <v>1217</v>
      </c>
      <c r="E3018" s="21">
        <v>190</v>
      </c>
      <c r="F3018" s="22">
        <v>46066.5512731482</v>
      </c>
      <c r="G3018" s="22">
        <v>45932.3745717593</v>
      </c>
      <c r="H3018" s="23">
        <v>48.8</v>
      </c>
      <c r="I3018" s="23">
        <v>1.2945065789</v>
      </c>
      <c r="J3018" s="24">
        <v>245.1</v>
      </c>
      <c r="K3018" s="21">
        <v>0</v>
      </c>
      <c r="L3018" s="21">
        <v>0</v>
      </c>
      <c r="M3018" s="21">
        <f>COUNTIF($A$2:$A$5481,A3018)</f>
        <v>1</v>
      </c>
      <c r="N3018" s="24">
        <f t="shared" si="47"/>
        <v>245.1003018</v>
      </c>
    </row>
    <row r="3019" spans="1:14">
      <c r="A3019" s="21" t="s">
        <v>3102</v>
      </c>
      <c r="B3019" s="21" t="s">
        <v>920</v>
      </c>
      <c r="C3019" s="21" t="s">
        <v>35</v>
      </c>
      <c r="D3019" s="21" t="s">
        <v>921</v>
      </c>
      <c r="E3019" s="21">
        <v>2</v>
      </c>
      <c r="F3019" s="22">
        <v>45329.4507175926</v>
      </c>
      <c r="G3019" s="22"/>
      <c r="H3019" s="23">
        <v>539.14</v>
      </c>
      <c r="I3019" s="23">
        <v>269.57</v>
      </c>
      <c r="J3019" s="24">
        <v>539.14</v>
      </c>
      <c r="K3019" s="21">
        <v>0</v>
      </c>
      <c r="L3019" s="21">
        <v>0</v>
      </c>
      <c r="M3019" s="21">
        <f>COUNTIF($A$2:$A$5481,A3019)</f>
        <v>2</v>
      </c>
      <c r="N3019" s="24">
        <f t="shared" si="47"/>
        <v>539.1403019</v>
      </c>
    </row>
    <row r="3020" spans="1:14">
      <c r="A3020" s="21" t="s">
        <v>3102</v>
      </c>
      <c r="B3020" s="21" t="s">
        <v>920</v>
      </c>
      <c r="C3020" s="21" t="s">
        <v>414</v>
      </c>
      <c r="D3020" s="21" t="s">
        <v>921</v>
      </c>
      <c r="E3020" s="21">
        <v>2</v>
      </c>
      <c r="F3020" s="22">
        <v>45803.4424305556</v>
      </c>
      <c r="G3020" s="22">
        <v>45819.4616087963</v>
      </c>
      <c r="H3020" s="23">
        <v>964.3</v>
      </c>
      <c r="I3020" s="23">
        <v>411.29</v>
      </c>
      <c r="J3020" s="24">
        <v>822.58</v>
      </c>
      <c r="K3020" s="21">
        <v>0</v>
      </c>
      <c r="L3020" s="21">
        <v>0</v>
      </c>
      <c r="M3020" s="21">
        <f>COUNTIF($A$2:$A$5481,A3020)</f>
        <v>2</v>
      </c>
      <c r="N3020" s="24">
        <f t="shared" si="47"/>
        <v>822.580302</v>
      </c>
    </row>
    <row r="3021" spans="1:14">
      <c r="A3021" s="21" t="s">
        <v>3103</v>
      </c>
      <c r="B3021" s="21" t="s">
        <v>920</v>
      </c>
      <c r="C3021" s="21" t="s">
        <v>26</v>
      </c>
      <c r="D3021" s="21" t="s">
        <v>931</v>
      </c>
      <c r="E3021" s="21">
        <v>0</v>
      </c>
      <c r="F3021" s="22">
        <v>45740.6125810185</v>
      </c>
      <c r="G3021" s="22">
        <v>45756.5066898148</v>
      </c>
      <c r="H3021" s="23">
        <v>35</v>
      </c>
      <c r="I3021" s="23">
        <v>35</v>
      </c>
      <c r="J3021" s="24">
        <v>0</v>
      </c>
      <c r="K3021" s="21">
        <v>0</v>
      </c>
      <c r="L3021" s="21">
        <v>0</v>
      </c>
      <c r="M3021" s="21">
        <f>COUNTIF($A$2:$A$5481,A3021)</f>
        <v>1</v>
      </c>
      <c r="N3021" s="24">
        <f t="shared" si="47"/>
        <v>0.0003021</v>
      </c>
    </row>
    <row r="3022" spans="1:14">
      <c r="A3022" s="21" t="s">
        <v>3104</v>
      </c>
      <c r="B3022" s="21" t="s">
        <v>1352</v>
      </c>
      <c r="C3022" s="21" t="s">
        <v>51</v>
      </c>
      <c r="D3022" s="21" t="s">
        <v>921</v>
      </c>
      <c r="E3022" s="21">
        <v>3</v>
      </c>
      <c r="F3022" s="22">
        <v>46051.5738773148</v>
      </c>
      <c r="G3022" s="22"/>
      <c r="H3022" s="23">
        <v>599.4</v>
      </c>
      <c r="I3022" s="23">
        <v>199.8</v>
      </c>
      <c r="J3022" s="24">
        <v>599.4</v>
      </c>
      <c r="K3022" s="21">
        <v>0</v>
      </c>
      <c r="L3022" s="21">
        <v>0</v>
      </c>
      <c r="M3022" s="21">
        <f>COUNTIF($A$2:$A$5481,A3022)</f>
        <v>1</v>
      </c>
      <c r="N3022" s="24">
        <f t="shared" si="47"/>
        <v>599.4003022</v>
      </c>
    </row>
    <row r="3023" spans="1:14">
      <c r="A3023" s="21" t="s">
        <v>3105</v>
      </c>
      <c r="B3023" s="21" t="s">
        <v>920</v>
      </c>
      <c r="C3023" s="21" t="s">
        <v>35</v>
      </c>
      <c r="D3023" s="21" t="s">
        <v>921</v>
      </c>
      <c r="E3023" s="21">
        <v>3</v>
      </c>
      <c r="F3023" s="22">
        <v>45436.3951388889</v>
      </c>
      <c r="G3023" s="22">
        <v>45516.683900463</v>
      </c>
      <c r="H3023" s="23">
        <v>996</v>
      </c>
      <c r="I3023" s="23">
        <v>210.33333</v>
      </c>
      <c r="J3023" s="24">
        <v>630.99</v>
      </c>
      <c r="K3023" s="21">
        <v>0</v>
      </c>
      <c r="L3023" s="21">
        <v>0</v>
      </c>
      <c r="M3023" s="21">
        <f>COUNTIF($A$2:$A$5481,A3023)</f>
        <v>1</v>
      </c>
      <c r="N3023" s="24">
        <f t="shared" si="47"/>
        <v>630.9903023</v>
      </c>
    </row>
    <row r="3024" spans="1:14">
      <c r="A3024" s="21" t="s">
        <v>3106</v>
      </c>
      <c r="B3024" s="21" t="s">
        <v>920</v>
      </c>
      <c r="C3024" s="21" t="s">
        <v>35</v>
      </c>
      <c r="D3024" s="21" t="s">
        <v>921</v>
      </c>
      <c r="E3024" s="21">
        <v>1</v>
      </c>
      <c r="F3024" s="22">
        <v>45317.6298611111</v>
      </c>
      <c r="G3024" s="22">
        <v>45398.8616666667</v>
      </c>
      <c r="H3024" s="23">
        <v>1125</v>
      </c>
      <c r="I3024" s="23">
        <v>375</v>
      </c>
      <c r="J3024" s="24">
        <v>375</v>
      </c>
      <c r="K3024" s="21">
        <v>0</v>
      </c>
      <c r="L3024" s="21">
        <v>0</v>
      </c>
      <c r="M3024" s="21">
        <f>COUNTIF($A$2:$A$5481,A3024)</f>
        <v>1</v>
      </c>
      <c r="N3024" s="24">
        <f t="shared" si="47"/>
        <v>375.0003024</v>
      </c>
    </row>
    <row r="3025" spans="1:14">
      <c r="A3025" s="21" t="s">
        <v>3107</v>
      </c>
      <c r="B3025" s="21" t="s">
        <v>920</v>
      </c>
      <c r="C3025" s="21" t="s">
        <v>35</v>
      </c>
      <c r="D3025" s="21" t="s">
        <v>921</v>
      </c>
      <c r="E3025" s="21">
        <v>1</v>
      </c>
      <c r="F3025" s="22">
        <v>45307.3923842593</v>
      </c>
      <c r="G3025" s="22">
        <v>45323.4761921296</v>
      </c>
      <c r="H3025" s="23">
        <v>260</v>
      </c>
      <c r="I3025" s="23">
        <v>130</v>
      </c>
      <c r="J3025" s="24">
        <v>130</v>
      </c>
      <c r="K3025" s="21">
        <v>0</v>
      </c>
      <c r="L3025" s="21">
        <v>0</v>
      </c>
      <c r="M3025" s="21">
        <f>COUNTIF($A$2:$A$5481,A3025)</f>
        <v>1</v>
      </c>
      <c r="N3025" s="24">
        <f t="shared" si="47"/>
        <v>130.0003025</v>
      </c>
    </row>
    <row r="3026" spans="1:14">
      <c r="A3026" s="21" t="s">
        <v>3108</v>
      </c>
      <c r="B3026" s="21" t="s">
        <v>920</v>
      </c>
      <c r="C3026" s="21" t="s">
        <v>26</v>
      </c>
      <c r="D3026" s="21" t="s">
        <v>921</v>
      </c>
      <c r="E3026" s="21">
        <v>1</v>
      </c>
      <c r="F3026" s="22">
        <v>45888.4077199074</v>
      </c>
      <c r="G3026" s="22"/>
      <c r="H3026" s="23">
        <v>120</v>
      </c>
      <c r="I3026" s="23">
        <v>120</v>
      </c>
      <c r="J3026" s="24">
        <v>120</v>
      </c>
      <c r="K3026" s="21">
        <v>0</v>
      </c>
      <c r="L3026" s="21">
        <v>0</v>
      </c>
      <c r="M3026" s="21">
        <f>COUNTIF($A$2:$A$5481,A3026)</f>
        <v>1</v>
      </c>
      <c r="N3026" s="24">
        <f t="shared" si="47"/>
        <v>120.0003026</v>
      </c>
    </row>
    <row r="3027" spans="1:14">
      <c r="A3027" s="21" t="s">
        <v>238</v>
      </c>
      <c r="B3027" s="21" t="s">
        <v>920</v>
      </c>
      <c r="C3027" s="21" t="s">
        <v>26</v>
      </c>
      <c r="D3027" s="21" t="s">
        <v>921</v>
      </c>
      <c r="E3027" s="21">
        <v>0</v>
      </c>
      <c r="F3027" s="22">
        <v>45881.7090277778</v>
      </c>
      <c r="G3027" s="22">
        <v>46063.6288310185</v>
      </c>
      <c r="H3027" s="23">
        <v>598</v>
      </c>
      <c r="I3027" s="23">
        <v>299</v>
      </c>
      <c r="J3027" s="24">
        <v>0</v>
      </c>
      <c r="K3027" s="21">
        <v>0</v>
      </c>
      <c r="L3027" s="21">
        <v>0</v>
      </c>
      <c r="M3027" s="21">
        <f>COUNTIF($A$2:$A$5481,A3027)</f>
        <v>1</v>
      </c>
      <c r="N3027" s="24">
        <f t="shared" si="47"/>
        <v>0.0003027</v>
      </c>
    </row>
    <row r="3028" spans="1:14">
      <c r="A3028" s="21" t="s">
        <v>320</v>
      </c>
      <c r="B3028" s="21" t="s">
        <v>920</v>
      </c>
      <c r="C3028" s="21" t="s">
        <v>35</v>
      </c>
      <c r="D3028" s="21" t="s">
        <v>921</v>
      </c>
      <c r="E3028" s="21">
        <v>0</v>
      </c>
      <c r="F3028" s="22">
        <v>45362.6970833333</v>
      </c>
      <c r="G3028" s="22">
        <v>45366.486712963</v>
      </c>
      <c r="H3028" s="23">
        <v>200</v>
      </c>
      <c r="I3028" s="23">
        <v>200</v>
      </c>
      <c r="J3028" s="24">
        <v>0</v>
      </c>
      <c r="K3028" s="21">
        <v>0</v>
      </c>
      <c r="L3028" s="21">
        <v>0</v>
      </c>
      <c r="M3028" s="21">
        <f>COUNTIF($A$2:$A$5481,A3028)</f>
        <v>2</v>
      </c>
      <c r="N3028" s="24">
        <f t="shared" si="47"/>
        <v>0.0003028</v>
      </c>
    </row>
    <row r="3029" spans="1:14">
      <c r="A3029" s="21" t="s">
        <v>320</v>
      </c>
      <c r="B3029" s="21" t="s">
        <v>920</v>
      </c>
      <c r="C3029" s="21" t="s">
        <v>26</v>
      </c>
      <c r="D3029" s="21" t="s">
        <v>921</v>
      </c>
      <c r="E3029" s="21">
        <v>0</v>
      </c>
      <c r="F3029" s="22">
        <v>46062.5482060185</v>
      </c>
      <c r="G3029" s="22">
        <v>46107.8328125</v>
      </c>
      <c r="H3029" s="23">
        <v>380</v>
      </c>
      <c r="I3029" s="23">
        <v>190</v>
      </c>
      <c r="J3029" s="24">
        <v>0</v>
      </c>
      <c r="K3029" s="21">
        <v>0</v>
      </c>
      <c r="L3029" s="21">
        <v>0</v>
      </c>
      <c r="M3029" s="21">
        <f>COUNTIF($A$2:$A$5481,A3029)</f>
        <v>2</v>
      </c>
      <c r="N3029" s="24">
        <f t="shared" si="47"/>
        <v>0.0003029</v>
      </c>
    </row>
    <row r="3030" spans="1:14">
      <c r="A3030" s="21" t="s">
        <v>201</v>
      </c>
      <c r="B3030" s="21" t="s">
        <v>920</v>
      </c>
      <c r="C3030" s="21" t="s">
        <v>26</v>
      </c>
      <c r="D3030" s="21" t="s">
        <v>921</v>
      </c>
      <c r="E3030" s="21">
        <v>1</v>
      </c>
      <c r="F3030" s="22">
        <v>46253.3833333333</v>
      </c>
      <c r="G3030" s="22">
        <v>46282.7153356482</v>
      </c>
      <c r="H3030" s="23">
        <v>190</v>
      </c>
      <c r="I3030" s="23">
        <v>180</v>
      </c>
      <c r="J3030" s="24">
        <v>180</v>
      </c>
      <c r="K3030" s="21">
        <v>0</v>
      </c>
      <c r="L3030" s="21">
        <v>0</v>
      </c>
      <c r="M3030" s="21">
        <f>COUNTIF($A$2:$A$5481,A3030)</f>
        <v>1</v>
      </c>
      <c r="N3030" s="24">
        <f t="shared" si="47"/>
        <v>180.000303</v>
      </c>
    </row>
    <row r="3031" spans="1:14">
      <c r="A3031" s="21" t="s">
        <v>3109</v>
      </c>
      <c r="B3031" s="21" t="s">
        <v>920</v>
      </c>
      <c r="C3031" s="21" t="s">
        <v>26</v>
      </c>
      <c r="D3031" s="21" t="s">
        <v>921</v>
      </c>
      <c r="E3031" s="21">
        <v>1</v>
      </c>
      <c r="F3031" s="22">
        <v>45814.8063657407</v>
      </c>
      <c r="G3031" s="22"/>
      <c r="H3031" s="23">
        <v>79.6</v>
      </c>
      <c r="I3031" s="23">
        <v>79.6</v>
      </c>
      <c r="J3031" s="24">
        <v>79.6</v>
      </c>
      <c r="K3031" s="21">
        <v>0</v>
      </c>
      <c r="L3031" s="21">
        <v>0</v>
      </c>
      <c r="M3031" s="21">
        <f>COUNTIF($A$2:$A$5481,A3031)</f>
        <v>1</v>
      </c>
      <c r="N3031" s="24">
        <f t="shared" si="47"/>
        <v>79.6003031</v>
      </c>
    </row>
    <row r="3032" spans="1:14">
      <c r="A3032" s="21" t="s">
        <v>3110</v>
      </c>
      <c r="B3032" s="21" t="s">
        <v>920</v>
      </c>
      <c r="C3032" s="21" t="s">
        <v>26</v>
      </c>
      <c r="D3032" s="21" t="s">
        <v>921</v>
      </c>
      <c r="E3032" s="21">
        <v>0</v>
      </c>
      <c r="F3032" s="22">
        <v>45555.4191203704</v>
      </c>
      <c r="G3032" s="22">
        <v>45632.486875</v>
      </c>
      <c r="H3032" s="23">
        <v>258</v>
      </c>
      <c r="I3032" s="23">
        <v>129</v>
      </c>
      <c r="J3032" s="24">
        <v>0</v>
      </c>
      <c r="K3032" s="21">
        <v>0</v>
      </c>
      <c r="L3032" s="21">
        <v>0</v>
      </c>
      <c r="M3032" s="21">
        <f>COUNTIF($A$2:$A$5481,A3032)</f>
        <v>1</v>
      </c>
      <c r="N3032" s="24">
        <f t="shared" si="47"/>
        <v>0.0003032</v>
      </c>
    </row>
    <row r="3033" spans="1:14">
      <c r="A3033" s="21" t="s">
        <v>208</v>
      </c>
      <c r="B3033" s="21" t="s">
        <v>920</v>
      </c>
      <c r="C3033" s="21" t="s">
        <v>35</v>
      </c>
      <c r="D3033" s="21" t="s">
        <v>921</v>
      </c>
      <c r="E3033" s="21">
        <v>11</v>
      </c>
      <c r="F3033" s="22">
        <v>46227.6493055556</v>
      </c>
      <c r="G3033" s="22">
        <v>46266.6588194444</v>
      </c>
      <c r="H3033" s="23">
        <v>525</v>
      </c>
      <c r="I3033" s="23">
        <v>102.4905172222</v>
      </c>
      <c r="J3033" s="24">
        <v>1127.39</v>
      </c>
      <c r="K3033" s="21">
        <v>0</v>
      </c>
      <c r="L3033" s="21">
        <v>0</v>
      </c>
      <c r="M3033" s="21">
        <f>COUNTIF($A$2:$A$5481,A3033)</f>
        <v>1</v>
      </c>
      <c r="N3033" s="24">
        <f t="shared" si="47"/>
        <v>1127.3903033</v>
      </c>
    </row>
    <row r="3034" spans="1:14">
      <c r="A3034" s="21" t="s">
        <v>3111</v>
      </c>
      <c r="B3034" s="21" t="s">
        <v>920</v>
      </c>
      <c r="C3034" s="21" t="s">
        <v>26</v>
      </c>
      <c r="D3034" s="21" t="s">
        <v>931</v>
      </c>
      <c r="E3034" s="21">
        <v>0</v>
      </c>
      <c r="F3034" s="22">
        <v>45992.6856712963</v>
      </c>
      <c r="G3034" s="22">
        <v>45996.3949884259</v>
      </c>
      <c r="H3034" s="23">
        <v>97</v>
      </c>
      <c r="I3034" s="23">
        <v>97</v>
      </c>
      <c r="J3034" s="24">
        <v>0</v>
      </c>
      <c r="K3034" s="21">
        <v>0</v>
      </c>
      <c r="L3034" s="21">
        <v>0</v>
      </c>
      <c r="M3034" s="21">
        <f>COUNTIF($A$2:$A$5481,A3034)</f>
        <v>1</v>
      </c>
      <c r="N3034" s="24">
        <f t="shared" si="47"/>
        <v>0.0003034</v>
      </c>
    </row>
    <row r="3035" spans="1:14">
      <c r="A3035" s="21" t="s">
        <v>3112</v>
      </c>
      <c r="B3035" s="21" t="s">
        <v>920</v>
      </c>
      <c r="C3035" s="21" t="s">
        <v>26</v>
      </c>
      <c r="D3035" s="21" t="s">
        <v>931</v>
      </c>
      <c r="E3035" s="21">
        <v>1</v>
      </c>
      <c r="F3035" s="22">
        <v>45852.5712615741</v>
      </c>
      <c r="G3035" s="22">
        <v>45853.3581481482</v>
      </c>
      <c r="H3035" s="23">
        <v>138</v>
      </c>
      <c r="I3035" s="23">
        <v>69</v>
      </c>
      <c r="J3035" s="24">
        <v>69</v>
      </c>
      <c r="K3035" s="21">
        <v>0</v>
      </c>
      <c r="L3035" s="21">
        <v>0</v>
      </c>
      <c r="M3035" s="21">
        <f>COUNTIF($A$2:$A$5481,A3035)</f>
        <v>1</v>
      </c>
      <c r="N3035" s="24">
        <f t="shared" si="47"/>
        <v>69.0003035</v>
      </c>
    </row>
    <row r="3036" spans="1:14">
      <c r="A3036" s="21" t="s">
        <v>3113</v>
      </c>
      <c r="B3036" s="21" t="s">
        <v>920</v>
      </c>
      <c r="C3036" s="21" t="s">
        <v>35</v>
      </c>
      <c r="D3036" s="21" t="s">
        <v>921</v>
      </c>
      <c r="E3036" s="21">
        <v>1</v>
      </c>
      <c r="F3036" s="22">
        <v>45364.8345833333</v>
      </c>
      <c r="G3036" s="22">
        <v>45366.4650462963</v>
      </c>
      <c r="H3036" s="23">
        <v>34</v>
      </c>
      <c r="I3036" s="23">
        <v>17</v>
      </c>
      <c r="J3036" s="24">
        <v>17</v>
      </c>
      <c r="K3036" s="21">
        <v>0</v>
      </c>
      <c r="L3036" s="21">
        <v>0</v>
      </c>
      <c r="M3036" s="21">
        <f>COUNTIF($A$2:$A$5481,A3036)</f>
        <v>1</v>
      </c>
      <c r="N3036" s="24">
        <f t="shared" si="47"/>
        <v>17.0003036</v>
      </c>
    </row>
    <row r="3037" spans="1:14">
      <c r="A3037" s="21" t="s">
        <v>3114</v>
      </c>
      <c r="B3037" s="21" t="s">
        <v>920</v>
      </c>
      <c r="C3037" s="21" t="s">
        <v>26</v>
      </c>
      <c r="D3037" s="21" t="s">
        <v>931</v>
      </c>
      <c r="E3037" s="21">
        <v>0</v>
      </c>
      <c r="F3037" s="22">
        <v>45896.3964467593</v>
      </c>
      <c r="G3037" s="22">
        <v>45896.4018171296</v>
      </c>
      <c r="H3037" s="23">
        <v>135</v>
      </c>
      <c r="I3037" s="23">
        <v>135</v>
      </c>
      <c r="J3037" s="24">
        <v>0</v>
      </c>
      <c r="K3037" s="21">
        <v>0</v>
      </c>
      <c r="L3037" s="21">
        <v>0</v>
      </c>
      <c r="M3037" s="21">
        <f>COUNTIF($A$2:$A$5481,A3037)</f>
        <v>1</v>
      </c>
      <c r="N3037" s="24">
        <f t="shared" si="47"/>
        <v>0.0003037</v>
      </c>
    </row>
    <row r="3038" spans="1:14">
      <c r="A3038" s="21" t="s">
        <v>292</v>
      </c>
      <c r="B3038" s="21" t="s">
        <v>920</v>
      </c>
      <c r="C3038" s="21" t="s">
        <v>26</v>
      </c>
      <c r="D3038" s="21" t="s">
        <v>921</v>
      </c>
      <c r="E3038" s="21">
        <v>0</v>
      </c>
      <c r="F3038" s="22">
        <v>46083.61125</v>
      </c>
      <c r="G3038" s="22">
        <v>46085.4115393519</v>
      </c>
      <c r="H3038" s="23">
        <v>135</v>
      </c>
      <c r="I3038" s="23">
        <v>135</v>
      </c>
      <c r="J3038" s="24">
        <v>0</v>
      </c>
      <c r="K3038" s="21">
        <v>0</v>
      </c>
      <c r="L3038" s="21">
        <v>0</v>
      </c>
      <c r="M3038" s="21">
        <f>COUNTIF($A$2:$A$5481,A3038)</f>
        <v>1</v>
      </c>
      <c r="N3038" s="24">
        <f t="shared" si="47"/>
        <v>0.0003038</v>
      </c>
    </row>
    <row r="3039" spans="1:14">
      <c r="A3039" s="21" t="s">
        <v>3115</v>
      </c>
      <c r="B3039" s="21" t="s">
        <v>920</v>
      </c>
      <c r="C3039" s="21" t="s">
        <v>35</v>
      </c>
      <c r="D3039" s="21" t="s">
        <v>921</v>
      </c>
      <c r="E3039" s="21">
        <v>0</v>
      </c>
      <c r="F3039" s="22">
        <v>45267.5924421296</v>
      </c>
      <c r="G3039" s="22">
        <v>45267.561875</v>
      </c>
      <c r="H3039" s="23">
        <v>63.2</v>
      </c>
      <c r="I3039" s="23">
        <v>0</v>
      </c>
      <c r="J3039" s="24">
        <v>0</v>
      </c>
      <c r="K3039" s="21">
        <v>0</v>
      </c>
      <c r="L3039" s="21">
        <v>0</v>
      </c>
      <c r="M3039" s="21">
        <f>COUNTIF($A$2:$A$5481,A3039)</f>
        <v>2</v>
      </c>
      <c r="N3039" s="24">
        <f t="shared" si="47"/>
        <v>0.0003039</v>
      </c>
    </row>
    <row r="3040" spans="1:14">
      <c r="A3040" s="21" t="s">
        <v>3115</v>
      </c>
      <c r="B3040" s="21" t="s">
        <v>920</v>
      </c>
      <c r="C3040" s="21" t="s">
        <v>26</v>
      </c>
      <c r="D3040" s="21" t="s">
        <v>921</v>
      </c>
      <c r="E3040" s="21">
        <v>0</v>
      </c>
      <c r="F3040" s="22">
        <v>45631.8013194444</v>
      </c>
      <c r="G3040" s="22">
        <v>45632.4868865741</v>
      </c>
      <c r="H3040" s="23">
        <v>27</v>
      </c>
      <c r="I3040" s="23">
        <v>27</v>
      </c>
      <c r="J3040" s="24">
        <v>0</v>
      </c>
      <c r="K3040" s="21">
        <v>0</v>
      </c>
      <c r="L3040" s="21">
        <v>0</v>
      </c>
      <c r="M3040" s="21">
        <f>COUNTIF($A$2:$A$5481,A3040)</f>
        <v>2</v>
      </c>
      <c r="N3040" s="24">
        <f t="shared" si="47"/>
        <v>0.000304</v>
      </c>
    </row>
    <row r="3041" spans="1:14">
      <c r="A3041" s="21" t="s">
        <v>3116</v>
      </c>
      <c r="B3041" s="21" t="s">
        <v>920</v>
      </c>
      <c r="C3041" s="21" t="s">
        <v>26</v>
      </c>
      <c r="D3041" s="21" t="s">
        <v>921</v>
      </c>
      <c r="E3041" s="21">
        <v>2</v>
      </c>
      <c r="F3041" s="22">
        <v>45555.8162962963</v>
      </c>
      <c r="G3041" s="22"/>
      <c r="H3041" s="23">
        <v>96</v>
      </c>
      <c r="I3041" s="23">
        <v>48</v>
      </c>
      <c r="J3041" s="24">
        <v>96</v>
      </c>
      <c r="K3041" s="21">
        <v>0</v>
      </c>
      <c r="L3041" s="21">
        <v>0</v>
      </c>
      <c r="M3041" s="21">
        <f>COUNTIF($A$2:$A$5481,A3041)</f>
        <v>1</v>
      </c>
      <c r="N3041" s="24">
        <f t="shared" si="47"/>
        <v>96.0003041</v>
      </c>
    </row>
    <row r="3042" spans="1:14">
      <c r="A3042" s="21" t="s">
        <v>209</v>
      </c>
      <c r="B3042" s="21" t="s">
        <v>920</v>
      </c>
      <c r="C3042" s="21" t="s">
        <v>35</v>
      </c>
      <c r="D3042" s="21" t="s">
        <v>921</v>
      </c>
      <c r="E3042" s="21">
        <v>7</v>
      </c>
      <c r="F3042" s="22">
        <v>46227.6493055556</v>
      </c>
      <c r="G3042" s="22">
        <v>46266.6588310185</v>
      </c>
      <c r="H3042" s="23">
        <v>570</v>
      </c>
      <c r="I3042" s="23">
        <v>90.7</v>
      </c>
      <c r="J3042" s="24">
        <v>634.9</v>
      </c>
      <c r="K3042" s="21">
        <v>0</v>
      </c>
      <c r="L3042" s="21">
        <v>0</v>
      </c>
      <c r="M3042" s="21">
        <f>COUNTIF($A$2:$A$5481,A3042)</f>
        <v>1</v>
      </c>
      <c r="N3042" s="24">
        <f t="shared" si="47"/>
        <v>634.9003042</v>
      </c>
    </row>
    <row r="3043" spans="1:14">
      <c r="A3043" s="21" t="s">
        <v>3117</v>
      </c>
      <c r="B3043" s="21" t="s">
        <v>920</v>
      </c>
      <c r="C3043" s="21" t="s">
        <v>35</v>
      </c>
      <c r="D3043" s="21" t="s">
        <v>921</v>
      </c>
      <c r="E3043" s="21">
        <v>0</v>
      </c>
      <c r="F3043" s="22">
        <v>45359.4277777778</v>
      </c>
      <c r="G3043" s="22">
        <v>45366.4650231482</v>
      </c>
      <c r="H3043" s="23">
        <v>22</v>
      </c>
      <c r="I3043" s="23">
        <v>22</v>
      </c>
      <c r="J3043" s="24">
        <v>0</v>
      </c>
      <c r="K3043" s="21">
        <v>0</v>
      </c>
      <c r="L3043" s="21">
        <v>0</v>
      </c>
      <c r="M3043" s="21">
        <f>COUNTIF($A$2:$A$5481,A3043)</f>
        <v>1</v>
      </c>
      <c r="N3043" s="24">
        <f t="shared" si="47"/>
        <v>0.0003043</v>
      </c>
    </row>
    <row r="3044" spans="1:14">
      <c r="A3044" s="21" t="s">
        <v>3118</v>
      </c>
      <c r="B3044" s="21" t="s">
        <v>1510</v>
      </c>
      <c r="C3044" s="21" t="s">
        <v>390</v>
      </c>
      <c r="D3044" s="21" t="s">
        <v>931</v>
      </c>
      <c r="E3044" s="21">
        <v>1</v>
      </c>
      <c r="F3044" s="22">
        <v>45726.4181018519</v>
      </c>
      <c r="G3044" s="22"/>
      <c r="H3044" s="23">
        <v>300</v>
      </c>
      <c r="I3044" s="23">
        <v>300</v>
      </c>
      <c r="J3044" s="24">
        <v>300</v>
      </c>
      <c r="K3044" s="21">
        <v>0</v>
      </c>
      <c r="L3044" s="21">
        <v>0</v>
      </c>
      <c r="M3044" s="21">
        <f>COUNTIF($A$2:$A$5481,A3044)</f>
        <v>2</v>
      </c>
      <c r="N3044" s="24">
        <f t="shared" si="47"/>
        <v>300.0003044</v>
      </c>
    </row>
    <row r="3045" spans="1:14">
      <c r="A3045" s="21" t="s">
        <v>3118</v>
      </c>
      <c r="B3045" s="21" t="s">
        <v>1510</v>
      </c>
      <c r="C3045" s="21" t="s">
        <v>414</v>
      </c>
      <c r="D3045" s="21" t="s">
        <v>931</v>
      </c>
      <c r="E3045" s="21">
        <v>1</v>
      </c>
      <c r="F3045" s="22">
        <v>46009.667974537</v>
      </c>
      <c r="G3045" s="22"/>
      <c r="H3045" s="23">
        <v>365</v>
      </c>
      <c r="I3045" s="23">
        <v>365</v>
      </c>
      <c r="J3045" s="24">
        <v>365</v>
      </c>
      <c r="K3045" s="21">
        <v>0</v>
      </c>
      <c r="L3045" s="21">
        <v>0</v>
      </c>
      <c r="M3045" s="21">
        <f>COUNTIF($A$2:$A$5481,A3045)</f>
        <v>2</v>
      </c>
      <c r="N3045" s="24">
        <f t="shared" si="47"/>
        <v>365.0003045</v>
      </c>
    </row>
    <row r="3046" spans="1:14">
      <c r="A3046" s="21" t="s">
        <v>3119</v>
      </c>
      <c r="B3046" s="21" t="s">
        <v>920</v>
      </c>
      <c r="C3046" s="21" t="s">
        <v>35</v>
      </c>
      <c r="D3046" s="21" t="s">
        <v>921</v>
      </c>
      <c r="E3046" s="21">
        <v>0</v>
      </c>
      <c r="F3046" s="22">
        <v>45271.725</v>
      </c>
      <c r="G3046" s="22">
        <v>45623.4471180556</v>
      </c>
      <c r="H3046" s="23">
        <v>228</v>
      </c>
      <c r="I3046" s="23">
        <v>76</v>
      </c>
      <c r="J3046" s="24">
        <v>0</v>
      </c>
      <c r="K3046" s="21">
        <v>0</v>
      </c>
      <c r="L3046" s="21">
        <v>0</v>
      </c>
      <c r="M3046" s="21">
        <f>COUNTIF($A$2:$A$5481,A3046)</f>
        <v>1</v>
      </c>
      <c r="N3046" s="24">
        <f t="shared" si="47"/>
        <v>0.0003046</v>
      </c>
    </row>
    <row r="3047" spans="1:14">
      <c r="A3047" s="21" t="s">
        <v>3120</v>
      </c>
      <c r="B3047" s="21" t="s">
        <v>920</v>
      </c>
      <c r="C3047" s="21" t="s">
        <v>35</v>
      </c>
      <c r="D3047" s="21" t="s">
        <v>921</v>
      </c>
      <c r="E3047" s="21">
        <v>0</v>
      </c>
      <c r="F3047" s="22">
        <v>45748.8027083333</v>
      </c>
      <c r="G3047" s="22">
        <v>45883.3823958333</v>
      </c>
      <c r="H3047" s="23">
        <v>1644</v>
      </c>
      <c r="I3047" s="23">
        <v>822</v>
      </c>
      <c r="J3047" s="24">
        <v>0</v>
      </c>
      <c r="K3047" s="21">
        <v>0</v>
      </c>
      <c r="L3047" s="21">
        <v>0</v>
      </c>
      <c r="M3047" s="21">
        <f>COUNTIF($A$2:$A$5481,A3047)</f>
        <v>1</v>
      </c>
      <c r="N3047" s="24">
        <f t="shared" si="47"/>
        <v>0.0003047</v>
      </c>
    </row>
    <row r="3048" spans="1:14">
      <c r="A3048" s="21" t="s">
        <v>3121</v>
      </c>
      <c r="B3048" s="21" t="s">
        <v>1352</v>
      </c>
      <c r="C3048" s="21" t="s">
        <v>51</v>
      </c>
      <c r="D3048" s="21" t="s">
        <v>921</v>
      </c>
      <c r="E3048" s="21">
        <v>3</v>
      </c>
      <c r="F3048" s="22">
        <v>46051.5738773148</v>
      </c>
      <c r="G3048" s="22"/>
      <c r="H3048" s="23">
        <v>2055.54</v>
      </c>
      <c r="I3048" s="23">
        <v>685.18</v>
      </c>
      <c r="J3048" s="24">
        <v>2055.54</v>
      </c>
      <c r="K3048" s="21">
        <v>0</v>
      </c>
      <c r="L3048" s="21">
        <v>0</v>
      </c>
      <c r="M3048" s="21">
        <f>COUNTIF($A$2:$A$5481,A3048)</f>
        <v>1</v>
      </c>
      <c r="N3048" s="24">
        <f t="shared" si="47"/>
        <v>2055.5403048</v>
      </c>
    </row>
    <row r="3049" spans="1:14">
      <c r="A3049" s="21" t="s">
        <v>751</v>
      </c>
      <c r="B3049" s="21" t="s">
        <v>929</v>
      </c>
      <c r="C3049" s="21" t="s">
        <v>26</v>
      </c>
      <c r="D3049" s="21" t="s">
        <v>921</v>
      </c>
      <c r="E3049" s="21">
        <v>0</v>
      </c>
      <c r="F3049" s="22">
        <v>45589.6138888889</v>
      </c>
      <c r="G3049" s="22">
        <v>46252.6094907407</v>
      </c>
      <c r="H3049" s="23">
        <v>260</v>
      </c>
      <c r="I3049" s="23">
        <v>65</v>
      </c>
      <c r="J3049" s="24">
        <v>0</v>
      </c>
      <c r="K3049" s="21">
        <v>0</v>
      </c>
      <c r="L3049" s="21">
        <v>0</v>
      </c>
      <c r="M3049" s="21">
        <f>COUNTIF($A$2:$A$5481,A3049)</f>
        <v>1</v>
      </c>
      <c r="N3049" s="24">
        <f t="shared" si="47"/>
        <v>0.0003049</v>
      </c>
    </row>
    <row r="3050" spans="1:14">
      <c r="A3050" s="21" t="s">
        <v>3122</v>
      </c>
      <c r="B3050" s="21" t="s">
        <v>920</v>
      </c>
      <c r="C3050" s="21" t="s">
        <v>35</v>
      </c>
      <c r="D3050" s="21" t="s">
        <v>921</v>
      </c>
      <c r="E3050" s="21">
        <v>0</v>
      </c>
      <c r="F3050" s="22">
        <v>45278.7017939815</v>
      </c>
      <c r="G3050" s="22">
        <v>45323.4761805556</v>
      </c>
      <c r="H3050" s="23">
        <v>334</v>
      </c>
      <c r="I3050" s="23">
        <v>167</v>
      </c>
      <c r="J3050" s="24">
        <v>0</v>
      </c>
      <c r="K3050" s="21">
        <v>0</v>
      </c>
      <c r="L3050" s="21">
        <v>0</v>
      </c>
      <c r="M3050" s="21">
        <f>COUNTIF($A$2:$A$5481,A3050)</f>
        <v>1</v>
      </c>
      <c r="N3050" s="24">
        <f t="shared" si="47"/>
        <v>0.000305</v>
      </c>
    </row>
    <row r="3051" spans="1:14">
      <c r="A3051" s="21" t="s">
        <v>495</v>
      </c>
      <c r="B3051" s="21" t="s">
        <v>920</v>
      </c>
      <c r="C3051" s="21" t="s">
        <v>26</v>
      </c>
      <c r="D3051" s="21" t="s">
        <v>931</v>
      </c>
      <c r="E3051" s="21">
        <v>0</v>
      </c>
      <c r="F3051" s="22">
        <v>45740.6125810185</v>
      </c>
      <c r="G3051" s="22">
        <v>46231.3969444444</v>
      </c>
      <c r="H3051" s="23">
        <v>100</v>
      </c>
      <c r="I3051" s="23">
        <v>100</v>
      </c>
      <c r="J3051" s="24">
        <v>0</v>
      </c>
      <c r="K3051" s="21">
        <v>0</v>
      </c>
      <c r="L3051" s="21">
        <v>0</v>
      </c>
      <c r="M3051" s="21">
        <f>COUNTIF($A$2:$A$5481,A3051)</f>
        <v>1</v>
      </c>
      <c r="N3051" s="24">
        <f t="shared" si="47"/>
        <v>0.0003051</v>
      </c>
    </row>
    <row r="3052" spans="1:14">
      <c r="A3052" s="21" t="s">
        <v>49</v>
      </c>
      <c r="B3052" s="21" t="s">
        <v>920</v>
      </c>
      <c r="C3052" s="21" t="s">
        <v>35</v>
      </c>
      <c r="D3052" s="21" t="s">
        <v>921</v>
      </c>
      <c r="E3052" s="21">
        <v>4</v>
      </c>
      <c r="F3052" s="22">
        <v>46219.3555555556</v>
      </c>
      <c r="G3052" s="22">
        <v>46217.4429513889</v>
      </c>
      <c r="H3052" s="23">
        <v>1050</v>
      </c>
      <c r="I3052" s="23">
        <v>425.875</v>
      </c>
      <c r="J3052" s="24">
        <v>1703.52</v>
      </c>
      <c r="K3052" s="21">
        <v>0</v>
      </c>
      <c r="L3052" s="21">
        <v>0</v>
      </c>
      <c r="M3052" s="21">
        <f>COUNTIF($A$2:$A$5481,A3052)</f>
        <v>1</v>
      </c>
      <c r="N3052" s="24">
        <f t="shared" si="47"/>
        <v>1703.5203052</v>
      </c>
    </row>
    <row r="3053" spans="1:14">
      <c r="A3053" s="21" t="s">
        <v>3123</v>
      </c>
      <c r="B3053" s="21" t="s">
        <v>920</v>
      </c>
      <c r="C3053" s="21" t="s">
        <v>35</v>
      </c>
      <c r="D3053" s="21" t="s">
        <v>921</v>
      </c>
      <c r="E3053" s="21">
        <v>0</v>
      </c>
      <c r="F3053" s="22">
        <v>45359.4277777778</v>
      </c>
      <c r="G3053" s="22">
        <v>45366.465</v>
      </c>
      <c r="H3053" s="23">
        <v>95</v>
      </c>
      <c r="I3053" s="23">
        <v>95</v>
      </c>
      <c r="J3053" s="24">
        <v>0</v>
      </c>
      <c r="K3053" s="21">
        <v>0</v>
      </c>
      <c r="L3053" s="21">
        <v>0</v>
      </c>
      <c r="M3053" s="21">
        <f>COUNTIF($A$2:$A$5481,A3053)</f>
        <v>1</v>
      </c>
      <c r="N3053" s="24">
        <f t="shared" si="47"/>
        <v>0.0003053</v>
      </c>
    </row>
    <row r="3054" spans="1:14">
      <c r="A3054" s="21" t="s">
        <v>3124</v>
      </c>
      <c r="B3054" s="21" t="s">
        <v>920</v>
      </c>
      <c r="C3054" s="21" t="s">
        <v>26</v>
      </c>
      <c r="D3054" s="21" t="s">
        <v>921</v>
      </c>
      <c r="E3054" s="21">
        <v>0</v>
      </c>
      <c r="F3054" s="22">
        <v>45729.5507175926</v>
      </c>
      <c r="G3054" s="22">
        <v>45804.4224537037</v>
      </c>
      <c r="H3054" s="23">
        <v>118</v>
      </c>
      <c r="I3054" s="23">
        <v>59</v>
      </c>
      <c r="J3054" s="24">
        <v>0</v>
      </c>
      <c r="K3054" s="21">
        <v>0</v>
      </c>
      <c r="L3054" s="21">
        <v>0</v>
      </c>
      <c r="M3054" s="21">
        <f>COUNTIF($A$2:$A$5481,A3054)</f>
        <v>1</v>
      </c>
      <c r="N3054" s="24">
        <f t="shared" si="47"/>
        <v>0.0003054</v>
      </c>
    </row>
    <row r="3055" spans="1:14">
      <c r="A3055" s="21" t="s">
        <v>157</v>
      </c>
      <c r="B3055" s="21" t="s">
        <v>920</v>
      </c>
      <c r="C3055" s="21" t="s">
        <v>35</v>
      </c>
      <c r="D3055" s="21" t="s">
        <v>921</v>
      </c>
      <c r="E3055" s="21">
        <v>6</v>
      </c>
      <c r="F3055" s="22">
        <v>45979.3700925926</v>
      </c>
      <c r="G3055" s="22">
        <v>46266.5986226852</v>
      </c>
      <c r="H3055" s="23">
        <v>512</v>
      </c>
      <c r="I3055" s="23">
        <v>154.4725285714</v>
      </c>
      <c r="J3055" s="24">
        <v>926.82</v>
      </c>
      <c r="K3055" s="21">
        <v>0</v>
      </c>
      <c r="L3055" s="21">
        <v>0</v>
      </c>
      <c r="M3055" s="21">
        <f>COUNTIF($A$2:$A$5481,A3055)</f>
        <v>2</v>
      </c>
      <c r="N3055" s="24">
        <f t="shared" si="47"/>
        <v>926.8203055</v>
      </c>
    </row>
    <row r="3056" spans="1:14">
      <c r="A3056" s="21" t="s">
        <v>157</v>
      </c>
      <c r="B3056" s="21" t="s">
        <v>920</v>
      </c>
      <c r="C3056" s="21" t="s">
        <v>26</v>
      </c>
      <c r="D3056" s="21" t="s">
        <v>921</v>
      </c>
      <c r="E3056" s="21">
        <v>3</v>
      </c>
      <c r="F3056" s="22">
        <v>46098.3618055556</v>
      </c>
      <c r="G3056" s="22">
        <v>46162.6315625</v>
      </c>
      <c r="H3056" s="23">
        <v>686.5</v>
      </c>
      <c r="I3056" s="23">
        <v>137.3</v>
      </c>
      <c r="J3056" s="24">
        <v>411.9</v>
      </c>
      <c r="K3056" s="21">
        <v>0</v>
      </c>
      <c r="L3056" s="21">
        <v>0</v>
      </c>
      <c r="M3056" s="21">
        <f>COUNTIF($A$2:$A$5481,A3056)</f>
        <v>2</v>
      </c>
      <c r="N3056" s="24">
        <f t="shared" si="47"/>
        <v>411.9003056</v>
      </c>
    </row>
    <row r="3057" spans="1:14">
      <c r="A3057" s="21" t="s">
        <v>366</v>
      </c>
      <c r="B3057" s="21" t="s">
        <v>920</v>
      </c>
      <c r="C3057" s="21" t="s">
        <v>26</v>
      </c>
      <c r="D3057" s="21" t="s">
        <v>921</v>
      </c>
      <c r="E3057" s="21">
        <v>2</v>
      </c>
      <c r="F3057" s="22">
        <v>45404.6066666667</v>
      </c>
      <c r="G3057" s="22">
        <v>46196.6875</v>
      </c>
      <c r="H3057" s="23">
        <v>243.18</v>
      </c>
      <c r="I3057" s="23">
        <v>34.74</v>
      </c>
      <c r="J3057" s="24">
        <v>69.48</v>
      </c>
      <c r="K3057" s="21">
        <v>0</v>
      </c>
      <c r="L3057" s="21">
        <v>0</v>
      </c>
      <c r="M3057" s="21">
        <f>COUNTIF($A$2:$A$5481,A3057)</f>
        <v>1</v>
      </c>
      <c r="N3057" s="24">
        <f t="shared" si="47"/>
        <v>69.4803057</v>
      </c>
    </row>
    <row r="3058" spans="1:14">
      <c r="A3058" s="21" t="s">
        <v>3125</v>
      </c>
      <c r="B3058" s="21" t="s">
        <v>920</v>
      </c>
      <c r="C3058" s="21" t="s">
        <v>35</v>
      </c>
      <c r="D3058" s="21" t="s">
        <v>921</v>
      </c>
      <c r="E3058" s="21">
        <v>0</v>
      </c>
      <c r="F3058" s="22">
        <v>45314.5576388889</v>
      </c>
      <c r="G3058" s="22">
        <v>45532.7484606481</v>
      </c>
      <c r="H3058" s="23">
        <v>24</v>
      </c>
      <c r="I3058" s="23">
        <v>24</v>
      </c>
      <c r="J3058" s="24">
        <v>0</v>
      </c>
      <c r="K3058" s="21">
        <v>0</v>
      </c>
      <c r="L3058" s="21">
        <v>0</v>
      </c>
      <c r="M3058" s="21">
        <f>COUNTIF($A$2:$A$5481,A3058)</f>
        <v>2</v>
      </c>
      <c r="N3058" s="24">
        <f t="shared" si="47"/>
        <v>0.0003058</v>
      </c>
    </row>
    <row r="3059" spans="1:14">
      <c r="A3059" s="21" t="s">
        <v>3125</v>
      </c>
      <c r="B3059" s="21" t="s">
        <v>920</v>
      </c>
      <c r="C3059" s="21" t="s">
        <v>26</v>
      </c>
      <c r="D3059" s="21" t="s">
        <v>921</v>
      </c>
      <c r="E3059" s="21">
        <v>1</v>
      </c>
      <c r="F3059" s="22">
        <v>45534.5971643519</v>
      </c>
      <c r="G3059" s="22">
        <v>45813.394212963</v>
      </c>
      <c r="H3059" s="23">
        <v>1005</v>
      </c>
      <c r="I3059" s="23">
        <v>335</v>
      </c>
      <c r="J3059" s="24">
        <v>335</v>
      </c>
      <c r="K3059" s="21">
        <v>0</v>
      </c>
      <c r="L3059" s="21">
        <v>0</v>
      </c>
      <c r="M3059" s="21">
        <f>COUNTIF($A$2:$A$5481,A3059)</f>
        <v>2</v>
      </c>
      <c r="N3059" s="24">
        <f t="shared" si="47"/>
        <v>335.0003059</v>
      </c>
    </row>
    <row r="3060" spans="1:14">
      <c r="A3060" s="21" t="s">
        <v>3126</v>
      </c>
      <c r="B3060" s="21" t="s">
        <v>920</v>
      </c>
      <c r="C3060" s="21" t="s">
        <v>35</v>
      </c>
      <c r="D3060" s="21" t="s">
        <v>921</v>
      </c>
      <c r="E3060" s="21">
        <v>0</v>
      </c>
      <c r="F3060" s="22">
        <v>45278.7019907407</v>
      </c>
      <c r="G3060" s="22">
        <v>45359.3953240741</v>
      </c>
      <c r="H3060" s="23">
        <v>885</v>
      </c>
      <c r="I3060" s="23">
        <v>295</v>
      </c>
      <c r="J3060" s="24">
        <v>0</v>
      </c>
      <c r="K3060" s="21">
        <v>0</v>
      </c>
      <c r="L3060" s="21">
        <v>0</v>
      </c>
      <c r="M3060" s="21">
        <f>COUNTIF($A$2:$A$5481,A3060)</f>
        <v>1</v>
      </c>
      <c r="N3060" s="24">
        <f t="shared" si="47"/>
        <v>0.000306</v>
      </c>
    </row>
    <row r="3061" spans="1:14">
      <c r="A3061" s="21" t="s">
        <v>3127</v>
      </c>
      <c r="B3061" s="21" t="s">
        <v>920</v>
      </c>
      <c r="C3061" s="21" t="s">
        <v>26</v>
      </c>
      <c r="D3061" s="21" t="s">
        <v>921</v>
      </c>
      <c r="E3061" s="21">
        <v>0</v>
      </c>
      <c r="F3061" s="22">
        <v>45996.4045486111</v>
      </c>
      <c r="G3061" s="22">
        <v>45996.4089467593</v>
      </c>
      <c r="H3061" s="23">
        <v>250</v>
      </c>
      <c r="I3061" s="23">
        <v>250</v>
      </c>
      <c r="J3061" s="24">
        <v>0</v>
      </c>
      <c r="K3061" s="21">
        <v>0</v>
      </c>
      <c r="L3061" s="21">
        <v>0</v>
      </c>
      <c r="M3061" s="21">
        <f>COUNTIF($A$2:$A$5481,A3061)</f>
        <v>1</v>
      </c>
      <c r="N3061" s="24">
        <f t="shared" si="47"/>
        <v>0.0003061</v>
      </c>
    </row>
    <row r="3062" spans="1:14">
      <c r="A3062" s="21" t="s">
        <v>3128</v>
      </c>
      <c r="B3062" s="21" t="s">
        <v>920</v>
      </c>
      <c r="C3062" s="21" t="s">
        <v>26</v>
      </c>
      <c r="D3062" s="21" t="s">
        <v>931</v>
      </c>
      <c r="E3062" s="21">
        <v>1</v>
      </c>
      <c r="F3062" s="22">
        <v>45740.6125810185</v>
      </c>
      <c r="G3062" s="22"/>
      <c r="H3062" s="23">
        <v>120</v>
      </c>
      <c r="I3062" s="23">
        <v>120</v>
      </c>
      <c r="J3062" s="24">
        <v>120</v>
      </c>
      <c r="K3062" s="21">
        <v>0</v>
      </c>
      <c r="L3062" s="21">
        <v>0</v>
      </c>
      <c r="M3062" s="21">
        <f>COUNTIF($A$2:$A$5481,A3062)</f>
        <v>1</v>
      </c>
      <c r="N3062" s="24">
        <f t="shared" si="47"/>
        <v>120.0003062</v>
      </c>
    </row>
    <row r="3063" spans="1:14">
      <c r="A3063" s="21" t="s">
        <v>211</v>
      </c>
      <c r="B3063" s="21" t="s">
        <v>920</v>
      </c>
      <c r="C3063" s="21" t="s">
        <v>35</v>
      </c>
      <c r="D3063" s="21" t="s">
        <v>921</v>
      </c>
      <c r="E3063" s="21">
        <v>9</v>
      </c>
      <c r="F3063" s="22">
        <v>46227.6493055556</v>
      </c>
      <c r="G3063" s="22">
        <v>46266.6587962963</v>
      </c>
      <c r="H3063" s="23">
        <v>580</v>
      </c>
      <c r="I3063" s="23">
        <v>142.4872135</v>
      </c>
      <c r="J3063" s="24">
        <v>1282.41</v>
      </c>
      <c r="K3063" s="21">
        <v>0</v>
      </c>
      <c r="L3063" s="21">
        <v>0</v>
      </c>
      <c r="M3063" s="21">
        <f>COUNTIF($A$2:$A$5481,A3063)</f>
        <v>1</v>
      </c>
      <c r="N3063" s="24">
        <f t="shared" si="47"/>
        <v>1282.4103063</v>
      </c>
    </row>
    <row r="3064" spans="1:14">
      <c r="A3064" s="21" t="s">
        <v>3129</v>
      </c>
      <c r="B3064" s="21" t="s">
        <v>920</v>
      </c>
      <c r="C3064" s="21" t="s">
        <v>35</v>
      </c>
      <c r="D3064" s="21" t="s">
        <v>921</v>
      </c>
      <c r="E3064" s="21">
        <v>3</v>
      </c>
      <c r="F3064" s="22">
        <v>45271.725</v>
      </c>
      <c r="G3064" s="22"/>
      <c r="H3064" s="23">
        <v>405</v>
      </c>
      <c r="I3064" s="23">
        <v>135</v>
      </c>
      <c r="J3064" s="24">
        <v>405</v>
      </c>
      <c r="K3064" s="21">
        <v>0</v>
      </c>
      <c r="L3064" s="21">
        <v>0</v>
      </c>
      <c r="M3064" s="21">
        <f>COUNTIF($A$2:$A$5481,A3064)</f>
        <v>1</v>
      </c>
      <c r="N3064" s="24">
        <f t="shared" si="47"/>
        <v>405.0003064</v>
      </c>
    </row>
    <row r="3065" spans="1:14">
      <c r="A3065" s="21" t="s">
        <v>278</v>
      </c>
      <c r="B3065" s="21" t="s">
        <v>920</v>
      </c>
      <c r="C3065" s="21" t="s">
        <v>26</v>
      </c>
      <c r="D3065" s="21" t="s">
        <v>921</v>
      </c>
      <c r="E3065" s="21">
        <v>0</v>
      </c>
      <c r="F3065" s="22">
        <v>46000.5556597222</v>
      </c>
      <c r="G3065" s="22">
        <v>46020.5614814815</v>
      </c>
      <c r="H3065" s="23">
        <v>113.92</v>
      </c>
      <c r="I3065" s="23">
        <v>113.92</v>
      </c>
      <c r="J3065" s="24">
        <v>0</v>
      </c>
      <c r="K3065" s="21">
        <v>0</v>
      </c>
      <c r="L3065" s="21">
        <v>0</v>
      </c>
      <c r="M3065" s="21">
        <f>COUNTIF($A$2:$A$5481,A3065)</f>
        <v>2</v>
      </c>
      <c r="N3065" s="24">
        <f t="shared" si="47"/>
        <v>0.0003065</v>
      </c>
    </row>
    <row r="3066" spans="1:14">
      <c r="A3066" s="21" t="s">
        <v>278</v>
      </c>
      <c r="B3066" s="21" t="s">
        <v>920</v>
      </c>
      <c r="C3066" s="21" t="s">
        <v>35</v>
      </c>
      <c r="D3066" s="21" t="s">
        <v>921</v>
      </c>
      <c r="E3066" s="21">
        <v>4</v>
      </c>
      <c r="F3066" s="22">
        <v>46231.5541666667</v>
      </c>
      <c r="G3066" s="22">
        <v>46240.6714351852</v>
      </c>
      <c r="H3066" s="23">
        <v>620</v>
      </c>
      <c r="I3066" s="23">
        <v>155.4768888889</v>
      </c>
      <c r="J3066" s="24">
        <v>621.92</v>
      </c>
      <c r="K3066" s="21">
        <v>0</v>
      </c>
      <c r="L3066" s="21">
        <v>0</v>
      </c>
      <c r="M3066" s="21">
        <f>COUNTIF($A$2:$A$5481,A3066)</f>
        <v>2</v>
      </c>
      <c r="N3066" s="24">
        <f t="shared" si="47"/>
        <v>621.9203066</v>
      </c>
    </row>
    <row r="3067" spans="1:14">
      <c r="A3067" s="21" t="s">
        <v>3130</v>
      </c>
      <c r="B3067" s="21" t="s">
        <v>920</v>
      </c>
      <c r="C3067" s="21" t="s">
        <v>26</v>
      </c>
      <c r="D3067" s="21" t="s">
        <v>931</v>
      </c>
      <c r="E3067" s="21">
        <v>0</v>
      </c>
      <c r="F3067" s="22">
        <v>45404.6143518519</v>
      </c>
      <c r="G3067" s="22">
        <v>45404.8419097222</v>
      </c>
      <c r="H3067" s="23">
        <v>42</v>
      </c>
      <c r="I3067" s="23">
        <v>42</v>
      </c>
      <c r="J3067" s="24">
        <v>0</v>
      </c>
      <c r="K3067" s="21">
        <v>0</v>
      </c>
      <c r="L3067" s="21">
        <v>0</v>
      </c>
      <c r="M3067" s="21">
        <f>COUNTIF($A$2:$A$5481,A3067)</f>
        <v>1</v>
      </c>
      <c r="N3067" s="24">
        <f t="shared" si="47"/>
        <v>0.0003067</v>
      </c>
    </row>
    <row r="3068" spans="1:14">
      <c r="A3068" s="21" t="s">
        <v>526</v>
      </c>
      <c r="B3068" s="21" t="s">
        <v>920</v>
      </c>
      <c r="C3068" s="21" t="s">
        <v>26</v>
      </c>
      <c r="D3068" s="21" t="s">
        <v>921</v>
      </c>
      <c r="E3068" s="21">
        <v>0</v>
      </c>
      <c r="F3068" s="22">
        <v>46241.5634490741</v>
      </c>
      <c r="G3068" s="22">
        <v>46245.6621990741</v>
      </c>
      <c r="H3068" s="23">
        <v>20</v>
      </c>
      <c r="I3068" s="23">
        <v>20</v>
      </c>
      <c r="J3068" s="24">
        <v>0</v>
      </c>
      <c r="K3068" s="21">
        <v>0</v>
      </c>
      <c r="L3068" s="21">
        <v>0</v>
      </c>
      <c r="M3068" s="21">
        <f>COUNTIF($A$2:$A$5481,A3068)</f>
        <v>1</v>
      </c>
      <c r="N3068" s="24">
        <f t="shared" si="47"/>
        <v>0.0003068</v>
      </c>
    </row>
    <row r="3069" spans="1:14">
      <c r="A3069" s="21" t="s">
        <v>3131</v>
      </c>
      <c r="B3069" s="21" t="s">
        <v>920</v>
      </c>
      <c r="C3069" s="21" t="s">
        <v>35</v>
      </c>
      <c r="D3069" s="21" t="s">
        <v>921</v>
      </c>
      <c r="E3069" s="21">
        <v>0</v>
      </c>
      <c r="F3069" s="22">
        <v>45267.5891319444</v>
      </c>
      <c r="G3069" s="22">
        <v>45267.5618981482</v>
      </c>
      <c r="H3069" s="23">
        <v>218</v>
      </c>
      <c r="I3069" s="23">
        <v>0</v>
      </c>
      <c r="J3069" s="24">
        <v>0</v>
      </c>
      <c r="K3069" s="21">
        <v>0</v>
      </c>
      <c r="L3069" s="21">
        <v>0</v>
      </c>
      <c r="M3069" s="21">
        <f>COUNTIF($A$2:$A$5481,A3069)</f>
        <v>1</v>
      </c>
      <c r="N3069" s="24">
        <f t="shared" si="47"/>
        <v>0.0003069</v>
      </c>
    </row>
    <row r="3070" spans="1:14">
      <c r="A3070" s="21" t="s">
        <v>3132</v>
      </c>
      <c r="B3070" s="21" t="s">
        <v>920</v>
      </c>
      <c r="C3070" s="21" t="s">
        <v>35</v>
      </c>
      <c r="D3070" s="21" t="s">
        <v>921</v>
      </c>
      <c r="E3070" s="21">
        <v>0</v>
      </c>
      <c r="F3070" s="22">
        <v>45359.4763888889</v>
      </c>
      <c r="G3070" s="22">
        <v>45483.4479513889</v>
      </c>
      <c r="H3070" s="23">
        <v>81</v>
      </c>
      <c r="I3070" s="23">
        <v>81</v>
      </c>
      <c r="J3070" s="24">
        <v>0</v>
      </c>
      <c r="K3070" s="21">
        <v>0</v>
      </c>
      <c r="L3070" s="21">
        <v>0</v>
      </c>
      <c r="M3070" s="21">
        <f>COUNTIF($A$2:$A$5481,A3070)</f>
        <v>1</v>
      </c>
      <c r="N3070" s="24">
        <f t="shared" si="47"/>
        <v>0.000307</v>
      </c>
    </row>
    <row r="3071" spans="1:14">
      <c r="A3071" s="21" t="s">
        <v>3133</v>
      </c>
      <c r="B3071" s="21" t="s">
        <v>920</v>
      </c>
      <c r="C3071" s="21" t="s">
        <v>26</v>
      </c>
      <c r="D3071" s="21" t="s">
        <v>921</v>
      </c>
      <c r="E3071" s="21">
        <v>1</v>
      </c>
      <c r="F3071" s="22">
        <v>45555.8162962963</v>
      </c>
      <c r="G3071" s="22">
        <v>45632.4868981482</v>
      </c>
      <c r="H3071" s="23">
        <v>130</v>
      </c>
      <c r="I3071" s="23">
        <v>65</v>
      </c>
      <c r="J3071" s="24">
        <v>65</v>
      </c>
      <c r="K3071" s="21">
        <v>0</v>
      </c>
      <c r="L3071" s="21">
        <v>0</v>
      </c>
      <c r="M3071" s="21">
        <f>COUNTIF($A$2:$A$5481,A3071)</f>
        <v>1</v>
      </c>
      <c r="N3071" s="24">
        <f t="shared" si="47"/>
        <v>65.0003071</v>
      </c>
    </row>
    <row r="3072" spans="1:14">
      <c r="A3072" s="21" t="s">
        <v>3134</v>
      </c>
      <c r="B3072" s="21" t="s">
        <v>920</v>
      </c>
      <c r="C3072" s="21" t="s">
        <v>35</v>
      </c>
      <c r="D3072" s="21" t="s">
        <v>921</v>
      </c>
      <c r="E3072" s="21">
        <v>5</v>
      </c>
      <c r="F3072" s="22">
        <v>45307.7755324074</v>
      </c>
      <c r="G3072" s="22">
        <v>45846.3806134259</v>
      </c>
      <c r="H3072" s="23">
        <v>2400</v>
      </c>
      <c r="I3072" s="23">
        <v>240</v>
      </c>
      <c r="J3072" s="24">
        <v>1200</v>
      </c>
      <c r="K3072" s="21">
        <v>0</v>
      </c>
      <c r="L3072" s="21">
        <v>0</v>
      </c>
      <c r="M3072" s="21">
        <f>COUNTIF($A$2:$A$5481,A3072)</f>
        <v>1</v>
      </c>
      <c r="N3072" s="24">
        <f t="shared" si="47"/>
        <v>1200.0003072</v>
      </c>
    </row>
    <row r="3073" spans="1:14">
      <c r="A3073" s="21" t="s">
        <v>158</v>
      </c>
      <c r="B3073" s="21" t="s">
        <v>920</v>
      </c>
      <c r="C3073" s="21" t="s">
        <v>26</v>
      </c>
      <c r="D3073" s="21" t="s">
        <v>921</v>
      </c>
      <c r="E3073" s="21">
        <v>0</v>
      </c>
      <c r="F3073" s="22">
        <v>45608.3592708333</v>
      </c>
      <c r="G3073" s="22">
        <v>45789.4239467593</v>
      </c>
      <c r="H3073" s="23">
        <v>915</v>
      </c>
      <c r="I3073" s="23">
        <v>0</v>
      </c>
      <c r="J3073" s="24">
        <v>0</v>
      </c>
      <c r="K3073" s="21">
        <v>0</v>
      </c>
      <c r="L3073" s="21">
        <v>0</v>
      </c>
      <c r="M3073" s="21">
        <f>COUNTIF($A$2:$A$5481,A3073)</f>
        <v>2</v>
      </c>
      <c r="N3073" s="24">
        <f t="shared" si="47"/>
        <v>0.0003073</v>
      </c>
    </row>
    <row r="3074" spans="1:14">
      <c r="A3074" s="21" t="s">
        <v>158</v>
      </c>
      <c r="B3074" s="21" t="s">
        <v>920</v>
      </c>
      <c r="C3074" s="21" t="s">
        <v>35</v>
      </c>
      <c r="D3074" s="21" t="s">
        <v>921</v>
      </c>
      <c r="E3074" s="21">
        <v>3</v>
      </c>
      <c r="F3074" s="22">
        <v>45979.3700925926</v>
      </c>
      <c r="G3074" s="22">
        <v>46267.3801041667</v>
      </c>
      <c r="H3074" s="23">
        <v>1320</v>
      </c>
      <c r="I3074" s="23">
        <v>314</v>
      </c>
      <c r="J3074" s="24">
        <v>942</v>
      </c>
      <c r="K3074" s="21">
        <v>0</v>
      </c>
      <c r="L3074" s="21">
        <v>0</v>
      </c>
      <c r="M3074" s="21">
        <f>COUNTIF($A$2:$A$5481,A3074)</f>
        <v>2</v>
      </c>
      <c r="N3074" s="24">
        <f t="shared" ref="N3074:N3137" si="48">J3074+ROW()/10000000</f>
        <v>942.0003074</v>
      </c>
    </row>
    <row r="3075" spans="1:14">
      <c r="A3075" s="21" t="s">
        <v>291</v>
      </c>
      <c r="B3075" s="21" t="s">
        <v>920</v>
      </c>
      <c r="C3075" s="21" t="s">
        <v>26</v>
      </c>
      <c r="D3075" s="21" t="s">
        <v>921</v>
      </c>
      <c r="E3075" s="21">
        <v>0</v>
      </c>
      <c r="F3075" s="22">
        <v>46083.61125</v>
      </c>
      <c r="G3075" s="22">
        <v>46085.4115277778</v>
      </c>
      <c r="H3075" s="23">
        <v>234</v>
      </c>
      <c r="I3075" s="23">
        <v>234</v>
      </c>
      <c r="J3075" s="24">
        <v>0</v>
      </c>
      <c r="K3075" s="21">
        <v>0</v>
      </c>
      <c r="L3075" s="21">
        <v>0</v>
      </c>
      <c r="M3075" s="21">
        <f>COUNTIF($A$2:$A$5481,A3075)</f>
        <v>1</v>
      </c>
      <c r="N3075" s="24">
        <f t="shared" si="48"/>
        <v>0.0003075</v>
      </c>
    </row>
    <row r="3076" spans="1:14">
      <c r="A3076" s="21" t="s">
        <v>3135</v>
      </c>
      <c r="B3076" s="21" t="s">
        <v>920</v>
      </c>
      <c r="C3076" s="21" t="s">
        <v>26</v>
      </c>
      <c r="D3076" s="21" t="s">
        <v>921</v>
      </c>
      <c r="E3076" s="21">
        <v>2</v>
      </c>
      <c r="F3076" s="22">
        <v>46171.6664467593</v>
      </c>
      <c r="G3076" s="22"/>
      <c r="H3076" s="23">
        <v>54</v>
      </c>
      <c r="I3076" s="23">
        <v>27</v>
      </c>
      <c r="J3076" s="24">
        <v>54</v>
      </c>
      <c r="K3076" s="21">
        <v>0</v>
      </c>
      <c r="L3076" s="21">
        <v>0</v>
      </c>
      <c r="M3076" s="21">
        <f>COUNTIF($A$2:$A$5481,A3076)</f>
        <v>1</v>
      </c>
      <c r="N3076" s="24">
        <f t="shared" si="48"/>
        <v>54.0003076</v>
      </c>
    </row>
    <row r="3077" spans="1:14">
      <c r="A3077" s="21" t="s">
        <v>3136</v>
      </c>
      <c r="B3077" s="21" t="s">
        <v>920</v>
      </c>
      <c r="C3077" s="21" t="s">
        <v>26</v>
      </c>
      <c r="D3077" s="21" t="s">
        <v>921</v>
      </c>
      <c r="E3077" s="21">
        <v>2</v>
      </c>
      <c r="F3077" s="22">
        <v>45692.6235763889</v>
      </c>
      <c r="G3077" s="22">
        <v>45692.6242939815</v>
      </c>
      <c r="H3077" s="23">
        <v>345</v>
      </c>
      <c r="I3077" s="23">
        <v>115</v>
      </c>
      <c r="J3077" s="24">
        <v>230</v>
      </c>
      <c r="K3077" s="21">
        <v>0</v>
      </c>
      <c r="L3077" s="21">
        <v>0</v>
      </c>
      <c r="M3077" s="21">
        <f>COUNTIF($A$2:$A$5481,A3077)</f>
        <v>1</v>
      </c>
      <c r="N3077" s="24">
        <f t="shared" si="48"/>
        <v>230.0003077</v>
      </c>
    </row>
    <row r="3078" spans="1:14">
      <c r="A3078" s="21" t="s">
        <v>3137</v>
      </c>
      <c r="B3078" s="21" t="s">
        <v>920</v>
      </c>
      <c r="C3078" s="21" t="s">
        <v>26</v>
      </c>
      <c r="D3078" s="21" t="s">
        <v>921</v>
      </c>
      <c r="E3078" s="21">
        <v>1</v>
      </c>
      <c r="F3078" s="22">
        <v>45888.4077199074</v>
      </c>
      <c r="G3078" s="22"/>
      <c r="H3078" s="23">
        <v>69</v>
      </c>
      <c r="I3078" s="23">
        <v>69</v>
      </c>
      <c r="J3078" s="24">
        <v>69</v>
      </c>
      <c r="K3078" s="21">
        <v>0</v>
      </c>
      <c r="L3078" s="21">
        <v>0</v>
      </c>
      <c r="M3078" s="21">
        <f>COUNTIF($A$2:$A$5481,A3078)</f>
        <v>1</v>
      </c>
      <c r="N3078" s="24">
        <f t="shared" si="48"/>
        <v>69.0003078</v>
      </c>
    </row>
    <row r="3079" spans="1:14">
      <c r="A3079" s="21" t="s">
        <v>3138</v>
      </c>
      <c r="B3079" s="21" t="s">
        <v>920</v>
      </c>
      <c r="C3079" s="21" t="s">
        <v>26</v>
      </c>
      <c r="D3079" s="21" t="s">
        <v>921</v>
      </c>
      <c r="E3079" s="21">
        <v>1</v>
      </c>
      <c r="F3079" s="22">
        <v>46006.3785763889</v>
      </c>
      <c r="G3079" s="22"/>
      <c r="H3079" s="23">
        <v>15</v>
      </c>
      <c r="I3079" s="23">
        <v>15</v>
      </c>
      <c r="J3079" s="24">
        <v>15</v>
      </c>
      <c r="K3079" s="21">
        <v>0</v>
      </c>
      <c r="L3079" s="21">
        <v>0</v>
      </c>
      <c r="M3079" s="21">
        <f>COUNTIF($A$2:$A$5481,A3079)</f>
        <v>1</v>
      </c>
      <c r="N3079" s="24">
        <f t="shared" si="48"/>
        <v>15.0003079</v>
      </c>
    </row>
    <row r="3080" spans="1:14">
      <c r="A3080" s="21" t="s">
        <v>3139</v>
      </c>
      <c r="B3080" s="21" t="s">
        <v>920</v>
      </c>
      <c r="C3080" s="21" t="s">
        <v>35</v>
      </c>
      <c r="D3080" s="21" t="s">
        <v>921</v>
      </c>
      <c r="E3080" s="21">
        <v>1</v>
      </c>
      <c r="F3080" s="22">
        <v>45364.8329282407</v>
      </c>
      <c r="G3080" s="22">
        <v>45366.4650347222</v>
      </c>
      <c r="H3080" s="23">
        <v>59.6</v>
      </c>
      <c r="I3080" s="23">
        <v>29.8</v>
      </c>
      <c r="J3080" s="24">
        <v>29.8</v>
      </c>
      <c r="K3080" s="21">
        <v>0</v>
      </c>
      <c r="L3080" s="21">
        <v>0</v>
      </c>
      <c r="M3080" s="21">
        <f>COUNTIF($A$2:$A$5481,A3080)</f>
        <v>1</v>
      </c>
      <c r="N3080" s="24">
        <f t="shared" si="48"/>
        <v>29.800308</v>
      </c>
    </row>
    <row r="3081" spans="1:14">
      <c r="A3081" s="21" t="s">
        <v>3140</v>
      </c>
      <c r="B3081" s="21" t="s">
        <v>920</v>
      </c>
      <c r="C3081" s="21" t="s">
        <v>26</v>
      </c>
      <c r="D3081" s="21" t="s">
        <v>921</v>
      </c>
      <c r="E3081" s="21">
        <v>0</v>
      </c>
      <c r="F3081" s="22">
        <v>45915.7017824074</v>
      </c>
      <c r="G3081" s="22">
        <v>45980.407650463</v>
      </c>
      <c r="H3081" s="23">
        <v>60</v>
      </c>
      <c r="I3081" s="23">
        <v>20</v>
      </c>
      <c r="J3081" s="24">
        <v>0</v>
      </c>
      <c r="K3081" s="21">
        <v>0</v>
      </c>
      <c r="L3081" s="21">
        <v>0</v>
      </c>
      <c r="M3081" s="21">
        <f>COUNTIF($A$2:$A$5481,A3081)</f>
        <v>1</v>
      </c>
      <c r="N3081" s="24">
        <f t="shared" si="48"/>
        <v>0.0003081</v>
      </c>
    </row>
    <row r="3082" spans="1:14">
      <c r="A3082" s="21" t="s">
        <v>3141</v>
      </c>
      <c r="B3082" s="21" t="s">
        <v>920</v>
      </c>
      <c r="C3082" s="21" t="s">
        <v>26</v>
      </c>
      <c r="D3082" s="21" t="s">
        <v>921</v>
      </c>
      <c r="E3082" s="21">
        <v>1</v>
      </c>
      <c r="F3082" s="22">
        <v>46020.4278125</v>
      </c>
      <c r="G3082" s="22"/>
      <c r="H3082" s="23">
        <v>20</v>
      </c>
      <c r="I3082" s="23">
        <v>20</v>
      </c>
      <c r="J3082" s="24">
        <v>20</v>
      </c>
      <c r="K3082" s="21">
        <v>0</v>
      </c>
      <c r="L3082" s="21">
        <v>0</v>
      </c>
      <c r="M3082" s="21">
        <f>COUNTIF($A$2:$A$5481,A3082)</f>
        <v>1</v>
      </c>
      <c r="N3082" s="24">
        <f t="shared" si="48"/>
        <v>20.0003082</v>
      </c>
    </row>
    <row r="3083" spans="1:14">
      <c r="A3083" s="21" t="s">
        <v>3142</v>
      </c>
      <c r="B3083" s="21" t="s">
        <v>920</v>
      </c>
      <c r="C3083" s="21" t="s">
        <v>26</v>
      </c>
      <c r="D3083" s="21" t="s">
        <v>921</v>
      </c>
      <c r="E3083" s="21">
        <v>0</v>
      </c>
      <c r="F3083" s="22">
        <v>46003.4075115741</v>
      </c>
      <c r="G3083" s="22">
        <v>46010.5729282407</v>
      </c>
      <c r="H3083" s="23">
        <v>28</v>
      </c>
      <c r="I3083" s="23">
        <v>28</v>
      </c>
      <c r="J3083" s="24">
        <v>0</v>
      </c>
      <c r="K3083" s="21">
        <v>0</v>
      </c>
      <c r="L3083" s="21">
        <v>0</v>
      </c>
      <c r="M3083" s="21">
        <f>COUNTIF($A$2:$A$5481,A3083)</f>
        <v>1</v>
      </c>
      <c r="N3083" s="24">
        <f t="shared" si="48"/>
        <v>0.0003083</v>
      </c>
    </row>
    <row r="3084" spans="1:14">
      <c r="A3084" s="21" t="s">
        <v>3143</v>
      </c>
      <c r="B3084" s="21" t="s">
        <v>920</v>
      </c>
      <c r="C3084" s="21" t="s">
        <v>35</v>
      </c>
      <c r="D3084" s="21" t="s">
        <v>921</v>
      </c>
      <c r="E3084" s="21">
        <v>2</v>
      </c>
      <c r="F3084" s="22">
        <v>45314.4555555556</v>
      </c>
      <c r="G3084" s="22"/>
      <c r="H3084" s="23">
        <v>130</v>
      </c>
      <c r="I3084" s="23">
        <v>65</v>
      </c>
      <c r="J3084" s="24">
        <v>130</v>
      </c>
      <c r="K3084" s="21">
        <v>0</v>
      </c>
      <c r="L3084" s="21">
        <v>0</v>
      </c>
      <c r="M3084" s="21">
        <f>COUNTIF($A$2:$A$5481,A3084)</f>
        <v>1</v>
      </c>
      <c r="N3084" s="24">
        <f t="shared" si="48"/>
        <v>130.0003084</v>
      </c>
    </row>
    <row r="3085" spans="1:14">
      <c r="A3085" s="21" t="s">
        <v>3144</v>
      </c>
      <c r="B3085" s="21" t="s">
        <v>920</v>
      </c>
      <c r="C3085" s="21" t="s">
        <v>26</v>
      </c>
      <c r="D3085" s="21" t="s">
        <v>921</v>
      </c>
      <c r="E3085" s="21">
        <v>2</v>
      </c>
      <c r="F3085" s="22">
        <v>46171.652650463</v>
      </c>
      <c r="G3085" s="22"/>
      <c r="H3085" s="23">
        <v>39.8</v>
      </c>
      <c r="I3085" s="23">
        <v>19.9</v>
      </c>
      <c r="J3085" s="24">
        <v>39.8</v>
      </c>
      <c r="K3085" s="21">
        <v>0</v>
      </c>
      <c r="L3085" s="21">
        <v>0</v>
      </c>
      <c r="M3085" s="21">
        <f>COUNTIF($A$2:$A$5481,A3085)</f>
        <v>1</v>
      </c>
      <c r="N3085" s="24">
        <f t="shared" si="48"/>
        <v>39.8003085</v>
      </c>
    </row>
    <row r="3086" spans="1:14">
      <c r="A3086" s="21" t="s">
        <v>3145</v>
      </c>
      <c r="B3086" s="21" t="s">
        <v>920</v>
      </c>
      <c r="C3086" s="21" t="s">
        <v>26</v>
      </c>
      <c r="D3086" s="21" t="s">
        <v>921</v>
      </c>
      <c r="E3086" s="21">
        <v>1</v>
      </c>
      <c r="F3086" s="22">
        <v>46171.652650463</v>
      </c>
      <c r="G3086" s="22"/>
      <c r="H3086" s="23">
        <v>15.9</v>
      </c>
      <c r="I3086" s="23">
        <v>15.9</v>
      </c>
      <c r="J3086" s="24">
        <v>15.9</v>
      </c>
      <c r="K3086" s="21">
        <v>0</v>
      </c>
      <c r="L3086" s="21">
        <v>0</v>
      </c>
      <c r="M3086" s="21">
        <f>COUNTIF($A$2:$A$5481,A3086)</f>
        <v>1</v>
      </c>
      <c r="N3086" s="24">
        <f t="shared" si="48"/>
        <v>15.9003086</v>
      </c>
    </row>
    <row r="3087" spans="1:14">
      <c r="A3087" s="21" t="s">
        <v>3146</v>
      </c>
      <c r="B3087" s="21" t="s">
        <v>26</v>
      </c>
      <c r="C3087" s="21" t="s">
        <v>26</v>
      </c>
      <c r="D3087" s="21" t="s">
        <v>921</v>
      </c>
      <c r="E3087" s="21">
        <v>4</v>
      </c>
      <c r="F3087" s="22">
        <v>46001.5578356482</v>
      </c>
      <c r="G3087" s="22"/>
      <c r="H3087" s="23">
        <v>13</v>
      </c>
      <c r="I3087" s="23">
        <v>12.5</v>
      </c>
      <c r="J3087" s="24">
        <v>50</v>
      </c>
      <c r="K3087" s="21">
        <v>0</v>
      </c>
      <c r="L3087" s="21">
        <v>0</v>
      </c>
      <c r="M3087" s="21">
        <f>COUNTIF($A$2:$A$5481,A3087)</f>
        <v>1</v>
      </c>
      <c r="N3087" s="24">
        <f t="shared" si="48"/>
        <v>50.0003087</v>
      </c>
    </row>
    <row r="3088" spans="1:14">
      <c r="A3088" s="21" t="s">
        <v>3147</v>
      </c>
      <c r="B3088" s="21" t="s">
        <v>920</v>
      </c>
      <c r="C3088" s="21" t="s">
        <v>26</v>
      </c>
      <c r="D3088" s="21" t="s">
        <v>921</v>
      </c>
      <c r="E3088" s="21">
        <v>1</v>
      </c>
      <c r="F3088" s="22">
        <v>45310.6805555556</v>
      </c>
      <c r="G3088" s="22"/>
      <c r="H3088" s="23">
        <v>11</v>
      </c>
      <c r="I3088" s="23">
        <v>11</v>
      </c>
      <c r="J3088" s="24">
        <v>11</v>
      </c>
      <c r="K3088" s="21">
        <v>0</v>
      </c>
      <c r="L3088" s="21">
        <v>0</v>
      </c>
      <c r="M3088" s="21">
        <f>COUNTIF($A$2:$A$5481,A3088)</f>
        <v>1</v>
      </c>
      <c r="N3088" s="24">
        <f t="shared" si="48"/>
        <v>11.0003088</v>
      </c>
    </row>
    <row r="3089" spans="1:14">
      <c r="A3089" s="21" t="s">
        <v>3148</v>
      </c>
      <c r="B3089" s="21" t="s">
        <v>920</v>
      </c>
      <c r="C3089" s="21" t="s">
        <v>26</v>
      </c>
      <c r="D3089" s="21" t="s">
        <v>931</v>
      </c>
      <c r="E3089" s="21">
        <v>1</v>
      </c>
      <c r="F3089" s="22">
        <v>45845.5654282407</v>
      </c>
      <c r="G3089" s="22">
        <v>45854.4273726852</v>
      </c>
      <c r="H3089" s="23">
        <v>58</v>
      </c>
      <c r="I3089" s="23">
        <v>58</v>
      </c>
      <c r="J3089" s="24">
        <v>58</v>
      </c>
      <c r="K3089" s="21">
        <v>0</v>
      </c>
      <c r="L3089" s="21">
        <v>0</v>
      </c>
      <c r="M3089" s="21">
        <f>COUNTIF($A$2:$A$5481,A3089)</f>
        <v>1</v>
      </c>
      <c r="N3089" s="24">
        <f t="shared" si="48"/>
        <v>58.0003089</v>
      </c>
    </row>
    <row r="3090" spans="1:14">
      <c r="A3090" s="21" t="s">
        <v>3149</v>
      </c>
      <c r="B3090" s="21" t="s">
        <v>929</v>
      </c>
      <c r="C3090" s="21" t="s">
        <v>35</v>
      </c>
      <c r="D3090" s="21" t="s">
        <v>921</v>
      </c>
      <c r="E3090" s="21">
        <v>1</v>
      </c>
      <c r="F3090" s="22">
        <v>45329.4507175926</v>
      </c>
      <c r="G3090" s="22"/>
      <c r="H3090" s="23">
        <v>308.99</v>
      </c>
      <c r="I3090" s="23">
        <v>308.99</v>
      </c>
      <c r="J3090" s="24">
        <v>308.99</v>
      </c>
      <c r="K3090" s="21">
        <v>0</v>
      </c>
      <c r="L3090" s="21">
        <v>0</v>
      </c>
      <c r="M3090" s="21">
        <f>COUNTIF($A$2:$A$5481,A3090)</f>
        <v>3</v>
      </c>
      <c r="N3090" s="24">
        <f t="shared" si="48"/>
        <v>308.990309</v>
      </c>
    </row>
    <row r="3091" spans="1:14">
      <c r="A3091" s="21" t="s">
        <v>3149</v>
      </c>
      <c r="B3091" s="21" t="s">
        <v>929</v>
      </c>
      <c r="C3091" s="21" t="s">
        <v>51</v>
      </c>
      <c r="D3091" s="21" t="s">
        <v>921</v>
      </c>
      <c r="E3091" s="21">
        <v>4</v>
      </c>
      <c r="F3091" s="22">
        <v>45663.7371064815</v>
      </c>
      <c r="G3091" s="22"/>
      <c r="H3091" s="23">
        <v>705.66</v>
      </c>
      <c r="I3091" s="23">
        <v>624.625</v>
      </c>
      <c r="J3091" s="24">
        <v>2498.52</v>
      </c>
      <c r="K3091" s="21">
        <v>0</v>
      </c>
      <c r="L3091" s="21">
        <v>0</v>
      </c>
      <c r="M3091" s="21">
        <f>COUNTIF($A$2:$A$5481,A3091)</f>
        <v>3</v>
      </c>
      <c r="N3091" s="24">
        <f t="shared" si="48"/>
        <v>2498.5203091</v>
      </c>
    </row>
    <row r="3092" spans="1:14">
      <c r="A3092" s="21" t="s">
        <v>3149</v>
      </c>
      <c r="B3092" s="21" t="s">
        <v>929</v>
      </c>
      <c r="C3092" s="21" t="s">
        <v>414</v>
      </c>
      <c r="D3092" s="21" t="s">
        <v>921</v>
      </c>
      <c r="E3092" s="21">
        <v>1</v>
      </c>
      <c r="F3092" s="22">
        <v>45803.4424305556</v>
      </c>
      <c r="G3092" s="22">
        <v>45819.4616203704</v>
      </c>
      <c r="H3092" s="23">
        <v>552.73</v>
      </c>
      <c r="I3092" s="23">
        <v>471.48333</v>
      </c>
      <c r="J3092" s="24">
        <v>471.48</v>
      </c>
      <c r="K3092" s="21">
        <v>0</v>
      </c>
      <c r="L3092" s="21">
        <v>0</v>
      </c>
      <c r="M3092" s="21">
        <f>COUNTIF($A$2:$A$5481,A3092)</f>
        <v>3</v>
      </c>
      <c r="N3092" s="24">
        <f t="shared" si="48"/>
        <v>471.4803092</v>
      </c>
    </row>
    <row r="3093" spans="1:14">
      <c r="A3093" s="21" t="s">
        <v>3150</v>
      </c>
      <c r="B3093" s="21" t="s">
        <v>929</v>
      </c>
      <c r="C3093" s="21" t="s">
        <v>35</v>
      </c>
      <c r="D3093" s="21" t="s">
        <v>921</v>
      </c>
      <c r="E3093" s="21">
        <v>1</v>
      </c>
      <c r="F3093" s="22">
        <v>45329.4507175926</v>
      </c>
      <c r="G3093" s="22"/>
      <c r="H3093" s="23">
        <v>169.12</v>
      </c>
      <c r="I3093" s="23">
        <v>169.12</v>
      </c>
      <c r="J3093" s="24">
        <v>169.12</v>
      </c>
      <c r="K3093" s="21">
        <v>0</v>
      </c>
      <c r="L3093" s="21">
        <v>0</v>
      </c>
      <c r="M3093" s="21">
        <f>COUNTIF($A$2:$A$5481,A3093)</f>
        <v>3</v>
      </c>
      <c r="N3093" s="24">
        <f t="shared" si="48"/>
        <v>169.1203093</v>
      </c>
    </row>
    <row r="3094" spans="1:14">
      <c r="A3094" s="21" t="s">
        <v>3150</v>
      </c>
      <c r="B3094" s="21" t="s">
        <v>929</v>
      </c>
      <c r="C3094" s="21" t="s">
        <v>51</v>
      </c>
      <c r="D3094" s="21" t="s">
        <v>921</v>
      </c>
      <c r="E3094" s="21">
        <v>4</v>
      </c>
      <c r="F3094" s="22">
        <v>45663.7371064815</v>
      </c>
      <c r="G3094" s="22"/>
      <c r="H3094" s="23">
        <v>386.29</v>
      </c>
      <c r="I3094" s="23">
        <v>341.935</v>
      </c>
      <c r="J3094" s="24">
        <v>1367.76</v>
      </c>
      <c r="K3094" s="21">
        <v>0</v>
      </c>
      <c r="L3094" s="21">
        <v>0</v>
      </c>
      <c r="M3094" s="21">
        <f>COUNTIF($A$2:$A$5481,A3094)</f>
        <v>3</v>
      </c>
      <c r="N3094" s="24">
        <f t="shared" si="48"/>
        <v>1367.7603094</v>
      </c>
    </row>
    <row r="3095" spans="1:14">
      <c r="A3095" s="21" t="s">
        <v>3150</v>
      </c>
      <c r="B3095" s="21" t="s">
        <v>929</v>
      </c>
      <c r="C3095" s="21" t="s">
        <v>414</v>
      </c>
      <c r="D3095" s="21" t="s">
        <v>921</v>
      </c>
      <c r="E3095" s="21">
        <v>2</v>
      </c>
      <c r="F3095" s="22">
        <v>45803.4424305556</v>
      </c>
      <c r="G3095" s="22">
        <v>45819.4616319445</v>
      </c>
      <c r="H3095" s="23">
        <v>302.58</v>
      </c>
      <c r="I3095" s="23">
        <v>235.85</v>
      </c>
      <c r="J3095" s="24">
        <v>471.7</v>
      </c>
      <c r="K3095" s="21">
        <v>0</v>
      </c>
      <c r="L3095" s="21">
        <v>0</v>
      </c>
      <c r="M3095" s="21">
        <f>COUNTIF($A$2:$A$5481,A3095)</f>
        <v>3</v>
      </c>
      <c r="N3095" s="24">
        <f t="shared" si="48"/>
        <v>471.7003095</v>
      </c>
    </row>
    <row r="3096" spans="1:14">
      <c r="A3096" s="21" t="s">
        <v>3151</v>
      </c>
      <c r="B3096" s="21" t="s">
        <v>929</v>
      </c>
      <c r="C3096" s="21" t="s">
        <v>35</v>
      </c>
      <c r="D3096" s="21" t="s">
        <v>921</v>
      </c>
      <c r="E3096" s="21">
        <v>2</v>
      </c>
      <c r="F3096" s="22">
        <v>45329.4507175926</v>
      </c>
      <c r="G3096" s="22"/>
      <c r="H3096" s="23">
        <v>838.86</v>
      </c>
      <c r="I3096" s="23">
        <v>419.43</v>
      </c>
      <c r="J3096" s="24">
        <v>838.86</v>
      </c>
      <c r="K3096" s="21">
        <v>0</v>
      </c>
      <c r="L3096" s="21">
        <v>0</v>
      </c>
      <c r="M3096" s="21">
        <f>COUNTIF($A$2:$A$5481,A3096)</f>
        <v>2</v>
      </c>
      <c r="N3096" s="24">
        <f t="shared" si="48"/>
        <v>838.8603096</v>
      </c>
    </row>
    <row r="3097" spans="1:14">
      <c r="A3097" s="21" t="s">
        <v>3151</v>
      </c>
      <c r="B3097" s="21" t="s">
        <v>929</v>
      </c>
      <c r="C3097" s="21" t="s">
        <v>414</v>
      </c>
      <c r="D3097" s="21" t="s">
        <v>921</v>
      </c>
      <c r="E3097" s="21">
        <v>2</v>
      </c>
      <c r="F3097" s="22">
        <v>45803.4424305556</v>
      </c>
      <c r="G3097" s="22">
        <v>45819.4615972222</v>
      </c>
      <c r="H3097" s="23">
        <v>1500.54</v>
      </c>
      <c r="I3097" s="23">
        <v>639.99</v>
      </c>
      <c r="J3097" s="24">
        <v>1279.98</v>
      </c>
      <c r="K3097" s="21">
        <v>0</v>
      </c>
      <c r="L3097" s="21">
        <v>0</v>
      </c>
      <c r="M3097" s="21">
        <f>COUNTIF($A$2:$A$5481,A3097)</f>
        <v>2</v>
      </c>
      <c r="N3097" s="24">
        <f t="shared" si="48"/>
        <v>1279.9803097</v>
      </c>
    </row>
    <row r="3098" spans="1:14">
      <c r="A3098" s="21" t="s">
        <v>3152</v>
      </c>
      <c r="B3098" s="21" t="s">
        <v>949</v>
      </c>
      <c r="C3098" s="21" t="s">
        <v>26</v>
      </c>
      <c r="D3098" s="21" t="s">
        <v>921</v>
      </c>
      <c r="E3098" s="21">
        <v>2</v>
      </c>
      <c r="F3098" s="22">
        <v>45831.8199768519</v>
      </c>
      <c r="G3098" s="22"/>
      <c r="H3098" s="23">
        <v>63.9</v>
      </c>
      <c r="I3098" s="23">
        <v>31.95</v>
      </c>
      <c r="J3098" s="24">
        <v>63.9</v>
      </c>
      <c r="K3098" s="21">
        <v>0</v>
      </c>
      <c r="L3098" s="21">
        <v>0</v>
      </c>
      <c r="M3098" s="21">
        <f>COUNTIF($A$2:$A$5481,A3098)</f>
        <v>1</v>
      </c>
      <c r="N3098" s="24">
        <f t="shared" si="48"/>
        <v>63.9003098</v>
      </c>
    </row>
    <row r="3099" spans="1:14">
      <c r="A3099" s="21" t="s">
        <v>3153</v>
      </c>
      <c r="B3099" s="21" t="s">
        <v>949</v>
      </c>
      <c r="C3099" s="21" t="s">
        <v>182</v>
      </c>
      <c r="D3099" s="21" t="s">
        <v>921</v>
      </c>
      <c r="E3099" s="21">
        <v>2</v>
      </c>
      <c r="F3099" s="22">
        <v>45275.4126157407</v>
      </c>
      <c r="G3099" s="22"/>
      <c r="H3099" s="23">
        <v>90.98</v>
      </c>
      <c r="I3099" s="23">
        <v>45.49</v>
      </c>
      <c r="J3099" s="24">
        <v>90.98</v>
      </c>
      <c r="K3099" s="21">
        <v>0</v>
      </c>
      <c r="L3099" s="21">
        <v>0</v>
      </c>
      <c r="M3099" s="21">
        <f>COUNTIF($A$2:$A$5481,A3099)</f>
        <v>1</v>
      </c>
      <c r="N3099" s="24">
        <f t="shared" si="48"/>
        <v>90.9803099</v>
      </c>
    </row>
    <row r="3100" spans="1:14">
      <c r="A3100" s="21" t="s">
        <v>809</v>
      </c>
      <c r="B3100" s="21" t="s">
        <v>26</v>
      </c>
      <c r="C3100" s="21" t="s">
        <v>51</v>
      </c>
      <c r="D3100" s="21" t="s">
        <v>921</v>
      </c>
      <c r="E3100" s="21">
        <v>18</v>
      </c>
      <c r="F3100" s="22">
        <v>45479.3682407407</v>
      </c>
      <c r="G3100" s="22">
        <v>46265.4769097222</v>
      </c>
      <c r="H3100" s="23">
        <v>531</v>
      </c>
      <c r="I3100" s="23">
        <v>26.55</v>
      </c>
      <c r="J3100" s="24">
        <v>477.9</v>
      </c>
      <c r="K3100" s="21">
        <v>0</v>
      </c>
      <c r="L3100" s="21">
        <v>0</v>
      </c>
      <c r="M3100" s="21">
        <f>COUNTIF($A$2:$A$5481,A3100)</f>
        <v>1</v>
      </c>
      <c r="N3100" s="24">
        <f t="shared" si="48"/>
        <v>477.90031</v>
      </c>
    </row>
    <row r="3101" spans="1:14">
      <c r="A3101" s="21" t="s">
        <v>607</v>
      </c>
      <c r="B3101" s="21" t="s">
        <v>920</v>
      </c>
      <c r="C3101" s="21" t="s">
        <v>26</v>
      </c>
      <c r="D3101" s="21" t="s">
        <v>921</v>
      </c>
      <c r="E3101" s="21">
        <v>0</v>
      </c>
      <c r="F3101" s="22">
        <v>46113.5354976852</v>
      </c>
      <c r="G3101" s="22">
        <v>46252.4103472222</v>
      </c>
      <c r="H3101" s="23">
        <v>98.52</v>
      </c>
      <c r="I3101" s="23">
        <v>14.225</v>
      </c>
      <c r="J3101" s="24">
        <v>0</v>
      </c>
      <c r="K3101" s="21">
        <v>0</v>
      </c>
      <c r="L3101" s="21">
        <v>0</v>
      </c>
      <c r="M3101" s="21">
        <f>COUNTIF($A$2:$A$5481,A3101)</f>
        <v>1</v>
      </c>
      <c r="N3101" s="24">
        <f t="shared" si="48"/>
        <v>0.0003101</v>
      </c>
    </row>
    <row r="3102" spans="1:14">
      <c r="A3102" s="21" t="s">
        <v>606</v>
      </c>
      <c r="B3102" s="21" t="s">
        <v>949</v>
      </c>
      <c r="C3102" s="21" t="s">
        <v>26</v>
      </c>
      <c r="D3102" s="21" t="s">
        <v>921</v>
      </c>
      <c r="E3102" s="21">
        <v>1</v>
      </c>
      <c r="F3102" s="22">
        <v>45867.7276851852</v>
      </c>
      <c r="G3102" s="22">
        <v>46252.4103240741</v>
      </c>
      <c r="H3102" s="23">
        <v>49.35</v>
      </c>
      <c r="I3102" s="23">
        <v>12.3375</v>
      </c>
      <c r="J3102" s="24">
        <v>12.34</v>
      </c>
      <c r="K3102" s="21">
        <v>0</v>
      </c>
      <c r="L3102" s="21">
        <v>0</v>
      </c>
      <c r="M3102" s="21">
        <f>COUNTIF($A$2:$A$5481,A3102)</f>
        <v>1</v>
      </c>
      <c r="N3102" s="24">
        <f t="shared" si="48"/>
        <v>12.3403102</v>
      </c>
    </row>
    <row r="3103" spans="1:14">
      <c r="A3103" s="21" t="s">
        <v>3154</v>
      </c>
      <c r="B3103" s="21" t="s">
        <v>949</v>
      </c>
      <c r="C3103" s="21" t="s">
        <v>26</v>
      </c>
      <c r="D3103" s="21" t="s">
        <v>921</v>
      </c>
      <c r="E3103" s="21">
        <v>2</v>
      </c>
      <c r="F3103" s="22">
        <v>45345.6958333333</v>
      </c>
      <c r="G3103" s="22">
        <v>45779.4381944445</v>
      </c>
      <c r="H3103" s="23">
        <v>47.6</v>
      </c>
      <c r="I3103" s="23">
        <v>11.9</v>
      </c>
      <c r="J3103" s="24">
        <v>23.8</v>
      </c>
      <c r="K3103" s="21">
        <v>0</v>
      </c>
      <c r="L3103" s="21">
        <v>0</v>
      </c>
      <c r="M3103" s="21">
        <f>COUNTIF($A$2:$A$5481,A3103)</f>
        <v>1</v>
      </c>
      <c r="N3103" s="24">
        <f t="shared" si="48"/>
        <v>23.8003103</v>
      </c>
    </row>
    <row r="3104" spans="1:14">
      <c r="A3104" s="21" t="s">
        <v>3155</v>
      </c>
      <c r="B3104" s="21" t="s">
        <v>948</v>
      </c>
      <c r="C3104" s="21" t="s">
        <v>641</v>
      </c>
      <c r="D3104" s="21" t="s">
        <v>921</v>
      </c>
      <c r="E3104" s="21">
        <v>1</v>
      </c>
      <c r="F3104" s="22">
        <v>45314.4347222222</v>
      </c>
      <c r="G3104" s="22"/>
      <c r="H3104" s="23">
        <v>142.11</v>
      </c>
      <c r="I3104" s="23">
        <v>142.11</v>
      </c>
      <c r="J3104" s="24">
        <v>142.11</v>
      </c>
      <c r="K3104" s="21">
        <v>0</v>
      </c>
      <c r="L3104" s="21">
        <v>0</v>
      </c>
      <c r="M3104" s="21">
        <f>COUNTIF($A$2:$A$5481,A3104)</f>
        <v>1</v>
      </c>
      <c r="N3104" s="24">
        <f t="shared" si="48"/>
        <v>142.1103104</v>
      </c>
    </row>
    <row r="3105" spans="1:14">
      <c r="A3105" s="21" t="s">
        <v>3156</v>
      </c>
      <c r="B3105" s="21" t="s">
        <v>26</v>
      </c>
      <c r="C3105" s="21" t="s">
        <v>182</v>
      </c>
      <c r="D3105" s="21" t="s">
        <v>921</v>
      </c>
      <c r="E3105" s="21">
        <v>1</v>
      </c>
      <c r="F3105" s="22">
        <v>45646.4846296296</v>
      </c>
      <c r="G3105" s="22"/>
      <c r="H3105" s="23">
        <v>9.05</v>
      </c>
      <c r="I3105" s="23">
        <v>9.05</v>
      </c>
      <c r="J3105" s="24">
        <v>9.05</v>
      </c>
      <c r="K3105" s="21">
        <v>0</v>
      </c>
      <c r="L3105" s="21">
        <v>0</v>
      </c>
      <c r="M3105" s="21">
        <f>COUNTIF($A$2:$A$5481,A3105)</f>
        <v>1</v>
      </c>
      <c r="N3105" s="24">
        <f t="shared" si="48"/>
        <v>9.0503105</v>
      </c>
    </row>
    <row r="3106" spans="1:14">
      <c r="A3106" s="21" t="s">
        <v>688</v>
      </c>
      <c r="B3106" s="21" t="s">
        <v>26</v>
      </c>
      <c r="C3106" s="21" t="s">
        <v>26</v>
      </c>
      <c r="D3106" s="21" t="s">
        <v>921</v>
      </c>
      <c r="E3106" s="21">
        <v>0</v>
      </c>
      <c r="F3106" s="22">
        <v>46198.6930555556</v>
      </c>
      <c r="G3106" s="22">
        <v>46252.5688078704</v>
      </c>
      <c r="H3106" s="23">
        <v>75</v>
      </c>
      <c r="I3106" s="23">
        <v>75</v>
      </c>
      <c r="J3106" s="24">
        <v>0</v>
      </c>
      <c r="K3106" s="21">
        <v>0</v>
      </c>
      <c r="L3106" s="21">
        <v>0</v>
      </c>
      <c r="M3106" s="21">
        <f>COUNTIF($A$2:$A$5481,A3106)</f>
        <v>1</v>
      </c>
      <c r="N3106" s="24">
        <f t="shared" si="48"/>
        <v>0.0003106</v>
      </c>
    </row>
    <row r="3107" spans="1:14">
      <c r="A3107" s="21" t="s">
        <v>687</v>
      </c>
      <c r="B3107" s="21" t="s">
        <v>929</v>
      </c>
      <c r="C3107" s="21" t="s">
        <v>26</v>
      </c>
      <c r="D3107" s="21" t="s">
        <v>921</v>
      </c>
      <c r="E3107" s="21">
        <v>0</v>
      </c>
      <c r="F3107" s="22">
        <v>46107.5397222222</v>
      </c>
      <c r="G3107" s="22">
        <v>46252.5687962963</v>
      </c>
      <c r="H3107" s="23">
        <v>89</v>
      </c>
      <c r="I3107" s="23">
        <v>94.875</v>
      </c>
      <c r="J3107" s="24">
        <v>0</v>
      </c>
      <c r="K3107" s="21">
        <v>0</v>
      </c>
      <c r="L3107" s="21">
        <v>0</v>
      </c>
      <c r="M3107" s="21">
        <f>COUNTIF($A$2:$A$5481,A3107)</f>
        <v>1</v>
      </c>
      <c r="N3107" s="24">
        <f t="shared" si="48"/>
        <v>0.0003107</v>
      </c>
    </row>
    <row r="3108" spans="1:14">
      <c r="A3108" s="21" t="s">
        <v>709</v>
      </c>
      <c r="B3108" s="21" t="s">
        <v>26</v>
      </c>
      <c r="C3108" s="21" t="s">
        <v>26</v>
      </c>
      <c r="D3108" s="21" t="s">
        <v>921</v>
      </c>
      <c r="E3108" s="21">
        <v>0</v>
      </c>
      <c r="F3108" s="22">
        <v>46029.5942013889</v>
      </c>
      <c r="G3108" s="22">
        <v>46252.5690625</v>
      </c>
      <c r="H3108" s="23">
        <v>120</v>
      </c>
      <c r="I3108" s="23">
        <v>120</v>
      </c>
      <c r="J3108" s="24">
        <v>0</v>
      </c>
      <c r="K3108" s="21">
        <v>0</v>
      </c>
      <c r="L3108" s="21">
        <v>0</v>
      </c>
      <c r="M3108" s="21">
        <f>COUNTIF($A$2:$A$5481,A3108)</f>
        <v>1</v>
      </c>
      <c r="N3108" s="24">
        <f t="shared" si="48"/>
        <v>0.0003108</v>
      </c>
    </row>
    <row r="3109" spans="1:14">
      <c r="A3109" s="21" t="s">
        <v>3157</v>
      </c>
      <c r="B3109" s="21" t="s">
        <v>929</v>
      </c>
      <c r="C3109" s="21" t="s">
        <v>35</v>
      </c>
      <c r="D3109" s="21" t="s">
        <v>921</v>
      </c>
      <c r="E3109" s="21">
        <v>4</v>
      </c>
      <c r="F3109" s="22">
        <v>45313.5698842593</v>
      </c>
      <c r="G3109" s="22"/>
      <c r="H3109" s="23">
        <v>119.6</v>
      </c>
      <c r="I3109" s="23">
        <v>29.9</v>
      </c>
      <c r="J3109" s="24">
        <v>119.6</v>
      </c>
      <c r="K3109" s="21">
        <v>0</v>
      </c>
      <c r="L3109" s="21">
        <v>0</v>
      </c>
      <c r="M3109" s="21">
        <f>COUNTIF($A$2:$A$5481,A3109)</f>
        <v>1</v>
      </c>
      <c r="N3109" s="24">
        <f t="shared" si="48"/>
        <v>119.6003109</v>
      </c>
    </row>
    <row r="3110" spans="1:14">
      <c r="A3110" s="21" t="s">
        <v>3158</v>
      </c>
      <c r="B3110" s="21" t="s">
        <v>949</v>
      </c>
      <c r="C3110" s="21" t="s">
        <v>182</v>
      </c>
      <c r="D3110" s="21" t="s">
        <v>921</v>
      </c>
      <c r="E3110" s="21">
        <v>0</v>
      </c>
      <c r="F3110" s="22">
        <v>45301.3484490741</v>
      </c>
      <c r="G3110" s="22">
        <v>45301.3844560185</v>
      </c>
      <c r="H3110" s="23">
        <v>4.99</v>
      </c>
      <c r="I3110" s="23">
        <v>4.99</v>
      </c>
      <c r="J3110" s="24">
        <v>0</v>
      </c>
      <c r="K3110" s="21">
        <v>0</v>
      </c>
      <c r="L3110" s="21">
        <v>0</v>
      </c>
      <c r="M3110" s="21">
        <f>COUNTIF($A$2:$A$5481,A3110)</f>
        <v>2</v>
      </c>
      <c r="N3110" s="24">
        <f t="shared" si="48"/>
        <v>0.000311</v>
      </c>
    </row>
    <row r="3111" spans="1:14">
      <c r="A3111" s="21" t="s">
        <v>3158</v>
      </c>
      <c r="B3111" s="21" t="s">
        <v>949</v>
      </c>
      <c r="C3111" s="21" t="s">
        <v>26</v>
      </c>
      <c r="D3111" s="21" t="s">
        <v>921</v>
      </c>
      <c r="E3111" s="21">
        <v>1</v>
      </c>
      <c r="F3111" s="22">
        <v>46167.4548611111</v>
      </c>
      <c r="G3111" s="22"/>
      <c r="H3111" s="23">
        <v>9.99</v>
      </c>
      <c r="I3111" s="23">
        <v>9.99</v>
      </c>
      <c r="J3111" s="24">
        <v>9.99</v>
      </c>
      <c r="K3111" s="21">
        <v>0</v>
      </c>
      <c r="L3111" s="21">
        <v>0</v>
      </c>
      <c r="M3111" s="21">
        <f>COUNTIF($A$2:$A$5481,A3111)</f>
        <v>2</v>
      </c>
      <c r="N3111" s="24">
        <f t="shared" si="48"/>
        <v>9.9903111</v>
      </c>
    </row>
    <row r="3112" spans="1:14">
      <c r="A3112" s="21" t="s">
        <v>3159</v>
      </c>
      <c r="B3112" s="21" t="s">
        <v>920</v>
      </c>
      <c r="C3112" s="21" t="s">
        <v>26</v>
      </c>
      <c r="D3112" s="21" t="s">
        <v>931</v>
      </c>
      <c r="E3112" s="21">
        <v>1</v>
      </c>
      <c r="F3112" s="22">
        <v>45400.3475462963</v>
      </c>
      <c r="G3112" s="22"/>
      <c r="H3112" s="23">
        <v>12</v>
      </c>
      <c r="I3112" s="23">
        <v>12</v>
      </c>
      <c r="J3112" s="24">
        <v>12</v>
      </c>
      <c r="K3112" s="21">
        <v>0</v>
      </c>
      <c r="L3112" s="21">
        <v>0</v>
      </c>
      <c r="M3112" s="21">
        <f>COUNTIF($A$2:$A$5481,A3112)</f>
        <v>1</v>
      </c>
      <c r="N3112" s="24">
        <f t="shared" si="48"/>
        <v>12.0003112</v>
      </c>
    </row>
    <row r="3113" spans="1:14">
      <c r="A3113" s="21" t="s">
        <v>3160</v>
      </c>
      <c r="B3113" s="21" t="s">
        <v>920</v>
      </c>
      <c r="C3113" s="21" t="s">
        <v>26</v>
      </c>
      <c r="D3113" s="21" t="s">
        <v>931</v>
      </c>
      <c r="E3113" s="21">
        <v>1</v>
      </c>
      <c r="F3113" s="22">
        <v>45400.3475462963</v>
      </c>
      <c r="G3113" s="22"/>
      <c r="H3113" s="23">
        <v>14.9</v>
      </c>
      <c r="I3113" s="23">
        <v>14.9</v>
      </c>
      <c r="J3113" s="24">
        <v>14.9</v>
      </c>
      <c r="K3113" s="21">
        <v>0</v>
      </c>
      <c r="L3113" s="21">
        <v>0</v>
      </c>
      <c r="M3113" s="21">
        <f>COUNTIF($A$2:$A$5481,A3113)</f>
        <v>1</v>
      </c>
      <c r="N3113" s="24">
        <f t="shared" si="48"/>
        <v>14.9003113</v>
      </c>
    </row>
    <row r="3114" spans="1:14">
      <c r="A3114" s="21" t="s">
        <v>3161</v>
      </c>
      <c r="B3114" s="21" t="s">
        <v>920</v>
      </c>
      <c r="C3114" s="21" t="s">
        <v>26</v>
      </c>
      <c r="D3114" s="21" t="s">
        <v>931</v>
      </c>
      <c r="E3114" s="21">
        <v>1</v>
      </c>
      <c r="F3114" s="22">
        <v>45400.3475462963</v>
      </c>
      <c r="G3114" s="22"/>
      <c r="H3114" s="23">
        <v>13.9</v>
      </c>
      <c r="I3114" s="23">
        <v>13.9</v>
      </c>
      <c r="J3114" s="24">
        <v>13.9</v>
      </c>
      <c r="K3114" s="21">
        <v>0</v>
      </c>
      <c r="L3114" s="21">
        <v>0</v>
      </c>
      <c r="M3114" s="21">
        <f>COUNTIF($A$2:$A$5481,A3114)</f>
        <v>1</v>
      </c>
      <c r="N3114" s="24">
        <f t="shared" si="48"/>
        <v>13.9003114</v>
      </c>
    </row>
    <row r="3115" spans="1:14">
      <c r="A3115" s="21" t="s">
        <v>3162</v>
      </c>
      <c r="B3115" s="21" t="s">
        <v>920</v>
      </c>
      <c r="C3115" s="21" t="s">
        <v>26</v>
      </c>
      <c r="D3115" s="21" t="s">
        <v>931</v>
      </c>
      <c r="E3115" s="21">
        <v>1</v>
      </c>
      <c r="F3115" s="22">
        <v>45400.3475462963</v>
      </c>
      <c r="G3115" s="22"/>
      <c r="H3115" s="23">
        <v>12.9</v>
      </c>
      <c r="I3115" s="23">
        <v>12.9</v>
      </c>
      <c r="J3115" s="24">
        <v>12.9</v>
      </c>
      <c r="K3115" s="21">
        <v>0</v>
      </c>
      <c r="L3115" s="21">
        <v>0</v>
      </c>
      <c r="M3115" s="21">
        <f>COUNTIF($A$2:$A$5481,A3115)</f>
        <v>1</v>
      </c>
      <c r="N3115" s="24">
        <f t="shared" si="48"/>
        <v>12.9003115</v>
      </c>
    </row>
    <row r="3116" spans="1:14">
      <c r="A3116" s="21" t="s">
        <v>3163</v>
      </c>
      <c r="B3116" s="21" t="s">
        <v>949</v>
      </c>
      <c r="C3116" s="21" t="s">
        <v>182</v>
      </c>
      <c r="D3116" s="21" t="s">
        <v>921</v>
      </c>
      <c r="E3116" s="21">
        <v>0</v>
      </c>
      <c r="F3116" s="22">
        <v>45310.6805555556</v>
      </c>
      <c r="G3116" s="22">
        <v>45316.4557523148</v>
      </c>
      <c r="H3116" s="23">
        <v>18.36</v>
      </c>
      <c r="I3116" s="23">
        <v>4.59</v>
      </c>
      <c r="J3116" s="24">
        <v>0</v>
      </c>
      <c r="K3116" s="21">
        <v>0</v>
      </c>
      <c r="L3116" s="21">
        <v>0</v>
      </c>
      <c r="M3116" s="21">
        <f>COUNTIF($A$2:$A$5481,A3116)</f>
        <v>1</v>
      </c>
      <c r="N3116" s="24">
        <f t="shared" si="48"/>
        <v>0.0003116</v>
      </c>
    </row>
    <row r="3117" spans="1:14">
      <c r="A3117" s="21" t="s">
        <v>3164</v>
      </c>
      <c r="B3117" s="21" t="s">
        <v>949</v>
      </c>
      <c r="C3117" s="21" t="s">
        <v>182</v>
      </c>
      <c r="D3117" s="21" t="s">
        <v>921</v>
      </c>
      <c r="E3117" s="21">
        <v>0</v>
      </c>
      <c r="F3117" s="22">
        <v>45315.5451388889</v>
      </c>
      <c r="G3117" s="22">
        <v>45320.4854398148</v>
      </c>
      <c r="H3117" s="23">
        <v>293.7</v>
      </c>
      <c r="I3117" s="23">
        <v>9.79</v>
      </c>
      <c r="J3117" s="24">
        <v>0</v>
      </c>
      <c r="K3117" s="21">
        <v>0</v>
      </c>
      <c r="L3117" s="21">
        <v>0</v>
      </c>
      <c r="M3117" s="21">
        <f>COUNTIF($A$2:$A$5481,A3117)</f>
        <v>2</v>
      </c>
      <c r="N3117" s="24">
        <f t="shared" si="48"/>
        <v>0.0003117</v>
      </c>
    </row>
    <row r="3118" spans="1:14">
      <c r="A3118" s="21" t="s">
        <v>3164</v>
      </c>
      <c r="B3118" s="21" t="s">
        <v>949</v>
      </c>
      <c r="C3118" s="21" t="s">
        <v>26</v>
      </c>
      <c r="D3118" s="21" t="s">
        <v>921</v>
      </c>
      <c r="E3118" s="21">
        <v>0</v>
      </c>
      <c r="F3118" s="22">
        <v>45329.6888888889</v>
      </c>
      <c r="G3118" s="22">
        <v>45331.4111226852</v>
      </c>
      <c r="H3118" s="23">
        <v>293.7</v>
      </c>
      <c r="I3118" s="23">
        <v>9.79</v>
      </c>
      <c r="J3118" s="24">
        <v>0</v>
      </c>
      <c r="K3118" s="21">
        <v>0</v>
      </c>
      <c r="L3118" s="21">
        <v>0</v>
      </c>
      <c r="M3118" s="21">
        <f>COUNTIF($A$2:$A$5481,A3118)</f>
        <v>2</v>
      </c>
      <c r="N3118" s="24">
        <f t="shared" si="48"/>
        <v>0.0003118</v>
      </c>
    </row>
    <row r="3119" spans="1:14">
      <c r="A3119" s="21" t="s">
        <v>3165</v>
      </c>
      <c r="B3119" s="21" t="s">
        <v>26</v>
      </c>
      <c r="C3119" s="21" t="s">
        <v>26</v>
      </c>
      <c r="D3119" s="21" t="s">
        <v>921</v>
      </c>
      <c r="E3119" s="21">
        <v>4</v>
      </c>
      <c r="F3119" s="22">
        <v>45496.3627314815</v>
      </c>
      <c r="G3119" s="22"/>
      <c r="H3119" s="23">
        <v>89.6</v>
      </c>
      <c r="I3119" s="23">
        <v>22.4</v>
      </c>
      <c r="J3119" s="24">
        <v>89.6</v>
      </c>
      <c r="K3119" s="21">
        <v>0</v>
      </c>
      <c r="L3119" s="21">
        <v>0</v>
      </c>
      <c r="M3119" s="21">
        <f>COUNTIF($A$2:$A$5481,A3119)</f>
        <v>1</v>
      </c>
      <c r="N3119" s="24">
        <f t="shared" si="48"/>
        <v>89.6003119</v>
      </c>
    </row>
    <row r="3120" spans="1:14">
      <c r="A3120" s="21" t="s">
        <v>3166</v>
      </c>
      <c r="B3120" s="21" t="s">
        <v>920</v>
      </c>
      <c r="C3120" s="21" t="s">
        <v>26</v>
      </c>
      <c r="D3120" s="21" t="s">
        <v>931</v>
      </c>
      <c r="E3120" s="21">
        <v>5</v>
      </c>
      <c r="F3120" s="22">
        <v>45932.5607175926</v>
      </c>
      <c r="G3120" s="22"/>
      <c r="H3120" s="23">
        <v>97.9</v>
      </c>
      <c r="I3120" s="23">
        <v>19.58</v>
      </c>
      <c r="J3120" s="24">
        <v>97.9</v>
      </c>
      <c r="K3120" s="21">
        <v>0</v>
      </c>
      <c r="L3120" s="21">
        <v>0</v>
      </c>
      <c r="M3120" s="21">
        <f>COUNTIF($A$2:$A$5481,A3120)</f>
        <v>1</v>
      </c>
      <c r="N3120" s="24">
        <f t="shared" si="48"/>
        <v>97.900312</v>
      </c>
    </row>
    <row r="3121" spans="1:14">
      <c r="A3121" s="21" t="s">
        <v>3167</v>
      </c>
      <c r="B3121" s="21" t="s">
        <v>920</v>
      </c>
      <c r="C3121" s="21" t="s">
        <v>26</v>
      </c>
      <c r="D3121" s="21" t="s">
        <v>931</v>
      </c>
      <c r="E3121" s="21">
        <v>2</v>
      </c>
      <c r="F3121" s="22">
        <v>45615.5249652778</v>
      </c>
      <c r="G3121" s="22"/>
      <c r="H3121" s="23">
        <v>74.94</v>
      </c>
      <c r="I3121" s="23">
        <v>37.47</v>
      </c>
      <c r="J3121" s="24">
        <v>74.94</v>
      </c>
      <c r="K3121" s="21">
        <v>0</v>
      </c>
      <c r="L3121" s="21">
        <v>0</v>
      </c>
      <c r="M3121" s="21">
        <f>COUNTIF($A$2:$A$5481,A3121)</f>
        <v>1</v>
      </c>
      <c r="N3121" s="24">
        <f t="shared" si="48"/>
        <v>74.9403121</v>
      </c>
    </row>
    <row r="3122" spans="1:14">
      <c r="A3122" s="21" t="s">
        <v>3168</v>
      </c>
      <c r="B3122" s="21" t="s">
        <v>26</v>
      </c>
      <c r="C3122" s="21" t="s">
        <v>26</v>
      </c>
      <c r="D3122" s="21" t="s">
        <v>921</v>
      </c>
      <c r="E3122" s="21">
        <v>2</v>
      </c>
      <c r="F3122" s="22">
        <v>46241.5656597222</v>
      </c>
      <c r="G3122" s="22"/>
      <c r="H3122" s="23">
        <v>81.9</v>
      </c>
      <c r="I3122" s="23">
        <v>100.83</v>
      </c>
      <c r="J3122" s="24">
        <v>201.66</v>
      </c>
      <c r="K3122" s="21">
        <v>0</v>
      </c>
      <c r="L3122" s="21">
        <v>0</v>
      </c>
      <c r="M3122" s="21">
        <f>COUNTIF($A$2:$A$5481,A3122)</f>
        <v>1</v>
      </c>
      <c r="N3122" s="24">
        <f t="shared" si="48"/>
        <v>201.6603122</v>
      </c>
    </row>
    <row r="3123" spans="1:14">
      <c r="A3123" s="21" t="s">
        <v>3169</v>
      </c>
      <c r="B3123" s="21" t="s">
        <v>929</v>
      </c>
      <c r="C3123" s="21" t="s">
        <v>26</v>
      </c>
      <c r="D3123" s="21" t="s">
        <v>921</v>
      </c>
      <c r="E3123" s="21">
        <v>2</v>
      </c>
      <c r="F3123" s="22">
        <v>45694.5569560185</v>
      </c>
      <c r="G3123" s="22"/>
      <c r="H3123" s="23">
        <v>266.38</v>
      </c>
      <c r="I3123" s="23">
        <v>133.19</v>
      </c>
      <c r="J3123" s="24">
        <v>266.38</v>
      </c>
      <c r="K3123" s="21">
        <v>0</v>
      </c>
      <c r="L3123" s="21">
        <v>0</v>
      </c>
      <c r="M3123" s="21">
        <f>COUNTIF($A$2:$A$5481,A3123)</f>
        <v>1</v>
      </c>
      <c r="N3123" s="24">
        <f t="shared" si="48"/>
        <v>266.3803123</v>
      </c>
    </row>
    <row r="3124" spans="1:14">
      <c r="A3124" s="21" t="s">
        <v>3170</v>
      </c>
      <c r="B3124" s="21" t="s">
        <v>920</v>
      </c>
      <c r="C3124" s="21" t="s">
        <v>26</v>
      </c>
      <c r="D3124" s="21" t="s">
        <v>931</v>
      </c>
      <c r="E3124" s="21">
        <v>0</v>
      </c>
      <c r="F3124" s="22">
        <v>45691.5776967593</v>
      </c>
      <c r="G3124" s="22">
        <v>46002.4259143519</v>
      </c>
      <c r="H3124" s="23">
        <v>120</v>
      </c>
      <c r="I3124" s="23">
        <v>120</v>
      </c>
      <c r="J3124" s="24">
        <v>0</v>
      </c>
      <c r="K3124" s="21">
        <v>0</v>
      </c>
      <c r="L3124" s="21">
        <v>0</v>
      </c>
      <c r="M3124" s="21">
        <f>COUNTIF($A$2:$A$5481,A3124)</f>
        <v>1</v>
      </c>
      <c r="N3124" s="24">
        <f t="shared" si="48"/>
        <v>0.0003124</v>
      </c>
    </row>
    <row r="3125" spans="1:14">
      <c r="A3125" s="21" t="s">
        <v>3171</v>
      </c>
      <c r="B3125" s="21" t="s">
        <v>26</v>
      </c>
      <c r="C3125" s="21" t="s">
        <v>26</v>
      </c>
      <c r="D3125" s="21" t="s">
        <v>921</v>
      </c>
      <c r="E3125" s="21">
        <v>1</v>
      </c>
      <c r="F3125" s="22">
        <v>45510.4067939815</v>
      </c>
      <c r="G3125" s="22"/>
      <c r="H3125" s="23">
        <v>80</v>
      </c>
      <c r="I3125" s="23">
        <v>80</v>
      </c>
      <c r="J3125" s="24">
        <v>80</v>
      </c>
      <c r="K3125" s="21">
        <v>0</v>
      </c>
      <c r="L3125" s="21">
        <v>0</v>
      </c>
      <c r="M3125" s="21">
        <f>COUNTIF($A$2:$A$5481,A3125)</f>
        <v>1</v>
      </c>
      <c r="N3125" s="24">
        <f t="shared" si="48"/>
        <v>80.0003125</v>
      </c>
    </row>
    <row r="3126" spans="1:14">
      <c r="A3126" s="21" t="s">
        <v>3172</v>
      </c>
      <c r="B3126" s="21" t="s">
        <v>929</v>
      </c>
      <c r="C3126" s="21" t="s">
        <v>26</v>
      </c>
      <c r="D3126" s="21" t="s">
        <v>921</v>
      </c>
      <c r="E3126" s="21">
        <v>1</v>
      </c>
      <c r="F3126" s="22">
        <v>45629.7048611111</v>
      </c>
      <c r="G3126" s="22"/>
      <c r="H3126" s="23">
        <v>65.17</v>
      </c>
      <c r="I3126" s="23">
        <v>65.17</v>
      </c>
      <c r="J3126" s="24">
        <v>65.17</v>
      </c>
      <c r="K3126" s="21">
        <v>0</v>
      </c>
      <c r="L3126" s="21">
        <v>0</v>
      </c>
      <c r="M3126" s="21">
        <f>COUNTIF($A$2:$A$5481,A3126)</f>
        <v>1</v>
      </c>
      <c r="N3126" s="24">
        <f t="shared" si="48"/>
        <v>65.1703126</v>
      </c>
    </row>
    <row r="3127" spans="1:14">
      <c r="A3127" s="21" t="s">
        <v>3173</v>
      </c>
      <c r="B3127" s="21" t="s">
        <v>920</v>
      </c>
      <c r="C3127" s="21" t="s">
        <v>35</v>
      </c>
      <c r="D3127" s="21" t="s">
        <v>921</v>
      </c>
      <c r="E3127" s="21">
        <v>0</v>
      </c>
      <c r="F3127" s="22">
        <v>45954.3804282407</v>
      </c>
      <c r="G3127" s="22">
        <v>45958.4451041667</v>
      </c>
      <c r="H3127" s="23">
        <v>430</v>
      </c>
      <c r="I3127" s="23">
        <v>430</v>
      </c>
      <c r="J3127" s="24">
        <v>0</v>
      </c>
      <c r="K3127" s="21">
        <v>0</v>
      </c>
      <c r="L3127" s="21">
        <v>0</v>
      </c>
      <c r="M3127" s="21">
        <f>COUNTIF($A$2:$A$5481,A3127)</f>
        <v>1</v>
      </c>
      <c r="N3127" s="24">
        <f t="shared" si="48"/>
        <v>0.0003127</v>
      </c>
    </row>
    <row r="3128" spans="1:14">
      <c r="A3128" s="21" t="s">
        <v>3174</v>
      </c>
      <c r="B3128" s="21" t="s">
        <v>26</v>
      </c>
      <c r="C3128" s="21" t="s">
        <v>26</v>
      </c>
      <c r="D3128" s="21" t="s">
        <v>921</v>
      </c>
      <c r="E3128" s="21">
        <v>1</v>
      </c>
      <c r="F3128" s="22">
        <v>45504.4002546296</v>
      </c>
      <c r="G3128" s="22"/>
      <c r="H3128" s="23">
        <v>112.12</v>
      </c>
      <c r="I3128" s="23">
        <v>112.12</v>
      </c>
      <c r="J3128" s="24">
        <v>112.12</v>
      </c>
      <c r="K3128" s="21">
        <v>0</v>
      </c>
      <c r="L3128" s="21">
        <v>0</v>
      </c>
      <c r="M3128" s="21">
        <f>COUNTIF($A$2:$A$5481,A3128)</f>
        <v>1</v>
      </c>
      <c r="N3128" s="24">
        <f t="shared" si="48"/>
        <v>112.1203128</v>
      </c>
    </row>
    <row r="3129" spans="1:14">
      <c r="A3129" s="21" t="s">
        <v>3175</v>
      </c>
      <c r="B3129" s="21" t="s">
        <v>920</v>
      </c>
      <c r="C3129" s="21" t="s">
        <v>35</v>
      </c>
      <c r="D3129" s="21" t="s">
        <v>921</v>
      </c>
      <c r="E3129" s="21">
        <v>3</v>
      </c>
      <c r="F3129" s="22">
        <v>45881.8075115741</v>
      </c>
      <c r="G3129" s="22"/>
      <c r="H3129" s="23">
        <v>790</v>
      </c>
      <c r="I3129" s="23">
        <v>395</v>
      </c>
      <c r="J3129" s="24">
        <v>1185</v>
      </c>
      <c r="K3129" s="21">
        <v>0</v>
      </c>
      <c r="L3129" s="21">
        <v>0</v>
      </c>
      <c r="M3129" s="21">
        <f>COUNTIF($A$2:$A$5481,A3129)</f>
        <v>1</v>
      </c>
      <c r="N3129" s="24">
        <f t="shared" si="48"/>
        <v>1185.0003129</v>
      </c>
    </row>
    <row r="3130" spans="1:14">
      <c r="A3130" s="21" t="s">
        <v>3176</v>
      </c>
      <c r="B3130" s="21" t="s">
        <v>920</v>
      </c>
      <c r="C3130" s="21" t="s">
        <v>35</v>
      </c>
      <c r="D3130" s="21" t="s">
        <v>921</v>
      </c>
      <c r="E3130" s="21">
        <v>1</v>
      </c>
      <c r="F3130" s="22">
        <v>45881.8075115741</v>
      </c>
      <c r="G3130" s="22">
        <v>45965.4559953704</v>
      </c>
      <c r="H3130" s="23">
        <v>790</v>
      </c>
      <c r="I3130" s="23">
        <v>395</v>
      </c>
      <c r="J3130" s="24">
        <v>395</v>
      </c>
      <c r="K3130" s="21">
        <v>0</v>
      </c>
      <c r="L3130" s="21">
        <v>0</v>
      </c>
      <c r="M3130" s="21">
        <f>COUNTIF($A$2:$A$5481,A3130)</f>
        <v>1</v>
      </c>
      <c r="N3130" s="24">
        <f t="shared" si="48"/>
        <v>395.000313</v>
      </c>
    </row>
    <row r="3131" spans="1:14">
      <c r="A3131" s="21" t="s">
        <v>364</v>
      </c>
      <c r="B3131" s="21" t="s">
        <v>920</v>
      </c>
      <c r="C3131" s="21" t="s">
        <v>26</v>
      </c>
      <c r="D3131" s="21" t="s">
        <v>921</v>
      </c>
      <c r="E3131" s="21">
        <v>2</v>
      </c>
      <c r="F3131" s="22">
        <v>46087.6201388889</v>
      </c>
      <c r="G3131" s="22">
        <v>46126.5540046296</v>
      </c>
      <c r="H3131" s="23">
        <v>487.02</v>
      </c>
      <c r="I3131" s="23">
        <v>243.51</v>
      </c>
      <c r="J3131" s="24">
        <v>487.02</v>
      </c>
      <c r="K3131" s="21">
        <v>0</v>
      </c>
      <c r="L3131" s="21">
        <v>0</v>
      </c>
      <c r="M3131" s="21">
        <f>COUNTIF($A$2:$A$5481,A3131)</f>
        <v>1</v>
      </c>
      <c r="N3131" s="24">
        <f t="shared" si="48"/>
        <v>487.0203131</v>
      </c>
    </row>
    <row r="3132" spans="1:14">
      <c r="A3132" s="21" t="s">
        <v>3177</v>
      </c>
      <c r="B3132" s="21" t="s">
        <v>920</v>
      </c>
      <c r="C3132" s="21" t="s">
        <v>35</v>
      </c>
      <c r="D3132" s="21" t="s">
        <v>931</v>
      </c>
      <c r="E3132" s="21">
        <v>0</v>
      </c>
      <c r="F3132" s="22">
        <v>45939.6877083333</v>
      </c>
      <c r="G3132" s="22">
        <v>45940.4330787037</v>
      </c>
      <c r="H3132" s="23">
        <v>605</v>
      </c>
      <c r="I3132" s="23">
        <v>605</v>
      </c>
      <c r="J3132" s="24">
        <v>0</v>
      </c>
      <c r="K3132" s="21">
        <v>0</v>
      </c>
      <c r="L3132" s="21">
        <v>0</v>
      </c>
      <c r="M3132" s="21">
        <f>COUNTIF($A$2:$A$5481,A3132)</f>
        <v>1</v>
      </c>
      <c r="N3132" s="24">
        <f t="shared" si="48"/>
        <v>0.0003132</v>
      </c>
    </row>
    <row r="3133" spans="1:14">
      <c r="A3133" s="21" t="s">
        <v>3178</v>
      </c>
      <c r="B3133" s="21" t="s">
        <v>920</v>
      </c>
      <c r="C3133" s="21" t="s">
        <v>26</v>
      </c>
      <c r="D3133" s="21" t="s">
        <v>921</v>
      </c>
      <c r="E3133" s="21">
        <v>1</v>
      </c>
      <c r="F3133" s="22">
        <v>45699.8416666667</v>
      </c>
      <c r="G3133" s="22">
        <v>45854.3973032407</v>
      </c>
      <c r="H3133" s="23">
        <v>127.18</v>
      </c>
      <c r="I3133" s="23">
        <v>63.59</v>
      </c>
      <c r="J3133" s="24">
        <v>63.59</v>
      </c>
      <c r="K3133" s="21">
        <v>0</v>
      </c>
      <c r="L3133" s="21">
        <v>0</v>
      </c>
      <c r="M3133" s="21">
        <f>COUNTIF($A$2:$A$5481,A3133)</f>
        <v>1</v>
      </c>
      <c r="N3133" s="24">
        <f t="shared" si="48"/>
        <v>63.5903133</v>
      </c>
    </row>
    <row r="3134" spans="1:14">
      <c r="A3134" s="21" t="s">
        <v>299</v>
      </c>
      <c r="B3134" s="21" t="s">
        <v>920</v>
      </c>
      <c r="C3134" s="21" t="s">
        <v>26</v>
      </c>
      <c r="D3134" s="21" t="s">
        <v>921</v>
      </c>
      <c r="E3134" s="21">
        <v>0</v>
      </c>
      <c r="F3134" s="22">
        <v>46043.6921064815</v>
      </c>
      <c r="G3134" s="22">
        <v>46090.4697685185</v>
      </c>
      <c r="H3134" s="23">
        <v>166</v>
      </c>
      <c r="I3134" s="23">
        <v>83</v>
      </c>
      <c r="J3134" s="24">
        <v>0</v>
      </c>
      <c r="K3134" s="21">
        <v>0</v>
      </c>
      <c r="L3134" s="21">
        <v>0</v>
      </c>
      <c r="M3134" s="21">
        <f>COUNTIF($A$2:$A$5481,A3134)</f>
        <v>1</v>
      </c>
      <c r="N3134" s="24">
        <f t="shared" si="48"/>
        <v>0.0003134</v>
      </c>
    </row>
    <row r="3135" spans="1:14">
      <c r="A3135" s="21" t="s">
        <v>3179</v>
      </c>
      <c r="B3135" s="21" t="s">
        <v>920</v>
      </c>
      <c r="C3135" s="21" t="s">
        <v>26</v>
      </c>
      <c r="D3135" s="21" t="s">
        <v>921</v>
      </c>
      <c r="E3135" s="21">
        <v>1</v>
      </c>
      <c r="F3135" s="22">
        <v>45709.3406481482</v>
      </c>
      <c r="G3135" s="22"/>
      <c r="H3135" s="23">
        <v>980</v>
      </c>
      <c r="I3135" s="23">
        <v>980</v>
      </c>
      <c r="J3135" s="24">
        <v>980</v>
      </c>
      <c r="K3135" s="21">
        <v>2</v>
      </c>
      <c r="L3135" s="21">
        <v>4</v>
      </c>
      <c r="M3135" s="21">
        <f>COUNTIF($A$2:$A$5481,A3135)</f>
        <v>1</v>
      </c>
      <c r="N3135" s="24">
        <f t="shared" si="48"/>
        <v>980.0003135</v>
      </c>
    </row>
    <row r="3136" spans="1:14">
      <c r="A3136" s="21" t="s">
        <v>3180</v>
      </c>
      <c r="B3136" s="21" t="s">
        <v>920</v>
      </c>
      <c r="C3136" s="21" t="s">
        <v>26</v>
      </c>
      <c r="D3136" s="21" t="s">
        <v>921</v>
      </c>
      <c r="E3136" s="21">
        <v>1</v>
      </c>
      <c r="F3136" s="22">
        <v>45709.3406481482</v>
      </c>
      <c r="G3136" s="22"/>
      <c r="H3136" s="23">
        <v>980</v>
      </c>
      <c r="I3136" s="23">
        <v>980</v>
      </c>
      <c r="J3136" s="24">
        <v>980</v>
      </c>
      <c r="K3136" s="21">
        <v>2</v>
      </c>
      <c r="L3136" s="21">
        <v>4</v>
      </c>
      <c r="M3136" s="21">
        <f>COUNTIF($A$2:$A$5481,A3136)</f>
        <v>1</v>
      </c>
      <c r="N3136" s="24">
        <f t="shared" si="48"/>
        <v>980.0003136</v>
      </c>
    </row>
    <row r="3137" spans="1:14">
      <c r="A3137" s="21" t="s">
        <v>3181</v>
      </c>
      <c r="B3137" s="21" t="s">
        <v>26</v>
      </c>
      <c r="C3137" s="21" t="s">
        <v>35</v>
      </c>
      <c r="D3137" s="21" t="s">
        <v>921</v>
      </c>
      <c r="E3137" s="21">
        <v>1</v>
      </c>
      <c r="F3137" s="22">
        <v>45666.4418055556</v>
      </c>
      <c r="G3137" s="22"/>
      <c r="H3137" s="23">
        <v>1181</v>
      </c>
      <c r="I3137" s="23">
        <v>1181</v>
      </c>
      <c r="J3137" s="24">
        <v>1181</v>
      </c>
      <c r="K3137" s="21">
        <v>0</v>
      </c>
      <c r="L3137" s="21">
        <v>0</v>
      </c>
      <c r="M3137" s="21">
        <f>COUNTIF($A$2:$A$5481,A3137)</f>
        <v>1</v>
      </c>
      <c r="N3137" s="24">
        <f t="shared" si="48"/>
        <v>1181.0003137</v>
      </c>
    </row>
    <row r="3138" spans="1:14">
      <c r="A3138" s="21" t="s">
        <v>354</v>
      </c>
      <c r="B3138" s="21" t="s">
        <v>920</v>
      </c>
      <c r="C3138" s="21" t="s">
        <v>35</v>
      </c>
      <c r="D3138" s="21" t="s">
        <v>921</v>
      </c>
      <c r="E3138" s="21">
        <v>0</v>
      </c>
      <c r="F3138" s="22">
        <v>45507.5927893519</v>
      </c>
      <c r="G3138" s="22">
        <v>45691.5490162037</v>
      </c>
      <c r="H3138" s="23">
        <v>1194</v>
      </c>
      <c r="I3138" s="23">
        <v>1194</v>
      </c>
      <c r="J3138" s="24">
        <v>0</v>
      </c>
      <c r="K3138" s="21">
        <v>0</v>
      </c>
      <c r="L3138" s="21">
        <v>0</v>
      </c>
      <c r="M3138" s="21">
        <f>COUNTIF($A$2:$A$5481,A3138)</f>
        <v>2</v>
      </c>
      <c r="N3138" s="24">
        <f t="shared" ref="N3138:N3201" si="49">J3138+ROW()/10000000</f>
        <v>0.0003138</v>
      </c>
    </row>
    <row r="3139" spans="1:14">
      <c r="A3139" s="21" t="s">
        <v>354</v>
      </c>
      <c r="B3139" s="21" t="s">
        <v>920</v>
      </c>
      <c r="C3139" s="21" t="s">
        <v>26</v>
      </c>
      <c r="D3139" s="21" t="s">
        <v>921</v>
      </c>
      <c r="E3139" s="21">
        <v>1</v>
      </c>
      <c r="F3139" s="22">
        <v>46118.7167708333</v>
      </c>
      <c r="G3139" s="22">
        <v>46122.3914583333</v>
      </c>
      <c r="H3139" s="23">
        <v>2640</v>
      </c>
      <c r="I3139" s="23">
        <v>1320</v>
      </c>
      <c r="J3139" s="24">
        <v>1320</v>
      </c>
      <c r="K3139" s="21">
        <v>0</v>
      </c>
      <c r="L3139" s="21">
        <v>0</v>
      </c>
      <c r="M3139" s="21">
        <f>COUNTIF($A$2:$A$5481,A3139)</f>
        <v>2</v>
      </c>
      <c r="N3139" s="24">
        <f t="shared" si="49"/>
        <v>1320.0003139</v>
      </c>
    </row>
    <row r="3140" spans="1:14">
      <c r="A3140" s="21" t="s">
        <v>353</v>
      </c>
      <c r="B3140" s="21" t="s">
        <v>920</v>
      </c>
      <c r="C3140" s="21" t="s">
        <v>35</v>
      </c>
      <c r="D3140" s="21" t="s">
        <v>921</v>
      </c>
      <c r="E3140" s="21">
        <v>2</v>
      </c>
      <c r="F3140" s="22">
        <v>45608.3634259259</v>
      </c>
      <c r="G3140" s="22">
        <v>45481.8499884259</v>
      </c>
      <c r="H3140" s="23">
        <v>1050</v>
      </c>
      <c r="I3140" s="23">
        <v>1122</v>
      </c>
      <c r="J3140" s="24">
        <v>2244</v>
      </c>
      <c r="K3140" s="21">
        <v>0</v>
      </c>
      <c r="L3140" s="21">
        <v>0</v>
      </c>
      <c r="M3140" s="21">
        <f>COUNTIF($A$2:$A$5481,A3140)</f>
        <v>2</v>
      </c>
      <c r="N3140" s="24">
        <f t="shared" si="49"/>
        <v>2244.000314</v>
      </c>
    </row>
    <row r="3141" spans="1:14">
      <c r="A3141" s="21" t="s">
        <v>353</v>
      </c>
      <c r="B3141" s="21" t="s">
        <v>920</v>
      </c>
      <c r="C3141" s="21" t="s">
        <v>26</v>
      </c>
      <c r="D3141" s="21" t="s">
        <v>921</v>
      </c>
      <c r="E3141" s="21">
        <v>1</v>
      </c>
      <c r="F3141" s="22">
        <v>46118.7167708333</v>
      </c>
      <c r="G3141" s="22">
        <v>46122.3914467593</v>
      </c>
      <c r="H3141" s="23">
        <v>2640</v>
      </c>
      <c r="I3141" s="23">
        <v>1320</v>
      </c>
      <c r="J3141" s="24">
        <v>1320</v>
      </c>
      <c r="K3141" s="21">
        <v>0</v>
      </c>
      <c r="L3141" s="21">
        <v>0</v>
      </c>
      <c r="M3141" s="21">
        <f>COUNTIF($A$2:$A$5481,A3141)</f>
        <v>2</v>
      </c>
      <c r="N3141" s="24">
        <f t="shared" si="49"/>
        <v>1320.0003141</v>
      </c>
    </row>
    <row r="3142" spans="1:14">
      <c r="A3142" s="21" t="s">
        <v>3182</v>
      </c>
      <c r="B3142" s="21" t="s">
        <v>26</v>
      </c>
      <c r="C3142" s="21" t="s">
        <v>35</v>
      </c>
      <c r="D3142" s="21" t="s">
        <v>921</v>
      </c>
      <c r="E3142" s="21">
        <v>0</v>
      </c>
      <c r="F3142" s="22">
        <v>45673.3918171296</v>
      </c>
      <c r="G3142" s="22">
        <v>45715.8729166667</v>
      </c>
      <c r="H3142" s="23">
        <v>440</v>
      </c>
      <c r="I3142" s="23">
        <v>440</v>
      </c>
      <c r="J3142" s="24">
        <v>0</v>
      </c>
      <c r="K3142" s="21">
        <v>0</v>
      </c>
      <c r="L3142" s="21">
        <v>0</v>
      </c>
      <c r="M3142" s="21">
        <f>COUNTIF($A$2:$A$5481,A3142)</f>
        <v>1</v>
      </c>
      <c r="N3142" s="24">
        <f t="shared" si="49"/>
        <v>0.0003142</v>
      </c>
    </row>
    <row r="3143" spans="1:14">
      <c r="A3143" s="21" t="s">
        <v>3183</v>
      </c>
      <c r="B3143" s="21" t="s">
        <v>26</v>
      </c>
      <c r="C3143" s="21" t="s">
        <v>35</v>
      </c>
      <c r="D3143" s="21" t="s">
        <v>921</v>
      </c>
      <c r="E3143" s="21">
        <v>0</v>
      </c>
      <c r="F3143" s="22">
        <v>45673.3918171296</v>
      </c>
      <c r="G3143" s="22">
        <v>45691.5512268519</v>
      </c>
      <c r="H3143" s="23">
        <v>440</v>
      </c>
      <c r="I3143" s="23">
        <v>440</v>
      </c>
      <c r="J3143" s="24">
        <v>0</v>
      </c>
      <c r="K3143" s="21">
        <v>0</v>
      </c>
      <c r="L3143" s="21">
        <v>0</v>
      </c>
      <c r="M3143" s="21">
        <f>COUNTIF($A$2:$A$5481,A3143)</f>
        <v>1</v>
      </c>
      <c r="N3143" s="24">
        <f t="shared" si="49"/>
        <v>0.0003143</v>
      </c>
    </row>
    <row r="3144" spans="1:14">
      <c r="A3144" s="21" t="s">
        <v>306</v>
      </c>
      <c r="B3144" s="21" t="s">
        <v>920</v>
      </c>
      <c r="C3144" s="21" t="s">
        <v>26</v>
      </c>
      <c r="D3144" s="21" t="s">
        <v>921</v>
      </c>
      <c r="E3144" s="21">
        <v>1</v>
      </c>
      <c r="F3144" s="22">
        <v>46087.6201388889</v>
      </c>
      <c r="G3144" s="22">
        <v>46126.5539930556</v>
      </c>
      <c r="H3144" s="23">
        <v>487.04</v>
      </c>
      <c r="I3144" s="23">
        <v>243.52</v>
      </c>
      <c r="J3144" s="24">
        <v>243.52</v>
      </c>
      <c r="K3144" s="21">
        <v>0</v>
      </c>
      <c r="L3144" s="21">
        <v>0</v>
      </c>
      <c r="M3144" s="21">
        <f>COUNTIF($A$2:$A$5481,A3144)</f>
        <v>1</v>
      </c>
      <c r="N3144" s="24">
        <f t="shared" si="49"/>
        <v>243.5203144</v>
      </c>
    </row>
    <row r="3145" spans="1:14">
      <c r="A3145" s="21" t="s">
        <v>3184</v>
      </c>
      <c r="B3145" s="21" t="s">
        <v>26</v>
      </c>
      <c r="C3145" s="21" t="s">
        <v>35</v>
      </c>
      <c r="D3145" s="21" t="s">
        <v>921</v>
      </c>
      <c r="E3145" s="21">
        <v>1</v>
      </c>
      <c r="F3145" s="22">
        <v>45489.427025463</v>
      </c>
      <c r="G3145" s="22"/>
      <c r="H3145" s="23">
        <v>85.71</v>
      </c>
      <c r="I3145" s="23">
        <v>85.71</v>
      </c>
      <c r="J3145" s="24">
        <v>85.71</v>
      </c>
      <c r="K3145" s="21">
        <v>0</v>
      </c>
      <c r="L3145" s="21">
        <v>0</v>
      </c>
      <c r="M3145" s="21">
        <f>COUNTIF($A$2:$A$5481,A3145)</f>
        <v>1</v>
      </c>
      <c r="N3145" s="24">
        <f t="shared" si="49"/>
        <v>85.7103145</v>
      </c>
    </row>
    <row r="3146" spans="1:14">
      <c r="A3146" s="21" t="s">
        <v>3185</v>
      </c>
      <c r="B3146" s="21" t="s">
        <v>26</v>
      </c>
      <c r="C3146" s="21" t="s">
        <v>35</v>
      </c>
      <c r="D3146" s="21" t="s">
        <v>921</v>
      </c>
      <c r="E3146" s="21">
        <v>1</v>
      </c>
      <c r="F3146" s="22">
        <v>45489.427025463</v>
      </c>
      <c r="G3146" s="22"/>
      <c r="H3146" s="23">
        <v>85.72</v>
      </c>
      <c r="I3146" s="23">
        <v>85.72</v>
      </c>
      <c r="J3146" s="24">
        <v>85.72</v>
      </c>
      <c r="K3146" s="21">
        <v>0</v>
      </c>
      <c r="L3146" s="21">
        <v>0</v>
      </c>
      <c r="M3146" s="21">
        <f>COUNTIF($A$2:$A$5481,A3146)</f>
        <v>1</v>
      </c>
      <c r="N3146" s="24">
        <f t="shared" si="49"/>
        <v>85.7203146</v>
      </c>
    </row>
    <row r="3147" spans="1:14">
      <c r="A3147" s="21" t="s">
        <v>3186</v>
      </c>
      <c r="B3147" s="21" t="s">
        <v>920</v>
      </c>
      <c r="C3147" s="21" t="s">
        <v>26</v>
      </c>
      <c r="D3147" s="21" t="s">
        <v>921</v>
      </c>
      <c r="E3147" s="21">
        <v>5</v>
      </c>
      <c r="F3147" s="22">
        <v>46190.7021064815</v>
      </c>
      <c r="G3147" s="22"/>
      <c r="H3147" s="23">
        <v>300</v>
      </c>
      <c r="I3147" s="23">
        <v>60</v>
      </c>
      <c r="J3147" s="24">
        <v>300</v>
      </c>
      <c r="K3147" s="21">
        <v>0</v>
      </c>
      <c r="L3147" s="21">
        <v>0</v>
      </c>
      <c r="M3147" s="21">
        <f>COUNTIF($A$2:$A$5481,A3147)</f>
        <v>1</v>
      </c>
      <c r="N3147" s="24">
        <f t="shared" si="49"/>
        <v>300.0003147</v>
      </c>
    </row>
    <row r="3148" spans="1:14">
      <c r="A3148" s="21" t="s">
        <v>3187</v>
      </c>
      <c r="B3148" s="21" t="s">
        <v>920</v>
      </c>
      <c r="C3148" s="21" t="s">
        <v>26</v>
      </c>
      <c r="D3148" s="21" t="s">
        <v>921</v>
      </c>
      <c r="E3148" s="21">
        <v>1</v>
      </c>
      <c r="F3148" s="22">
        <v>46190.7198032407</v>
      </c>
      <c r="G3148" s="22"/>
      <c r="H3148" s="23">
        <v>318</v>
      </c>
      <c r="I3148" s="23">
        <v>318</v>
      </c>
      <c r="J3148" s="24">
        <v>318</v>
      </c>
      <c r="K3148" s="21">
        <v>0</v>
      </c>
      <c r="L3148" s="21">
        <v>0</v>
      </c>
      <c r="M3148" s="21">
        <f>COUNTIF($A$2:$A$5481,A3148)</f>
        <v>1</v>
      </c>
      <c r="N3148" s="24">
        <f t="shared" si="49"/>
        <v>318.0003148</v>
      </c>
    </row>
    <row r="3149" spans="1:14">
      <c r="A3149" s="21" t="s">
        <v>3188</v>
      </c>
      <c r="B3149" s="21" t="s">
        <v>920</v>
      </c>
      <c r="C3149" s="21" t="s">
        <v>26</v>
      </c>
      <c r="D3149" s="21" t="s">
        <v>921</v>
      </c>
      <c r="E3149" s="21">
        <v>1</v>
      </c>
      <c r="F3149" s="22">
        <v>46190.7198032407</v>
      </c>
      <c r="G3149" s="22"/>
      <c r="H3149" s="23">
        <v>318</v>
      </c>
      <c r="I3149" s="23">
        <v>318</v>
      </c>
      <c r="J3149" s="24">
        <v>318</v>
      </c>
      <c r="K3149" s="21">
        <v>0</v>
      </c>
      <c r="L3149" s="21">
        <v>0</v>
      </c>
      <c r="M3149" s="21">
        <f>COUNTIF($A$2:$A$5481,A3149)</f>
        <v>1</v>
      </c>
      <c r="N3149" s="24">
        <f t="shared" si="49"/>
        <v>318.0003149</v>
      </c>
    </row>
    <row r="3150" spans="1:14">
      <c r="A3150" s="21" t="s">
        <v>3189</v>
      </c>
      <c r="B3150" s="21" t="s">
        <v>920</v>
      </c>
      <c r="C3150" s="21" t="s">
        <v>26</v>
      </c>
      <c r="D3150" s="21" t="s">
        <v>921</v>
      </c>
      <c r="E3150" s="21">
        <v>1</v>
      </c>
      <c r="F3150" s="22">
        <v>46170.5762384259</v>
      </c>
      <c r="G3150" s="22"/>
      <c r="H3150" s="23">
        <v>279.45</v>
      </c>
      <c r="I3150" s="23">
        <v>279.45</v>
      </c>
      <c r="J3150" s="24">
        <v>279.45</v>
      </c>
      <c r="K3150" s="21">
        <v>0</v>
      </c>
      <c r="L3150" s="21">
        <v>0</v>
      </c>
      <c r="M3150" s="21">
        <f>COUNTIF($A$2:$A$5481,A3150)</f>
        <v>1</v>
      </c>
      <c r="N3150" s="24">
        <f t="shared" si="49"/>
        <v>279.450315</v>
      </c>
    </row>
    <row r="3151" spans="1:14">
      <c r="A3151" s="21" t="s">
        <v>3190</v>
      </c>
      <c r="B3151" s="21" t="s">
        <v>920</v>
      </c>
      <c r="C3151" s="21" t="s">
        <v>26</v>
      </c>
      <c r="D3151" s="21" t="s">
        <v>921</v>
      </c>
      <c r="E3151" s="21">
        <v>1</v>
      </c>
      <c r="F3151" s="22">
        <v>46170.5762384259</v>
      </c>
      <c r="G3151" s="22"/>
      <c r="H3151" s="23">
        <v>279.45</v>
      </c>
      <c r="I3151" s="23">
        <v>279.45</v>
      </c>
      <c r="J3151" s="24">
        <v>279.45</v>
      </c>
      <c r="K3151" s="21">
        <v>0</v>
      </c>
      <c r="L3151" s="21">
        <v>0</v>
      </c>
      <c r="M3151" s="21">
        <f>COUNTIF($A$2:$A$5481,A3151)</f>
        <v>1</v>
      </c>
      <c r="N3151" s="24">
        <f t="shared" si="49"/>
        <v>279.4503151</v>
      </c>
    </row>
    <row r="3152" spans="1:14">
      <c r="A3152" s="21" t="s">
        <v>285</v>
      </c>
      <c r="B3152" s="21" t="s">
        <v>920</v>
      </c>
      <c r="C3152" s="21" t="s">
        <v>26</v>
      </c>
      <c r="D3152" s="21" t="s">
        <v>921</v>
      </c>
      <c r="E3152" s="21">
        <v>0</v>
      </c>
      <c r="F3152" s="22">
        <v>45566.8397453704</v>
      </c>
      <c r="G3152" s="22">
        <v>46078.7389699074</v>
      </c>
      <c r="H3152" s="23">
        <v>160</v>
      </c>
      <c r="I3152" s="23">
        <v>160</v>
      </c>
      <c r="J3152" s="24">
        <v>0</v>
      </c>
      <c r="K3152" s="21">
        <v>0</v>
      </c>
      <c r="L3152" s="21">
        <v>0</v>
      </c>
      <c r="M3152" s="21">
        <f>COUNTIF($A$2:$A$5481,A3152)</f>
        <v>1</v>
      </c>
      <c r="N3152" s="24">
        <f t="shared" si="49"/>
        <v>0.0003152</v>
      </c>
    </row>
    <row r="3153" spans="1:14">
      <c r="A3153" s="21" t="s">
        <v>3191</v>
      </c>
      <c r="B3153" s="21" t="s">
        <v>26</v>
      </c>
      <c r="C3153" s="21" t="s">
        <v>26</v>
      </c>
      <c r="D3153" s="21" t="s">
        <v>921</v>
      </c>
      <c r="E3153" s="21">
        <v>20</v>
      </c>
      <c r="F3153" s="22">
        <v>45957.3933449074</v>
      </c>
      <c r="G3153" s="22">
        <v>45580.8309259259</v>
      </c>
      <c r="H3153" s="23">
        <v>498</v>
      </c>
      <c r="I3153" s="23">
        <v>83</v>
      </c>
      <c r="J3153" s="24">
        <v>1660</v>
      </c>
      <c r="K3153" s="21">
        <v>0</v>
      </c>
      <c r="L3153" s="21">
        <v>0</v>
      </c>
      <c r="M3153" s="21">
        <f>COUNTIF($A$2:$A$5481,A3153)</f>
        <v>1</v>
      </c>
      <c r="N3153" s="24">
        <f t="shared" si="49"/>
        <v>1660.0003153</v>
      </c>
    </row>
    <row r="3154" spans="1:14">
      <c r="A3154" s="21" t="s">
        <v>3192</v>
      </c>
      <c r="B3154" s="21" t="s">
        <v>920</v>
      </c>
      <c r="C3154" s="21" t="s">
        <v>26</v>
      </c>
      <c r="D3154" s="21" t="s">
        <v>921</v>
      </c>
      <c r="E3154" s="21">
        <v>0</v>
      </c>
      <c r="F3154" s="22">
        <v>45359.4166666667</v>
      </c>
      <c r="G3154" s="22">
        <v>45681.3885069444</v>
      </c>
      <c r="H3154" s="23">
        <v>1500</v>
      </c>
      <c r="I3154" s="23">
        <v>750</v>
      </c>
      <c r="J3154" s="24">
        <v>0</v>
      </c>
      <c r="K3154" s="21">
        <v>0</v>
      </c>
      <c r="L3154" s="21">
        <v>0</v>
      </c>
      <c r="M3154" s="21">
        <f>COUNTIF($A$2:$A$5481,A3154)</f>
        <v>1</v>
      </c>
      <c r="N3154" s="24">
        <f t="shared" si="49"/>
        <v>0.0003154</v>
      </c>
    </row>
    <row r="3155" spans="1:14">
      <c r="A3155" s="21" t="s">
        <v>150</v>
      </c>
      <c r="B3155" s="21" t="s">
        <v>920</v>
      </c>
      <c r="C3155" s="21" t="s">
        <v>26</v>
      </c>
      <c r="D3155" s="21" t="s">
        <v>921</v>
      </c>
      <c r="E3155" s="21">
        <v>12</v>
      </c>
      <c r="F3155" s="22">
        <v>46136.5653009259</v>
      </c>
      <c r="G3155" s="22">
        <v>46085.4171180556</v>
      </c>
      <c r="H3155" s="23">
        <v>580.8</v>
      </c>
      <c r="I3155" s="23">
        <v>90.74166875</v>
      </c>
      <c r="J3155" s="24">
        <v>1088.88</v>
      </c>
      <c r="K3155" s="21">
        <v>0</v>
      </c>
      <c r="L3155" s="21">
        <v>0</v>
      </c>
      <c r="M3155" s="21">
        <f>COUNTIF($A$2:$A$5481,A3155)</f>
        <v>1</v>
      </c>
      <c r="N3155" s="24">
        <f t="shared" si="49"/>
        <v>1088.8803155</v>
      </c>
    </row>
    <row r="3156" spans="1:14">
      <c r="A3156" s="21" t="s">
        <v>3193</v>
      </c>
      <c r="B3156" s="21" t="s">
        <v>920</v>
      </c>
      <c r="C3156" s="21" t="s">
        <v>26</v>
      </c>
      <c r="D3156" s="21" t="s">
        <v>921</v>
      </c>
      <c r="E3156" s="21">
        <v>1</v>
      </c>
      <c r="F3156" s="22">
        <v>45461.43125</v>
      </c>
      <c r="G3156" s="22"/>
      <c r="H3156" s="23">
        <v>208.71</v>
      </c>
      <c r="I3156" s="23">
        <v>208.71</v>
      </c>
      <c r="J3156" s="24">
        <v>208.71</v>
      </c>
      <c r="K3156" s="21">
        <v>0</v>
      </c>
      <c r="L3156" s="21">
        <v>0</v>
      </c>
      <c r="M3156" s="21">
        <f>COUNTIF($A$2:$A$5481,A3156)</f>
        <v>1</v>
      </c>
      <c r="N3156" s="24">
        <f t="shared" si="49"/>
        <v>208.7103156</v>
      </c>
    </row>
    <row r="3157" spans="1:14">
      <c r="A3157" s="21" t="s">
        <v>3194</v>
      </c>
      <c r="B3157" s="21" t="s">
        <v>920</v>
      </c>
      <c r="C3157" s="21" t="s">
        <v>26</v>
      </c>
      <c r="D3157" s="21" t="s">
        <v>921</v>
      </c>
      <c r="E3157" s="21">
        <v>1</v>
      </c>
      <c r="F3157" s="22">
        <v>45461.43125</v>
      </c>
      <c r="G3157" s="22"/>
      <c r="H3157" s="23">
        <v>208.7</v>
      </c>
      <c r="I3157" s="23">
        <v>208.7</v>
      </c>
      <c r="J3157" s="24">
        <v>208.7</v>
      </c>
      <c r="K3157" s="21">
        <v>0</v>
      </c>
      <c r="L3157" s="21">
        <v>0</v>
      </c>
      <c r="M3157" s="21">
        <f>COUNTIF($A$2:$A$5481,A3157)</f>
        <v>1</v>
      </c>
      <c r="N3157" s="24">
        <f t="shared" si="49"/>
        <v>208.7003157</v>
      </c>
    </row>
    <row r="3158" spans="1:14">
      <c r="A3158" s="21" t="s">
        <v>527</v>
      </c>
      <c r="B3158" s="21" t="s">
        <v>920</v>
      </c>
      <c r="C3158" s="21" t="s">
        <v>26</v>
      </c>
      <c r="D3158" s="21" t="s">
        <v>921</v>
      </c>
      <c r="E3158" s="21">
        <v>0</v>
      </c>
      <c r="F3158" s="22">
        <v>46241.5733449074</v>
      </c>
      <c r="G3158" s="22">
        <v>46245.6630555556</v>
      </c>
      <c r="H3158" s="23">
        <v>49</v>
      </c>
      <c r="I3158" s="23">
        <v>49</v>
      </c>
      <c r="J3158" s="24">
        <v>0</v>
      </c>
      <c r="K3158" s="21">
        <v>0</v>
      </c>
      <c r="L3158" s="21">
        <v>0</v>
      </c>
      <c r="M3158" s="21">
        <f>COUNTIF($A$2:$A$5481,A3158)</f>
        <v>1</v>
      </c>
      <c r="N3158" s="24">
        <f t="shared" si="49"/>
        <v>0.0003158</v>
      </c>
    </row>
    <row r="3159" spans="1:14">
      <c r="A3159" s="21" t="s">
        <v>3195</v>
      </c>
      <c r="B3159" s="21" t="s">
        <v>26</v>
      </c>
      <c r="C3159" s="21" t="s">
        <v>35</v>
      </c>
      <c r="D3159" s="21" t="s">
        <v>921</v>
      </c>
      <c r="E3159" s="21">
        <v>0</v>
      </c>
      <c r="F3159" s="22">
        <v>45666.4418055556</v>
      </c>
      <c r="G3159" s="22">
        <v>45691.5539699074</v>
      </c>
      <c r="H3159" s="23">
        <v>391.98</v>
      </c>
      <c r="I3159" s="23">
        <v>0</v>
      </c>
      <c r="J3159" s="24">
        <v>0</v>
      </c>
      <c r="K3159" s="21">
        <v>0</v>
      </c>
      <c r="L3159" s="21">
        <v>0</v>
      </c>
      <c r="M3159" s="21">
        <f>COUNTIF($A$2:$A$5481,A3159)</f>
        <v>1</v>
      </c>
      <c r="N3159" s="24">
        <f t="shared" si="49"/>
        <v>0.0003159</v>
      </c>
    </row>
    <row r="3160" spans="1:14">
      <c r="A3160" s="21" t="s">
        <v>215</v>
      </c>
      <c r="B3160" s="21" t="s">
        <v>920</v>
      </c>
      <c r="C3160" s="21" t="s">
        <v>35</v>
      </c>
      <c r="D3160" s="21" t="s">
        <v>921</v>
      </c>
      <c r="E3160" s="21">
        <v>0</v>
      </c>
      <c r="F3160" s="22">
        <v>45509.6122337963</v>
      </c>
      <c r="G3160" s="22">
        <v>45512.8489351852</v>
      </c>
      <c r="H3160" s="23">
        <v>737.98</v>
      </c>
      <c r="I3160" s="23">
        <v>737.98</v>
      </c>
      <c r="J3160" s="24">
        <v>0</v>
      </c>
      <c r="K3160" s="21">
        <v>0</v>
      </c>
      <c r="L3160" s="21">
        <v>0</v>
      </c>
      <c r="M3160" s="21">
        <f>COUNTIF($A$2:$A$5481,A3160)</f>
        <v>2</v>
      </c>
      <c r="N3160" s="24">
        <f t="shared" si="49"/>
        <v>0.000316</v>
      </c>
    </row>
    <row r="3161" spans="1:14">
      <c r="A3161" s="21" t="s">
        <v>215</v>
      </c>
      <c r="B3161" s="21" t="s">
        <v>920</v>
      </c>
      <c r="C3161" s="21" t="s">
        <v>26</v>
      </c>
      <c r="D3161" s="21" t="s">
        <v>921</v>
      </c>
      <c r="E3161" s="21">
        <v>0</v>
      </c>
      <c r="F3161" s="22">
        <v>46043.6871990741</v>
      </c>
      <c r="G3161" s="22">
        <v>46051.5740625</v>
      </c>
      <c r="H3161" s="23">
        <v>436</v>
      </c>
      <c r="I3161" s="23">
        <v>436</v>
      </c>
      <c r="J3161" s="24">
        <v>0</v>
      </c>
      <c r="K3161" s="21">
        <v>0</v>
      </c>
      <c r="L3161" s="21">
        <v>0</v>
      </c>
      <c r="M3161" s="21">
        <f>COUNTIF($A$2:$A$5481,A3161)</f>
        <v>2</v>
      </c>
      <c r="N3161" s="24">
        <f t="shared" si="49"/>
        <v>0.0003161</v>
      </c>
    </row>
    <row r="3162" spans="1:14">
      <c r="A3162" s="21" t="s">
        <v>216</v>
      </c>
      <c r="B3162" s="21" t="s">
        <v>920</v>
      </c>
      <c r="C3162" s="21" t="s">
        <v>35</v>
      </c>
      <c r="D3162" s="21" t="s">
        <v>921</v>
      </c>
      <c r="E3162" s="21">
        <v>0</v>
      </c>
      <c r="F3162" s="22">
        <v>45507.5927893519</v>
      </c>
      <c r="G3162" s="22">
        <v>45691.5521643519</v>
      </c>
      <c r="H3162" s="23">
        <v>766.37</v>
      </c>
      <c r="I3162" s="23">
        <v>766.37</v>
      </c>
      <c r="J3162" s="24">
        <v>0</v>
      </c>
      <c r="K3162" s="21">
        <v>0</v>
      </c>
      <c r="L3162" s="21">
        <v>0</v>
      </c>
      <c r="M3162" s="21">
        <f>COUNTIF($A$2:$A$5481,A3162)</f>
        <v>2</v>
      </c>
      <c r="N3162" s="24">
        <f t="shared" si="49"/>
        <v>0.0003162</v>
      </c>
    </row>
    <row r="3163" spans="1:14">
      <c r="A3163" s="21" t="s">
        <v>216</v>
      </c>
      <c r="B3163" s="21" t="s">
        <v>920</v>
      </c>
      <c r="C3163" s="21" t="s">
        <v>26</v>
      </c>
      <c r="D3163" s="21" t="s">
        <v>921</v>
      </c>
      <c r="E3163" s="21">
        <v>0</v>
      </c>
      <c r="F3163" s="22">
        <v>46043.6871990741</v>
      </c>
      <c r="G3163" s="22">
        <v>46051.5740740741</v>
      </c>
      <c r="H3163" s="23">
        <v>436</v>
      </c>
      <c r="I3163" s="23">
        <v>436</v>
      </c>
      <c r="J3163" s="24">
        <v>0</v>
      </c>
      <c r="K3163" s="21">
        <v>0</v>
      </c>
      <c r="L3163" s="21">
        <v>0</v>
      </c>
      <c r="M3163" s="21">
        <f>COUNTIF($A$2:$A$5481,A3163)</f>
        <v>2</v>
      </c>
      <c r="N3163" s="24">
        <f t="shared" si="49"/>
        <v>0.0003163</v>
      </c>
    </row>
    <row r="3164" spans="1:14">
      <c r="A3164" s="21" t="s">
        <v>358</v>
      </c>
      <c r="B3164" s="21" t="s">
        <v>920</v>
      </c>
      <c r="C3164" s="21" t="s">
        <v>35</v>
      </c>
      <c r="D3164" s="21" t="s">
        <v>921</v>
      </c>
      <c r="E3164" s="21">
        <v>0</v>
      </c>
      <c r="F3164" s="22">
        <v>45545.3672453704</v>
      </c>
      <c r="G3164" s="22">
        <v>45958.4433796296</v>
      </c>
      <c r="H3164" s="23">
        <v>941.84</v>
      </c>
      <c r="I3164" s="23">
        <v>473.94667</v>
      </c>
      <c r="J3164" s="24">
        <v>0</v>
      </c>
      <c r="K3164" s="21">
        <v>0</v>
      </c>
      <c r="L3164" s="21">
        <v>0</v>
      </c>
      <c r="M3164" s="21">
        <f>COUNTIF($A$2:$A$5481,A3164)</f>
        <v>2</v>
      </c>
      <c r="N3164" s="24">
        <f t="shared" si="49"/>
        <v>0.0003164</v>
      </c>
    </row>
    <row r="3165" spans="1:14">
      <c r="A3165" s="21" t="s">
        <v>358</v>
      </c>
      <c r="B3165" s="21" t="s">
        <v>920</v>
      </c>
      <c r="C3165" s="21" t="s">
        <v>26</v>
      </c>
      <c r="D3165" s="21" t="s">
        <v>921</v>
      </c>
      <c r="E3165" s="21">
        <v>2</v>
      </c>
      <c r="F3165" s="22">
        <v>46118.7167708333</v>
      </c>
      <c r="G3165" s="22">
        <v>46205.6062037037</v>
      </c>
      <c r="H3165" s="23">
        <v>795</v>
      </c>
      <c r="I3165" s="23">
        <v>344.4</v>
      </c>
      <c r="J3165" s="24">
        <v>688.8</v>
      </c>
      <c r="K3165" s="21">
        <v>0</v>
      </c>
      <c r="L3165" s="21">
        <v>0</v>
      </c>
      <c r="M3165" s="21">
        <f>COUNTIF($A$2:$A$5481,A3165)</f>
        <v>2</v>
      </c>
      <c r="N3165" s="24">
        <f t="shared" si="49"/>
        <v>688.8003165</v>
      </c>
    </row>
    <row r="3166" spans="1:14">
      <c r="A3166" s="21" t="s">
        <v>178</v>
      </c>
      <c r="B3166" s="21" t="s">
        <v>920</v>
      </c>
      <c r="C3166" s="21" t="s">
        <v>35</v>
      </c>
      <c r="D3166" s="21" t="s">
        <v>931</v>
      </c>
      <c r="E3166" s="21">
        <v>1</v>
      </c>
      <c r="F3166" s="22">
        <v>45545.3672453704</v>
      </c>
      <c r="G3166" s="22">
        <v>45579.7115509259</v>
      </c>
      <c r="H3166" s="23">
        <v>941.84</v>
      </c>
      <c r="I3166" s="23">
        <v>473.94667</v>
      </c>
      <c r="J3166" s="24">
        <v>473.95</v>
      </c>
      <c r="K3166" s="21">
        <v>0</v>
      </c>
      <c r="L3166" s="21">
        <v>0</v>
      </c>
      <c r="M3166" s="21">
        <f>COUNTIF($A$2:$A$5481,A3166)</f>
        <v>2</v>
      </c>
      <c r="N3166" s="24">
        <f t="shared" si="49"/>
        <v>473.9503166</v>
      </c>
    </row>
    <row r="3167" spans="1:14">
      <c r="A3167" s="21" t="s">
        <v>178</v>
      </c>
      <c r="B3167" s="21" t="s">
        <v>920</v>
      </c>
      <c r="C3167" s="21" t="s">
        <v>26</v>
      </c>
      <c r="D3167" s="21" t="s">
        <v>931</v>
      </c>
      <c r="E3167" s="21">
        <v>1</v>
      </c>
      <c r="F3167" s="22">
        <v>46118.7167708333</v>
      </c>
      <c r="G3167" s="22">
        <v>46122.3947800926</v>
      </c>
      <c r="H3167" s="23">
        <v>795</v>
      </c>
      <c r="I3167" s="23">
        <v>397.5</v>
      </c>
      <c r="J3167" s="24">
        <v>397.5</v>
      </c>
      <c r="K3167" s="21">
        <v>0</v>
      </c>
      <c r="L3167" s="21">
        <v>0</v>
      </c>
      <c r="M3167" s="21">
        <f>COUNTIF($A$2:$A$5481,A3167)</f>
        <v>2</v>
      </c>
      <c r="N3167" s="24">
        <f t="shared" si="49"/>
        <v>397.5003167</v>
      </c>
    </row>
    <row r="3168" spans="1:14">
      <c r="A3168" s="21" t="s">
        <v>3196</v>
      </c>
      <c r="B3168" s="21" t="s">
        <v>920</v>
      </c>
      <c r="C3168" s="21" t="s">
        <v>35</v>
      </c>
      <c r="D3168" s="21" t="s">
        <v>931</v>
      </c>
      <c r="E3168" s="21">
        <v>0</v>
      </c>
      <c r="F3168" s="22">
        <v>45608.3634259259</v>
      </c>
      <c r="G3168" s="22">
        <v>45715.8707986111</v>
      </c>
      <c r="H3168" s="23">
        <v>400</v>
      </c>
      <c r="I3168" s="23">
        <v>400</v>
      </c>
      <c r="J3168" s="24">
        <v>0</v>
      </c>
      <c r="K3168" s="21">
        <v>0</v>
      </c>
      <c r="L3168" s="21">
        <v>0</v>
      </c>
      <c r="M3168" s="21">
        <f>COUNTIF($A$2:$A$5481,A3168)</f>
        <v>1</v>
      </c>
      <c r="N3168" s="24">
        <f t="shared" si="49"/>
        <v>0.0003168</v>
      </c>
    </row>
    <row r="3169" spans="1:14">
      <c r="A3169" s="21" t="s">
        <v>3197</v>
      </c>
      <c r="B3169" s="21" t="s">
        <v>920</v>
      </c>
      <c r="C3169" s="21" t="s">
        <v>35</v>
      </c>
      <c r="D3169" s="21" t="s">
        <v>931</v>
      </c>
      <c r="E3169" s="21">
        <v>0</v>
      </c>
      <c r="F3169" s="22">
        <v>45581.5442824074</v>
      </c>
      <c r="G3169" s="22">
        <v>45587.4649768519</v>
      </c>
      <c r="H3169" s="23">
        <v>920</v>
      </c>
      <c r="I3169" s="23">
        <v>920</v>
      </c>
      <c r="J3169" s="24">
        <v>0</v>
      </c>
      <c r="K3169" s="21">
        <v>0</v>
      </c>
      <c r="L3169" s="21">
        <v>0</v>
      </c>
      <c r="M3169" s="21">
        <f>COUNTIF($A$2:$A$5481,A3169)</f>
        <v>1</v>
      </c>
      <c r="N3169" s="24">
        <f t="shared" si="49"/>
        <v>0.0003169</v>
      </c>
    </row>
    <row r="3170" spans="1:14">
      <c r="A3170" s="21" t="s">
        <v>3198</v>
      </c>
      <c r="B3170" s="21" t="s">
        <v>26</v>
      </c>
      <c r="C3170" s="21" t="s">
        <v>26</v>
      </c>
      <c r="D3170" s="21" t="s">
        <v>921</v>
      </c>
      <c r="E3170" s="21">
        <v>2</v>
      </c>
      <c r="F3170" s="22">
        <v>45833.4474189815</v>
      </c>
      <c r="G3170" s="22"/>
      <c r="H3170" s="23">
        <v>19.38</v>
      </c>
      <c r="I3170" s="23">
        <v>9.69</v>
      </c>
      <c r="J3170" s="24">
        <v>19.38</v>
      </c>
      <c r="K3170" s="21">
        <v>0</v>
      </c>
      <c r="L3170" s="21">
        <v>0</v>
      </c>
      <c r="M3170" s="21">
        <f>COUNTIF($A$2:$A$5481,A3170)</f>
        <v>1</v>
      </c>
      <c r="N3170" s="24">
        <f t="shared" si="49"/>
        <v>19.380317</v>
      </c>
    </row>
    <row r="3171" spans="1:14">
      <c r="A3171" s="21" t="s">
        <v>3199</v>
      </c>
      <c r="B3171" s="21" t="s">
        <v>949</v>
      </c>
      <c r="C3171" s="21" t="s">
        <v>182</v>
      </c>
      <c r="D3171" s="21" t="s">
        <v>921</v>
      </c>
      <c r="E3171" s="21">
        <v>30</v>
      </c>
      <c r="F3171" s="22">
        <v>45323.3763888889</v>
      </c>
      <c r="G3171" s="22">
        <v>45303.4838078704</v>
      </c>
      <c r="H3171" s="23">
        <v>161.7</v>
      </c>
      <c r="I3171" s="23">
        <v>5.39</v>
      </c>
      <c r="J3171" s="24">
        <v>161.7</v>
      </c>
      <c r="K3171" s="21">
        <v>0</v>
      </c>
      <c r="L3171" s="21">
        <v>0</v>
      </c>
      <c r="M3171" s="21">
        <f>COUNTIF($A$2:$A$5481,A3171)</f>
        <v>1</v>
      </c>
      <c r="N3171" s="24">
        <f t="shared" si="49"/>
        <v>161.7003171</v>
      </c>
    </row>
    <row r="3172" spans="1:14">
      <c r="A3172" s="21" t="s">
        <v>3200</v>
      </c>
      <c r="B3172" s="21" t="s">
        <v>949</v>
      </c>
      <c r="C3172" s="21" t="s">
        <v>182</v>
      </c>
      <c r="D3172" s="21" t="s">
        <v>921</v>
      </c>
      <c r="E3172" s="21">
        <v>0</v>
      </c>
      <c r="F3172" s="22">
        <v>45310.6805555556</v>
      </c>
      <c r="G3172" s="22">
        <v>45316.4557291667</v>
      </c>
      <c r="H3172" s="23">
        <v>17.37</v>
      </c>
      <c r="I3172" s="23">
        <v>5.79</v>
      </c>
      <c r="J3172" s="24">
        <v>0</v>
      </c>
      <c r="K3172" s="21">
        <v>0</v>
      </c>
      <c r="L3172" s="21">
        <v>0</v>
      </c>
      <c r="M3172" s="21">
        <f>COUNTIF($A$2:$A$5481,A3172)</f>
        <v>2</v>
      </c>
      <c r="N3172" s="24">
        <f t="shared" si="49"/>
        <v>0.0003172</v>
      </c>
    </row>
    <row r="3173" spans="1:14">
      <c r="A3173" s="21" t="s">
        <v>3200</v>
      </c>
      <c r="B3173" s="21" t="s">
        <v>949</v>
      </c>
      <c r="C3173" s="21" t="s">
        <v>26</v>
      </c>
      <c r="D3173" s="21" t="s">
        <v>921</v>
      </c>
      <c r="E3173" s="21">
        <v>0</v>
      </c>
      <c r="F3173" s="22">
        <v>45329.6798611111</v>
      </c>
      <c r="G3173" s="22">
        <v>45331.4110763889</v>
      </c>
      <c r="H3173" s="23">
        <v>9.9</v>
      </c>
      <c r="I3173" s="23">
        <v>4.95</v>
      </c>
      <c r="J3173" s="24">
        <v>0</v>
      </c>
      <c r="K3173" s="21">
        <v>0</v>
      </c>
      <c r="L3173" s="21">
        <v>0</v>
      </c>
      <c r="M3173" s="21">
        <f>COUNTIF($A$2:$A$5481,A3173)</f>
        <v>2</v>
      </c>
      <c r="N3173" s="24">
        <f t="shared" si="49"/>
        <v>0.0003173</v>
      </c>
    </row>
    <row r="3174" spans="1:14">
      <c r="A3174" s="21" t="s">
        <v>3201</v>
      </c>
      <c r="B3174" s="21" t="s">
        <v>26</v>
      </c>
      <c r="C3174" s="21" t="s">
        <v>26</v>
      </c>
      <c r="D3174" s="21" t="s">
        <v>921</v>
      </c>
      <c r="E3174" s="21">
        <v>11</v>
      </c>
      <c r="F3174" s="22">
        <v>46003.4180092593</v>
      </c>
      <c r="G3174" s="22"/>
      <c r="H3174" s="23">
        <v>119.5</v>
      </c>
      <c r="I3174" s="23">
        <v>12.0590909091</v>
      </c>
      <c r="J3174" s="24">
        <v>132.66</v>
      </c>
      <c r="K3174" s="21">
        <v>0</v>
      </c>
      <c r="L3174" s="21">
        <v>0</v>
      </c>
      <c r="M3174" s="21">
        <f>COUNTIF($A$2:$A$5481,A3174)</f>
        <v>1</v>
      </c>
      <c r="N3174" s="24">
        <f t="shared" si="49"/>
        <v>132.6603174</v>
      </c>
    </row>
    <row r="3175" spans="1:14">
      <c r="A3175" s="21" t="s">
        <v>3202</v>
      </c>
      <c r="B3175" s="21" t="s">
        <v>929</v>
      </c>
      <c r="C3175" s="21" t="s">
        <v>414</v>
      </c>
      <c r="D3175" s="21" t="s">
        <v>921</v>
      </c>
      <c r="E3175" s="21">
        <v>4</v>
      </c>
      <c r="F3175" s="22">
        <v>46253.5125</v>
      </c>
      <c r="G3175" s="22"/>
      <c r="H3175" s="23">
        <v>23.24</v>
      </c>
      <c r="I3175" s="23">
        <v>5.81</v>
      </c>
      <c r="J3175" s="24">
        <v>23.24</v>
      </c>
      <c r="K3175" s="21">
        <v>0</v>
      </c>
      <c r="L3175" s="21">
        <v>0</v>
      </c>
      <c r="M3175" s="21">
        <f>COUNTIF($A$2:$A$5481,A3175)</f>
        <v>1</v>
      </c>
      <c r="N3175" s="24">
        <f t="shared" si="49"/>
        <v>23.2403175</v>
      </c>
    </row>
    <row r="3176" spans="1:14">
      <c r="A3176" s="21" t="s">
        <v>857</v>
      </c>
      <c r="B3176" s="21" t="s">
        <v>929</v>
      </c>
      <c r="C3176" s="21" t="s">
        <v>414</v>
      </c>
      <c r="D3176" s="21" t="s">
        <v>921</v>
      </c>
      <c r="E3176" s="21">
        <v>3</v>
      </c>
      <c r="F3176" s="22">
        <v>46253.5125</v>
      </c>
      <c r="G3176" s="22">
        <v>46267.4071643519</v>
      </c>
      <c r="H3176" s="23">
        <v>187.88</v>
      </c>
      <c r="I3176" s="23">
        <v>46.97</v>
      </c>
      <c r="J3176" s="24">
        <v>140.91</v>
      </c>
      <c r="K3176" s="21">
        <v>0</v>
      </c>
      <c r="L3176" s="21">
        <v>0</v>
      </c>
      <c r="M3176" s="21">
        <f>COUNTIF($A$2:$A$5481,A3176)</f>
        <v>1</v>
      </c>
      <c r="N3176" s="24">
        <f t="shared" si="49"/>
        <v>140.9103176</v>
      </c>
    </row>
    <row r="3177" spans="1:14">
      <c r="A3177" s="21" t="s">
        <v>218</v>
      </c>
      <c r="B3177" s="21" t="s">
        <v>920</v>
      </c>
      <c r="C3177" s="21" t="s">
        <v>35</v>
      </c>
      <c r="D3177" s="21" t="s">
        <v>921</v>
      </c>
      <c r="E3177" s="21">
        <v>45</v>
      </c>
      <c r="F3177" s="22">
        <v>45945.3855324074</v>
      </c>
      <c r="G3177" s="22">
        <v>46248.6344444445</v>
      </c>
      <c r="H3177" s="23">
        <v>3250</v>
      </c>
      <c r="I3177" s="23">
        <v>66.0968396226</v>
      </c>
      <c r="J3177" s="24">
        <v>2974.5</v>
      </c>
      <c r="K3177" s="21">
        <v>0</v>
      </c>
      <c r="L3177" s="21">
        <v>0</v>
      </c>
      <c r="M3177" s="21">
        <f>COUNTIF($A$2:$A$5481,A3177)</f>
        <v>2</v>
      </c>
      <c r="N3177" s="24">
        <f t="shared" si="49"/>
        <v>2974.5003177</v>
      </c>
    </row>
    <row r="3178" spans="1:14">
      <c r="A3178" s="21" t="s">
        <v>218</v>
      </c>
      <c r="B3178" s="21" t="s">
        <v>920</v>
      </c>
      <c r="C3178" s="21" t="s">
        <v>26</v>
      </c>
      <c r="D3178" s="21" t="s">
        <v>921</v>
      </c>
      <c r="E3178" s="21">
        <v>0</v>
      </c>
      <c r="F3178" s="22">
        <v>45946.6978356482</v>
      </c>
      <c r="G3178" s="22">
        <v>46154.3706365741</v>
      </c>
      <c r="H3178" s="23">
        <v>196</v>
      </c>
      <c r="I3178" s="23">
        <v>82.29414</v>
      </c>
      <c r="J3178" s="24">
        <v>0</v>
      </c>
      <c r="K3178" s="21">
        <v>0</v>
      </c>
      <c r="L3178" s="21">
        <v>0</v>
      </c>
      <c r="M3178" s="21">
        <f>COUNTIF($A$2:$A$5481,A3178)</f>
        <v>2</v>
      </c>
      <c r="N3178" s="24">
        <f t="shared" si="49"/>
        <v>0.0003178</v>
      </c>
    </row>
    <row r="3179" spans="1:14">
      <c r="A3179" s="21" t="s">
        <v>3203</v>
      </c>
      <c r="B3179" s="21" t="s">
        <v>948</v>
      </c>
      <c r="C3179" s="21" t="s">
        <v>26</v>
      </c>
      <c r="D3179" s="21" t="s">
        <v>921</v>
      </c>
      <c r="E3179" s="21">
        <v>5</v>
      </c>
      <c r="F3179" s="22">
        <v>45895.5674421296</v>
      </c>
      <c r="G3179" s="22"/>
      <c r="H3179" s="23">
        <v>55.18</v>
      </c>
      <c r="I3179" s="23">
        <v>47.414</v>
      </c>
      <c r="J3179" s="24">
        <v>237.05</v>
      </c>
      <c r="K3179" s="21">
        <v>0</v>
      </c>
      <c r="L3179" s="21">
        <v>0</v>
      </c>
      <c r="M3179" s="21">
        <f>COUNTIF($A$2:$A$5481,A3179)</f>
        <v>1</v>
      </c>
      <c r="N3179" s="24">
        <f t="shared" si="49"/>
        <v>237.0503179</v>
      </c>
    </row>
    <row r="3180" spans="1:14">
      <c r="A3180" s="21" t="s">
        <v>3204</v>
      </c>
      <c r="B3180" s="21" t="s">
        <v>949</v>
      </c>
      <c r="C3180" s="21" t="s">
        <v>182</v>
      </c>
      <c r="D3180" s="21" t="s">
        <v>921</v>
      </c>
      <c r="E3180" s="21">
        <v>1</v>
      </c>
      <c r="F3180" s="22">
        <v>45342.8101967593</v>
      </c>
      <c r="G3180" s="22"/>
      <c r="H3180" s="23">
        <v>95.9</v>
      </c>
      <c r="I3180" s="23">
        <v>95.9</v>
      </c>
      <c r="J3180" s="24">
        <v>95.9</v>
      </c>
      <c r="K3180" s="21">
        <v>0</v>
      </c>
      <c r="L3180" s="21">
        <v>0</v>
      </c>
      <c r="M3180" s="21">
        <f>COUNTIF($A$2:$A$5481,A3180)</f>
        <v>1</v>
      </c>
      <c r="N3180" s="24">
        <f t="shared" si="49"/>
        <v>95.900318</v>
      </c>
    </row>
    <row r="3181" spans="1:14">
      <c r="A3181" s="21" t="s">
        <v>3205</v>
      </c>
      <c r="B3181" s="21" t="s">
        <v>1346</v>
      </c>
      <c r="C3181" s="21" t="s">
        <v>390</v>
      </c>
      <c r="D3181" s="21" t="s">
        <v>921</v>
      </c>
      <c r="E3181" s="21">
        <v>1</v>
      </c>
      <c r="F3181" s="22">
        <v>46134.3965277778</v>
      </c>
      <c r="G3181" s="22"/>
      <c r="H3181" s="23">
        <v>183</v>
      </c>
      <c r="I3181" s="23">
        <v>183</v>
      </c>
      <c r="J3181" s="24">
        <v>183</v>
      </c>
      <c r="K3181" s="21">
        <v>0</v>
      </c>
      <c r="L3181" s="21">
        <v>0</v>
      </c>
      <c r="M3181" s="21">
        <f>COUNTIF($A$2:$A$5481,A3181)</f>
        <v>1</v>
      </c>
      <c r="N3181" s="24">
        <f t="shared" si="49"/>
        <v>183.0003181</v>
      </c>
    </row>
    <row r="3182" spans="1:14">
      <c r="A3182" s="21" t="s">
        <v>3206</v>
      </c>
      <c r="B3182" s="21" t="s">
        <v>1510</v>
      </c>
      <c r="C3182" s="21" t="s">
        <v>26</v>
      </c>
      <c r="D3182" s="21" t="s">
        <v>921</v>
      </c>
      <c r="E3182" s="21">
        <v>6</v>
      </c>
      <c r="F3182" s="22">
        <v>46077.3985185185</v>
      </c>
      <c r="G3182" s="22"/>
      <c r="H3182" s="23">
        <v>407.4</v>
      </c>
      <c r="I3182" s="23">
        <v>67.9</v>
      </c>
      <c r="J3182" s="24">
        <v>407.4</v>
      </c>
      <c r="K3182" s="21">
        <v>0</v>
      </c>
      <c r="L3182" s="21">
        <v>0</v>
      </c>
      <c r="M3182" s="21">
        <f>COUNTIF($A$2:$A$5481,A3182)</f>
        <v>1</v>
      </c>
      <c r="N3182" s="24">
        <f t="shared" si="49"/>
        <v>407.4003182</v>
      </c>
    </row>
    <row r="3183" spans="1:14">
      <c r="A3183" s="21" t="s">
        <v>3207</v>
      </c>
      <c r="B3183" s="21" t="s">
        <v>1346</v>
      </c>
      <c r="C3183" s="21" t="s">
        <v>390</v>
      </c>
      <c r="D3183" s="21" t="s">
        <v>921</v>
      </c>
      <c r="E3183" s="21">
        <v>36</v>
      </c>
      <c r="F3183" s="22">
        <v>45411.6260069445</v>
      </c>
      <c r="G3183" s="22"/>
      <c r="H3183" s="23">
        <v>1195.2</v>
      </c>
      <c r="I3183" s="23">
        <v>33.2</v>
      </c>
      <c r="J3183" s="24">
        <v>1195.2</v>
      </c>
      <c r="K3183" s="21">
        <v>0</v>
      </c>
      <c r="L3183" s="21">
        <v>0</v>
      </c>
      <c r="M3183" s="21">
        <f>COUNTIF($A$2:$A$5481,A3183)</f>
        <v>1</v>
      </c>
      <c r="N3183" s="24">
        <f t="shared" si="49"/>
        <v>1195.2003183</v>
      </c>
    </row>
    <row r="3184" spans="1:14">
      <c r="A3184" s="21" t="s">
        <v>3208</v>
      </c>
      <c r="B3184" s="21" t="s">
        <v>949</v>
      </c>
      <c r="C3184" s="21" t="s">
        <v>182</v>
      </c>
      <c r="D3184" s="21" t="s">
        <v>921</v>
      </c>
      <c r="E3184" s="21">
        <v>0</v>
      </c>
      <c r="F3184" s="22">
        <v>45355.6104166667</v>
      </c>
      <c r="G3184" s="22">
        <v>45357.4119328704</v>
      </c>
      <c r="H3184" s="23">
        <v>6.3</v>
      </c>
      <c r="I3184" s="23">
        <v>6.3</v>
      </c>
      <c r="J3184" s="24">
        <v>0</v>
      </c>
      <c r="K3184" s="21">
        <v>0</v>
      </c>
      <c r="L3184" s="21">
        <v>0</v>
      </c>
      <c r="M3184" s="21">
        <f>COUNTIF($A$2:$A$5481,A3184)</f>
        <v>1</v>
      </c>
      <c r="N3184" s="24">
        <f t="shared" si="49"/>
        <v>0.0003184</v>
      </c>
    </row>
    <row r="3185" spans="1:14">
      <c r="A3185" s="21" t="s">
        <v>3209</v>
      </c>
      <c r="B3185" s="21" t="s">
        <v>949</v>
      </c>
      <c r="C3185" s="21" t="s">
        <v>26</v>
      </c>
      <c r="D3185" s="21" t="s">
        <v>921</v>
      </c>
      <c r="E3185" s="21">
        <v>2</v>
      </c>
      <c r="F3185" s="22">
        <v>45432.8355439815</v>
      </c>
      <c r="G3185" s="22"/>
      <c r="H3185" s="23">
        <v>31.8</v>
      </c>
      <c r="I3185" s="23">
        <v>15.9</v>
      </c>
      <c r="J3185" s="24">
        <v>31.8</v>
      </c>
      <c r="K3185" s="21">
        <v>0</v>
      </c>
      <c r="L3185" s="21">
        <v>0</v>
      </c>
      <c r="M3185" s="21">
        <f>COUNTIF($A$2:$A$5481,A3185)</f>
        <v>1</v>
      </c>
      <c r="N3185" s="24">
        <f t="shared" si="49"/>
        <v>31.8003185</v>
      </c>
    </row>
    <row r="3186" spans="1:14">
      <c r="A3186" s="21" t="s">
        <v>3210</v>
      </c>
      <c r="B3186" s="21" t="s">
        <v>949</v>
      </c>
      <c r="C3186" s="21" t="s">
        <v>26</v>
      </c>
      <c r="D3186" s="21" t="s">
        <v>921</v>
      </c>
      <c r="E3186" s="21">
        <v>36</v>
      </c>
      <c r="F3186" s="22">
        <v>46006.3757986111</v>
      </c>
      <c r="G3186" s="22"/>
      <c r="H3186" s="23">
        <v>162</v>
      </c>
      <c r="I3186" s="23">
        <v>4.5</v>
      </c>
      <c r="J3186" s="24">
        <v>162</v>
      </c>
      <c r="K3186" s="21">
        <v>0</v>
      </c>
      <c r="L3186" s="21">
        <v>0</v>
      </c>
      <c r="M3186" s="21">
        <f>COUNTIF($A$2:$A$5481,A3186)</f>
        <v>1</v>
      </c>
      <c r="N3186" s="24">
        <f t="shared" si="49"/>
        <v>162.0003186</v>
      </c>
    </row>
    <row r="3187" spans="1:14">
      <c r="A3187" s="21" t="s">
        <v>3211</v>
      </c>
      <c r="B3187" s="21" t="s">
        <v>26</v>
      </c>
      <c r="C3187" s="21" t="s">
        <v>26</v>
      </c>
      <c r="D3187" s="21" t="s">
        <v>921</v>
      </c>
      <c r="E3187" s="21">
        <v>3</v>
      </c>
      <c r="F3187" s="22">
        <v>45646.4635069444</v>
      </c>
      <c r="G3187" s="22"/>
      <c r="H3187" s="23">
        <v>540</v>
      </c>
      <c r="I3187" s="23">
        <v>180</v>
      </c>
      <c r="J3187" s="24">
        <v>540</v>
      </c>
      <c r="K3187" s="21">
        <v>0</v>
      </c>
      <c r="L3187" s="21">
        <v>0</v>
      </c>
      <c r="M3187" s="21">
        <f>COUNTIF($A$2:$A$5481,A3187)</f>
        <v>1</v>
      </c>
      <c r="N3187" s="24">
        <f t="shared" si="49"/>
        <v>540.0003187</v>
      </c>
    </row>
    <row r="3188" spans="1:14">
      <c r="A3188" s="21" t="s">
        <v>3212</v>
      </c>
      <c r="B3188" s="21" t="s">
        <v>1510</v>
      </c>
      <c r="C3188" s="21" t="s">
        <v>390</v>
      </c>
      <c r="D3188" s="21" t="s">
        <v>921</v>
      </c>
      <c r="E3188" s="21">
        <v>12</v>
      </c>
      <c r="F3188" s="22">
        <v>45590.6208333333</v>
      </c>
      <c r="G3188" s="22"/>
      <c r="H3188" s="23">
        <v>713.64</v>
      </c>
      <c r="I3188" s="23">
        <v>59.47</v>
      </c>
      <c r="J3188" s="24">
        <v>713.64</v>
      </c>
      <c r="K3188" s="21">
        <v>0</v>
      </c>
      <c r="L3188" s="21">
        <v>0</v>
      </c>
      <c r="M3188" s="21">
        <f>COUNTIF($A$2:$A$5481,A3188)</f>
        <v>1</v>
      </c>
      <c r="N3188" s="24">
        <f t="shared" si="49"/>
        <v>713.6403188</v>
      </c>
    </row>
    <row r="3189" spans="1:14">
      <c r="A3189" s="21" t="s">
        <v>3213</v>
      </c>
      <c r="B3189" s="21" t="s">
        <v>1510</v>
      </c>
      <c r="C3189" s="21" t="s">
        <v>390</v>
      </c>
      <c r="D3189" s="21" t="s">
        <v>921</v>
      </c>
      <c r="E3189" s="21">
        <v>24</v>
      </c>
      <c r="F3189" s="22">
        <v>45590.6208333333</v>
      </c>
      <c r="G3189" s="22"/>
      <c r="H3189" s="23">
        <v>1427.28</v>
      </c>
      <c r="I3189" s="23">
        <v>59.47</v>
      </c>
      <c r="J3189" s="24">
        <v>1427.28</v>
      </c>
      <c r="K3189" s="21">
        <v>0</v>
      </c>
      <c r="L3189" s="21">
        <v>0</v>
      </c>
      <c r="M3189" s="21">
        <f>COUNTIF($A$2:$A$5481,A3189)</f>
        <v>1</v>
      </c>
      <c r="N3189" s="24">
        <f t="shared" si="49"/>
        <v>1427.2803189</v>
      </c>
    </row>
    <row r="3190" spans="1:14">
      <c r="A3190" s="21" t="s">
        <v>3214</v>
      </c>
      <c r="B3190" s="21" t="s">
        <v>1346</v>
      </c>
      <c r="C3190" s="21" t="s">
        <v>390</v>
      </c>
      <c r="D3190" s="21" t="s">
        <v>921</v>
      </c>
      <c r="E3190" s="21">
        <v>54</v>
      </c>
      <c r="F3190" s="22">
        <v>46161.5909722222</v>
      </c>
      <c r="G3190" s="22"/>
      <c r="H3190" s="23">
        <v>360</v>
      </c>
      <c r="I3190" s="23">
        <v>36.1777777778</v>
      </c>
      <c r="J3190" s="24">
        <v>1953.72</v>
      </c>
      <c r="K3190" s="21">
        <v>0</v>
      </c>
      <c r="L3190" s="21">
        <v>0</v>
      </c>
      <c r="M3190" s="21">
        <f>COUNTIF($A$2:$A$5481,A3190)</f>
        <v>1</v>
      </c>
      <c r="N3190" s="24">
        <f t="shared" si="49"/>
        <v>1953.720319</v>
      </c>
    </row>
    <row r="3191" spans="1:14">
      <c r="A3191" s="21" t="s">
        <v>3215</v>
      </c>
      <c r="B3191" s="21" t="s">
        <v>26</v>
      </c>
      <c r="C3191" s="21" t="s">
        <v>26</v>
      </c>
      <c r="D3191" s="21" t="s">
        <v>921</v>
      </c>
      <c r="E3191" s="21">
        <v>4</v>
      </c>
      <c r="F3191" s="22">
        <v>45565.3647106482</v>
      </c>
      <c r="G3191" s="22"/>
      <c r="H3191" s="23">
        <v>41.8</v>
      </c>
      <c r="I3191" s="23">
        <v>20.9</v>
      </c>
      <c r="J3191" s="24">
        <v>83.6</v>
      </c>
      <c r="K3191" s="21">
        <v>0</v>
      </c>
      <c r="L3191" s="21">
        <v>0</v>
      </c>
      <c r="M3191" s="21">
        <f>COUNTIF($A$2:$A$5481,A3191)</f>
        <v>1</v>
      </c>
      <c r="N3191" s="24">
        <f t="shared" si="49"/>
        <v>83.6003191</v>
      </c>
    </row>
    <row r="3192" spans="1:14">
      <c r="A3192" s="21" t="s">
        <v>779</v>
      </c>
      <c r="B3192" s="21" t="s">
        <v>1115</v>
      </c>
      <c r="C3192" s="21" t="s">
        <v>26</v>
      </c>
      <c r="D3192" s="21" t="s">
        <v>921</v>
      </c>
      <c r="E3192" s="21">
        <v>0</v>
      </c>
      <c r="F3192" s="22">
        <v>45692.4096296296</v>
      </c>
      <c r="G3192" s="22">
        <v>46253.3532638889</v>
      </c>
      <c r="H3192" s="23">
        <v>14.88</v>
      </c>
      <c r="I3192" s="23">
        <v>1.24</v>
      </c>
      <c r="J3192" s="24">
        <v>0</v>
      </c>
      <c r="K3192" s="21">
        <v>0</v>
      </c>
      <c r="L3192" s="21">
        <v>0</v>
      </c>
      <c r="M3192" s="21">
        <f>COUNTIF($A$2:$A$5481,A3192)</f>
        <v>2</v>
      </c>
      <c r="N3192" s="24">
        <f t="shared" si="49"/>
        <v>0.0003192</v>
      </c>
    </row>
    <row r="3193" spans="1:14">
      <c r="A3193" s="21" t="s">
        <v>779</v>
      </c>
      <c r="B3193" s="21" t="s">
        <v>1115</v>
      </c>
      <c r="C3193" s="21" t="s">
        <v>182</v>
      </c>
      <c r="D3193" s="21" t="s">
        <v>921</v>
      </c>
      <c r="E3193" s="21">
        <v>9</v>
      </c>
      <c r="F3193" s="22">
        <v>46260.4125</v>
      </c>
      <c r="G3193" s="22">
        <v>46280.5769675926</v>
      </c>
      <c r="H3193" s="23">
        <v>22.3</v>
      </c>
      <c r="I3193" s="23">
        <v>2.23</v>
      </c>
      <c r="J3193" s="24">
        <v>20.07</v>
      </c>
      <c r="K3193" s="21">
        <v>0</v>
      </c>
      <c r="L3193" s="21">
        <v>0</v>
      </c>
      <c r="M3193" s="21">
        <f>COUNTIF($A$2:$A$5481,A3193)</f>
        <v>2</v>
      </c>
      <c r="N3193" s="24">
        <f t="shared" si="49"/>
        <v>20.0703193</v>
      </c>
    </row>
    <row r="3194" spans="1:14">
      <c r="A3194" s="21" t="s">
        <v>3216</v>
      </c>
      <c r="B3194" s="21" t="s">
        <v>949</v>
      </c>
      <c r="C3194" s="21" t="s">
        <v>26</v>
      </c>
      <c r="D3194" s="21" t="s">
        <v>921</v>
      </c>
      <c r="E3194" s="21">
        <v>0</v>
      </c>
      <c r="F3194" s="22">
        <v>45330.39375</v>
      </c>
      <c r="G3194" s="22">
        <v>45331.4111689815</v>
      </c>
      <c r="H3194" s="23">
        <v>157.8</v>
      </c>
      <c r="I3194" s="23">
        <v>13.15</v>
      </c>
      <c r="J3194" s="24">
        <v>0</v>
      </c>
      <c r="K3194" s="21">
        <v>0</v>
      </c>
      <c r="L3194" s="21">
        <v>0</v>
      </c>
      <c r="M3194" s="21">
        <f>COUNTIF($A$2:$A$5481,A3194)</f>
        <v>1</v>
      </c>
      <c r="N3194" s="24">
        <f t="shared" si="49"/>
        <v>0.0003194</v>
      </c>
    </row>
    <row r="3195" spans="1:14">
      <c r="A3195" s="21" t="s">
        <v>368</v>
      </c>
      <c r="B3195" s="21" t="s">
        <v>920</v>
      </c>
      <c r="C3195" s="21" t="s">
        <v>26</v>
      </c>
      <c r="D3195" s="21" t="s">
        <v>921</v>
      </c>
      <c r="E3195" s="21">
        <v>0</v>
      </c>
      <c r="F3195" s="22">
        <v>45756.3553819444</v>
      </c>
      <c r="G3195" s="22">
        <v>46146.6422800926</v>
      </c>
      <c r="H3195" s="23">
        <v>205.32</v>
      </c>
      <c r="I3195" s="23">
        <v>102.66</v>
      </c>
      <c r="J3195" s="24">
        <v>0</v>
      </c>
      <c r="K3195" s="21">
        <v>0</v>
      </c>
      <c r="L3195" s="21">
        <v>0</v>
      </c>
      <c r="M3195" s="21">
        <f>COUNTIF($A$2:$A$5481,A3195)</f>
        <v>2</v>
      </c>
      <c r="N3195" s="24">
        <f t="shared" si="49"/>
        <v>0.0003195</v>
      </c>
    </row>
    <row r="3196" spans="1:14">
      <c r="A3196" s="21" t="s">
        <v>368</v>
      </c>
      <c r="B3196" s="21" t="s">
        <v>920</v>
      </c>
      <c r="C3196" s="21" t="s">
        <v>35</v>
      </c>
      <c r="D3196" s="21" t="s">
        <v>921</v>
      </c>
      <c r="E3196" s="21">
        <v>0</v>
      </c>
      <c r="F3196" s="22">
        <v>46121.8201273148</v>
      </c>
      <c r="G3196" s="22">
        <v>46132.4343402778</v>
      </c>
      <c r="H3196" s="23">
        <v>700</v>
      </c>
      <c r="I3196" s="23">
        <v>140</v>
      </c>
      <c r="J3196" s="24">
        <v>0</v>
      </c>
      <c r="K3196" s="21">
        <v>0</v>
      </c>
      <c r="L3196" s="21">
        <v>0</v>
      </c>
      <c r="M3196" s="21">
        <f>COUNTIF($A$2:$A$5481,A3196)</f>
        <v>2</v>
      </c>
      <c r="N3196" s="24">
        <f t="shared" si="49"/>
        <v>0.0003196</v>
      </c>
    </row>
    <row r="3197" spans="1:14">
      <c r="A3197" s="21" t="s">
        <v>3217</v>
      </c>
      <c r="B3197" s="21" t="s">
        <v>929</v>
      </c>
      <c r="C3197" s="21" t="s">
        <v>182</v>
      </c>
      <c r="D3197" s="21" t="s">
        <v>921</v>
      </c>
      <c r="E3197" s="21">
        <v>0</v>
      </c>
      <c r="F3197" s="22">
        <v>45328.3833333333</v>
      </c>
      <c r="G3197" s="22">
        <v>45329.3691435185</v>
      </c>
      <c r="H3197" s="23">
        <v>280</v>
      </c>
      <c r="I3197" s="23">
        <v>280</v>
      </c>
      <c r="J3197" s="24">
        <v>0</v>
      </c>
      <c r="K3197" s="21">
        <v>0</v>
      </c>
      <c r="L3197" s="21">
        <v>0</v>
      </c>
      <c r="M3197" s="21">
        <f>COUNTIF($A$2:$A$5481,A3197)</f>
        <v>1</v>
      </c>
      <c r="N3197" s="24">
        <f t="shared" si="49"/>
        <v>0.0003197</v>
      </c>
    </row>
    <row r="3198" spans="1:14">
      <c r="A3198" s="21" t="s">
        <v>169</v>
      </c>
      <c r="B3198" s="21" t="s">
        <v>920</v>
      </c>
      <c r="C3198" s="21" t="s">
        <v>26</v>
      </c>
      <c r="D3198" s="21" t="s">
        <v>921</v>
      </c>
      <c r="E3198" s="21">
        <v>0</v>
      </c>
      <c r="F3198" s="22">
        <v>46139.3917361111</v>
      </c>
      <c r="G3198" s="22">
        <v>46139.3924305556</v>
      </c>
      <c r="H3198" s="23">
        <v>300</v>
      </c>
      <c r="I3198" s="23">
        <v>300</v>
      </c>
      <c r="J3198" s="24">
        <v>0</v>
      </c>
      <c r="K3198" s="21">
        <v>0</v>
      </c>
      <c r="L3198" s="21">
        <v>0</v>
      </c>
      <c r="M3198" s="21">
        <f>COUNTIF($A$2:$A$5481,A3198)</f>
        <v>1</v>
      </c>
      <c r="N3198" s="24">
        <f t="shared" si="49"/>
        <v>0.0003198</v>
      </c>
    </row>
    <row r="3199" spans="1:14">
      <c r="A3199" s="21" t="s">
        <v>3218</v>
      </c>
      <c r="B3199" s="21" t="s">
        <v>920</v>
      </c>
      <c r="C3199" s="21" t="s">
        <v>26</v>
      </c>
      <c r="D3199" s="21" t="s">
        <v>921</v>
      </c>
      <c r="E3199" s="21">
        <v>2</v>
      </c>
      <c r="F3199" s="22">
        <v>46216.6027777778</v>
      </c>
      <c r="G3199" s="22"/>
      <c r="H3199" s="23">
        <v>127.12</v>
      </c>
      <c r="I3199" s="23">
        <v>63.56</v>
      </c>
      <c r="J3199" s="24">
        <v>127.12</v>
      </c>
      <c r="K3199" s="21">
        <v>0</v>
      </c>
      <c r="L3199" s="21">
        <v>0</v>
      </c>
      <c r="M3199" s="21">
        <f>COUNTIF($A$2:$A$5481,A3199)</f>
        <v>1</v>
      </c>
      <c r="N3199" s="24">
        <f t="shared" si="49"/>
        <v>127.1203199</v>
      </c>
    </row>
    <row r="3200" spans="1:14">
      <c r="A3200" s="21" t="s">
        <v>3219</v>
      </c>
      <c r="B3200" s="21" t="s">
        <v>26</v>
      </c>
      <c r="C3200" s="21" t="s">
        <v>26</v>
      </c>
      <c r="D3200" s="21" t="s">
        <v>921</v>
      </c>
      <c r="E3200" s="21">
        <v>2</v>
      </c>
      <c r="F3200" s="22">
        <v>45924.6517939815</v>
      </c>
      <c r="G3200" s="22"/>
      <c r="H3200" s="23">
        <v>63.8</v>
      </c>
      <c r="I3200" s="23">
        <v>31.9</v>
      </c>
      <c r="J3200" s="24">
        <v>63.8</v>
      </c>
      <c r="K3200" s="21">
        <v>0</v>
      </c>
      <c r="L3200" s="21">
        <v>0</v>
      </c>
      <c r="M3200" s="21">
        <f>COUNTIF($A$2:$A$5481,A3200)</f>
        <v>1</v>
      </c>
      <c r="N3200" s="24">
        <f t="shared" si="49"/>
        <v>63.80032</v>
      </c>
    </row>
    <row r="3201" spans="1:14">
      <c r="A3201" s="21" t="s">
        <v>690</v>
      </c>
      <c r="B3201" s="21" t="s">
        <v>929</v>
      </c>
      <c r="C3201" s="21" t="s">
        <v>26</v>
      </c>
      <c r="D3201" s="21" t="s">
        <v>921</v>
      </c>
      <c r="E3201" s="21">
        <v>0</v>
      </c>
      <c r="F3201" s="22">
        <v>45898.4670833333</v>
      </c>
      <c r="G3201" s="22">
        <v>46252.5688310185</v>
      </c>
      <c r="H3201" s="23">
        <v>411.91</v>
      </c>
      <c r="I3201" s="23">
        <v>411.91</v>
      </c>
      <c r="J3201" s="24">
        <v>0</v>
      </c>
      <c r="K3201" s="21">
        <v>0</v>
      </c>
      <c r="L3201" s="21">
        <v>0</v>
      </c>
      <c r="M3201" s="21">
        <f>COUNTIF($A$2:$A$5481,A3201)</f>
        <v>1</v>
      </c>
      <c r="N3201" s="24">
        <f t="shared" si="49"/>
        <v>0.0003201</v>
      </c>
    </row>
    <row r="3202" spans="1:14">
      <c r="A3202" s="21" t="s">
        <v>689</v>
      </c>
      <c r="B3202" s="21" t="s">
        <v>929</v>
      </c>
      <c r="C3202" s="21" t="s">
        <v>26</v>
      </c>
      <c r="D3202" s="21" t="s">
        <v>921</v>
      </c>
      <c r="E3202" s="21">
        <v>0</v>
      </c>
      <c r="F3202" s="22">
        <v>45554.6500347222</v>
      </c>
      <c r="G3202" s="22">
        <v>46252.5688194444</v>
      </c>
      <c r="H3202" s="23">
        <v>1531.41</v>
      </c>
      <c r="I3202" s="23">
        <v>510.47</v>
      </c>
      <c r="J3202" s="24">
        <v>0</v>
      </c>
      <c r="K3202" s="21">
        <v>0</v>
      </c>
      <c r="L3202" s="21">
        <v>0</v>
      </c>
      <c r="M3202" s="21">
        <f>COUNTIF($A$2:$A$5481,A3202)</f>
        <v>1</v>
      </c>
      <c r="N3202" s="24">
        <f t="shared" ref="N3202:N3265" si="50">J3202+ROW()/10000000</f>
        <v>0.0003202</v>
      </c>
    </row>
    <row r="3203" spans="1:14">
      <c r="A3203" s="21" t="s">
        <v>460</v>
      </c>
      <c r="B3203" s="21" t="s">
        <v>929</v>
      </c>
      <c r="C3203" s="21" t="s">
        <v>26</v>
      </c>
      <c r="D3203" s="21" t="s">
        <v>921</v>
      </c>
      <c r="E3203" s="21">
        <v>0</v>
      </c>
      <c r="F3203" s="22">
        <v>46198.5854166667</v>
      </c>
      <c r="G3203" s="22">
        <v>46210.7819444445</v>
      </c>
      <c r="H3203" s="23">
        <v>270</v>
      </c>
      <c r="I3203" s="23">
        <v>270</v>
      </c>
      <c r="J3203" s="24">
        <v>0</v>
      </c>
      <c r="K3203" s="21">
        <v>0</v>
      </c>
      <c r="L3203" s="21">
        <v>0</v>
      </c>
      <c r="M3203" s="21">
        <f>COUNTIF($A$2:$A$5481,A3203)</f>
        <v>1</v>
      </c>
      <c r="N3203" s="24">
        <f t="shared" si="50"/>
        <v>0.0003203</v>
      </c>
    </row>
    <row r="3204" spans="1:14">
      <c r="A3204" s="21" t="s">
        <v>3220</v>
      </c>
      <c r="B3204" s="21" t="s">
        <v>929</v>
      </c>
      <c r="C3204" s="21" t="s">
        <v>26</v>
      </c>
      <c r="D3204" s="21" t="s">
        <v>921</v>
      </c>
      <c r="E3204" s="21">
        <v>1</v>
      </c>
      <c r="F3204" s="22">
        <v>46148.3930555556</v>
      </c>
      <c r="G3204" s="22"/>
      <c r="H3204" s="23">
        <v>14.83</v>
      </c>
      <c r="I3204" s="23">
        <v>14.83</v>
      </c>
      <c r="J3204" s="24">
        <v>14.83</v>
      </c>
      <c r="K3204" s="21">
        <v>0</v>
      </c>
      <c r="L3204" s="21">
        <v>0</v>
      </c>
      <c r="M3204" s="21">
        <f>COUNTIF($A$2:$A$5481,A3204)</f>
        <v>1</v>
      </c>
      <c r="N3204" s="24">
        <f t="shared" si="50"/>
        <v>14.8303204</v>
      </c>
    </row>
    <row r="3205" spans="1:14">
      <c r="A3205" s="21" t="s">
        <v>3221</v>
      </c>
      <c r="B3205" s="21" t="s">
        <v>929</v>
      </c>
      <c r="C3205" s="21" t="s">
        <v>26</v>
      </c>
      <c r="D3205" s="21" t="s">
        <v>921</v>
      </c>
      <c r="E3205" s="21">
        <v>1</v>
      </c>
      <c r="F3205" s="22">
        <v>45397.8405902778</v>
      </c>
      <c r="G3205" s="22"/>
      <c r="H3205" s="23">
        <v>2096.74</v>
      </c>
      <c r="I3205" s="23">
        <v>2096.74</v>
      </c>
      <c r="J3205" s="24">
        <v>2096.74</v>
      </c>
      <c r="K3205" s="21">
        <v>0</v>
      </c>
      <c r="L3205" s="21">
        <v>0</v>
      </c>
      <c r="M3205" s="21">
        <f>COUNTIF($A$2:$A$5481,A3205)</f>
        <v>1</v>
      </c>
      <c r="N3205" s="24">
        <f t="shared" si="50"/>
        <v>2096.7403205</v>
      </c>
    </row>
    <row r="3206" spans="1:14">
      <c r="A3206" s="21" t="s">
        <v>3222</v>
      </c>
      <c r="B3206" s="21" t="s">
        <v>929</v>
      </c>
      <c r="C3206" s="21" t="s">
        <v>414</v>
      </c>
      <c r="D3206" s="21" t="s">
        <v>921</v>
      </c>
      <c r="E3206" s="21">
        <v>1</v>
      </c>
      <c r="F3206" s="22">
        <v>45377.5611111111</v>
      </c>
      <c r="G3206" s="22"/>
      <c r="H3206" s="23">
        <v>1528.34</v>
      </c>
      <c r="I3206" s="23">
        <v>1528.34</v>
      </c>
      <c r="J3206" s="24">
        <v>1528.34</v>
      </c>
      <c r="K3206" s="21">
        <v>0</v>
      </c>
      <c r="L3206" s="21">
        <v>0</v>
      </c>
      <c r="M3206" s="21">
        <f>COUNTIF($A$2:$A$5481,A3206)</f>
        <v>1</v>
      </c>
      <c r="N3206" s="24">
        <f t="shared" si="50"/>
        <v>1528.3403206</v>
      </c>
    </row>
    <row r="3207" spans="1:14">
      <c r="A3207" s="21" t="s">
        <v>421</v>
      </c>
      <c r="B3207" s="21" t="s">
        <v>920</v>
      </c>
      <c r="C3207" s="21" t="s">
        <v>26</v>
      </c>
      <c r="D3207" s="21" t="s">
        <v>921</v>
      </c>
      <c r="E3207" s="21">
        <v>0</v>
      </c>
      <c r="F3207" s="22">
        <v>46195.761087963</v>
      </c>
      <c r="G3207" s="22">
        <v>46196.6847337963</v>
      </c>
      <c r="H3207" s="23">
        <v>899</v>
      </c>
      <c r="I3207" s="23">
        <v>899</v>
      </c>
      <c r="J3207" s="24">
        <v>0</v>
      </c>
      <c r="K3207" s="21">
        <v>0</v>
      </c>
      <c r="L3207" s="21">
        <v>0</v>
      </c>
      <c r="M3207" s="21">
        <f>COUNTIF($A$2:$A$5481,A3207)</f>
        <v>1</v>
      </c>
      <c r="N3207" s="24">
        <f t="shared" si="50"/>
        <v>0.0003207</v>
      </c>
    </row>
    <row r="3208" spans="1:14">
      <c r="A3208" s="21" t="s">
        <v>3223</v>
      </c>
      <c r="B3208" s="21" t="s">
        <v>929</v>
      </c>
      <c r="C3208" s="21" t="s">
        <v>414</v>
      </c>
      <c r="D3208" s="21" t="s">
        <v>921</v>
      </c>
      <c r="E3208" s="21">
        <v>1</v>
      </c>
      <c r="F3208" s="22">
        <v>45297.8032523148</v>
      </c>
      <c r="G3208" s="22"/>
      <c r="H3208" s="23">
        <v>1283.1</v>
      </c>
      <c r="I3208" s="23">
        <v>1283.1</v>
      </c>
      <c r="J3208" s="24">
        <v>1283.1</v>
      </c>
      <c r="K3208" s="21">
        <v>0</v>
      </c>
      <c r="L3208" s="21">
        <v>5</v>
      </c>
      <c r="M3208" s="21">
        <f>COUNTIF($A$2:$A$5481,A3208)</f>
        <v>2</v>
      </c>
      <c r="N3208" s="24">
        <f t="shared" si="50"/>
        <v>1283.1003208</v>
      </c>
    </row>
    <row r="3209" spans="1:14">
      <c r="A3209" s="21" t="s">
        <v>3223</v>
      </c>
      <c r="B3209" s="21" t="s">
        <v>929</v>
      </c>
      <c r="C3209" s="21" t="s">
        <v>26</v>
      </c>
      <c r="D3209" s="21" t="s">
        <v>921</v>
      </c>
      <c r="E3209" s="21">
        <v>1</v>
      </c>
      <c r="F3209" s="22">
        <v>45733.444212963</v>
      </c>
      <c r="G3209" s="22"/>
      <c r="H3209" s="23">
        <v>1417</v>
      </c>
      <c r="I3209" s="23">
        <v>1417</v>
      </c>
      <c r="J3209" s="24">
        <v>1417</v>
      </c>
      <c r="K3209" s="21">
        <v>0</v>
      </c>
      <c r="L3209" s="21">
        <v>5</v>
      </c>
      <c r="M3209" s="21">
        <f>COUNTIF($A$2:$A$5481,A3209)</f>
        <v>2</v>
      </c>
      <c r="N3209" s="24">
        <f t="shared" si="50"/>
        <v>1417.0003209</v>
      </c>
    </row>
    <row r="3210" spans="1:14">
      <c r="A3210" s="21" t="s">
        <v>3224</v>
      </c>
      <c r="B3210" s="21" t="s">
        <v>929</v>
      </c>
      <c r="C3210" s="21" t="s">
        <v>26</v>
      </c>
      <c r="D3210" s="21" t="s">
        <v>931</v>
      </c>
      <c r="E3210" s="21">
        <v>1</v>
      </c>
      <c r="F3210" s="22">
        <v>45743.4072800926</v>
      </c>
      <c r="G3210" s="22"/>
      <c r="H3210" s="23">
        <v>1239.69</v>
      </c>
      <c r="I3210" s="23">
        <v>1239.69</v>
      </c>
      <c r="J3210" s="24">
        <v>1239.69</v>
      </c>
      <c r="K3210" s="21">
        <v>0</v>
      </c>
      <c r="L3210" s="21">
        <v>0</v>
      </c>
      <c r="M3210" s="21">
        <f>COUNTIF($A$2:$A$5481,A3210)</f>
        <v>1</v>
      </c>
      <c r="N3210" s="24">
        <f t="shared" si="50"/>
        <v>1239.690321</v>
      </c>
    </row>
    <row r="3211" spans="1:14">
      <c r="A3211" s="21" t="s">
        <v>3225</v>
      </c>
      <c r="B3211" s="21" t="s">
        <v>26</v>
      </c>
      <c r="C3211" s="21" t="s">
        <v>390</v>
      </c>
      <c r="D3211" s="21" t="s">
        <v>921</v>
      </c>
      <c r="E3211" s="21">
        <v>788000</v>
      </c>
      <c r="F3211" s="22">
        <v>46211.6430555556</v>
      </c>
      <c r="G3211" s="22"/>
      <c r="H3211" s="23">
        <v>6600</v>
      </c>
      <c r="I3211" s="23">
        <v>0.0841878173</v>
      </c>
      <c r="J3211" s="24">
        <v>63040</v>
      </c>
      <c r="K3211" s="21">
        <v>0</v>
      </c>
      <c r="L3211" s="21">
        <v>0</v>
      </c>
      <c r="M3211" s="21">
        <f>COUNTIF($A$2:$A$5481,A3211)</f>
        <v>1</v>
      </c>
      <c r="N3211" s="24">
        <f t="shared" si="50"/>
        <v>63040.0003211</v>
      </c>
    </row>
    <row r="3212" spans="1:14">
      <c r="A3212" s="21" t="s">
        <v>3226</v>
      </c>
      <c r="B3212" s="21" t="s">
        <v>26</v>
      </c>
      <c r="C3212" s="21" t="s">
        <v>182</v>
      </c>
      <c r="D3212" s="21" t="s">
        <v>1584</v>
      </c>
      <c r="E3212" s="21">
        <v>2</v>
      </c>
      <c r="F3212" s="22">
        <v>45497.3587731482</v>
      </c>
      <c r="G3212" s="22"/>
      <c r="H3212" s="23">
        <v>68.89</v>
      </c>
      <c r="I3212" s="23">
        <v>68.89</v>
      </c>
      <c r="J3212" s="24">
        <v>137.78</v>
      </c>
      <c r="K3212" s="21">
        <v>0</v>
      </c>
      <c r="L3212" s="21">
        <v>0</v>
      </c>
      <c r="M3212" s="21">
        <f>COUNTIF($A$2:$A$5481,A3212)</f>
        <v>2</v>
      </c>
      <c r="N3212" s="24">
        <f t="shared" si="50"/>
        <v>137.7803212</v>
      </c>
    </row>
    <row r="3213" spans="1:14">
      <c r="A3213" s="21" t="s">
        <v>3226</v>
      </c>
      <c r="B3213" s="21" t="s">
        <v>26</v>
      </c>
      <c r="C3213" s="21" t="s">
        <v>26</v>
      </c>
      <c r="D3213" s="21" t="s">
        <v>1584</v>
      </c>
      <c r="E3213" s="21">
        <v>1</v>
      </c>
      <c r="F3213" s="22">
        <v>45938.7089583333</v>
      </c>
      <c r="G3213" s="22"/>
      <c r="H3213" s="23">
        <v>71.99</v>
      </c>
      <c r="I3213" s="23">
        <v>71.99</v>
      </c>
      <c r="J3213" s="24">
        <v>71.99</v>
      </c>
      <c r="K3213" s="21">
        <v>0</v>
      </c>
      <c r="L3213" s="21">
        <v>0</v>
      </c>
      <c r="M3213" s="21">
        <f>COUNTIF($A$2:$A$5481,A3213)</f>
        <v>2</v>
      </c>
      <c r="N3213" s="24">
        <f t="shared" si="50"/>
        <v>71.9903213</v>
      </c>
    </row>
    <row r="3214" spans="1:14">
      <c r="A3214" s="21" t="s">
        <v>3227</v>
      </c>
      <c r="B3214" s="21" t="s">
        <v>1346</v>
      </c>
      <c r="C3214" s="21" t="s">
        <v>390</v>
      </c>
      <c r="D3214" s="21" t="s">
        <v>921</v>
      </c>
      <c r="E3214" s="21">
        <v>0</v>
      </c>
      <c r="F3214" s="22">
        <v>45274.4642939815</v>
      </c>
      <c r="G3214" s="22">
        <v>45274.4674884259</v>
      </c>
      <c r="H3214" s="23">
        <v>3570</v>
      </c>
      <c r="I3214" s="23">
        <v>119</v>
      </c>
      <c r="J3214" s="24">
        <v>0</v>
      </c>
      <c r="K3214" s="21">
        <v>0</v>
      </c>
      <c r="L3214" s="21">
        <v>0</v>
      </c>
      <c r="M3214" s="21">
        <f>COUNTIF($A$2:$A$5481,A3214)</f>
        <v>2</v>
      </c>
      <c r="N3214" s="24">
        <f t="shared" si="50"/>
        <v>0.0003214</v>
      </c>
    </row>
    <row r="3215" spans="1:14">
      <c r="A3215" s="21" t="s">
        <v>3227</v>
      </c>
      <c r="B3215" s="21" t="s">
        <v>1346</v>
      </c>
      <c r="C3215" s="21" t="s">
        <v>26</v>
      </c>
      <c r="D3215" s="21" t="s">
        <v>921</v>
      </c>
      <c r="E3215" s="21">
        <v>16</v>
      </c>
      <c r="F3215" s="22">
        <v>45679.8458333333</v>
      </c>
      <c r="G3215" s="22">
        <v>45775.4364814815</v>
      </c>
      <c r="H3215" s="23">
        <v>2273</v>
      </c>
      <c r="I3215" s="23">
        <v>113.65</v>
      </c>
      <c r="J3215" s="24">
        <v>1818.4</v>
      </c>
      <c r="K3215" s="21">
        <v>0</v>
      </c>
      <c r="L3215" s="21">
        <v>0</v>
      </c>
      <c r="M3215" s="21">
        <f>COUNTIF($A$2:$A$5481,A3215)</f>
        <v>2</v>
      </c>
      <c r="N3215" s="24">
        <f t="shared" si="50"/>
        <v>1818.4003215</v>
      </c>
    </row>
    <row r="3216" spans="1:14">
      <c r="A3216" s="21" t="s">
        <v>3228</v>
      </c>
      <c r="B3216" s="21" t="s">
        <v>920</v>
      </c>
      <c r="C3216" s="21" t="s">
        <v>35</v>
      </c>
      <c r="D3216" s="21" t="s">
        <v>921</v>
      </c>
      <c r="E3216" s="21">
        <v>1</v>
      </c>
      <c r="F3216" s="22">
        <v>45306.8128472222</v>
      </c>
      <c r="G3216" s="22"/>
      <c r="H3216" s="23">
        <v>595</v>
      </c>
      <c r="I3216" s="23">
        <v>595</v>
      </c>
      <c r="J3216" s="24">
        <v>595</v>
      </c>
      <c r="K3216" s="21">
        <v>0</v>
      </c>
      <c r="L3216" s="21">
        <v>0</v>
      </c>
      <c r="M3216" s="21">
        <f>COUNTIF($A$2:$A$5481,A3216)</f>
        <v>1</v>
      </c>
      <c r="N3216" s="24">
        <f t="shared" si="50"/>
        <v>595.0003216</v>
      </c>
    </row>
    <row r="3217" spans="1:14">
      <c r="A3217" s="21" t="s">
        <v>3229</v>
      </c>
      <c r="B3217" s="21" t="s">
        <v>920</v>
      </c>
      <c r="C3217" s="21" t="s">
        <v>26</v>
      </c>
      <c r="D3217" s="21" t="s">
        <v>931</v>
      </c>
      <c r="E3217" s="21">
        <v>1</v>
      </c>
      <c r="F3217" s="22">
        <v>45463.4659722222</v>
      </c>
      <c r="G3217" s="22"/>
      <c r="H3217" s="23">
        <v>640.68</v>
      </c>
      <c r="I3217" s="23">
        <v>640.68</v>
      </c>
      <c r="J3217" s="24">
        <v>640.68</v>
      </c>
      <c r="K3217" s="21">
        <v>0</v>
      </c>
      <c r="L3217" s="21">
        <v>0</v>
      </c>
      <c r="M3217" s="21">
        <f>COUNTIF($A$2:$A$5481,A3217)</f>
        <v>1</v>
      </c>
      <c r="N3217" s="24">
        <f t="shared" si="50"/>
        <v>640.6803217</v>
      </c>
    </row>
    <row r="3218" spans="1:14">
      <c r="A3218" s="21" t="s">
        <v>3230</v>
      </c>
      <c r="B3218" s="21" t="s">
        <v>920</v>
      </c>
      <c r="C3218" s="21" t="s">
        <v>35</v>
      </c>
      <c r="D3218" s="21" t="s">
        <v>931</v>
      </c>
      <c r="E3218" s="21">
        <v>1</v>
      </c>
      <c r="F3218" s="22">
        <v>45412.5813657407</v>
      </c>
      <c r="G3218" s="22"/>
      <c r="H3218" s="23">
        <v>562.7</v>
      </c>
      <c r="I3218" s="23">
        <v>562.7</v>
      </c>
      <c r="J3218" s="24">
        <v>562.7</v>
      </c>
      <c r="K3218" s="21">
        <v>0</v>
      </c>
      <c r="L3218" s="21">
        <v>0</v>
      </c>
      <c r="M3218" s="21">
        <f>COUNTIF($A$2:$A$5481,A3218)</f>
        <v>1</v>
      </c>
      <c r="N3218" s="24">
        <f t="shared" si="50"/>
        <v>562.7003218</v>
      </c>
    </row>
    <row r="3219" spans="1:14">
      <c r="A3219" s="21" t="s">
        <v>3231</v>
      </c>
      <c r="B3219" s="21" t="s">
        <v>920</v>
      </c>
      <c r="C3219" s="21" t="s">
        <v>35</v>
      </c>
      <c r="D3219" s="21" t="s">
        <v>931</v>
      </c>
      <c r="E3219" s="21">
        <v>1</v>
      </c>
      <c r="F3219" s="22">
        <v>45412.5813657407</v>
      </c>
      <c r="G3219" s="22"/>
      <c r="H3219" s="23">
        <v>562.7</v>
      </c>
      <c r="I3219" s="23">
        <v>562.7</v>
      </c>
      <c r="J3219" s="24">
        <v>562.7</v>
      </c>
      <c r="K3219" s="21">
        <v>0</v>
      </c>
      <c r="L3219" s="21">
        <v>0</v>
      </c>
      <c r="M3219" s="21">
        <f>COUNTIF($A$2:$A$5481,A3219)</f>
        <v>1</v>
      </c>
      <c r="N3219" s="24">
        <f t="shared" si="50"/>
        <v>562.7003219</v>
      </c>
    </row>
    <row r="3220" spans="1:14">
      <c r="A3220" s="21" t="s">
        <v>3232</v>
      </c>
      <c r="B3220" s="21" t="s">
        <v>920</v>
      </c>
      <c r="C3220" s="21" t="s">
        <v>35</v>
      </c>
      <c r="D3220" s="21" t="s">
        <v>921</v>
      </c>
      <c r="E3220" s="21">
        <v>0</v>
      </c>
      <c r="F3220" s="22">
        <v>45545.3672453704</v>
      </c>
      <c r="G3220" s="22">
        <v>45964.6102199074</v>
      </c>
      <c r="H3220" s="23">
        <v>505.56</v>
      </c>
      <c r="I3220" s="23">
        <v>517.1866666667</v>
      </c>
      <c r="J3220" s="24">
        <v>0</v>
      </c>
      <c r="K3220" s="21">
        <v>0</v>
      </c>
      <c r="L3220" s="21">
        <v>0</v>
      </c>
      <c r="M3220" s="21">
        <f>COUNTIF($A$2:$A$5481,A3220)</f>
        <v>1</v>
      </c>
      <c r="N3220" s="24">
        <f t="shared" si="50"/>
        <v>0.000322</v>
      </c>
    </row>
    <row r="3221" spans="1:14">
      <c r="A3221" s="21" t="s">
        <v>403</v>
      </c>
      <c r="B3221" s="21" t="s">
        <v>920</v>
      </c>
      <c r="C3221" s="21" t="s">
        <v>35</v>
      </c>
      <c r="D3221" s="21" t="s">
        <v>921</v>
      </c>
      <c r="E3221" s="21">
        <v>0</v>
      </c>
      <c r="F3221" s="22">
        <v>45544.384849537</v>
      </c>
      <c r="G3221" s="22">
        <v>45705.3682060185</v>
      </c>
      <c r="H3221" s="23">
        <v>505.56</v>
      </c>
      <c r="I3221" s="23">
        <v>454.215</v>
      </c>
      <c r="J3221" s="24">
        <v>0</v>
      </c>
      <c r="K3221" s="21">
        <v>0</v>
      </c>
      <c r="L3221" s="21">
        <v>0</v>
      </c>
      <c r="M3221" s="21">
        <f>COUNTIF($A$2:$A$5481,A3221)</f>
        <v>2</v>
      </c>
      <c r="N3221" s="24">
        <f t="shared" si="50"/>
        <v>0.0003221</v>
      </c>
    </row>
    <row r="3222" spans="1:14">
      <c r="A3222" s="21" t="s">
        <v>403</v>
      </c>
      <c r="B3222" s="21" t="s">
        <v>920</v>
      </c>
      <c r="C3222" s="21" t="s">
        <v>26</v>
      </c>
      <c r="D3222" s="21" t="s">
        <v>921</v>
      </c>
      <c r="E3222" s="21">
        <v>0</v>
      </c>
      <c r="F3222" s="22">
        <v>45918.4513773148</v>
      </c>
      <c r="G3222" s="22">
        <v>46190.6525115741</v>
      </c>
      <c r="H3222" s="23">
        <v>2625</v>
      </c>
      <c r="I3222" s="23">
        <v>875</v>
      </c>
      <c r="J3222" s="24">
        <v>0</v>
      </c>
      <c r="K3222" s="21">
        <v>0</v>
      </c>
      <c r="L3222" s="21">
        <v>0</v>
      </c>
      <c r="M3222" s="21">
        <f>COUNTIF($A$2:$A$5481,A3222)</f>
        <v>2</v>
      </c>
      <c r="N3222" s="24">
        <f t="shared" si="50"/>
        <v>0.0003222</v>
      </c>
    </row>
    <row r="3223" spans="1:14">
      <c r="A3223" s="21" t="s">
        <v>3233</v>
      </c>
      <c r="B3223" s="21" t="s">
        <v>920</v>
      </c>
      <c r="C3223" s="21" t="s">
        <v>35</v>
      </c>
      <c r="D3223" s="21" t="s">
        <v>931</v>
      </c>
      <c r="E3223" s="21">
        <v>0</v>
      </c>
      <c r="F3223" s="22">
        <v>45785.3815625</v>
      </c>
      <c r="G3223" s="22">
        <v>46007.4312962963</v>
      </c>
      <c r="H3223" s="23">
        <v>1040</v>
      </c>
      <c r="I3223" s="23">
        <v>875</v>
      </c>
      <c r="J3223" s="24">
        <v>0</v>
      </c>
      <c r="K3223" s="21">
        <v>0</v>
      </c>
      <c r="L3223" s="21">
        <v>0</v>
      </c>
      <c r="M3223" s="21">
        <f>COUNTIF($A$2:$A$5481,A3223)</f>
        <v>1</v>
      </c>
      <c r="N3223" s="24">
        <f t="shared" si="50"/>
        <v>0.0003223</v>
      </c>
    </row>
    <row r="3224" spans="1:14">
      <c r="A3224" s="21" t="s">
        <v>3234</v>
      </c>
      <c r="B3224" s="21" t="s">
        <v>920</v>
      </c>
      <c r="C3224" s="21" t="s">
        <v>35</v>
      </c>
      <c r="D3224" s="21" t="s">
        <v>931</v>
      </c>
      <c r="E3224" s="21">
        <v>1</v>
      </c>
      <c r="F3224" s="22">
        <v>45527.6071412037</v>
      </c>
      <c r="G3224" s="22"/>
      <c r="H3224" s="23">
        <v>1600</v>
      </c>
      <c r="I3224" s="23">
        <v>1600</v>
      </c>
      <c r="J3224" s="24">
        <v>1600</v>
      </c>
      <c r="K3224" s="21">
        <v>0</v>
      </c>
      <c r="L3224" s="21">
        <v>0</v>
      </c>
      <c r="M3224" s="21">
        <f>COUNTIF($A$2:$A$5481,A3224)</f>
        <v>1</v>
      </c>
      <c r="N3224" s="24">
        <f t="shared" si="50"/>
        <v>1600.0003224</v>
      </c>
    </row>
    <row r="3225" spans="1:14">
      <c r="A3225" s="21" t="s">
        <v>3235</v>
      </c>
      <c r="B3225" s="21" t="s">
        <v>920</v>
      </c>
      <c r="C3225" s="21" t="s">
        <v>35</v>
      </c>
      <c r="D3225" s="21" t="s">
        <v>931</v>
      </c>
      <c r="E3225" s="21">
        <v>1</v>
      </c>
      <c r="F3225" s="22">
        <v>45923.806099537</v>
      </c>
      <c r="G3225" s="22"/>
      <c r="H3225" s="23">
        <v>225</v>
      </c>
      <c r="I3225" s="23">
        <v>225</v>
      </c>
      <c r="J3225" s="24">
        <v>225</v>
      </c>
      <c r="K3225" s="21">
        <v>0</v>
      </c>
      <c r="L3225" s="21">
        <v>0</v>
      </c>
      <c r="M3225" s="21">
        <f>COUNTIF($A$2:$A$5481,A3225)</f>
        <v>1</v>
      </c>
      <c r="N3225" s="24">
        <f t="shared" si="50"/>
        <v>225.0003225</v>
      </c>
    </row>
    <row r="3226" spans="1:14">
      <c r="A3226" s="21" t="s">
        <v>3236</v>
      </c>
      <c r="B3226" s="21" t="s">
        <v>920</v>
      </c>
      <c r="C3226" s="21" t="s">
        <v>35</v>
      </c>
      <c r="D3226" s="21" t="s">
        <v>921</v>
      </c>
      <c r="E3226" s="21">
        <v>1</v>
      </c>
      <c r="F3226" s="22">
        <v>45349.7104166667</v>
      </c>
      <c r="G3226" s="22"/>
      <c r="H3226" s="23">
        <v>14.45</v>
      </c>
      <c r="I3226" s="23">
        <v>14.45</v>
      </c>
      <c r="J3226" s="24">
        <v>14.45</v>
      </c>
      <c r="K3226" s="21">
        <v>0</v>
      </c>
      <c r="L3226" s="21">
        <v>0</v>
      </c>
      <c r="M3226" s="21">
        <f>COUNTIF($A$2:$A$5481,A3226)</f>
        <v>1</v>
      </c>
      <c r="N3226" s="24">
        <f t="shared" si="50"/>
        <v>14.4503226</v>
      </c>
    </row>
    <row r="3227" spans="1:14">
      <c r="A3227" s="21" t="s">
        <v>422</v>
      </c>
      <c r="B3227" s="21" t="s">
        <v>920</v>
      </c>
      <c r="C3227" s="21" t="s">
        <v>35</v>
      </c>
      <c r="D3227" s="21" t="s">
        <v>921</v>
      </c>
      <c r="E3227" s="21">
        <v>2</v>
      </c>
      <c r="F3227" s="22">
        <v>45286.8427662037</v>
      </c>
      <c r="G3227" s="22">
        <v>45373.4114699074</v>
      </c>
      <c r="H3227" s="23">
        <v>39</v>
      </c>
      <c r="I3227" s="23">
        <v>13</v>
      </c>
      <c r="J3227" s="24">
        <v>26</v>
      </c>
      <c r="K3227" s="21">
        <v>1</v>
      </c>
      <c r="L3227" s="21">
        <v>3</v>
      </c>
      <c r="M3227" s="21">
        <f>COUNTIF($A$2:$A$5481,A3227)</f>
        <v>2</v>
      </c>
      <c r="N3227" s="24">
        <f t="shared" si="50"/>
        <v>26.0003227</v>
      </c>
    </row>
    <row r="3228" spans="1:14">
      <c r="A3228" s="21" t="s">
        <v>422</v>
      </c>
      <c r="B3228" s="21" t="s">
        <v>920</v>
      </c>
      <c r="C3228" s="21" t="s">
        <v>26</v>
      </c>
      <c r="D3228" s="21" t="s">
        <v>921</v>
      </c>
      <c r="E3228" s="21">
        <v>47</v>
      </c>
      <c r="F3228" s="22">
        <v>46164.5444212963</v>
      </c>
      <c r="G3228" s="22">
        <v>46196.7034722222</v>
      </c>
      <c r="H3228" s="23">
        <v>93</v>
      </c>
      <c r="I3228" s="23">
        <v>9.0518054167</v>
      </c>
      <c r="J3228" s="24">
        <v>425.35</v>
      </c>
      <c r="K3228" s="21">
        <v>1</v>
      </c>
      <c r="L3228" s="21">
        <v>3</v>
      </c>
      <c r="M3228" s="21">
        <f>COUNTIF($A$2:$A$5481,A3228)</f>
        <v>2</v>
      </c>
      <c r="N3228" s="24">
        <f t="shared" si="50"/>
        <v>425.3503228</v>
      </c>
    </row>
    <row r="3229" spans="1:14">
      <c r="A3229" s="21" t="s">
        <v>269</v>
      </c>
      <c r="B3229" s="21" t="s">
        <v>926</v>
      </c>
      <c r="C3229" s="21" t="s">
        <v>38</v>
      </c>
      <c r="D3229" s="21" t="s">
        <v>921</v>
      </c>
      <c r="E3229" s="21">
        <v>12</v>
      </c>
      <c r="F3229" s="22">
        <v>45357.9527777778</v>
      </c>
      <c r="G3229" s="22"/>
      <c r="H3229" s="23">
        <v>46.2</v>
      </c>
      <c r="I3229" s="23">
        <v>3.85</v>
      </c>
      <c r="J3229" s="24">
        <v>46.2</v>
      </c>
      <c r="K3229" s="21">
        <v>0</v>
      </c>
      <c r="L3229" s="21">
        <v>0</v>
      </c>
      <c r="M3229" s="21">
        <f>COUNTIF($A$2:$A$5481,A3229)</f>
        <v>5</v>
      </c>
      <c r="N3229" s="24">
        <f t="shared" si="50"/>
        <v>46.2003229</v>
      </c>
    </row>
    <row r="3230" spans="1:14">
      <c r="A3230" s="21" t="s">
        <v>269</v>
      </c>
      <c r="B3230" s="21" t="s">
        <v>926</v>
      </c>
      <c r="C3230" s="21" t="s">
        <v>414</v>
      </c>
      <c r="D3230" s="21" t="s">
        <v>921</v>
      </c>
      <c r="E3230" s="21">
        <v>24</v>
      </c>
      <c r="F3230" s="22">
        <v>45411.3269328704</v>
      </c>
      <c r="G3230" s="22"/>
      <c r="H3230" s="23">
        <v>92.4</v>
      </c>
      <c r="I3230" s="23">
        <v>3.85</v>
      </c>
      <c r="J3230" s="24">
        <v>92.4</v>
      </c>
      <c r="K3230" s="21">
        <v>0</v>
      </c>
      <c r="L3230" s="21">
        <v>0</v>
      </c>
      <c r="M3230" s="21">
        <f>COUNTIF($A$2:$A$5481,A3230)</f>
        <v>5</v>
      </c>
      <c r="N3230" s="24">
        <f t="shared" si="50"/>
        <v>92.400323</v>
      </c>
    </row>
    <row r="3231" spans="1:14">
      <c r="A3231" s="21" t="s">
        <v>269</v>
      </c>
      <c r="B3231" s="21" t="s">
        <v>926</v>
      </c>
      <c r="C3231" s="21" t="s">
        <v>26</v>
      </c>
      <c r="D3231" s="21" t="s">
        <v>921</v>
      </c>
      <c r="E3231" s="21">
        <v>19</v>
      </c>
      <c r="F3231" s="22">
        <v>45692.4096296296</v>
      </c>
      <c r="G3231" s="22">
        <v>46267.3629398148</v>
      </c>
      <c r="H3231" s="23">
        <v>63.84</v>
      </c>
      <c r="I3231" s="23">
        <v>3.05696</v>
      </c>
      <c r="J3231" s="24">
        <v>58.14</v>
      </c>
      <c r="K3231" s="21">
        <v>0</v>
      </c>
      <c r="L3231" s="21">
        <v>0</v>
      </c>
      <c r="M3231" s="21">
        <f>COUNTIF($A$2:$A$5481,A3231)</f>
        <v>5</v>
      </c>
      <c r="N3231" s="24">
        <f t="shared" si="50"/>
        <v>58.1403231</v>
      </c>
    </row>
    <row r="3232" spans="1:14">
      <c r="A3232" s="21" t="s">
        <v>269</v>
      </c>
      <c r="B3232" s="21" t="s">
        <v>926</v>
      </c>
      <c r="C3232" s="21" t="s">
        <v>51</v>
      </c>
      <c r="D3232" s="21" t="s">
        <v>921</v>
      </c>
      <c r="E3232" s="21">
        <v>36</v>
      </c>
      <c r="F3232" s="22">
        <v>45791.3891782407</v>
      </c>
      <c r="G3232" s="22"/>
      <c r="H3232" s="23">
        <v>35.68</v>
      </c>
      <c r="I3232" s="23">
        <v>2.23</v>
      </c>
      <c r="J3232" s="24">
        <v>80.28</v>
      </c>
      <c r="K3232" s="21">
        <v>0</v>
      </c>
      <c r="L3232" s="21">
        <v>0</v>
      </c>
      <c r="M3232" s="21">
        <f>COUNTIF($A$2:$A$5481,A3232)</f>
        <v>5</v>
      </c>
      <c r="N3232" s="24">
        <f t="shared" si="50"/>
        <v>80.2803232</v>
      </c>
    </row>
    <row r="3233" spans="1:14">
      <c r="A3233" s="21" t="s">
        <v>269</v>
      </c>
      <c r="B3233" s="21" t="s">
        <v>926</v>
      </c>
      <c r="C3233" s="21" t="s">
        <v>182</v>
      </c>
      <c r="D3233" s="21" t="s">
        <v>921</v>
      </c>
      <c r="E3233" s="21">
        <v>170</v>
      </c>
      <c r="F3233" s="22">
        <v>46161.4354166667</v>
      </c>
      <c r="G3233" s="22">
        <v>46261.402662037</v>
      </c>
      <c r="H3233" s="23">
        <v>30.3</v>
      </c>
      <c r="I3233" s="23">
        <v>2.5225132558</v>
      </c>
      <c r="J3233" s="24">
        <v>428.4</v>
      </c>
      <c r="K3233" s="21">
        <v>0</v>
      </c>
      <c r="L3233" s="21">
        <v>0</v>
      </c>
      <c r="M3233" s="21">
        <f>COUNTIF($A$2:$A$5481,A3233)</f>
        <v>5</v>
      </c>
      <c r="N3233" s="24">
        <f t="shared" si="50"/>
        <v>428.4003233</v>
      </c>
    </row>
    <row r="3234" spans="1:14">
      <c r="A3234" s="21" t="s">
        <v>3237</v>
      </c>
      <c r="B3234" s="21" t="s">
        <v>920</v>
      </c>
      <c r="C3234" s="21" t="s">
        <v>35</v>
      </c>
      <c r="D3234" s="21" t="s">
        <v>921</v>
      </c>
      <c r="E3234" s="21">
        <v>3</v>
      </c>
      <c r="F3234" s="22">
        <v>45287.8051388889</v>
      </c>
      <c r="G3234" s="22">
        <v>45308.4252199074</v>
      </c>
      <c r="H3234" s="23">
        <v>19.6</v>
      </c>
      <c r="I3234" s="23">
        <v>4.9</v>
      </c>
      <c r="J3234" s="24">
        <v>14.7</v>
      </c>
      <c r="K3234" s="21">
        <v>0</v>
      </c>
      <c r="L3234" s="21">
        <v>0</v>
      </c>
      <c r="M3234" s="21">
        <f>COUNTIF($A$2:$A$5481,A3234)</f>
        <v>1</v>
      </c>
      <c r="N3234" s="24">
        <f t="shared" si="50"/>
        <v>14.7003234</v>
      </c>
    </row>
    <row r="3235" spans="1:14">
      <c r="A3235" s="21" t="s">
        <v>880</v>
      </c>
      <c r="B3235" s="21" t="s">
        <v>929</v>
      </c>
      <c r="C3235" s="21" t="s">
        <v>26</v>
      </c>
      <c r="D3235" s="21" t="s">
        <v>921</v>
      </c>
      <c r="E3235" s="21">
        <v>0</v>
      </c>
      <c r="F3235" s="22">
        <v>46268.6430555556</v>
      </c>
      <c r="G3235" s="22">
        <v>46273.6909606482</v>
      </c>
      <c r="H3235" s="23">
        <v>34.38</v>
      </c>
      <c r="I3235" s="23">
        <v>7.1572727273</v>
      </c>
      <c r="J3235" s="24">
        <v>0</v>
      </c>
      <c r="K3235" s="21">
        <v>0</v>
      </c>
      <c r="L3235" s="21">
        <v>0</v>
      </c>
      <c r="M3235" s="21">
        <f>COUNTIF($A$2:$A$5481,A3235)</f>
        <v>1</v>
      </c>
      <c r="N3235" s="24">
        <f t="shared" si="50"/>
        <v>0.0003235</v>
      </c>
    </row>
    <row r="3236" spans="1:14">
      <c r="A3236" s="21" t="s">
        <v>3238</v>
      </c>
      <c r="B3236" s="21" t="s">
        <v>929</v>
      </c>
      <c r="C3236" s="21" t="s">
        <v>26</v>
      </c>
      <c r="D3236" s="21" t="s">
        <v>921</v>
      </c>
      <c r="E3236" s="21">
        <v>4</v>
      </c>
      <c r="F3236" s="22">
        <v>45988.5865509259</v>
      </c>
      <c r="G3236" s="22"/>
      <c r="H3236" s="23">
        <v>19.92</v>
      </c>
      <c r="I3236" s="23">
        <v>7.675</v>
      </c>
      <c r="J3236" s="24">
        <v>30.72</v>
      </c>
      <c r="K3236" s="21">
        <v>0</v>
      </c>
      <c r="L3236" s="21">
        <v>0</v>
      </c>
      <c r="M3236" s="21">
        <f>COUNTIF($A$2:$A$5481,A3236)</f>
        <v>1</v>
      </c>
      <c r="N3236" s="24">
        <f t="shared" si="50"/>
        <v>30.7203236</v>
      </c>
    </row>
    <row r="3237" spans="1:14">
      <c r="A3237" s="21" t="s">
        <v>3239</v>
      </c>
      <c r="B3237" s="21" t="s">
        <v>920</v>
      </c>
      <c r="C3237" s="21" t="s">
        <v>26</v>
      </c>
      <c r="D3237" s="21" t="s">
        <v>921</v>
      </c>
      <c r="E3237" s="21">
        <v>4</v>
      </c>
      <c r="F3237" s="22">
        <v>45693.4299884259</v>
      </c>
      <c r="G3237" s="22"/>
      <c r="H3237" s="23">
        <v>60</v>
      </c>
      <c r="I3237" s="23">
        <v>15</v>
      </c>
      <c r="J3237" s="24">
        <v>60</v>
      </c>
      <c r="K3237" s="21">
        <v>0</v>
      </c>
      <c r="L3237" s="21">
        <v>0</v>
      </c>
      <c r="M3237" s="21">
        <f>COUNTIF($A$2:$A$5481,A3237)</f>
        <v>1</v>
      </c>
      <c r="N3237" s="24">
        <f t="shared" si="50"/>
        <v>60.0003237</v>
      </c>
    </row>
    <row r="3238" spans="1:14">
      <c r="A3238" s="21" t="s">
        <v>3240</v>
      </c>
      <c r="B3238" s="21" t="s">
        <v>929</v>
      </c>
      <c r="C3238" s="21" t="s">
        <v>26</v>
      </c>
      <c r="D3238" s="21" t="s">
        <v>921</v>
      </c>
      <c r="E3238" s="21">
        <v>4</v>
      </c>
      <c r="F3238" s="22">
        <v>45714.8528587963</v>
      </c>
      <c r="G3238" s="22"/>
      <c r="H3238" s="23">
        <v>263.6</v>
      </c>
      <c r="I3238" s="23">
        <v>65.9</v>
      </c>
      <c r="J3238" s="24">
        <v>263.6</v>
      </c>
      <c r="K3238" s="21">
        <v>0</v>
      </c>
      <c r="L3238" s="21">
        <v>0</v>
      </c>
      <c r="M3238" s="21">
        <f>COUNTIF($A$2:$A$5481,A3238)</f>
        <v>1</v>
      </c>
      <c r="N3238" s="24">
        <f t="shared" si="50"/>
        <v>263.6003238</v>
      </c>
    </row>
    <row r="3239" spans="1:14">
      <c r="A3239" s="21" t="s">
        <v>3241</v>
      </c>
      <c r="B3239" s="21" t="s">
        <v>920</v>
      </c>
      <c r="C3239" s="21" t="s">
        <v>26</v>
      </c>
      <c r="D3239" s="21" t="s">
        <v>931</v>
      </c>
      <c r="E3239" s="21">
        <v>1</v>
      </c>
      <c r="F3239" s="22">
        <v>45406.344212963</v>
      </c>
      <c r="G3239" s="22"/>
      <c r="H3239" s="23">
        <v>81.47</v>
      </c>
      <c r="I3239" s="23">
        <v>81.47</v>
      </c>
      <c r="J3239" s="24">
        <v>81.47</v>
      </c>
      <c r="K3239" s="21">
        <v>0</v>
      </c>
      <c r="L3239" s="21">
        <v>0</v>
      </c>
      <c r="M3239" s="21">
        <f>COUNTIF($A$2:$A$5481,A3239)</f>
        <v>1</v>
      </c>
      <c r="N3239" s="24">
        <f t="shared" si="50"/>
        <v>81.4703239</v>
      </c>
    </row>
    <row r="3240" spans="1:14">
      <c r="A3240" s="21" t="s">
        <v>3242</v>
      </c>
      <c r="B3240" s="21" t="s">
        <v>920</v>
      </c>
      <c r="C3240" s="21" t="s">
        <v>26</v>
      </c>
      <c r="D3240" s="21" t="s">
        <v>931</v>
      </c>
      <c r="E3240" s="21">
        <v>1</v>
      </c>
      <c r="F3240" s="22">
        <v>45406.344212963</v>
      </c>
      <c r="G3240" s="22"/>
      <c r="H3240" s="23">
        <v>108.05</v>
      </c>
      <c r="I3240" s="23">
        <v>108.05</v>
      </c>
      <c r="J3240" s="24">
        <v>108.05</v>
      </c>
      <c r="K3240" s="21">
        <v>0</v>
      </c>
      <c r="L3240" s="21">
        <v>0</v>
      </c>
      <c r="M3240" s="21">
        <f>COUNTIF($A$2:$A$5481,A3240)</f>
        <v>1</v>
      </c>
      <c r="N3240" s="24">
        <f t="shared" si="50"/>
        <v>108.050324</v>
      </c>
    </row>
    <row r="3241" spans="1:14">
      <c r="A3241" s="21" t="s">
        <v>3243</v>
      </c>
      <c r="B3241" s="21" t="s">
        <v>929</v>
      </c>
      <c r="C3241" s="21" t="s">
        <v>182</v>
      </c>
      <c r="D3241" s="21" t="s">
        <v>921</v>
      </c>
      <c r="E3241" s="21">
        <v>9</v>
      </c>
      <c r="F3241" s="22">
        <v>45303.7783217593</v>
      </c>
      <c r="G3241" s="22">
        <v>45345.4031828704</v>
      </c>
      <c r="H3241" s="23">
        <v>312.96</v>
      </c>
      <c r="I3241" s="23">
        <v>26.08</v>
      </c>
      <c r="J3241" s="24">
        <v>234.72</v>
      </c>
      <c r="K3241" s="21">
        <v>2</v>
      </c>
      <c r="L3241" s="21">
        <v>50</v>
      </c>
      <c r="M3241" s="21">
        <f>COUNTIF($A$2:$A$5481,A3241)</f>
        <v>2</v>
      </c>
      <c r="N3241" s="24">
        <f t="shared" si="50"/>
        <v>234.7203241</v>
      </c>
    </row>
    <row r="3242" spans="1:14">
      <c r="A3242" s="21" t="s">
        <v>3243</v>
      </c>
      <c r="B3242" s="21" t="s">
        <v>929</v>
      </c>
      <c r="C3242" s="21" t="s">
        <v>26</v>
      </c>
      <c r="D3242" s="21" t="s">
        <v>921</v>
      </c>
      <c r="E3242" s="21">
        <v>45</v>
      </c>
      <c r="F3242" s="22">
        <v>46087.4048611111</v>
      </c>
      <c r="G3242" s="22">
        <v>45881.4805555556</v>
      </c>
      <c r="H3242" s="23">
        <v>203.34</v>
      </c>
      <c r="I3242" s="23">
        <v>28.1014948519</v>
      </c>
      <c r="J3242" s="24">
        <v>1264.5</v>
      </c>
      <c r="K3242" s="21">
        <v>2</v>
      </c>
      <c r="L3242" s="21">
        <v>50</v>
      </c>
      <c r="M3242" s="21">
        <f>COUNTIF($A$2:$A$5481,A3242)</f>
        <v>2</v>
      </c>
      <c r="N3242" s="24">
        <f t="shared" si="50"/>
        <v>1264.5003242</v>
      </c>
    </row>
    <row r="3243" spans="1:14">
      <c r="A3243" s="21" t="s">
        <v>3244</v>
      </c>
      <c r="B3243" s="21" t="s">
        <v>26</v>
      </c>
      <c r="C3243" s="21" t="s">
        <v>26</v>
      </c>
      <c r="D3243" s="21" t="s">
        <v>921</v>
      </c>
      <c r="E3243" s="21">
        <v>3</v>
      </c>
      <c r="F3243" s="22">
        <v>45604.3785300926</v>
      </c>
      <c r="G3243" s="22"/>
      <c r="H3243" s="23">
        <v>7.8</v>
      </c>
      <c r="I3243" s="23">
        <v>2.6</v>
      </c>
      <c r="J3243" s="24">
        <v>7.8</v>
      </c>
      <c r="K3243" s="21">
        <v>0</v>
      </c>
      <c r="L3243" s="21">
        <v>0</v>
      </c>
      <c r="M3243" s="21">
        <f>COUNTIF($A$2:$A$5481,A3243)</f>
        <v>1</v>
      </c>
      <c r="N3243" s="24">
        <f t="shared" si="50"/>
        <v>7.8003243</v>
      </c>
    </row>
    <row r="3244" spans="1:14">
      <c r="A3244" s="21" t="s">
        <v>439</v>
      </c>
      <c r="B3244" s="21" t="s">
        <v>26</v>
      </c>
      <c r="C3244" s="21" t="s">
        <v>51</v>
      </c>
      <c r="D3244" s="21" t="s">
        <v>921</v>
      </c>
      <c r="E3244" s="21">
        <v>50</v>
      </c>
      <c r="F3244" s="22">
        <v>45762.3576967593</v>
      </c>
      <c r="G3244" s="22"/>
      <c r="H3244" s="23">
        <v>29.5</v>
      </c>
      <c r="I3244" s="23">
        <v>0.59</v>
      </c>
      <c r="J3244" s="24">
        <v>29.5</v>
      </c>
      <c r="K3244" s="21">
        <v>0</v>
      </c>
      <c r="L3244" s="21">
        <v>0</v>
      </c>
      <c r="M3244" s="21">
        <f>COUNTIF($A$2:$A$5481,A3244)</f>
        <v>4</v>
      </c>
      <c r="N3244" s="24">
        <f t="shared" si="50"/>
        <v>29.5003244</v>
      </c>
    </row>
    <row r="3245" spans="1:14">
      <c r="A3245" s="21" t="s">
        <v>439</v>
      </c>
      <c r="B3245" s="21" t="s">
        <v>26</v>
      </c>
      <c r="C3245" s="21" t="s">
        <v>26</v>
      </c>
      <c r="D3245" s="21" t="s">
        <v>921</v>
      </c>
      <c r="E3245" s="21">
        <v>10</v>
      </c>
      <c r="F3245" s="22">
        <v>45876.5571643519</v>
      </c>
      <c r="G3245" s="22">
        <v>46252.4385300926</v>
      </c>
      <c r="H3245" s="23">
        <v>22.17</v>
      </c>
      <c r="I3245" s="23">
        <v>4.5315753226</v>
      </c>
      <c r="J3245" s="24">
        <v>45.3</v>
      </c>
      <c r="K3245" s="21">
        <v>0</v>
      </c>
      <c r="L3245" s="21">
        <v>0</v>
      </c>
      <c r="M3245" s="21">
        <f>COUNTIF($A$2:$A$5481,A3245)</f>
        <v>4</v>
      </c>
      <c r="N3245" s="24">
        <f t="shared" si="50"/>
        <v>45.3003245</v>
      </c>
    </row>
    <row r="3246" spans="1:14">
      <c r="A3246" s="21" t="s">
        <v>439</v>
      </c>
      <c r="B3246" s="21" t="s">
        <v>26</v>
      </c>
      <c r="C3246" s="21" t="s">
        <v>38</v>
      </c>
      <c r="D3246" s="21" t="s">
        <v>921</v>
      </c>
      <c r="E3246" s="21">
        <v>344</v>
      </c>
      <c r="F3246" s="22">
        <v>46161.4354166667</v>
      </c>
      <c r="G3246" s="22">
        <v>46276.6708564815</v>
      </c>
      <c r="H3246" s="23">
        <v>24.48</v>
      </c>
      <c r="I3246" s="23">
        <v>0.9985992001</v>
      </c>
      <c r="J3246" s="24">
        <v>344</v>
      </c>
      <c r="K3246" s="21">
        <v>0</v>
      </c>
      <c r="L3246" s="21">
        <v>0</v>
      </c>
      <c r="M3246" s="21">
        <f>COUNTIF($A$2:$A$5481,A3246)</f>
        <v>4</v>
      </c>
      <c r="N3246" s="24">
        <f t="shared" si="50"/>
        <v>344.0003246</v>
      </c>
    </row>
    <row r="3247" spans="1:14">
      <c r="A3247" s="21" t="s">
        <v>439</v>
      </c>
      <c r="B3247" s="21" t="s">
        <v>26</v>
      </c>
      <c r="C3247" s="21" t="s">
        <v>182</v>
      </c>
      <c r="D3247" s="21" t="s">
        <v>921</v>
      </c>
      <c r="E3247" s="21">
        <v>40</v>
      </c>
      <c r="F3247" s="22">
        <v>46251.5368055556</v>
      </c>
      <c r="G3247" s="22"/>
      <c r="H3247" s="23">
        <v>24.4</v>
      </c>
      <c r="I3247" s="23">
        <v>0.61</v>
      </c>
      <c r="J3247" s="24">
        <v>24.4</v>
      </c>
      <c r="K3247" s="21">
        <v>0</v>
      </c>
      <c r="L3247" s="21">
        <v>0</v>
      </c>
      <c r="M3247" s="21">
        <f>COUNTIF($A$2:$A$5481,A3247)</f>
        <v>4</v>
      </c>
      <c r="N3247" s="24">
        <f t="shared" si="50"/>
        <v>24.4003247</v>
      </c>
    </row>
    <row r="3248" spans="1:14">
      <c r="A3248" s="21" t="s">
        <v>3245</v>
      </c>
      <c r="B3248" s="21" t="s">
        <v>26</v>
      </c>
      <c r="C3248" s="21" t="s">
        <v>26</v>
      </c>
      <c r="D3248" s="21" t="s">
        <v>921</v>
      </c>
      <c r="E3248" s="21">
        <v>6</v>
      </c>
      <c r="F3248" s="22">
        <v>45513.454849537</v>
      </c>
      <c r="G3248" s="22"/>
      <c r="H3248" s="23">
        <v>41.7</v>
      </c>
      <c r="I3248" s="23">
        <v>6.95</v>
      </c>
      <c r="J3248" s="24">
        <v>41.7</v>
      </c>
      <c r="K3248" s="21">
        <v>0</v>
      </c>
      <c r="L3248" s="21">
        <v>0</v>
      </c>
      <c r="M3248" s="21">
        <f>COUNTIF($A$2:$A$5481,A3248)</f>
        <v>1</v>
      </c>
      <c r="N3248" s="24">
        <f t="shared" si="50"/>
        <v>41.7003248</v>
      </c>
    </row>
    <row r="3249" spans="1:14">
      <c r="A3249" s="21" t="s">
        <v>3246</v>
      </c>
      <c r="B3249" s="21" t="s">
        <v>929</v>
      </c>
      <c r="C3249" s="21" t="s">
        <v>26</v>
      </c>
      <c r="D3249" s="21" t="s">
        <v>921</v>
      </c>
      <c r="E3249" s="21">
        <v>1</v>
      </c>
      <c r="F3249" s="22">
        <v>46112.3472222222</v>
      </c>
      <c r="G3249" s="22"/>
      <c r="H3249" s="23">
        <v>15</v>
      </c>
      <c r="I3249" s="23">
        <v>15</v>
      </c>
      <c r="J3249" s="24">
        <v>15</v>
      </c>
      <c r="K3249" s="21">
        <v>0</v>
      </c>
      <c r="L3249" s="21">
        <v>0</v>
      </c>
      <c r="M3249" s="21">
        <f>COUNTIF($A$2:$A$5481,A3249)</f>
        <v>1</v>
      </c>
      <c r="N3249" s="24">
        <f t="shared" si="50"/>
        <v>15.0003249</v>
      </c>
    </row>
    <row r="3250" spans="1:14">
      <c r="A3250" s="21" t="s">
        <v>3247</v>
      </c>
      <c r="B3250" s="21" t="s">
        <v>26</v>
      </c>
      <c r="C3250" s="21" t="s">
        <v>26</v>
      </c>
      <c r="D3250" s="21" t="s">
        <v>921</v>
      </c>
      <c r="E3250" s="21">
        <v>10</v>
      </c>
      <c r="F3250" s="22">
        <v>45916.709375</v>
      </c>
      <c r="G3250" s="22"/>
      <c r="H3250" s="23">
        <v>45.5</v>
      </c>
      <c r="I3250" s="23">
        <v>8.106</v>
      </c>
      <c r="J3250" s="24">
        <v>81.1</v>
      </c>
      <c r="K3250" s="21">
        <v>0</v>
      </c>
      <c r="L3250" s="21">
        <v>0</v>
      </c>
      <c r="M3250" s="21">
        <f>COUNTIF($A$2:$A$5481,A3250)</f>
        <v>1</v>
      </c>
      <c r="N3250" s="24">
        <f t="shared" si="50"/>
        <v>81.100325</v>
      </c>
    </row>
    <row r="3251" spans="1:14">
      <c r="A3251" s="21" t="s">
        <v>3248</v>
      </c>
      <c r="B3251" s="21" t="s">
        <v>26</v>
      </c>
      <c r="C3251" s="21" t="s">
        <v>26</v>
      </c>
      <c r="D3251" s="21" t="s">
        <v>921</v>
      </c>
      <c r="E3251" s="21">
        <v>1</v>
      </c>
      <c r="F3251" s="22">
        <v>45992.5357638889</v>
      </c>
      <c r="G3251" s="22"/>
      <c r="H3251" s="23">
        <v>6.81</v>
      </c>
      <c r="I3251" s="23">
        <v>6.81</v>
      </c>
      <c r="J3251" s="24">
        <v>6.81</v>
      </c>
      <c r="K3251" s="21">
        <v>0</v>
      </c>
      <c r="L3251" s="21">
        <v>0</v>
      </c>
      <c r="M3251" s="21">
        <f>COUNTIF($A$2:$A$5481,A3251)</f>
        <v>1</v>
      </c>
      <c r="N3251" s="24">
        <f t="shared" si="50"/>
        <v>6.8103251</v>
      </c>
    </row>
    <row r="3252" spans="1:14">
      <c r="A3252" s="21" t="s">
        <v>758</v>
      </c>
      <c r="B3252" s="21" t="s">
        <v>949</v>
      </c>
      <c r="C3252" s="21" t="s">
        <v>26</v>
      </c>
      <c r="D3252" s="21" t="s">
        <v>921</v>
      </c>
      <c r="E3252" s="21">
        <v>0</v>
      </c>
      <c r="F3252" s="22">
        <v>45419.8171527778</v>
      </c>
      <c r="G3252" s="22">
        <v>46252.6095717593</v>
      </c>
      <c r="H3252" s="23">
        <v>85</v>
      </c>
      <c r="I3252" s="23">
        <v>4.25</v>
      </c>
      <c r="J3252" s="24">
        <v>0</v>
      </c>
      <c r="K3252" s="21">
        <v>0</v>
      </c>
      <c r="L3252" s="21">
        <v>0</v>
      </c>
      <c r="M3252" s="21">
        <f>COUNTIF($A$2:$A$5481,A3252)</f>
        <v>1</v>
      </c>
      <c r="N3252" s="24">
        <f t="shared" si="50"/>
        <v>0.0003252</v>
      </c>
    </row>
    <row r="3253" spans="1:14">
      <c r="A3253" s="21" t="s">
        <v>3249</v>
      </c>
      <c r="B3253" s="21" t="s">
        <v>920</v>
      </c>
      <c r="C3253" s="21" t="s">
        <v>26</v>
      </c>
      <c r="D3253" s="21" t="s">
        <v>921</v>
      </c>
      <c r="E3253" s="21">
        <v>1</v>
      </c>
      <c r="F3253" s="22">
        <v>46034.6791087963</v>
      </c>
      <c r="G3253" s="22"/>
      <c r="H3253" s="23">
        <v>489.5</v>
      </c>
      <c r="I3253" s="23">
        <v>489.5</v>
      </c>
      <c r="J3253" s="24">
        <v>489.5</v>
      </c>
      <c r="K3253" s="21">
        <v>0</v>
      </c>
      <c r="L3253" s="21">
        <v>0</v>
      </c>
      <c r="M3253" s="21">
        <f>COUNTIF($A$2:$A$5481,A3253)</f>
        <v>1</v>
      </c>
      <c r="N3253" s="24">
        <f t="shared" si="50"/>
        <v>489.5003253</v>
      </c>
    </row>
    <row r="3254" spans="1:14">
      <c r="A3254" s="21" t="s">
        <v>3250</v>
      </c>
      <c r="B3254" s="21" t="s">
        <v>920</v>
      </c>
      <c r="C3254" s="21" t="s">
        <v>26</v>
      </c>
      <c r="D3254" s="21" t="s">
        <v>921</v>
      </c>
      <c r="E3254" s="21">
        <v>1</v>
      </c>
      <c r="F3254" s="22">
        <v>46034.6791087963</v>
      </c>
      <c r="G3254" s="22"/>
      <c r="H3254" s="23">
        <v>489.5</v>
      </c>
      <c r="I3254" s="23">
        <v>489.5</v>
      </c>
      <c r="J3254" s="24">
        <v>489.5</v>
      </c>
      <c r="K3254" s="21">
        <v>0</v>
      </c>
      <c r="L3254" s="21">
        <v>0</v>
      </c>
      <c r="M3254" s="21">
        <f>COUNTIF($A$2:$A$5481,A3254)</f>
        <v>1</v>
      </c>
      <c r="N3254" s="24">
        <f t="shared" si="50"/>
        <v>489.5003254</v>
      </c>
    </row>
    <row r="3255" spans="1:14">
      <c r="A3255" s="21" t="s">
        <v>190</v>
      </c>
      <c r="B3255" s="21" t="s">
        <v>920</v>
      </c>
      <c r="C3255" s="21" t="s">
        <v>35</v>
      </c>
      <c r="D3255" s="21" t="s">
        <v>921</v>
      </c>
      <c r="E3255" s="21">
        <v>0</v>
      </c>
      <c r="F3255" s="22">
        <v>45278.8013657407</v>
      </c>
      <c r="G3255" s="22">
        <v>45343.4210185185</v>
      </c>
      <c r="H3255" s="23">
        <v>336</v>
      </c>
      <c r="I3255" s="23">
        <v>168</v>
      </c>
      <c r="J3255" s="24">
        <v>0</v>
      </c>
      <c r="K3255" s="21">
        <v>1</v>
      </c>
      <c r="L3255" s="21">
        <v>4</v>
      </c>
      <c r="M3255" s="21">
        <f>COUNTIF($A$2:$A$5481,A3255)</f>
        <v>2</v>
      </c>
      <c r="N3255" s="24">
        <f t="shared" si="50"/>
        <v>0.0003255</v>
      </c>
    </row>
    <row r="3256" spans="1:14">
      <c r="A3256" s="21" t="s">
        <v>190</v>
      </c>
      <c r="B3256" s="21" t="s">
        <v>920</v>
      </c>
      <c r="C3256" s="21" t="s">
        <v>26</v>
      </c>
      <c r="D3256" s="21" t="s">
        <v>921</v>
      </c>
      <c r="E3256" s="21">
        <v>5</v>
      </c>
      <c r="F3256" s="22">
        <v>46027.5409143519</v>
      </c>
      <c r="G3256" s="22">
        <v>46058.7260416667</v>
      </c>
      <c r="H3256" s="23">
        <v>1120</v>
      </c>
      <c r="I3256" s="23">
        <v>140</v>
      </c>
      <c r="J3256" s="24">
        <v>700</v>
      </c>
      <c r="K3256" s="21">
        <v>1</v>
      </c>
      <c r="L3256" s="21">
        <v>4</v>
      </c>
      <c r="M3256" s="21">
        <f>COUNTIF($A$2:$A$5481,A3256)</f>
        <v>2</v>
      </c>
      <c r="N3256" s="24">
        <f t="shared" si="50"/>
        <v>700.0003256</v>
      </c>
    </row>
    <row r="3257" spans="1:14">
      <c r="A3257" s="21" t="s">
        <v>3251</v>
      </c>
      <c r="B3257" s="21" t="s">
        <v>920</v>
      </c>
      <c r="C3257" s="21" t="s">
        <v>35</v>
      </c>
      <c r="D3257" s="21" t="s">
        <v>921</v>
      </c>
      <c r="E3257" s="21">
        <v>0</v>
      </c>
      <c r="F3257" s="22">
        <v>45331.7034722222</v>
      </c>
      <c r="G3257" s="22">
        <v>45336.3730555556</v>
      </c>
      <c r="H3257" s="23">
        <v>1355.55</v>
      </c>
      <c r="I3257" s="23">
        <v>1355.55</v>
      </c>
      <c r="J3257" s="24">
        <v>0</v>
      </c>
      <c r="K3257" s="21">
        <v>0</v>
      </c>
      <c r="L3257" s="21">
        <v>0</v>
      </c>
      <c r="M3257" s="21">
        <f>COUNTIF($A$2:$A$5481,A3257)</f>
        <v>2</v>
      </c>
      <c r="N3257" s="24">
        <f t="shared" si="50"/>
        <v>0.0003257</v>
      </c>
    </row>
    <row r="3258" spans="1:14">
      <c r="A3258" s="21" t="s">
        <v>3251</v>
      </c>
      <c r="B3258" s="21" t="s">
        <v>920</v>
      </c>
      <c r="C3258" s="21" t="s">
        <v>26</v>
      </c>
      <c r="D3258" s="21" t="s">
        <v>921</v>
      </c>
      <c r="E3258" s="21">
        <v>0</v>
      </c>
      <c r="F3258" s="22">
        <v>45646.3994097222</v>
      </c>
      <c r="G3258" s="22">
        <v>45686.3824074074</v>
      </c>
      <c r="H3258" s="23">
        <v>185</v>
      </c>
      <c r="I3258" s="23">
        <v>185</v>
      </c>
      <c r="J3258" s="24">
        <v>0</v>
      </c>
      <c r="K3258" s="21">
        <v>0</v>
      </c>
      <c r="L3258" s="21">
        <v>0</v>
      </c>
      <c r="M3258" s="21">
        <f>COUNTIF($A$2:$A$5481,A3258)</f>
        <v>2</v>
      </c>
      <c r="N3258" s="24">
        <f t="shared" si="50"/>
        <v>0.0003258</v>
      </c>
    </row>
    <row r="3259" spans="1:14">
      <c r="A3259" s="21" t="s">
        <v>3252</v>
      </c>
      <c r="B3259" s="21" t="s">
        <v>920</v>
      </c>
      <c r="C3259" s="21" t="s">
        <v>26</v>
      </c>
      <c r="D3259" s="21" t="s">
        <v>921</v>
      </c>
      <c r="E3259" s="21">
        <v>1</v>
      </c>
      <c r="F3259" s="22">
        <v>46216.6901273148</v>
      </c>
      <c r="G3259" s="22"/>
      <c r="H3259" s="23">
        <v>490</v>
      </c>
      <c r="I3259" s="23">
        <v>490</v>
      </c>
      <c r="J3259" s="24">
        <v>490</v>
      </c>
      <c r="K3259" s="21">
        <v>0</v>
      </c>
      <c r="L3259" s="21">
        <v>0</v>
      </c>
      <c r="M3259" s="21">
        <f>COUNTIF($A$2:$A$5481,A3259)</f>
        <v>1</v>
      </c>
      <c r="N3259" s="24">
        <f t="shared" si="50"/>
        <v>490.0003259</v>
      </c>
    </row>
    <row r="3260" spans="1:14">
      <c r="A3260" s="21" t="s">
        <v>3253</v>
      </c>
      <c r="B3260" s="21" t="s">
        <v>920</v>
      </c>
      <c r="C3260" s="21" t="s">
        <v>35</v>
      </c>
      <c r="D3260" s="21" t="s">
        <v>921</v>
      </c>
      <c r="E3260" s="21">
        <v>1</v>
      </c>
      <c r="F3260" s="22">
        <v>45867.5523148148</v>
      </c>
      <c r="G3260" s="22"/>
      <c r="H3260" s="23">
        <v>1050</v>
      </c>
      <c r="I3260" s="23">
        <v>1050</v>
      </c>
      <c r="J3260" s="24">
        <v>1050</v>
      </c>
      <c r="K3260" s="21">
        <v>0</v>
      </c>
      <c r="L3260" s="21">
        <v>0</v>
      </c>
      <c r="M3260" s="21">
        <f>COUNTIF($A$2:$A$5481,A3260)</f>
        <v>1</v>
      </c>
      <c r="N3260" s="24">
        <f t="shared" si="50"/>
        <v>1050.000326</v>
      </c>
    </row>
    <row r="3261" spans="1:14">
      <c r="A3261" s="21" t="s">
        <v>315</v>
      </c>
      <c r="B3261" s="21" t="s">
        <v>920</v>
      </c>
      <c r="C3261" s="21" t="s">
        <v>35</v>
      </c>
      <c r="D3261" s="21" t="s">
        <v>921</v>
      </c>
      <c r="E3261" s="21">
        <v>0</v>
      </c>
      <c r="F3261" s="22">
        <v>46013.5532986111</v>
      </c>
      <c r="G3261" s="22">
        <v>46098.5544212963</v>
      </c>
      <c r="H3261" s="23">
        <v>1560</v>
      </c>
      <c r="I3261" s="23">
        <v>1560</v>
      </c>
      <c r="J3261" s="24">
        <v>0</v>
      </c>
      <c r="K3261" s="21">
        <v>0</v>
      </c>
      <c r="L3261" s="21">
        <v>0</v>
      </c>
      <c r="M3261" s="21">
        <f>COUNTIF($A$2:$A$5481,A3261)</f>
        <v>1</v>
      </c>
      <c r="N3261" s="24">
        <f t="shared" si="50"/>
        <v>0.0003261</v>
      </c>
    </row>
    <row r="3262" spans="1:14">
      <c r="A3262" s="21" t="s">
        <v>3254</v>
      </c>
      <c r="B3262" s="21" t="s">
        <v>1175</v>
      </c>
      <c r="C3262" s="21" t="s">
        <v>182</v>
      </c>
      <c r="D3262" s="21" t="s">
        <v>921</v>
      </c>
      <c r="E3262" s="21">
        <v>0</v>
      </c>
      <c r="F3262" s="22">
        <v>45321.7354166667</v>
      </c>
      <c r="G3262" s="22">
        <v>45330.4620601852</v>
      </c>
      <c r="H3262" s="23">
        <v>39.4</v>
      </c>
      <c r="I3262" s="23">
        <v>3.94</v>
      </c>
      <c r="J3262" s="24">
        <v>0</v>
      </c>
      <c r="K3262" s="21">
        <v>0</v>
      </c>
      <c r="L3262" s="21">
        <v>0</v>
      </c>
      <c r="M3262" s="21">
        <f>COUNTIF($A$2:$A$5481,A3262)</f>
        <v>1</v>
      </c>
      <c r="N3262" s="24">
        <f t="shared" si="50"/>
        <v>0.0003262</v>
      </c>
    </row>
    <row r="3263" spans="1:14">
      <c r="A3263" s="21" t="s">
        <v>3255</v>
      </c>
      <c r="B3263" s="21" t="s">
        <v>1175</v>
      </c>
      <c r="C3263" s="21" t="s">
        <v>182</v>
      </c>
      <c r="D3263" s="21" t="s">
        <v>921</v>
      </c>
      <c r="E3263" s="21">
        <v>0</v>
      </c>
      <c r="F3263" s="22">
        <v>45321.7354166667</v>
      </c>
      <c r="G3263" s="22">
        <v>45330.462037037</v>
      </c>
      <c r="H3263" s="23">
        <v>35.8</v>
      </c>
      <c r="I3263" s="23">
        <v>3.58</v>
      </c>
      <c r="J3263" s="24">
        <v>0</v>
      </c>
      <c r="K3263" s="21">
        <v>0</v>
      </c>
      <c r="L3263" s="21">
        <v>0</v>
      </c>
      <c r="M3263" s="21">
        <f>COUNTIF($A$2:$A$5481,A3263)</f>
        <v>1</v>
      </c>
      <c r="N3263" s="24">
        <f t="shared" si="50"/>
        <v>0.0003263</v>
      </c>
    </row>
    <row r="3264" spans="1:14">
      <c r="A3264" s="21" t="s">
        <v>419</v>
      </c>
      <c r="B3264" s="21" t="s">
        <v>920</v>
      </c>
      <c r="C3264" s="21" t="s">
        <v>26</v>
      </c>
      <c r="D3264" s="21" t="s">
        <v>921</v>
      </c>
      <c r="E3264" s="21">
        <v>0</v>
      </c>
      <c r="F3264" s="22">
        <v>45699.4096296296</v>
      </c>
      <c r="G3264" s="22">
        <v>46195.6798726852</v>
      </c>
      <c r="H3264" s="23">
        <v>280</v>
      </c>
      <c r="I3264" s="23">
        <v>145.19</v>
      </c>
      <c r="J3264" s="24">
        <v>0</v>
      </c>
      <c r="K3264" s="21">
        <v>0</v>
      </c>
      <c r="L3264" s="21">
        <v>0</v>
      </c>
      <c r="M3264" s="21">
        <f>COUNTIF($A$2:$A$5481,A3264)</f>
        <v>1</v>
      </c>
      <c r="N3264" s="24">
        <f t="shared" si="50"/>
        <v>0.0003264</v>
      </c>
    </row>
    <row r="3265" spans="1:14">
      <c r="A3265" s="21" t="s">
        <v>3256</v>
      </c>
      <c r="B3265" s="21" t="s">
        <v>920</v>
      </c>
      <c r="C3265" s="21" t="s">
        <v>26</v>
      </c>
      <c r="D3265" s="21" t="s">
        <v>921</v>
      </c>
      <c r="E3265" s="21">
        <v>1</v>
      </c>
      <c r="F3265" s="22">
        <v>46027.6540046296</v>
      </c>
      <c r="G3265" s="22"/>
      <c r="H3265" s="23">
        <v>500</v>
      </c>
      <c r="I3265" s="23">
        <v>500</v>
      </c>
      <c r="J3265" s="24">
        <v>500</v>
      </c>
      <c r="K3265" s="21">
        <v>0</v>
      </c>
      <c r="L3265" s="21">
        <v>0</v>
      </c>
      <c r="M3265" s="21">
        <f>COUNTIF($A$2:$A$5481,A3265)</f>
        <v>1</v>
      </c>
      <c r="N3265" s="24">
        <f t="shared" si="50"/>
        <v>500.0003265</v>
      </c>
    </row>
    <row r="3266" spans="1:14">
      <c r="A3266" s="21" t="s">
        <v>3257</v>
      </c>
      <c r="B3266" s="21" t="s">
        <v>920</v>
      </c>
      <c r="C3266" s="21" t="s">
        <v>26</v>
      </c>
      <c r="D3266" s="21" t="s">
        <v>921</v>
      </c>
      <c r="E3266" s="21">
        <v>1</v>
      </c>
      <c r="F3266" s="22">
        <v>46027.6540046296</v>
      </c>
      <c r="G3266" s="22"/>
      <c r="H3266" s="23">
        <v>500</v>
      </c>
      <c r="I3266" s="23">
        <v>500</v>
      </c>
      <c r="J3266" s="24">
        <v>500</v>
      </c>
      <c r="K3266" s="21">
        <v>0</v>
      </c>
      <c r="L3266" s="21">
        <v>0</v>
      </c>
      <c r="M3266" s="21">
        <f>COUNTIF($A$2:$A$5481,A3266)</f>
        <v>1</v>
      </c>
      <c r="N3266" s="24">
        <f t="shared" ref="N3266:N3329" si="51">J3266+ROW()/10000000</f>
        <v>500.0003266</v>
      </c>
    </row>
    <row r="3267" spans="1:14">
      <c r="A3267" s="21" t="s">
        <v>3258</v>
      </c>
      <c r="B3267" s="21" t="s">
        <v>920</v>
      </c>
      <c r="C3267" s="21" t="s">
        <v>35</v>
      </c>
      <c r="D3267" s="21" t="s">
        <v>921</v>
      </c>
      <c r="E3267" s="21">
        <v>1</v>
      </c>
      <c r="F3267" s="22">
        <v>45867.5523148148</v>
      </c>
      <c r="G3267" s="22">
        <v>45876.3819097222</v>
      </c>
      <c r="H3267" s="23">
        <v>300</v>
      </c>
      <c r="I3267" s="23">
        <v>150</v>
      </c>
      <c r="J3267" s="24">
        <v>150</v>
      </c>
      <c r="K3267" s="21">
        <v>0</v>
      </c>
      <c r="L3267" s="21">
        <v>0</v>
      </c>
      <c r="M3267" s="21">
        <f>COUNTIF($A$2:$A$5481,A3267)</f>
        <v>1</v>
      </c>
      <c r="N3267" s="24">
        <f t="shared" si="51"/>
        <v>150.0003267</v>
      </c>
    </row>
    <row r="3268" spans="1:14">
      <c r="A3268" s="21" t="s">
        <v>3259</v>
      </c>
      <c r="B3268" s="21" t="s">
        <v>920</v>
      </c>
      <c r="C3268" s="21" t="s">
        <v>26</v>
      </c>
      <c r="D3268" s="21" t="s">
        <v>921</v>
      </c>
      <c r="E3268" s="21">
        <v>1</v>
      </c>
      <c r="F3268" s="22">
        <v>45561.7252777778</v>
      </c>
      <c r="G3268" s="22">
        <v>45782.3955208333</v>
      </c>
      <c r="H3268" s="23">
        <v>216</v>
      </c>
      <c r="I3268" s="23">
        <v>54</v>
      </c>
      <c r="J3268" s="24">
        <v>54</v>
      </c>
      <c r="K3268" s="21">
        <v>0</v>
      </c>
      <c r="L3268" s="21">
        <v>0</v>
      </c>
      <c r="M3268" s="21">
        <f>COUNTIF($A$2:$A$5481,A3268)</f>
        <v>1</v>
      </c>
      <c r="N3268" s="24">
        <f t="shared" si="51"/>
        <v>54.0003268</v>
      </c>
    </row>
    <row r="3269" spans="1:14">
      <c r="A3269" s="21" t="s">
        <v>3260</v>
      </c>
      <c r="B3269" s="21" t="s">
        <v>920</v>
      </c>
      <c r="C3269" s="21" t="s">
        <v>26</v>
      </c>
      <c r="D3269" s="21" t="s">
        <v>931</v>
      </c>
      <c r="E3269" s="21">
        <v>20</v>
      </c>
      <c r="F3269" s="22">
        <v>46021.3925115741</v>
      </c>
      <c r="G3269" s="22">
        <v>45524.7557060185</v>
      </c>
      <c r="H3269" s="23">
        <v>130</v>
      </c>
      <c r="I3269" s="23">
        <v>17.4</v>
      </c>
      <c r="J3269" s="24">
        <v>348</v>
      </c>
      <c r="K3269" s="21">
        <v>0</v>
      </c>
      <c r="L3269" s="21">
        <v>0</v>
      </c>
      <c r="M3269" s="21">
        <f>COUNTIF($A$2:$A$5481,A3269)</f>
        <v>1</v>
      </c>
      <c r="N3269" s="24">
        <f t="shared" si="51"/>
        <v>348.0003269</v>
      </c>
    </row>
    <row r="3270" spans="1:14">
      <c r="A3270" s="21" t="s">
        <v>3261</v>
      </c>
      <c r="B3270" s="21" t="s">
        <v>920</v>
      </c>
      <c r="C3270" s="21" t="s">
        <v>26</v>
      </c>
      <c r="D3270" s="21" t="s">
        <v>921</v>
      </c>
      <c r="E3270" s="21">
        <v>5</v>
      </c>
      <c r="F3270" s="22">
        <v>45633.35</v>
      </c>
      <c r="G3270" s="22"/>
      <c r="H3270" s="23">
        <v>15.65</v>
      </c>
      <c r="I3270" s="23">
        <v>3.13</v>
      </c>
      <c r="J3270" s="24">
        <v>15.65</v>
      </c>
      <c r="K3270" s="21">
        <v>0</v>
      </c>
      <c r="L3270" s="21">
        <v>0</v>
      </c>
      <c r="M3270" s="21">
        <f>COUNTIF($A$2:$A$5481,A3270)</f>
        <v>1</v>
      </c>
      <c r="N3270" s="24">
        <f t="shared" si="51"/>
        <v>15.650327</v>
      </c>
    </row>
    <row r="3271" spans="1:14">
      <c r="A3271" s="21" t="s">
        <v>3262</v>
      </c>
      <c r="B3271" s="21" t="s">
        <v>920</v>
      </c>
      <c r="C3271" s="21" t="s">
        <v>26</v>
      </c>
      <c r="D3271" s="21" t="s">
        <v>921</v>
      </c>
      <c r="E3271" s="21">
        <v>5</v>
      </c>
      <c r="F3271" s="22">
        <v>45633.35</v>
      </c>
      <c r="G3271" s="22"/>
      <c r="H3271" s="23">
        <v>15.2</v>
      </c>
      <c r="I3271" s="23">
        <v>3.04</v>
      </c>
      <c r="J3271" s="24">
        <v>15.2</v>
      </c>
      <c r="K3271" s="21">
        <v>0</v>
      </c>
      <c r="L3271" s="21">
        <v>0</v>
      </c>
      <c r="M3271" s="21">
        <f>COUNTIF($A$2:$A$5481,A3271)</f>
        <v>1</v>
      </c>
      <c r="N3271" s="24">
        <f t="shared" si="51"/>
        <v>15.2003271</v>
      </c>
    </row>
    <row r="3272" spans="1:14">
      <c r="A3272" s="21" t="s">
        <v>3263</v>
      </c>
      <c r="B3272" s="21" t="s">
        <v>26</v>
      </c>
      <c r="C3272" s="21" t="s">
        <v>26</v>
      </c>
      <c r="D3272" s="21" t="s">
        <v>921</v>
      </c>
      <c r="E3272" s="21">
        <v>3</v>
      </c>
      <c r="F3272" s="22">
        <v>45538.6331481482</v>
      </c>
      <c r="G3272" s="22"/>
      <c r="H3272" s="23">
        <v>6.72</v>
      </c>
      <c r="I3272" s="23">
        <v>2.24</v>
      </c>
      <c r="J3272" s="24">
        <v>6.72</v>
      </c>
      <c r="K3272" s="21">
        <v>0</v>
      </c>
      <c r="L3272" s="21">
        <v>0</v>
      </c>
      <c r="M3272" s="21">
        <f>COUNTIF($A$2:$A$5481,A3272)</f>
        <v>1</v>
      </c>
      <c r="N3272" s="24">
        <f t="shared" si="51"/>
        <v>6.7203272</v>
      </c>
    </row>
    <row r="3273" spans="1:14">
      <c r="A3273" s="21" t="s">
        <v>3264</v>
      </c>
      <c r="B3273" s="21" t="s">
        <v>26</v>
      </c>
      <c r="C3273" s="21" t="s">
        <v>26</v>
      </c>
      <c r="D3273" s="21" t="s">
        <v>921</v>
      </c>
      <c r="E3273" s="21">
        <v>3</v>
      </c>
      <c r="F3273" s="22">
        <v>45538.6331481482</v>
      </c>
      <c r="G3273" s="22"/>
      <c r="H3273" s="23">
        <v>17.28</v>
      </c>
      <c r="I3273" s="23">
        <v>5.76</v>
      </c>
      <c r="J3273" s="24">
        <v>17.28</v>
      </c>
      <c r="K3273" s="21">
        <v>0</v>
      </c>
      <c r="L3273" s="21">
        <v>0</v>
      </c>
      <c r="M3273" s="21">
        <f>COUNTIF($A$2:$A$5481,A3273)</f>
        <v>1</v>
      </c>
      <c r="N3273" s="24">
        <f t="shared" si="51"/>
        <v>17.2803273</v>
      </c>
    </row>
    <row r="3274" spans="1:14">
      <c r="A3274" s="21" t="s">
        <v>753</v>
      </c>
      <c r="B3274" s="21" t="s">
        <v>920</v>
      </c>
      <c r="C3274" s="21" t="s">
        <v>26</v>
      </c>
      <c r="D3274" s="21" t="s">
        <v>921</v>
      </c>
      <c r="E3274" s="21">
        <v>0</v>
      </c>
      <c r="F3274" s="22">
        <v>45582.4687152778</v>
      </c>
      <c r="G3274" s="22">
        <v>46252.6095138889</v>
      </c>
      <c r="H3274" s="23">
        <v>41.82</v>
      </c>
      <c r="I3274" s="23">
        <v>13.94</v>
      </c>
      <c r="J3274" s="24">
        <v>0</v>
      </c>
      <c r="K3274" s="21">
        <v>0</v>
      </c>
      <c r="L3274" s="21">
        <v>0</v>
      </c>
      <c r="M3274" s="21">
        <f>COUNTIF($A$2:$A$5481,A3274)</f>
        <v>1</v>
      </c>
      <c r="N3274" s="24">
        <f t="shared" si="51"/>
        <v>0.0003274</v>
      </c>
    </row>
    <row r="3275" spans="1:14">
      <c r="A3275" s="21" t="s">
        <v>3265</v>
      </c>
      <c r="B3275" s="21" t="s">
        <v>26</v>
      </c>
      <c r="C3275" s="21" t="s">
        <v>26</v>
      </c>
      <c r="D3275" s="21" t="s">
        <v>921</v>
      </c>
      <c r="E3275" s="21">
        <v>3</v>
      </c>
      <c r="F3275" s="22">
        <v>45905.5457523148</v>
      </c>
      <c r="G3275" s="22"/>
      <c r="H3275" s="23">
        <v>75.48</v>
      </c>
      <c r="I3275" s="23">
        <v>37.74</v>
      </c>
      <c r="J3275" s="24">
        <v>113.22</v>
      </c>
      <c r="K3275" s="21">
        <v>0</v>
      </c>
      <c r="L3275" s="21">
        <v>0</v>
      </c>
      <c r="M3275" s="21">
        <f>COUNTIF($A$2:$A$5481,A3275)</f>
        <v>1</v>
      </c>
      <c r="N3275" s="24">
        <f t="shared" si="51"/>
        <v>113.2203275</v>
      </c>
    </row>
    <row r="3276" spans="1:14">
      <c r="A3276" s="21" t="s">
        <v>3266</v>
      </c>
      <c r="B3276" s="21" t="s">
        <v>26</v>
      </c>
      <c r="C3276" s="21" t="s">
        <v>26</v>
      </c>
      <c r="D3276" s="21" t="s">
        <v>931</v>
      </c>
      <c r="E3276" s="21">
        <v>8</v>
      </c>
      <c r="F3276" s="22">
        <v>45905.5457523148</v>
      </c>
      <c r="G3276" s="22"/>
      <c r="H3276" s="23">
        <v>99.84</v>
      </c>
      <c r="I3276" s="23">
        <v>12.48</v>
      </c>
      <c r="J3276" s="24">
        <v>99.84</v>
      </c>
      <c r="K3276" s="21">
        <v>0</v>
      </c>
      <c r="L3276" s="21">
        <v>0</v>
      </c>
      <c r="M3276" s="21">
        <f>COUNTIF($A$2:$A$5481,A3276)</f>
        <v>1</v>
      </c>
      <c r="N3276" s="24">
        <f t="shared" si="51"/>
        <v>99.8403276</v>
      </c>
    </row>
    <row r="3277" spans="1:14">
      <c r="A3277" s="21" t="s">
        <v>3267</v>
      </c>
      <c r="B3277" s="21" t="s">
        <v>26</v>
      </c>
      <c r="C3277" s="21" t="s">
        <v>26</v>
      </c>
      <c r="D3277" s="21" t="s">
        <v>921</v>
      </c>
      <c r="E3277" s="21">
        <v>16</v>
      </c>
      <c r="F3277" s="22">
        <v>46094.5597222222</v>
      </c>
      <c r="G3277" s="22"/>
      <c r="H3277" s="23">
        <v>89.34</v>
      </c>
      <c r="I3277" s="23">
        <v>14.53375</v>
      </c>
      <c r="J3277" s="24">
        <v>232.48</v>
      </c>
      <c r="K3277" s="21">
        <v>0</v>
      </c>
      <c r="L3277" s="21">
        <v>0</v>
      </c>
      <c r="M3277" s="21">
        <f>COUNTIF($A$2:$A$5481,A3277)</f>
        <v>1</v>
      </c>
      <c r="N3277" s="24">
        <f t="shared" si="51"/>
        <v>232.4803277</v>
      </c>
    </row>
    <row r="3278" spans="1:14">
      <c r="A3278" s="21" t="s">
        <v>3268</v>
      </c>
      <c r="B3278" s="21" t="s">
        <v>949</v>
      </c>
      <c r="C3278" s="21" t="s">
        <v>26</v>
      </c>
      <c r="D3278" s="21" t="s">
        <v>921</v>
      </c>
      <c r="E3278" s="21">
        <v>1</v>
      </c>
      <c r="F3278" s="22">
        <v>45693.831087963</v>
      </c>
      <c r="G3278" s="22"/>
      <c r="H3278" s="23">
        <v>31.9</v>
      </c>
      <c r="I3278" s="23">
        <v>31.9</v>
      </c>
      <c r="J3278" s="24">
        <v>31.9</v>
      </c>
      <c r="K3278" s="21">
        <v>0</v>
      </c>
      <c r="L3278" s="21">
        <v>0</v>
      </c>
      <c r="M3278" s="21">
        <f>COUNTIF($A$2:$A$5481,A3278)</f>
        <v>1</v>
      </c>
      <c r="N3278" s="24">
        <f t="shared" si="51"/>
        <v>31.9003278</v>
      </c>
    </row>
    <row r="3279" spans="1:14">
      <c r="A3279" s="21" t="s">
        <v>3269</v>
      </c>
      <c r="B3279" s="21" t="s">
        <v>26</v>
      </c>
      <c r="C3279" s="21" t="s">
        <v>182</v>
      </c>
      <c r="D3279" s="21" t="s">
        <v>921</v>
      </c>
      <c r="E3279" s="21">
        <v>4</v>
      </c>
      <c r="F3279" s="22">
        <v>45307.4647106482</v>
      </c>
      <c r="G3279" s="22"/>
      <c r="H3279" s="23">
        <v>117.8</v>
      </c>
      <c r="I3279" s="23">
        <v>29.45</v>
      </c>
      <c r="J3279" s="24">
        <v>117.8</v>
      </c>
      <c r="K3279" s="21">
        <v>0</v>
      </c>
      <c r="L3279" s="21">
        <v>0</v>
      </c>
      <c r="M3279" s="21">
        <f>COUNTIF($A$2:$A$5481,A3279)</f>
        <v>2</v>
      </c>
      <c r="N3279" s="24">
        <f t="shared" si="51"/>
        <v>117.8003279</v>
      </c>
    </row>
    <row r="3280" spans="1:14">
      <c r="A3280" s="21" t="s">
        <v>3269</v>
      </c>
      <c r="B3280" s="21" t="s">
        <v>26</v>
      </c>
      <c r="C3280" s="21" t="s">
        <v>26</v>
      </c>
      <c r="D3280" s="21" t="s">
        <v>921</v>
      </c>
      <c r="E3280" s="21">
        <v>2</v>
      </c>
      <c r="F3280" s="22">
        <v>45488.3450462963</v>
      </c>
      <c r="G3280" s="22"/>
      <c r="H3280" s="23">
        <v>16.79</v>
      </c>
      <c r="I3280" s="23">
        <v>22.39</v>
      </c>
      <c r="J3280" s="24">
        <v>44.78</v>
      </c>
      <c r="K3280" s="21">
        <v>0</v>
      </c>
      <c r="L3280" s="21">
        <v>0</v>
      </c>
      <c r="M3280" s="21">
        <f>COUNTIF($A$2:$A$5481,A3280)</f>
        <v>2</v>
      </c>
      <c r="N3280" s="24">
        <f t="shared" si="51"/>
        <v>44.780328</v>
      </c>
    </row>
    <row r="3281" spans="1:14">
      <c r="A3281" s="21" t="s">
        <v>3270</v>
      </c>
      <c r="B3281" s="21" t="s">
        <v>26</v>
      </c>
      <c r="C3281" s="21" t="s">
        <v>51</v>
      </c>
      <c r="D3281" s="21" t="s">
        <v>921</v>
      </c>
      <c r="E3281" s="21">
        <v>2</v>
      </c>
      <c r="F3281" s="22">
        <v>45427.4479166667</v>
      </c>
      <c r="G3281" s="22"/>
      <c r="H3281" s="23">
        <v>26.98</v>
      </c>
      <c r="I3281" s="23">
        <v>13.49</v>
      </c>
      <c r="J3281" s="24">
        <v>26.98</v>
      </c>
      <c r="K3281" s="21">
        <v>0</v>
      </c>
      <c r="L3281" s="21">
        <v>0</v>
      </c>
      <c r="M3281" s="21">
        <f>COUNTIF($A$2:$A$5481,A3281)</f>
        <v>1</v>
      </c>
      <c r="N3281" s="24">
        <f t="shared" si="51"/>
        <v>26.9803281</v>
      </c>
    </row>
    <row r="3282" spans="1:14">
      <c r="A3282" s="21" t="s">
        <v>3271</v>
      </c>
      <c r="B3282" s="21" t="s">
        <v>26</v>
      </c>
      <c r="C3282" s="21" t="s">
        <v>51</v>
      </c>
      <c r="D3282" s="21" t="s">
        <v>921</v>
      </c>
      <c r="E3282" s="21">
        <v>2</v>
      </c>
      <c r="F3282" s="22">
        <v>45300.662337963</v>
      </c>
      <c r="G3282" s="22"/>
      <c r="H3282" s="23">
        <v>25.8</v>
      </c>
      <c r="I3282" s="23">
        <v>12.9</v>
      </c>
      <c r="J3282" s="24">
        <v>25.8</v>
      </c>
      <c r="K3282" s="21">
        <v>0</v>
      </c>
      <c r="L3282" s="21">
        <v>0</v>
      </c>
      <c r="M3282" s="21">
        <f>COUNTIF($A$2:$A$5481,A3282)</f>
        <v>2</v>
      </c>
      <c r="N3282" s="24">
        <f t="shared" si="51"/>
        <v>25.8003282</v>
      </c>
    </row>
    <row r="3283" spans="1:14">
      <c r="A3283" s="21" t="s">
        <v>3271</v>
      </c>
      <c r="B3283" s="21" t="s">
        <v>26</v>
      </c>
      <c r="C3283" s="21" t="s">
        <v>26</v>
      </c>
      <c r="D3283" s="21" t="s">
        <v>921</v>
      </c>
      <c r="E3283" s="21">
        <v>2</v>
      </c>
      <c r="F3283" s="22">
        <v>46104.5992476852</v>
      </c>
      <c r="G3283" s="22"/>
      <c r="H3283" s="23">
        <v>14.99</v>
      </c>
      <c r="I3283" s="23">
        <v>21.99</v>
      </c>
      <c r="J3283" s="24">
        <v>43.98</v>
      </c>
      <c r="K3283" s="21">
        <v>0</v>
      </c>
      <c r="L3283" s="21">
        <v>0</v>
      </c>
      <c r="M3283" s="21">
        <f>COUNTIF($A$2:$A$5481,A3283)</f>
        <v>2</v>
      </c>
      <c r="N3283" s="24">
        <f t="shared" si="51"/>
        <v>43.9803283</v>
      </c>
    </row>
    <row r="3284" spans="1:14">
      <c r="A3284" s="21" t="s">
        <v>3272</v>
      </c>
      <c r="B3284" s="21" t="s">
        <v>26</v>
      </c>
      <c r="C3284" s="21" t="s">
        <v>26</v>
      </c>
      <c r="D3284" s="21" t="s">
        <v>921</v>
      </c>
      <c r="E3284" s="21">
        <v>5</v>
      </c>
      <c r="F3284" s="22">
        <v>46120.3576388889</v>
      </c>
      <c r="G3284" s="22"/>
      <c r="H3284" s="23">
        <v>5.99</v>
      </c>
      <c r="I3284" s="23">
        <v>6.19</v>
      </c>
      <c r="J3284" s="24">
        <v>30.95</v>
      </c>
      <c r="K3284" s="21">
        <v>0</v>
      </c>
      <c r="L3284" s="21">
        <v>0</v>
      </c>
      <c r="M3284" s="21">
        <f>COUNTIF($A$2:$A$5481,A3284)</f>
        <v>1</v>
      </c>
      <c r="N3284" s="24">
        <f t="shared" si="51"/>
        <v>30.9503284</v>
      </c>
    </row>
    <row r="3285" spans="1:14">
      <c r="A3285" s="21" t="s">
        <v>3273</v>
      </c>
      <c r="B3285" s="21" t="s">
        <v>926</v>
      </c>
      <c r="C3285" s="21" t="s">
        <v>26</v>
      </c>
      <c r="D3285" s="21" t="s">
        <v>921</v>
      </c>
      <c r="E3285" s="21">
        <v>2</v>
      </c>
      <c r="F3285" s="22">
        <v>45474.8065046296</v>
      </c>
      <c r="G3285" s="22"/>
      <c r="H3285" s="23">
        <v>76.8</v>
      </c>
      <c r="I3285" s="23">
        <v>38.4</v>
      </c>
      <c r="J3285" s="24">
        <v>76.8</v>
      </c>
      <c r="K3285" s="21">
        <v>0</v>
      </c>
      <c r="L3285" s="21">
        <v>0</v>
      </c>
      <c r="M3285" s="21">
        <f>COUNTIF($A$2:$A$5481,A3285)</f>
        <v>1</v>
      </c>
      <c r="N3285" s="24">
        <f t="shared" si="51"/>
        <v>76.8003285</v>
      </c>
    </row>
    <row r="3286" spans="1:14">
      <c r="A3286" s="21" t="s">
        <v>3274</v>
      </c>
      <c r="B3286" s="21" t="s">
        <v>926</v>
      </c>
      <c r="C3286" s="21" t="s">
        <v>26</v>
      </c>
      <c r="D3286" s="21" t="s">
        <v>921</v>
      </c>
      <c r="E3286" s="21">
        <v>1</v>
      </c>
      <c r="F3286" s="22">
        <v>45474.8065046296</v>
      </c>
      <c r="G3286" s="22"/>
      <c r="H3286" s="23">
        <v>38.4</v>
      </c>
      <c r="I3286" s="23">
        <v>38.4</v>
      </c>
      <c r="J3286" s="24">
        <v>38.4</v>
      </c>
      <c r="K3286" s="21">
        <v>0</v>
      </c>
      <c r="L3286" s="21">
        <v>0</v>
      </c>
      <c r="M3286" s="21">
        <f>COUNTIF($A$2:$A$5481,A3286)</f>
        <v>1</v>
      </c>
      <c r="N3286" s="24">
        <f t="shared" si="51"/>
        <v>38.4003286</v>
      </c>
    </row>
    <row r="3287" spans="1:14">
      <c r="A3287" s="21" t="s">
        <v>3275</v>
      </c>
      <c r="B3287" s="21" t="s">
        <v>926</v>
      </c>
      <c r="C3287" s="21" t="s">
        <v>26</v>
      </c>
      <c r="D3287" s="21" t="s">
        <v>921</v>
      </c>
      <c r="E3287" s="21">
        <v>1</v>
      </c>
      <c r="F3287" s="22">
        <v>45474.8065046296</v>
      </c>
      <c r="G3287" s="22"/>
      <c r="H3287" s="23">
        <v>38.4</v>
      </c>
      <c r="I3287" s="23">
        <v>38.4</v>
      </c>
      <c r="J3287" s="24">
        <v>38.4</v>
      </c>
      <c r="K3287" s="21">
        <v>0</v>
      </c>
      <c r="L3287" s="21">
        <v>0</v>
      </c>
      <c r="M3287" s="21">
        <f>COUNTIF($A$2:$A$5481,A3287)</f>
        <v>1</v>
      </c>
      <c r="N3287" s="24">
        <f t="shared" si="51"/>
        <v>38.4003287</v>
      </c>
    </row>
    <row r="3288" spans="1:14">
      <c r="A3288" s="21" t="s">
        <v>3276</v>
      </c>
      <c r="B3288" s="21" t="s">
        <v>26</v>
      </c>
      <c r="C3288" s="21" t="s">
        <v>26</v>
      </c>
      <c r="D3288" s="21" t="s">
        <v>921</v>
      </c>
      <c r="E3288" s="21">
        <v>1</v>
      </c>
      <c r="F3288" s="22">
        <v>45601.3688078704</v>
      </c>
      <c r="G3288" s="22"/>
      <c r="H3288" s="23">
        <v>35</v>
      </c>
      <c r="I3288" s="23">
        <v>35</v>
      </c>
      <c r="J3288" s="24">
        <v>35</v>
      </c>
      <c r="K3288" s="21">
        <v>0</v>
      </c>
      <c r="L3288" s="21">
        <v>0</v>
      </c>
      <c r="M3288" s="21">
        <f>COUNTIF($A$2:$A$5481,A3288)</f>
        <v>1</v>
      </c>
      <c r="N3288" s="24">
        <f t="shared" si="51"/>
        <v>35.0003288</v>
      </c>
    </row>
    <row r="3289" spans="1:14">
      <c r="A3289" s="21" t="s">
        <v>3277</v>
      </c>
      <c r="B3289" s="21" t="s">
        <v>26</v>
      </c>
      <c r="C3289" s="21" t="s">
        <v>26</v>
      </c>
      <c r="D3289" s="21" t="s">
        <v>921</v>
      </c>
      <c r="E3289" s="21">
        <v>3</v>
      </c>
      <c r="F3289" s="22">
        <v>46161.4104166667</v>
      </c>
      <c r="G3289" s="22"/>
      <c r="H3289" s="23">
        <v>21.98</v>
      </c>
      <c r="I3289" s="23">
        <v>7.4</v>
      </c>
      <c r="J3289" s="24">
        <v>22.2</v>
      </c>
      <c r="K3289" s="21">
        <v>0</v>
      </c>
      <c r="L3289" s="21">
        <v>0</v>
      </c>
      <c r="M3289" s="21">
        <f>COUNTIF($A$2:$A$5481,A3289)</f>
        <v>1</v>
      </c>
      <c r="N3289" s="24">
        <f t="shared" si="51"/>
        <v>22.2003289</v>
      </c>
    </row>
    <row r="3290" spans="1:14">
      <c r="A3290" s="21" t="s">
        <v>3278</v>
      </c>
      <c r="B3290" s="21" t="s">
        <v>920</v>
      </c>
      <c r="C3290" s="21" t="s">
        <v>26</v>
      </c>
      <c r="D3290" s="21" t="s">
        <v>1068</v>
      </c>
      <c r="E3290" s="21">
        <v>8</v>
      </c>
      <c r="F3290" s="22">
        <v>45853.5794444445</v>
      </c>
      <c r="G3290" s="22"/>
      <c r="H3290" s="23">
        <v>20.8</v>
      </c>
      <c r="I3290" s="23">
        <v>2.6</v>
      </c>
      <c r="J3290" s="24">
        <v>20.8</v>
      </c>
      <c r="K3290" s="21">
        <v>0</v>
      </c>
      <c r="L3290" s="21">
        <v>0</v>
      </c>
      <c r="M3290" s="21">
        <f>COUNTIF($A$2:$A$5481,A3290)</f>
        <v>1</v>
      </c>
      <c r="N3290" s="24">
        <f t="shared" si="51"/>
        <v>20.800329</v>
      </c>
    </row>
    <row r="3291" spans="1:14">
      <c r="A3291" s="21" t="s">
        <v>3279</v>
      </c>
      <c r="B3291" s="21" t="s">
        <v>920</v>
      </c>
      <c r="C3291" s="21" t="s">
        <v>26</v>
      </c>
      <c r="D3291" s="21" t="s">
        <v>1068</v>
      </c>
      <c r="E3291" s="21">
        <v>25</v>
      </c>
      <c r="F3291" s="22">
        <v>45853.5794444445</v>
      </c>
      <c r="G3291" s="22"/>
      <c r="H3291" s="23">
        <v>172.5</v>
      </c>
      <c r="I3291" s="23">
        <v>6.9</v>
      </c>
      <c r="J3291" s="24">
        <v>172.5</v>
      </c>
      <c r="K3291" s="21">
        <v>0</v>
      </c>
      <c r="L3291" s="21">
        <v>0</v>
      </c>
      <c r="M3291" s="21">
        <f>COUNTIF($A$2:$A$5481,A3291)</f>
        <v>1</v>
      </c>
      <c r="N3291" s="24">
        <f t="shared" si="51"/>
        <v>172.5003291</v>
      </c>
    </row>
    <row r="3292" spans="1:14">
      <c r="A3292" s="21" t="s">
        <v>3280</v>
      </c>
      <c r="B3292" s="21" t="s">
        <v>920</v>
      </c>
      <c r="C3292" s="21" t="s">
        <v>26</v>
      </c>
      <c r="D3292" s="21" t="s">
        <v>1068</v>
      </c>
      <c r="E3292" s="21">
        <v>101</v>
      </c>
      <c r="F3292" s="22">
        <v>46017.5694675926</v>
      </c>
      <c r="G3292" s="22"/>
      <c r="H3292" s="23">
        <v>55</v>
      </c>
      <c r="I3292" s="23">
        <v>2.7846534653</v>
      </c>
      <c r="J3292" s="24">
        <v>280.78</v>
      </c>
      <c r="K3292" s="21">
        <v>0</v>
      </c>
      <c r="L3292" s="21">
        <v>0</v>
      </c>
      <c r="M3292" s="21">
        <f>COUNTIF($A$2:$A$5481,A3292)</f>
        <v>1</v>
      </c>
      <c r="N3292" s="24">
        <f t="shared" si="51"/>
        <v>280.7803292</v>
      </c>
    </row>
    <row r="3293" spans="1:14">
      <c r="A3293" s="21" t="s">
        <v>3281</v>
      </c>
      <c r="B3293" s="21" t="s">
        <v>920</v>
      </c>
      <c r="C3293" s="21" t="s">
        <v>26</v>
      </c>
      <c r="D3293" s="21" t="s">
        <v>921</v>
      </c>
      <c r="E3293" s="21">
        <v>25</v>
      </c>
      <c r="F3293" s="22">
        <v>46188.6695949074</v>
      </c>
      <c r="G3293" s="22"/>
      <c r="H3293" s="23">
        <v>50</v>
      </c>
      <c r="I3293" s="23">
        <v>2</v>
      </c>
      <c r="J3293" s="24">
        <v>50</v>
      </c>
      <c r="K3293" s="21">
        <v>0</v>
      </c>
      <c r="L3293" s="21">
        <v>0</v>
      </c>
      <c r="M3293" s="21">
        <f>COUNTIF($A$2:$A$5481,A3293)</f>
        <v>1</v>
      </c>
      <c r="N3293" s="24">
        <f t="shared" si="51"/>
        <v>50.0003293</v>
      </c>
    </row>
    <row r="3294" spans="1:14">
      <c r="A3294" s="21" t="s">
        <v>767</v>
      </c>
      <c r="B3294" s="21" t="s">
        <v>920</v>
      </c>
      <c r="C3294" s="21" t="s">
        <v>26</v>
      </c>
      <c r="D3294" s="21" t="s">
        <v>931</v>
      </c>
      <c r="E3294" s="21">
        <v>0</v>
      </c>
      <c r="F3294" s="22">
        <v>45428.5798726852</v>
      </c>
      <c r="G3294" s="22">
        <v>46252.6096759259</v>
      </c>
      <c r="H3294" s="23">
        <v>265.28</v>
      </c>
      <c r="I3294" s="23">
        <v>265.28</v>
      </c>
      <c r="J3294" s="24">
        <v>0</v>
      </c>
      <c r="K3294" s="21">
        <v>0</v>
      </c>
      <c r="L3294" s="21">
        <v>0</v>
      </c>
      <c r="M3294" s="21">
        <f>COUNTIF($A$2:$A$5481,A3294)</f>
        <v>1</v>
      </c>
      <c r="N3294" s="24">
        <f t="shared" si="51"/>
        <v>0.0003294</v>
      </c>
    </row>
    <row r="3295" spans="1:14">
      <c r="A3295" s="21" t="s">
        <v>3282</v>
      </c>
      <c r="B3295" s="21" t="s">
        <v>929</v>
      </c>
      <c r="C3295" s="21" t="s">
        <v>26</v>
      </c>
      <c r="D3295" s="21" t="s">
        <v>921</v>
      </c>
      <c r="E3295" s="21">
        <v>1</v>
      </c>
      <c r="F3295" s="22">
        <v>45954.5737384259</v>
      </c>
      <c r="G3295" s="22"/>
      <c r="H3295" s="23">
        <v>51.9</v>
      </c>
      <c r="I3295" s="23">
        <v>51.9</v>
      </c>
      <c r="J3295" s="24">
        <v>51.9</v>
      </c>
      <c r="K3295" s="21">
        <v>0</v>
      </c>
      <c r="L3295" s="21">
        <v>0</v>
      </c>
      <c r="M3295" s="21">
        <f>COUNTIF($A$2:$A$5481,A3295)</f>
        <v>1</v>
      </c>
      <c r="N3295" s="24">
        <f t="shared" si="51"/>
        <v>51.9003295</v>
      </c>
    </row>
    <row r="3296" spans="1:14">
      <c r="A3296" s="21" t="s">
        <v>3283</v>
      </c>
      <c r="B3296" s="21" t="s">
        <v>929</v>
      </c>
      <c r="C3296" s="21" t="s">
        <v>26</v>
      </c>
      <c r="D3296" s="21" t="s">
        <v>921</v>
      </c>
      <c r="E3296" s="21">
        <v>2</v>
      </c>
      <c r="F3296" s="22">
        <v>46148.3895833333</v>
      </c>
      <c r="G3296" s="22"/>
      <c r="H3296" s="23">
        <v>206.9</v>
      </c>
      <c r="I3296" s="23">
        <v>193.405</v>
      </c>
      <c r="J3296" s="24">
        <v>386.82</v>
      </c>
      <c r="K3296" s="21">
        <v>0</v>
      </c>
      <c r="L3296" s="21">
        <v>0</v>
      </c>
      <c r="M3296" s="21">
        <f>COUNTIF($A$2:$A$5481,A3296)</f>
        <v>1</v>
      </c>
      <c r="N3296" s="24">
        <f t="shared" si="51"/>
        <v>386.8203296</v>
      </c>
    </row>
    <row r="3297" spans="1:14">
      <c r="A3297" s="21" t="s">
        <v>3284</v>
      </c>
      <c r="B3297" s="21" t="s">
        <v>929</v>
      </c>
      <c r="C3297" s="21" t="s">
        <v>26</v>
      </c>
      <c r="D3297" s="21" t="s">
        <v>921</v>
      </c>
      <c r="E3297" s="21">
        <v>1</v>
      </c>
      <c r="F3297" s="22">
        <v>45965.3820949074</v>
      </c>
      <c r="G3297" s="22"/>
      <c r="H3297" s="23">
        <v>66.9</v>
      </c>
      <c r="I3297" s="23">
        <v>66.9</v>
      </c>
      <c r="J3297" s="24">
        <v>66.9</v>
      </c>
      <c r="K3297" s="21">
        <v>0</v>
      </c>
      <c r="L3297" s="21">
        <v>0</v>
      </c>
      <c r="M3297" s="21">
        <f>COUNTIF($A$2:$A$5481,A3297)</f>
        <v>1</v>
      </c>
      <c r="N3297" s="24">
        <f t="shared" si="51"/>
        <v>66.9003297</v>
      </c>
    </row>
    <row r="3298" spans="1:14">
      <c r="A3298" s="21" t="s">
        <v>3285</v>
      </c>
      <c r="B3298" s="21" t="s">
        <v>929</v>
      </c>
      <c r="C3298" s="21" t="s">
        <v>26</v>
      </c>
      <c r="D3298" s="21" t="s">
        <v>921</v>
      </c>
      <c r="E3298" s="21">
        <v>2</v>
      </c>
      <c r="F3298" s="22">
        <v>45972.5602430556</v>
      </c>
      <c r="G3298" s="22"/>
      <c r="H3298" s="23">
        <v>51.9</v>
      </c>
      <c r="I3298" s="23">
        <v>51.9</v>
      </c>
      <c r="J3298" s="24">
        <v>103.8</v>
      </c>
      <c r="K3298" s="21">
        <v>0</v>
      </c>
      <c r="L3298" s="21">
        <v>0</v>
      </c>
      <c r="M3298" s="21">
        <f>COUNTIF($A$2:$A$5481,A3298)</f>
        <v>1</v>
      </c>
      <c r="N3298" s="24">
        <f t="shared" si="51"/>
        <v>103.8003298</v>
      </c>
    </row>
    <row r="3299" spans="1:14">
      <c r="A3299" s="21" t="s">
        <v>3286</v>
      </c>
      <c r="B3299" s="21" t="s">
        <v>929</v>
      </c>
      <c r="C3299" s="21" t="s">
        <v>26</v>
      </c>
      <c r="D3299" s="21" t="s">
        <v>921</v>
      </c>
      <c r="E3299" s="21">
        <v>1</v>
      </c>
      <c r="F3299" s="22">
        <v>45958.7399189815</v>
      </c>
      <c r="G3299" s="22"/>
      <c r="H3299" s="23">
        <v>72.09</v>
      </c>
      <c r="I3299" s="23">
        <v>72.09</v>
      </c>
      <c r="J3299" s="24">
        <v>72.09</v>
      </c>
      <c r="K3299" s="21">
        <v>0</v>
      </c>
      <c r="L3299" s="21">
        <v>0</v>
      </c>
      <c r="M3299" s="21">
        <f>COUNTIF($A$2:$A$5481,A3299)</f>
        <v>1</v>
      </c>
      <c r="N3299" s="24">
        <f t="shared" si="51"/>
        <v>72.0903299</v>
      </c>
    </row>
    <row r="3300" spans="1:14">
      <c r="A3300" s="21" t="s">
        <v>3287</v>
      </c>
      <c r="B3300" s="21" t="s">
        <v>929</v>
      </c>
      <c r="C3300" s="21" t="s">
        <v>26</v>
      </c>
      <c r="D3300" s="21" t="s">
        <v>921</v>
      </c>
      <c r="E3300" s="21">
        <v>2</v>
      </c>
      <c r="F3300" s="22">
        <v>45966.3734606481</v>
      </c>
      <c r="G3300" s="22"/>
      <c r="H3300" s="23">
        <v>44.28</v>
      </c>
      <c r="I3300" s="23">
        <v>22.14</v>
      </c>
      <c r="J3300" s="24">
        <v>44.28</v>
      </c>
      <c r="K3300" s="21">
        <v>0</v>
      </c>
      <c r="L3300" s="21">
        <v>0</v>
      </c>
      <c r="M3300" s="21">
        <f>COUNTIF($A$2:$A$5481,A3300)</f>
        <v>1</v>
      </c>
      <c r="N3300" s="24">
        <f t="shared" si="51"/>
        <v>44.28033</v>
      </c>
    </row>
    <row r="3301" spans="1:14">
      <c r="A3301" s="21" t="s">
        <v>3288</v>
      </c>
      <c r="B3301" s="21" t="s">
        <v>929</v>
      </c>
      <c r="C3301" s="21" t="s">
        <v>26</v>
      </c>
      <c r="D3301" s="21" t="s">
        <v>921</v>
      </c>
      <c r="E3301" s="21">
        <v>1</v>
      </c>
      <c r="F3301" s="22">
        <v>45958.7399189815</v>
      </c>
      <c r="G3301" s="22"/>
      <c r="H3301" s="23">
        <v>72.09</v>
      </c>
      <c r="I3301" s="23">
        <v>72.09</v>
      </c>
      <c r="J3301" s="24">
        <v>72.09</v>
      </c>
      <c r="K3301" s="21">
        <v>0</v>
      </c>
      <c r="L3301" s="21">
        <v>0</v>
      </c>
      <c r="M3301" s="21">
        <f>COUNTIF($A$2:$A$5481,A3301)</f>
        <v>1</v>
      </c>
      <c r="N3301" s="24">
        <f t="shared" si="51"/>
        <v>72.0903301</v>
      </c>
    </row>
    <row r="3302" spans="1:14">
      <c r="A3302" s="21" t="s">
        <v>3289</v>
      </c>
      <c r="B3302" s="21" t="s">
        <v>929</v>
      </c>
      <c r="C3302" s="21" t="s">
        <v>182</v>
      </c>
      <c r="D3302" s="21" t="s">
        <v>921</v>
      </c>
      <c r="E3302" s="21">
        <v>1</v>
      </c>
      <c r="F3302" s="22">
        <v>45376.7988194445</v>
      </c>
      <c r="G3302" s="22"/>
      <c r="H3302" s="23">
        <v>125.89</v>
      </c>
      <c r="I3302" s="23">
        <v>125.89</v>
      </c>
      <c r="J3302" s="24">
        <v>125.89</v>
      </c>
      <c r="K3302" s="21">
        <v>0</v>
      </c>
      <c r="L3302" s="21">
        <v>0</v>
      </c>
      <c r="M3302" s="21">
        <f>COUNTIF($A$2:$A$5481,A3302)</f>
        <v>2</v>
      </c>
      <c r="N3302" s="24">
        <f t="shared" si="51"/>
        <v>125.8903302</v>
      </c>
    </row>
    <row r="3303" spans="1:14">
      <c r="A3303" s="21" t="s">
        <v>3289</v>
      </c>
      <c r="B3303" s="21" t="s">
        <v>929</v>
      </c>
      <c r="C3303" s="21" t="s">
        <v>26</v>
      </c>
      <c r="D3303" s="21" t="s">
        <v>921</v>
      </c>
      <c r="E3303" s="21">
        <v>3</v>
      </c>
      <c r="F3303" s="22">
        <v>46204.6597106482</v>
      </c>
      <c r="G3303" s="22"/>
      <c r="H3303" s="23">
        <v>84.58</v>
      </c>
      <c r="I3303" s="23">
        <v>125.59</v>
      </c>
      <c r="J3303" s="24">
        <v>376.77</v>
      </c>
      <c r="K3303" s="21">
        <v>0</v>
      </c>
      <c r="L3303" s="21">
        <v>0</v>
      </c>
      <c r="M3303" s="21">
        <f>COUNTIF($A$2:$A$5481,A3303)</f>
        <v>2</v>
      </c>
      <c r="N3303" s="24">
        <f t="shared" si="51"/>
        <v>376.7703303</v>
      </c>
    </row>
    <row r="3304" spans="1:14">
      <c r="A3304" s="21" t="s">
        <v>3290</v>
      </c>
      <c r="B3304" s="21" t="s">
        <v>929</v>
      </c>
      <c r="C3304" s="21" t="s">
        <v>26</v>
      </c>
      <c r="D3304" s="21" t="s">
        <v>921</v>
      </c>
      <c r="E3304" s="21">
        <v>1</v>
      </c>
      <c r="F3304" s="22">
        <v>45958.7399189815</v>
      </c>
      <c r="G3304" s="22"/>
      <c r="H3304" s="23">
        <v>84.58</v>
      </c>
      <c r="I3304" s="23">
        <v>84.58</v>
      </c>
      <c r="J3304" s="24">
        <v>84.58</v>
      </c>
      <c r="K3304" s="21">
        <v>0</v>
      </c>
      <c r="L3304" s="21">
        <v>0</v>
      </c>
      <c r="M3304" s="21">
        <f>COUNTIF($A$2:$A$5481,A3304)</f>
        <v>1</v>
      </c>
      <c r="N3304" s="24">
        <f t="shared" si="51"/>
        <v>84.5803304</v>
      </c>
    </row>
    <row r="3305" spans="1:14">
      <c r="A3305" s="21" t="s">
        <v>3291</v>
      </c>
      <c r="B3305" s="21" t="s">
        <v>929</v>
      </c>
      <c r="C3305" s="21" t="s">
        <v>26</v>
      </c>
      <c r="D3305" s="21" t="s">
        <v>921</v>
      </c>
      <c r="E3305" s="21">
        <v>1</v>
      </c>
      <c r="F3305" s="22">
        <v>45552.854849537</v>
      </c>
      <c r="G3305" s="22"/>
      <c r="H3305" s="23">
        <v>183.65</v>
      </c>
      <c r="I3305" s="23">
        <v>183.65</v>
      </c>
      <c r="J3305" s="24">
        <v>183.65</v>
      </c>
      <c r="K3305" s="21">
        <v>0</v>
      </c>
      <c r="L3305" s="21">
        <v>0</v>
      </c>
      <c r="M3305" s="21">
        <f>COUNTIF($A$2:$A$5481,A3305)</f>
        <v>1</v>
      </c>
      <c r="N3305" s="24">
        <f t="shared" si="51"/>
        <v>183.6503305</v>
      </c>
    </row>
    <row r="3306" spans="1:14">
      <c r="A3306" s="21" t="s">
        <v>3292</v>
      </c>
      <c r="B3306" s="21" t="s">
        <v>929</v>
      </c>
      <c r="C3306" s="21" t="s">
        <v>26</v>
      </c>
      <c r="D3306" s="21" t="s">
        <v>921</v>
      </c>
      <c r="E3306" s="21">
        <v>1</v>
      </c>
      <c r="F3306" s="22">
        <v>45848.3509722222</v>
      </c>
      <c r="G3306" s="22">
        <v>45849.4876967593</v>
      </c>
      <c r="H3306" s="23">
        <v>48.56</v>
      </c>
      <c r="I3306" s="23">
        <v>24.28</v>
      </c>
      <c r="J3306" s="24">
        <v>24.28</v>
      </c>
      <c r="K3306" s="21">
        <v>0</v>
      </c>
      <c r="L3306" s="21">
        <v>0</v>
      </c>
      <c r="M3306" s="21">
        <f>COUNTIF($A$2:$A$5481,A3306)</f>
        <v>1</v>
      </c>
      <c r="N3306" s="24">
        <f t="shared" si="51"/>
        <v>24.2803306</v>
      </c>
    </row>
    <row r="3307" spans="1:14">
      <c r="A3307" s="21" t="s">
        <v>3293</v>
      </c>
      <c r="B3307" s="21" t="s">
        <v>920</v>
      </c>
      <c r="C3307" s="21" t="s">
        <v>35</v>
      </c>
      <c r="D3307" s="21" t="s">
        <v>921</v>
      </c>
      <c r="E3307" s="21">
        <v>1</v>
      </c>
      <c r="F3307" s="22">
        <v>45275.6627777778</v>
      </c>
      <c r="G3307" s="22"/>
      <c r="H3307" s="23">
        <v>218.76</v>
      </c>
      <c r="I3307" s="23">
        <v>218.76</v>
      </c>
      <c r="J3307" s="24">
        <v>218.76</v>
      </c>
      <c r="K3307" s="21">
        <v>0</v>
      </c>
      <c r="L3307" s="21">
        <v>0</v>
      </c>
      <c r="M3307" s="21">
        <f>COUNTIF($A$2:$A$5481,A3307)</f>
        <v>2</v>
      </c>
      <c r="N3307" s="24">
        <f t="shared" si="51"/>
        <v>218.7603307</v>
      </c>
    </row>
    <row r="3308" spans="1:14">
      <c r="A3308" s="21" t="s">
        <v>3293</v>
      </c>
      <c r="B3308" s="21" t="s">
        <v>920</v>
      </c>
      <c r="C3308" s="21" t="s">
        <v>26</v>
      </c>
      <c r="D3308" s="21" t="s">
        <v>921</v>
      </c>
      <c r="E3308" s="21">
        <v>3</v>
      </c>
      <c r="F3308" s="22">
        <v>46093.5711458333</v>
      </c>
      <c r="G3308" s="22"/>
      <c r="H3308" s="23">
        <v>444.46</v>
      </c>
      <c r="I3308" s="23">
        <v>214.82</v>
      </c>
      <c r="J3308" s="24">
        <v>644.46</v>
      </c>
      <c r="K3308" s="21">
        <v>0</v>
      </c>
      <c r="L3308" s="21">
        <v>0</v>
      </c>
      <c r="M3308" s="21">
        <f>COUNTIF($A$2:$A$5481,A3308)</f>
        <v>2</v>
      </c>
      <c r="N3308" s="24">
        <f t="shared" si="51"/>
        <v>644.4603308</v>
      </c>
    </row>
    <row r="3309" spans="1:14">
      <c r="A3309" s="21" t="s">
        <v>3294</v>
      </c>
      <c r="B3309" s="21" t="s">
        <v>26</v>
      </c>
      <c r="C3309" s="21" t="s">
        <v>26</v>
      </c>
      <c r="D3309" s="21" t="s">
        <v>921</v>
      </c>
      <c r="E3309" s="21">
        <v>0</v>
      </c>
      <c r="F3309" s="22">
        <v>45553.3722453704</v>
      </c>
      <c r="G3309" s="22">
        <v>45555.3846412037</v>
      </c>
      <c r="H3309" s="23">
        <v>50.04</v>
      </c>
      <c r="I3309" s="23">
        <v>25.02</v>
      </c>
      <c r="J3309" s="24">
        <v>0</v>
      </c>
      <c r="K3309" s="21">
        <v>0</v>
      </c>
      <c r="L3309" s="21">
        <v>0</v>
      </c>
      <c r="M3309" s="21">
        <f>COUNTIF($A$2:$A$5481,A3309)</f>
        <v>1</v>
      </c>
      <c r="N3309" s="24">
        <f t="shared" si="51"/>
        <v>0.0003309</v>
      </c>
    </row>
    <row r="3310" spans="1:14">
      <c r="A3310" s="21" t="s">
        <v>3295</v>
      </c>
      <c r="B3310" s="21" t="s">
        <v>929</v>
      </c>
      <c r="C3310" s="21" t="s">
        <v>26</v>
      </c>
      <c r="D3310" s="21" t="s">
        <v>921</v>
      </c>
      <c r="E3310" s="21">
        <v>15.9</v>
      </c>
      <c r="F3310" s="22">
        <v>45527.3571180556</v>
      </c>
      <c r="G3310" s="22"/>
      <c r="H3310" s="23">
        <v>37.68</v>
      </c>
      <c r="I3310" s="23">
        <v>5.23019</v>
      </c>
      <c r="J3310" s="24">
        <v>83.157</v>
      </c>
      <c r="K3310" s="21">
        <v>0</v>
      </c>
      <c r="L3310" s="21">
        <v>0</v>
      </c>
      <c r="M3310" s="21">
        <f>COUNTIF($A$2:$A$5481,A3310)</f>
        <v>1</v>
      </c>
      <c r="N3310" s="24">
        <f t="shared" si="51"/>
        <v>83.157331</v>
      </c>
    </row>
    <row r="3311" spans="1:14">
      <c r="A3311" s="21" t="s">
        <v>3296</v>
      </c>
      <c r="B3311" s="21" t="s">
        <v>929</v>
      </c>
      <c r="C3311" s="21" t="s">
        <v>26</v>
      </c>
      <c r="D3311" s="21" t="s">
        <v>921</v>
      </c>
      <c r="E3311" s="21">
        <v>3</v>
      </c>
      <c r="F3311" s="22">
        <v>46041.5683912037</v>
      </c>
      <c r="G3311" s="22"/>
      <c r="H3311" s="23">
        <v>8.67</v>
      </c>
      <c r="I3311" s="23">
        <v>9.49</v>
      </c>
      <c r="J3311" s="24">
        <v>28.47</v>
      </c>
      <c r="K3311" s="21">
        <v>0</v>
      </c>
      <c r="L3311" s="21">
        <v>0</v>
      </c>
      <c r="M3311" s="21">
        <f>COUNTIF($A$2:$A$5481,A3311)</f>
        <v>1</v>
      </c>
      <c r="N3311" s="24">
        <f t="shared" si="51"/>
        <v>28.4703311</v>
      </c>
    </row>
    <row r="3312" spans="1:14">
      <c r="A3312" s="21" t="s">
        <v>3297</v>
      </c>
      <c r="B3312" s="21" t="s">
        <v>929</v>
      </c>
      <c r="C3312" s="21" t="s">
        <v>26</v>
      </c>
      <c r="D3312" s="21" t="s">
        <v>921</v>
      </c>
      <c r="E3312" s="21">
        <v>1</v>
      </c>
      <c r="F3312" s="22">
        <v>45337.4215277778</v>
      </c>
      <c r="G3312" s="22"/>
      <c r="H3312" s="23">
        <v>44.59</v>
      </c>
      <c r="I3312" s="23">
        <v>44.59</v>
      </c>
      <c r="J3312" s="24">
        <v>44.59</v>
      </c>
      <c r="K3312" s="21">
        <v>0</v>
      </c>
      <c r="L3312" s="21">
        <v>0</v>
      </c>
      <c r="M3312" s="21">
        <f>COUNTIF($A$2:$A$5481,A3312)</f>
        <v>1</v>
      </c>
      <c r="N3312" s="24">
        <f t="shared" si="51"/>
        <v>44.5903312</v>
      </c>
    </row>
    <row r="3313" spans="1:14">
      <c r="A3313" s="21" t="s">
        <v>3298</v>
      </c>
      <c r="B3313" s="21" t="s">
        <v>929</v>
      </c>
      <c r="C3313" s="21" t="s">
        <v>26</v>
      </c>
      <c r="D3313" s="21" t="s">
        <v>921</v>
      </c>
      <c r="E3313" s="21">
        <v>3</v>
      </c>
      <c r="F3313" s="22">
        <v>45337.4215277778</v>
      </c>
      <c r="G3313" s="22"/>
      <c r="H3313" s="23">
        <v>53.16</v>
      </c>
      <c r="I3313" s="23">
        <v>17.72</v>
      </c>
      <c r="J3313" s="24">
        <v>53.16</v>
      </c>
      <c r="K3313" s="21">
        <v>0</v>
      </c>
      <c r="L3313" s="21">
        <v>0</v>
      </c>
      <c r="M3313" s="21">
        <f>COUNTIF($A$2:$A$5481,A3313)</f>
        <v>1</v>
      </c>
      <c r="N3313" s="24">
        <f t="shared" si="51"/>
        <v>53.1603313</v>
      </c>
    </row>
    <row r="3314" spans="1:14">
      <c r="A3314" s="21" t="s">
        <v>3299</v>
      </c>
      <c r="B3314" s="21" t="s">
        <v>929</v>
      </c>
      <c r="C3314" s="21" t="s">
        <v>26</v>
      </c>
      <c r="D3314" s="21" t="s">
        <v>921</v>
      </c>
      <c r="E3314" s="21">
        <v>4</v>
      </c>
      <c r="F3314" s="22">
        <v>45337.4215277778</v>
      </c>
      <c r="G3314" s="22"/>
      <c r="H3314" s="23">
        <v>27.76</v>
      </c>
      <c r="I3314" s="23">
        <v>6.94</v>
      </c>
      <c r="J3314" s="24">
        <v>27.76</v>
      </c>
      <c r="K3314" s="21">
        <v>0</v>
      </c>
      <c r="L3314" s="21">
        <v>0</v>
      </c>
      <c r="M3314" s="21">
        <f>COUNTIF($A$2:$A$5481,A3314)</f>
        <v>1</v>
      </c>
      <c r="N3314" s="24">
        <f t="shared" si="51"/>
        <v>27.7603314</v>
      </c>
    </row>
    <row r="3315" spans="1:14">
      <c r="A3315" s="21" t="s">
        <v>3300</v>
      </c>
      <c r="B3315" s="21" t="s">
        <v>929</v>
      </c>
      <c r="C3315" s="21" t="s">
        <v>26</v>
      </c>
      <c r="D3315" s="21" t="s">
        <v>921</v>
      </c>
      <c r="E3315" s="21">
        <v>3</v>
      </c>
      <c r="F3315" s="22">
        <v>45937.3617824074</v>
      </c>
      <c r="G3315" s="22"/>
      <c r="H3315" s="23">
        <v>9.45</v>
      </c>
      <c r="I3315" s="23">
        <v>3.15</v>
      </c>
      <c r="J3315" s="24">
        <v>9.45</v>
      </c>
      <c r="K3315" s="21">
        <v>0</v>
      </c>
      <c r="L3315" s="21">
        <v>0</v>
      </c>
      <c r="M3315" s="21">
        <f>COUNTIF($A$2:$A$5481,A3315)</f>
        <v>1</v>
      </c>
      <c r="N3315" s="24">
        <f t="shared" si="51"/>
        <v>9.4503315</v>
      </c>
    </row>
    <row r="3316" spans="1:14">
      <c r="A3316" s="21" t="s">
        <v>3301</v>
      </c>
      <c r="B3316" s="21" t="s">
        <v>929</v>
      </c>
      <c r="C3316" s="21" t="s">
        <v>26</v>
      </c>
      <c r="D3316" s="21" t="s">
        <v>921</v>
      </c>
      <c r="E3316" s="21">
        <v>1</v>
      </c>
      <c r="F3316" s="22">
        <v>45337.4215277778</v>
      </c>
      <c r="G3316" s="22"/>
      <c r="H3316" s="23">
        <v>31.65</v>
      </c>
      <c r="I3316" s="23">
        <v>31.65</v>
      </c>
      <c r="J3316" s="24">
        <v>31.65</v>
      </c>
      <c r="K3316" s="21">
        <v>0</v>
      </c>
      <c r="L3316" s="21">
        <v>0</v>
      </c>
      <c r="M3316" s="21">
        <f>COUNTIF($A$2:$A$5481,A3316)</f>
        <v>1</v>
      </c>
      <c r="N3316" s="24">
        <f t="shared" si="51"/>
        <v>31.6503316</v>
      </c>
    </row>
    <row r="3317" spans="1:14">
      <c r="A3317" s="21" t="s">
        <v>3302</v>
      </c>
      <c r="B3317" s="21" t="s">
        <v>929</v>
      </c>
      <c r="C3317" s="21" t="s">
        <v>26</v>
      </c>
      <c r="D3317" s="21" t="s">
        <v>921</v>
      </c>
      <c r="E3317" s="21">
        <v>4</v>
      </c>
      <c r="F3317" s="22">
        <v>45337.4215277778</v>
      </c>
      <c r="G3317" s="22"/>
      <c r="H3317" s="23">
        <v>37.16</v>
      </c>
      <c r="I3317" s="23">
        <v>9.29</v>
      </c>
      <c r="J3317" s="24">
        <v>37.16</v>
      </c>
      <c r="K3317" s="21">
        <v>0</v>
      </c>
      <c r="L3317" s="21">
        <v>0</v>
      </c>
      <c r="M3317" s="21">
        <f>COUNTIF($A$2:$A$5481,A3317)</f>
        <v>1</v>
      </c>
      <c r="N3317" s="24">
        <f t="shared" si="51"/>
        <v>37.1603317</v>
      </c>
    </row>
    <row r="3318" spans="1:14">
      <c r="A3318" s="21" t="s">
        <v>3303</v>
      </c>
      <c r="B3318" s="21" t="s">
        <v>929</v>
      </c>
      <c r="C3318" s="21" t="s">
        <v>414</v>
      </c>
      <c r="D3318" s="21" t="s">
        <v>921</v>
      </c>
      <c r="E3318" s="21">
        <v>2</v>
      </c>
      <c r="F3318" s="22">
        <v>45289.5564699074</v>
      </c>
      <c r="G3318" s="22"/>
      <c r="H3318" s="23">
        <v>6.82</v>
      </c>
      <c r="I3318" s="23">
        <v>3.41</v>
      </c>
      <c r="J3318" s="24">
        <v>6.82</v>
      </c>
      <c r="K3318" s="21">
        <v>0</v>
      </c>
      <c r="L3318" s="21">
        <v>10</v>
      </c>
      <c r="M3318" s="21">
        <f>COUNTIF($A$2:$A$5481,A3318)</f>
        <v>2</v>
      </c>
      <c r="N3318" s="24">
        <f t="shared" si="51"/>
        <v>6.8203318</v>
      </c>
    </row>
    <row r="3319" spans="1:14">
      <c r="A3319" s="21" t="s">
        <v>3303</v>
      </c>
      <c r="B3319" s="21" t="s">
        <v>929</v>
      </c>
      <c r="C3319" s="21" t="s">
        <v>26</v>
      </c>
      <c r="D3319" s="21" t="s">
        <v>921</v>
      </c>
      <c r="E3319" s="21">
        <v>4</v>
      </c>
      <c r="F3319" s="22">
        <v>45875.3868287037</v>
      </c>
      <c r="G3319" s="22">
        <v>45875.4536921296</v>
      </c>
      <c r="H3319" s="23">
        <v>3.2</v>
      </c>
      <c r="I3319" s="23">
        <v>2.37</v>
      </c>
      <c r="J3319" s="24">
        <v>9.48</v>
      </c>
      <c r="K3319" s="21">
        <v>0</v>
      </c>
      <c r="L3319" s="21">
        <v>10</v>
      </c>
      <c r="M3319" s="21">
        <f>COUNTIF($A$2:$A$5481,A3319)</f>
        <v>2</v>
      </c>
      <c r="N3319" s="24">
        <f t="shared" si="51"/>
        <v>9.4803319</v>
      </c>
    </row>
    <row r="3320" spans="1:14">
      <c r="A3320" s="21" t="s">
        <v>3304</v>
      </c>
      <c r="B3320" s="21" t="s">
        <v>926</v>
      </c>
      <c r="C3320" s="21" t="s">
        <v>38</v>
      </c>
      <c r="D3320" s="21" t="s">
        <v>921</v>
      </c>
      <c r="E3320" s="21">
        <v>3</v>
      </c>
      <c r="F3320" s="22">
        <v>45531.4756597222</v>
      </c>
      <c r="G3320" s="22"/>
      <c r="H3320" s="23">
        <v>18</v>
      </c>
      <c r="I3320" s="23">
        <v>17.93333</v>
      </c>
      <c r="J3320" s="24">
        <v>53.79</v>
      </c>
      <c r="K3320" s="21">
        <v>0</v>
      </c>
      <c r="L3320" s="21">
        <v>0</v>
      </c>
      <c r="M3320" s="21">
        <f>COUNTIF($A$2:$A$5481,A3320)</f>
        <v>2</v>
      </c>
      <c r="N3320" s="24">
        <f t="shared" si="51"/>
        <v>53.790332</v>
      </c>
    </row>
    <row r="3321" spans="1:14">
      <c r="A3321" s="21" t="s">
        <v>3304</v>
      </c>
      <c r="B3321" s="21" t="s">
        <v>926</v>
      </c>
      <c r="C3321" s="21" t="s">
        <v>26</v>
      </c>
      <c r="D3321" s="21" t="s">
        <v>921</v>
      </c>
      <c r="E3321" s="21">
        <v>3</v>
      </c>
      <c r="F3321" s="22">
        <v>45600.7147569444</v>
      </c>
      <c r="G3321" s="22"/>
      <c r="H3321" s="23">
        <v>55.5</v>
      </c>
      <c r="I3321" s="23">
        <v>18.5</v>
      </c>
      <c r="J3321" s="24">
        <v>55.5</v>
      </c>
      <c r="K3321" s="21">
        <v>0</v>
      </c>
      <c r="L3321" s="21">
        <v>0</v>
      </c>
      <c r="M3321" s="21">
        <f>COUNTIF($A$2:$A$5481,A3321)</f>
        <v>2</v>
      </c>
      <c r="N3321" s="24">
        <f t="shared" si="51"/>
        <v>55.5003321</v>
      </c>
    </row>
    <row r="3322" spans="1:14">
      <c r="A3322" s="21" t="s">
        <v>3305</v>
      </c>
      <c r="B3322" s="21" t="s">
        <v>920</v>
      </c>
      <c r="C3322" s="21" t="s">
        <v>26</v>
      </c>
      <c r="D3322" s="21" t="s">
        <v>921</v>
      </c>
      <c r="E3322" s="21">
        <v>2</v>
      </c>
      <c r="F3322" s="22">
        <v>46031.5931481482</v>
      </c>
      <c r="G3322" s="22"/>
      <c r="H3322" s="23">
        <v>98.36</v>
      </c>
      <c r="I3322" s="23">
        <v>49.18</v>
      </c>
      <c r="J3322" s="24">
        <v>98.36</v>
      </c>
      <c r="K3322" s="21">
        <v>0</v>
      </c>
      <c r="L3322" s="21">
        <v>0</v>
      </c>
      <c r="M3322" s="21">
        <f>COUNTIF($A$2:$A$5481,A3322)</f>
        <v>1</v>
      </c>
      <c r="N3322" s="24">
        <f t="shared" si="51"/>
        <v>98.3603322</v>
      </c>
    </row>
    <row r="3323" spans="1:14">
      <c r="A3323" s="21" t="s">
        <v>3306</v>
      </c>
      <c r="B3323" s="21" t="s">
        <v>26</v>
      </c>
      <c r="C3323" s="21" t="s">
        <v>26</v>
      </c>
      <c r="D3323" s="21" t="s">
        <v>921</v>
      </c>
      <c r="E3323" s="21">
        <v>5</v>
      </c>
      <c r="F3323" s="22">
        <v>46058.5860648148</v>
      </c>
      <c r="G3323" s="22"/>
      <c r="H3323" s="23">
        <v>36.6</v>
      </c>
      <c r="I3323" s="23">
        <v>13.32</v>
      </c>
      <c r="J3323" s="24">
        <v>66.6</v>
      </c>
      <c r="K3323" s="21">
        <v>0</v>
      </c>
      <c r="L3323" s="21">
        <v>0</v>
      </c>
      <c r="M3323" s="21">
        <f>COUNTIF($A$2:$A$5481,A3323)</f>
        <v>1</v>
      </c>
      <c r="N3323" s="24">
        <f t="shared" si="51"/>
        <v>66.6003323</v>
      </c>
    </row>
    <row r="3324" spans="1:14">
      <c r="A3324" s="21" t="s">
        <v>3307</v>
      </c>
      <c r="B3324" s="21" t="s">
        <v>1510</v>
      </c>
      <c r="C3324" s="21" t="s">
        <v>26</v>
      </c>
      <c r="D3324" s="21" t="s">
        <v>921</v>
      </c>
      <c r="E3324" s="21">
        <v>4</v>
      </c>
      <c r="F3324" s="22">
        <v>46237.6974768519</v>
      </c>
      <c r="G3324" s="22"/>
      <c r="H3324" s="23">
        <v>178</v>
      </c>
      <c r="I3324" s="23">
        <v>44.5</v>
      </c>
      <c r="J3324" s="24">
        <v>178</v>
      </c>
      <c r="K3324" s="21">
        <v>0</v>
      </c>
      <c r="L3324" s="21">
        <v>0</v>
      </c>
      <c r="M3324" s="21">
        <f>COUNTIF($A$2:$A$5481,A3324)</f>
        <v>1</v>
      </c>
      <c r="N3324" s="24">
        <f t="shared" si="51"/>
        <v>178.0003324</v>
      </c>
    </row>
    <row r="3325" spans="1:14">
      <c r="A3325" s="21" t="s">
        <v>3308</v>
      </c>
      <c r="B3325" s="21" t="s">
        <v>26</v>
      </c>
      <c r="C3325" s="21" t="s">
        <v>26</v>
      </c>
      <c r="D3325" s="21" t="s">
        <v>921</v>
      </c>
      <c r="E3325" s="21">
        <v>7</v>
      </c>
      <c r="F3325" s="22">
        <v>46237.6974768519</v>
      </c>
      <c r="G3325" s="22"/>
      <c r="H3325" s="23">
        <v>57</v>
      </c>
      <c r="I3325" s="23">
        <v>11.1742857143</v>
      </c>
      <c r="J3325" s="24">
        <v>78.19</v>
      </c>
      <c r="K3325" s="21">
        <v>0</v>
      </c>
      <c r="L3325" s="21">
        <v>0</v>
      </c>
      <c r="M3325" s="21">
        <f>COUNTIF($A$2:$A$5481,A3325)</f>
        <v>1</v>
      </c>
      <c r="N3325" s="24">
        <f t="shared" si="51"/>
        <v>78.1903325</v>
      </c>
    </row>
    <row r="3326" spans="1:14">
      <c r="A3326" s="21" t="s">
        <v>3309</v>
      </c>
      <c r="B3326" s="21" t="s">
        <v>920</v>
      </c>
      <c r="C3326" s="21" t="s">
        <v>26</v>
      </c>
      <c r="D3326" s="21" t="s">
        <v>921</v>
      </c>
      <c r="E3326" s="21">
        <v>1</v>
      </c>
      <c r="F3326" s="22">
        <v>45583.8166666667</v>
      </c>
      <c r="G3326" s="22"/>
      <c r="H3326" s="23">
        <v>14.79</v>
      </c>
      <c r="I3326" s="23">
        <v>14.79</v>
      </c>
      <c r="J3326" s="24">
        <v>14.79</v>
      </c>
      <c r="K3326" s="21">
        <v>0</v>
      </c>
      <c r="L3326" s="21">
        <v>0</v>
      </c>
      <c r="M3326" s="21">
        <f>COUNTIF($A$2:$A$5481,A3326)</f>
        <v>1</v>
      </c>
      <c r="N3326" s="24">
        <f t="shared" si="51"/>
        <v>14.7903326</v>
      </c>
    </row>
    <row r="3327" spans="1:14">
      <c r="A3327" s="21" t="s">
        <v>3310</v>
      </c>
      <c r="B3327" s="21" t="s">
        <v>26</v>
      </c>
      <c r="C3327" s="21" t="s">
        <v>390</v>
      </c>
      <c r="D3327" s="21" t="s">
        <v>921</v>
      </c>
      <c r="E3327" s="21">
        <v>0</v>
      </c>
      <c r="F3327" s="22">
        <v>45511.4077314815</v>
      </c>
      <c r="G3327" s="22">
        <v>45513.414849537</v>
      </c>
      <c r="H3327" s="23">
        <v>793.95</v>
      </c>
      <c r="I3327" s="23">
        <v>793.95</v>
      </c>
      <c r="J3327" s="24">
        <v>0</v>
      </c>
      <c r="K3327" s="21">
        <v>0</v>
      </c>
      <c r="L3327" s="21">
        <v>0</v>
      </c>
      <c r="M3327" s="21">
        <f>COUNTIF($A$2:$A$5481,A3327)</f>
        <v>1</v>
      </c>
      <c r="N3327" s="24">
        <f t="shared" si="51"/>
        <v>0.0003327</v>
      </c>
    </row>
    <row r="3328" spans="1:14">
      <c r="A3328" s="21" t="s">
        <v>3311</v>
      </c>
      <c r="B3328" s="21" t="s">
        <v>26</v>
      </c>
      <c r="C3328" s="21" t="s">
        <v>26</v>
      </c>
      <c r="D3328" s="21" t="s">
        <v>921</v>
      </c>
      <c r="E3328" s="21">
        <v>1</v>
      </c>
      <c r="F3328" s="22">
        <v>46044.3679513889</v>
      </c>
      <c r="G3328" s="22"/>
      <c r="H3328" s="23">
        <v>49.9</v>
      </c>
      <c r="I3328" s="23">
        <v>49.9</v>
      </c>
      <c r="J3328" s="24">
        <v>49.9</v>
      </c>
      <c r="K3328" s="21">
        <v>0</v>
      </c>
      <c r="L3328" s="21">
        <v>0</v>
      </c>
      <c r="M3328" s="21">
        <f>COUNTIF($A$2:$A$5481,A3328)</f>
        <v>1</v>
      </c>
      <c r="N3328" s="24">
        <f t="shared" si="51"/>
        <v>49.9003328</v>
      </c>
    </row>
    <row r="3329" spans="1:14">
      <c r="A3329" s="21" t="s">
        <v>3312</v>
      </c>
      <c r="B3329" s="21" t="s">
        <v>920</v>
      </c>
      <c r="C3329" s="21" t="s">
        <v>35</v>
      </c>
      <c r="D3329" s="21" t="s">
        <v>921</v>
      </c>
      <c r="E3329" s="21">
        <v>2</v>
      </c>
      <c r="F3329" s="22">
        <v>46188.6868055556</v>
      </c>
      <c r="G3329" s="22"/>
      <c r="H3329" s="23">
        <v>920</v>
      </c>
      <c r="I3329" s="23">
        <v>460</v>
      </c>
      <c r="J3329" s="24">
        <v>920</v>
      </c>
      <c r="K3329" s="21">
        <v>0</v>
      </c>
      <c r="L3329" s="21">
        <v>0</v>
      </c>
      <c r="M3329" s="21">
        <f>COUNTIF($A$2:$A$5481,A3329)</f>
        <v>1</v>
      </c>
      <c r="N3329" s="24">
        <f t="shared" si="51"/>
        <v>920.0003329</v>
      </c>
    </row>
    <row r="3330" spans="1:14">
      <c r="A3330" s="21" t="s">
        <v>3313</v>
      </c>
      <c r="B3330" s="21" t="s">
        <v>929</v>
      </c>
      <c r="C3330" s="21" t="s">
        <v>26</v>
      </c>
      <c r="D3330" s="21" t="s">
        <v>921</v>
      </c>
      <c r="E3330" s="21">
        <v>1</v>
      </c>
      <c r="F3330" s="22">
        <v>45588.6541087963</v>
      </c>
      <c r="G3330" s="22"/>
      <c r="H3330" s="23">
        <v>29.9</v>
      </c>
      <c r="I3330" s="23">
        <v>29.9</v>
      </c>
      <c r="J3330" s="24">
        <v>29.9</v>
      </c>
      <c r="K3330" s="21">
        <v>0</v>
      </c>
      <c r="L3330" s="21">
        <v>0</v>
      </c>
      <c r="M3330" s="21">
        <f>COUNTIF($A$2:$A$5481,A3330)</f>
        <v>1</v>
      </c>
      <c r="N3330" s="24">
        <f t="shared" ref="N3330:N3393" si="52">J3330+ROW()/10000000</f>
        <v>29.900333</v>
      </c>
    </row>
    <row r="3331" spans="1:14">
      <c r="A3331" s="21" t="s">
        <v>3314</v>
      </c>
      <c r="B3331" s="21" t="s">
        <v>929</v>
      </c>
      <c r="C3331" s="21" t="s">
        <v>414</v>
      </c>
      <c r="D3331" s="21" t="s">
        <v>921</v>
      </c>
      <c r="E3331" s="21">
        <v>4</v>
      </c>
      <c r="F3331" s="22">
        <v>45355.5756944444</v>
      </c>
      <c r="G3331" s="22"/>
      <c r="H3331" s="23">
        <v>33.4</v>
      </c>
      <c r="I3331" s="23">
        <v>8.35</v>
      </c>
      <c r="J3331" s="24">
        <v>33.4</v>
      </c>
      <c r="K3331" s="21">
        <v>0</v>
      </c>
      <c r="L3331" s="21">
        <v>0</v>
      </c>
      <c r="M3331" s="21">
        <f>COUNTIF($A$2:$A$5481,A3331)</f>
        <v>1</v>
      </c>
      <c r="N3331" s="24">
        <f t="shared" si="52"/>
        <v>33.4003331</v>
      </c>
    </row>
    <row r="3332" spans="1:14">
      <c r="A3332" s="21" t="s">
        <v>464</v>
      </c>
      <c r="B3332" s="21" t="s">
        <v>920</v>
      </c>
      <c r="C3332" s="21" t="s">
        <v>35</v>
      </c>
      <c r="D3332" s="21" t="s">
        <v>921</v>
      </c>
      <c r="E3332" s="21">
        <v>0</v>
      </c>
      <c r="F3332" s="22">
        <v>46206.4472222222</v>
      </c>
      <c r="G3332" s="22">
        <v>46212.4498611111</v>
      </c>
      <c r="H3332" s="23">
        <v>656.73</v>
      </c>
      <c r="I3332" s="23">
        <v>656.73</v>
      </c>
      <c r="J3332" s="24">
        <v>0</v>
      </c>
      <c r="K3332" s="21">
        <v>0</v>
      </c>
      <c r="L3332" s="21">
        <v>0</v>
      </c>
      <c r="M3332" s="21">
        <f>COUNTIF($A$2:$A$5481,A3332)</f>
        <v>1</v>
      </c>
      <c r="N3332" s="24">
        <f t="shared" si="52"/>
        <v>0.0003332</v>
      </c>
    </row>
    <row r="3333" spans="1:14">
      <c r="A3333" s="21" t="s">
        <v>567</v>
      </c>
      <c r="B3333" s="21" t="s">
        <v>26</v>
      </c>
      <c r="C3333" s="21" t="s">
        <v>26</v>
      </c>
      <c r="D3333" s="21" t="s">
        <v>921</v>
      </c>
      <c r="E3333" s="21">
        <v>0</v>
      </c>
      <c r="F3333" s="22">
        <v>45491.4339814815</v>
      </c>
      <c r="G3333" s="22">
        <v>46251.749525463</v>
      </c>
      <c r="H3333" s="23">
        <v>340</v>
      </c>
      <c r="I3333" s="23">
        <v>170</v>
      </c>
      <c r="J3333" s="24">
        <v>0</v>
      </c>
      <c r="K3333" s="21">
        <v>0</v>
      </c>
      <c r="L3333" s="21">
        <v>0</v>
      </c>
      <c r="M3333" s="21">
        <f>COUNTIF($A$2:$A$5481,A3333)</f>
        <v>1</v>
      </c>
      <c r="N3333" s="24">
        <f t="shared" si="52"/>
        <v>0.0003333</v>
      </c>
    </row>
    <row r="3334" spans="1:14">
      <c r="A3334" s="21" t="s">
        <v>3315</v>
      </c>
      <c r="B3334" s="21" t="s">
        <v>26</v>
      </c>
      <c r="C3334" s="21" t="s">
        <v>26</v>
      </c>
      <c r="D3334" s="21" t="s">
        <v>921</v>
      </c>
      <c r="E3334" s="21">
        <v>6</v>
      </c>
      <c r="F3334" s="22">
        <v>45670.4643402778</v>
      </c>
      <c r="G3334" s="22"/>
      <c r="H3334" s="23">
        <v>744</v>
      </c>
      <c r="I3334" s="23">
        <v>180.66667</v>
      </c>
      <c r="J3334" s="24">
        <v>1084.02</v>
      </c>
      <c r="K3334" s="21">
        <v>0</v>
      </c>
      <c r="L3334" s="21">
        <v>0</v>
      </c>
      <c r="M3334" s="21">
        <f>COUNTIF($A$2:$A$5481,A3334)</f>
        <v>1</v>
      </c>
      <c r="N3334" s="24">
        <f t="shared" si="52"/>
        <v>1084.0203334</v>
      </c>
    </row>
    <row r="3335" spans="1:14">
      <c r="A3335" s="21" t="s">
        <v>566</v>
      </c>
      <c r="B3335" s="21" t="s">
        <v>26</v>
      </c>
      <c r="C3335" s="21" t="s">
        <v>26</v>
      </c>
      <c r="D3335" s="21" t="s">
        <v>931</v>
      </c>
      <c r="E3335" s="21">
        <v>0</v>
      </c>
      <c r="F3335" s="22">
        <v>45812.3723032407</v>
      </c>
      <c r="G3335" s="22">
        <v>46251.7495138889</v>
      </c>
      <c r="H3335" s="23">
        <v>215.64</v>
      </c>
      <c r="I3335" s="23">
        <v>165.564</v>
      </c>
      <c r="J3335" s="24">
        <v>0</v>
      </c>
      <c r="K3335" s="21">
        <v>0</v>
      </c>
      <c r="L3335" s="21">
        <v>0</v>
      </c>
      <c r="M3335" s="21">
        <f>COUNTIF($A$2:$A$5481,A3335)</f>
        <v>1</v>
      </c>
      <c r="N3335" s="24">
        <f t="shared" si="52"/>
        <v>0.0003335</v>
      </c>
    </row>
    <row r="3336" spans="1:14">
      <c r="A3336" s="21" t="s">
        <v>3316</v>
      </c>
      <c r="B3336" s="21" t="s">
        <v>920</v>
      </c>
      <c r="C3336" s="21" t="s">
        <v>26</v>
      </c>
      <c r="D3336" s="21" t="s">
        <v>931</v>
      </c>
      <c r="E3336" s="21">
        <v>1</v>
      </c>
      <c r="F3336" s="22">
        <v>45792.4055439815</v>
      </c>
      <c r="G3336" s="22"/>
      <c r="H3336" s="23">
        <v>4000</v>
      </c>
      <c r="I3336" s="23">
        <v>4000</v>
      </c>
      <c r="J3336" s="24">
        <v>4000</v>
      </c>
      <c r="K3336" s="21">
        <v>0</v>
      </c>
      <c r="L3336" s="21">
        <v>0</v>
      </c>
      <c r="M3336" s="21">
        <f>COUNTIF($A$2:$A$5481,A3336)</f>
        <v>1</v>
      </c>
      <c r="N3336" s="24">
        <f t="shared" si="52"/>
        <v>4000.0003336</v>
      </c>
    </row>
    <row r="3337" spans="1:14">
      <c r="A3337" s="21" t="s">
        <v>3317</v>
      </c>
      <c r="B3337" s="21" t="s">
        <v>26</v>
      </c>
      <c r="C3337" s="21" t="s">
        <v>182</v>
      </c>
      <c r="D3337" s="21" t="s">
        <v>1584</v>
      </c>
      <c r="E3337" s="21">
        <v>0</v>
      </c>
      <c r="F3337" s="22">
        <v>45419.8303472222</v>
      </c>
      <c r="G3337" s="22">
        <v>45908.354537037</v>
      </c>
      <c r="H3337" s="23">
        <v>50.99</v>
      </c>
      <c r="I3337" s="23">
        <v>50.99</v>
      </c>
      <c r="J3337" s="24">
        <v>0</v>
      </c>
      <c r="K3337" s="21">
        <v>0</v>
      </c>
      <c r="L3337" s="21">
        <v>0</v>
      </c>
      <c r="M3337" s="21">
        <f>COUNTIF($A$2:$A$5481,A3337)</f>
        <v>2</v>
      </c>
      <c r="N3337" s="24">
        <f t="shared" si="52"/>
        <v>0.0003337</v>
      </c>
    </row>
    <row r="3338" spans="1:14">
      <c r="A3338" s="21" t="s">
        <v>3317</v>
      </c>
      <c r="B3338" s="21" t="s">
        <v>26</v>
      </c>
      <c r="C3338" s="21" t="s">
        <v>26</v>
      </c>
      <c r="D3338" s="21" t="s">
        <v>1584</v>
      </c>
      <c r="E3338" s="21">
        <v>204</v>
      </c>
      <c r="F3338" s="22">
        <v>45779.397962963</v>
      </c>
      <c r="G3338" s="22"/>
      <c r="H3338" s="23">
        <v>110</v>
      </c>
      <c r="I3338" s="23">
        <v>1.63706</v>
      </c>
      <c r="J3338" s="24">
        <v>334.56</v>
      </c>
      <c r="K3338" s="21">
        <v>0</v>
      </c>
      <c r="L3338" s="21">
        <v>0</v>
      </c>
      <c r="M3338" s="21">
        <f>COUNTIF($A$2:$A$5481,A3338)</f>
        <v>2</v>
      </c>
      <c r="N3338" s="24">
        <f t="shared" si="52"/>
        <v>334.5603338</v>
      </c>
    </row>
    <row r="3339" spans="1:14">
      <c r="A3339" s="21" t="s">
        <v>3318</v>
      </c>
      <c r="B3339" s="21" t="s">
        <v>26</v>
      </c>
      <c r="C3339" s="21" t="s">
        <v>182</v>
      </c>
      <c r="D3339" s="21" t="s">
        <v>921</v>
      </c>
      <c r="E3339" s="21">
        <v>4</v>
      </c>
      <c r="F3339" s="22">
        <v>45462.3868055556</v>
      </c>
      <c r="G3339" s="22"/>
      <c r="H3339" s="23">
        <v>89.28</v>
      </c>
      <c r="I3339" s="23">
        <v>22.32</v>
      </c>
      <c r="J3339" s="24">
        <v>89.28</v>
      </c>
      <c r="K3339" s="21">
        <v>0</v>
      </c>
      <c r="L3339" s="21">
        <v>0</v>
      </c>
      <c r="M3339" s="21">
        <f>COUNTIF($A$2:$A$5481,A3339)</f>
        <v>2</v>
      </c>
      <c r="N3339" s="24">
        <f t="shared" si="52"/>
        <v>89.2803339</v>
      </c>
    </row>
    <row r="3340" spans="1:14">
      <c r="A3340" s="21" t="s">
        <v>3318</v>
      </c>
      <c r="B3340" s="21" t="s">
        <v>26</v>
      </c>
      <c r="C3340" s="21" t="s">
        <v>26</v>
      </c>
      <c r="D3340" s="21" t="s">
        <v>921</v>
      </c>
      <c r="E3340" s="21">
        <v>200</v>
      </c>
      <c r="F3340" s="22">
        <v>45779.397962963</v>
      </c>
      <c r="G3340" s="22"/>
      <c r="H3340" s="23">
        <v>94</v>
      </c>
      <c r="I3340" s="23">
        <v>0.47</v>
      </c>
      <c r="J3340" s="24">
        <v>94</v>
      </c>
      <c r="K3340" s="21">
        <v>0</v>
      </c>
      <c r="L3340" s="21">
        <v>0</v>
      </c>
      <c r="M3340" s="21">
        <f>COUNTIF($A$2:$A$5481,A3340)</f>
        <v>2</v>
      </c>
      <c r="N3340" s="24">
        <f t="shared" si="52"/>
        <v>94.000334</v>
      </c>
    </row>
    <row r="3341" spans="1:14">
      <c r="A3341" s="21" t="s">
        <v>819</v>
      </c>
      <c r="B3341" s="21" t="s">
        <v>26</v>
      </c>
      <c r="C3341" s="21" t="s">
        <v>51</v>
      </c>
      <c r="D3341" s="21" t="s">
        <v>921</v>
      </c>
      <c r="E3341" s="21">
        <v>200</v>
      </c>
      <c r="F3341" s="22">
        <v>45791.3891782407</v>
      </c>
      <c r="G3341" s="22">
        <v>45889.4330787037</v>
      </c>
      <c r="H3341" s="23">
        <v>132</v>
      </c>
      <c r="I3341" s="23">
        <v>0.33</v>
      </c>
      <c r="J3341" s="24">
        <v>66</v>
      </c>
      <c r="K3341" s="21">
        <v>0</v>
      </c>
      <c r="L3341" s="21">
        <v>0</v>
      </c>
      <c r="M3341" s="21">
        <f>COUNTIF($A$2:$A$5481,A3341)</f>
        <v>2</v>
      </c>
      <c r="N3341" s="24">
        <f t="shared" si="52"/>
        <v>66.0003341</v>
      </c>
    </row>
    <row r="3342" spans="1:14">
      <c r="A3342" s="21" t="s">
        <v>819</v>
      </c>
      <c r="B3342" s="21" t="s">
        <v>26</v>
      </c>
      <c r="C3342" s="21" t="s">
        <v>182</v>
      </c>
      <c r="D3342" s="21" t="s">
        <v>921</v>
      </c>
      <c r="E3342" s="21">
        <v>0</v>
      </c>
      <c r="F3342" s="22">
        <v>46029.5292592593</v>
      </c>
      <c r="G3342" s="22">
        <v>46269.6200347222</v>
      </c>
      <c r="H3342" s="23">
        <v>300.48</v>
      </c>
      <c r="I3342" s="23">
        <v>37.56</v>
      </c>
      <c r="J3342" s="24">
        <v>0</v>
      </c>
      <c r="K3342" s="21">
        <v>0</v>
      </c>
      <c r="L3342" s="21">
        <v>0</v>
      </c>
      <c r="M3342" s="21">
        <f>COUNTIF($A$2:$A$5481,A3342)</f>
        <v>2</v>
      </c>
      <c r="N3342" s="24">
        <f t="shared" si="52"/>
        <v>0.0003342</v>
      </c>
    </row>
    <row r="3343" spans="1:14">
      <c r="A3343" s="21" t="s">
        <v>3319</v>
      </c>
      <c r="B3343" s="21" t="s">
        <v>26</v>
      </c>
      <c r="C3343" s="21" t="s">
        <v>26</v>
      </c>
      <c r="D3343" s="21" t="s">
        <v>921</v>
      </c>
      <c r="E3343" s="21">
        <v>16</v>
      </c>
      <c r="F3343" s="22">
        <v>45833.4474189815</v>
      </c>
      <c r="G3343" s="22"/>
      <c r="H3343" s="23">
        <v>20.76</v>
      </c>
      <c r="I3343" s="23">
        <v>3.8775</v>
      </c>
      <c r="J3343" s="24">
        <v>62.08</v>
      </c>
      <c r="K3343" s="21">
        <v>0</v>
      </c>
      <c r="L3343" s="21">
        <v>0</v>
      </c>
      <c r="M3343" s="21">
        <f>COUNTIF($A$2:$A$5481,A3343)</f>
        <v>1</v>
      </c>
      <c r="N3343" s="24">
        <f t="shared" si="52"/>
        <v>62.0803343</v>
      </c>
    </row>
    <row r="3344" spans="1:14">
      <c r="A3344" s="21" t="s">
        <v>3320</v>
      </c>
      <c r="B3344" s="21" t="s">
        <v>920</v>
      </c>
      <c r="C3344" s="21" t="s">
        <v>26</v>
      </c>
      <c r="D3344" s="21" t="s">
        <v>921</v>
      </c>
      <c r="E3344" s="21">
        <v>0</v>
      </c>
      <c r="F3344" s="22">
        <v>45715.5670949074</v>
      </c>
      <c r="G3344" s="22">
        <v>45813.4591782407</v>
      </c>
      <c r="H3344" s="23">
        <v>1219.44</v>
      </c>
      <c r="I3344" s="23">
        <v>1219.44</v>
      </c>
      <c r="J3344" s="24">
        <v>0</v>
      </c>
      <c r="K3344" s="21">
        <v>0</v>
      </c>
      <c r="L3344" s="21">
        <v>0</v>
      </c>
      <c r="M3344" s="21">
        <f>COUNTIF($A$2:$A$5481,A3344)</f>
        <v>1</v>
      </c>
      <c r="N3344" s="24">
        <f t="shared" si="52"/>
        <v>0.0003344</v>
      </c>
    </row>
    <row r="3345" spans="1:14">
      <c r="A3345" s="21" t="s">
        <v>3321</v>
      </c>
      <c r="B3345" s="21" t="s">
        <v>920</v>
      </c>
      <c r="C3345" s="21" t="s">
        <v>26</v>
      </c>
      <c r="D3345" s="21" t="s">
        <v>921</v>
      </c>
      <c r="E3345" s="21">
        <v>0</v>
      </c>
      <c r="F3345" s="22">
        <v>45845.7714930556</v>
      </c>
      <c r="G3345" s="22">
        <v>45846.3748611111</v>
      </c>
      <c r="H3345" s="23">
        <v>1548.7</v>
      </c>
      <c r="I3345" s="23">
        <v>1548.7</v>
      </c>
      <c r="J3345" s="24">
        <v>0</v>
      </c>
      <c r="K3345" s="21">
        <v>0</v>
      </c>
      <c r="L3345" s="21">
        <v>0</v>
      </c>
      <c r="M3345" s="21">
        <f>COUNTIF($A$2:$A$5481,A3345)</f>
        <v>1</v>
      </c>
      <c r="N3345" s="24">
        <f t="shared" si="52"/>
        <v>0.0003345</v>
      </c>
    </row>
    <row r="3346" spans="1:14">
      <c r="A3346" s="21" t="s">
        <v>3322</v>
      </c>
      <c r="B3346" s="21" t="s">
        <v>920</v>
      </c>
      <c r="C3346" s="21" t="s">
        <v>26</v>
      </c>
      <c r="D3346" s="21" t="s">
        <v>921</v>
      </c>
      <c r="E3346" s="21">
        <v>0</v>
      </c>
      <c r="F3346" s="22">
        <v>45775.4812615741</v>
      </c>
      <c r="G3346" s="22">
        <v>45789.4356828704</v>
      </c>
      <c r="H3346" s="23">
        <v>1333.33</v>
      </c>
      <c r="I3346" s="23">
        <v>1333.33</v>
      </c>
      <c r="J3346" s="24">
        <v>0</v>
      </c>
      <c r="K3346" s="21">
        <v>0</v>
      </c>
      <c r="L3346" s="21">
        <v>0</v>
      </c>
      <c r="M3346" s="21">
        <f>COUNTIF($A$2:$A$5481,A3346)</f>
        <v>1</v>
      </c>
      <c r="N3346" s="24">
        <f t="shared" si="52"/>
        <v>0.0003346</v>
      </c>
    </row>
    <row r="3347" spans="1:14">
      <c r="A3347" s="21" t="s">
        <v>3323</v>
      </c>
      <c r="B3347" s="21" t="s">
        <v>920</v>
      </c>
      <c r="C3347" s="21" t="s">
        <v>26</v>
      </c>
      <c r="D3347" s="21" t="s">
        <v>921</v>
      </c>
      <c r="E3347" s="21">
        <v>0</v>
      </c>
      <c r="F3347" s="22">
        <v>45775.4812615741</v>
      </c>
      <c r="G3347" s="22">
        <v>45789.4356712963</v>
      </c>
      <c r="H3347" s="23">
        <v>1450</v>
      </c>
      <c r="I3347" s="23">
        <v>1450</v>
      </c>
      <c r="J3347" s="24">
        <v>0</v>
      </c>
      <c r="K3347" s="21">
        <v>0</v>
      </c>
      <c r="L3347" s="21">
        <v>0</v>
      </c>
      <c r="M3347" s="21">
        <f>COUNTIF($A$2:$A$5481,A3347)</f>
        <v>1</v>
      </c>
      <c r="N3347" s="24">
        <f t="shared" si="52"/>
        <v>0.0003347</v>
      </c>
    </row>
    <row r="3348" spans="1:14">
      <c r="A3348" s="21" t="s">
        <v>3324</v>
      </c>
      <c r="B3348" s="21" t="s">
        <v>920</v>
      </c>
      <c r="C3348" s="21" t="s">
        <v>26</v>
      </c>
      <c r="D3348" s="21" t="s">
        <v>921</v>
      </c>
      <c r="E3348" s="21">
        <v>14</v>
      </c>
      <c r="F3348" s="22">
        <v>46239.712962963</v>
      </c>
      <c r="G3348" s="22">
        <v>45811.4143055556</v>
      </c>
      <c r="H3348" s="23">
        <v>53.8</v>
      </c>
      <c r="I3348" s="23">
        <v>19.2714285714</v>
      </c>
      <c r="J3348" s="24">
        <v>269.78</v>
      </c>
      <c r="K3348" s="21">
        <v>0</v>
      </c>
      <c r="L3348" s="21">
        <v>0</v>
      </c>
      <c r="M3348" s="21">
        <f>COUNTIF($A$2:$A$5481,A3348)</f>
        <v>1</v>
      </c>
      <c r="N3348" s="24">
        <f t="shared" si="52"/>
        <v>269.7803348</v>
      </c>
    </row>
    <row r="3349" spans="1:14">
      <c r="A3349" s="21" t="s">
        <v>3325</v>
      </c>
      <c r="B3349" s="21" t="s">
        <v>929</v>
      </c>
      <c r="C3349" s="21" t="s">
        <v>26</v>
      </c>
      <c r="D3349" s="21" t="s">
        <v>921</v>
      </c>
      <c r="E3349" s="21">
        <v>8</v>
      </c>
      <c r="F3349" s="22">
        <v>45870.465462963</v>
      </c>
      <c r="G3349" s="22"/>
      <c r="H3349" s="23">
        <v>18</v>
      </c>
      <c r="I3349" s="23">
        <v>21.32125</v>
      </c>
      <c r="J3349" s="24">
        <v>170.56</v>
      </c>
      <c r="K3349" s="21">
        <v>0</v>
      </c>
      <c r="L3349" s="21">
        <v>0</v>
      </c>
      <c r="M3349" s="21">
        <f>COUNTIF($A$2:$A$5481,A3349)</f>
        <v>1</v>
      </c>
      <c r="N3349" s="24">
        <f t="shared" si="52"/>
        <v>170.5603349</v>
      </c>
    </row>
    <row r="3350" spans="1:14">
      <c r="A3350" s="21" t="s">
        <v>3326</v>
      </c>
      <c r="B3350" s="21" t="s">
        <v>920</v>
      </c>
      <c r="C3350" s="21" t="s">
        <v>26</v>
      </c>
      <c r="D3350" s="21" t="s">
        <v>921</v>
      </c>
      <c r="E3350" s="21">
        <v>20</v>
      </c>
      <c r="F3350" s="22">
        <v>45863.5569907407</v>
      </c>
      <c r="G3350" s="22"/>
      <c r="H3350" s="23">
        <v>100</v>
      </c>
      <c r="I3350" s="23">
        <v>20</v>
      </c>
      <c r="J3350" s="24">
        <v>400</v>
      </c>
      <c r="K3350" s="21">
        <v>0</v>
      </c>
      <c r="L3350" s="21">
        <v>0</v>
      </c>
      <c r="M3350" s="21">
        <f>COUNTIF($A$2:$A$5481,A3350)</f>
        <v>1</v>
      </c>
      <c r="N3350" s="24">
        <f t="shared" si="52"/>
        <v>400.000335</v>
      </c>
    </row>
    <row r="3351" spans="1:14">
      <c r="A3351" s="21" t="s">
        <v>3327</v>
      </c>
      <c r="B3351" s="21" t="s">
        <v>929</v>
      </c>
      <c r="C3351" s="21" t="s">
        <v>414</v>
      </c>
      <c r="D3351" s="21" t="s">
        <v>921</v>
      </c>
      <c r="E3351" s="21">
        <v>3</v>
      </c>
      <c r="F3351" s="22">
        <v>45282.8011226852</v>
      </c>
      <c r="G3351" s="22"/>
      <c r="H3351" s="23">
        <v>10.23</v>
      </c>
      <c r="I3351" s="23">
        <v>3.41</v>
      </c>
      <c r="J3351" s="24">
        <v>10.23</v>
      </c>
      <c r="K3351" s="21">
        <v>1</v>
      </c>
      <c r="L3351" s="21">
        <v>5</v>
      </c>
      <c r="M3351" s="21">
        <f>COUNTIF($A$2:$A$5481,A3351)</f>
        <v>2</v>
      </c>
      <c r="N3351" s="24">
        <f t="shared" si="52"/>
        <v>10.2303351</v>
      </c>
    </row>
    <row r="3352" spans="1:14">
      <c r="A3352" s="21" t="s">
        <v>3327</v>
      </c>
      <c r="B3352" s="21" t="s">
        <v>929</v>
      </c>
      <c r="C3352" s="21" t="s">
        <v>26</v>
      </c>
      <c r="D3352" s="21" t="s">
        <v>921</v>
      </c>
      <c r="E3352" s="21">
        <v>8</v>
      </c>
      <c r="F3352" s="22">
        <v>45573.6024421296</v>
      </c>
      <c r="G3352" s="22"/>
      <c r="H3352" s="23">
        <v>25.6</v>
      </c>
      <c r="I3352" s="23">
        <v>6.95</v>
      </c>
      <c r="J3352" s="24">
        <v>55.6</v>
      </c>
      <c r="K3352" s="21">
        <v>1</v>
      </c>
      <c r="L3352" s="21">
        <v>5</v>
      </c>
      <c r="M3352" s="21">
        <f>COUNTIF($A$2:$A$5481,A3352)</f>
        <v>2</v>
      </c>
      <c r="N3352" s="24">
        <f t="shared" si="52"/>
        <v>55.6003352</v>
      </c>
    </row>
    <row r="3353" spans="1:14">
      <c r="A3353" s="21" t="s">
        <v>3328</v>
      </c>
      <c r="B3353" s="21" t="s">
        <v>920</v>
      </c>
      <c r="C3353" s="21" t="s">
        <v>26</v>
      </c>
      <c r="D3353" s="21" t="s">
        <v>921</v>
      </c>
      <c r="E3353" s="21">
        <v>9</v>
      </c>
      <c r="F3353" s="22">
        <v>46239.712962963</v>
      </c>
      <c r="G3353" s="22"/>
      <c r="H3353" s="23">
        <v>36</v>
      </c>
      <c r="I3353" s="23">
        <v>32.8111111111</v>
      </c>
      <c r="J3353" s="24">
        <v>295.29</v>
      </c>
      <c r="K3353" s="21">
        <v>0</v>
      </c>
      <c r="L3353" s="21">
        <v>0</v>
      </c>
      <c r="M3353" s="21">
        <f>COUNTIF($A$2:$A$5481,A3353)</f>
        <v>1</v>
      </c>
      <c r="N3353" s="24">
        <f t="shared" si="52"/>
        <v>295.2903353</v>
      </c>
    </row>
    <row r="3354" spans="1:14">
      <c r="A3354" s="21" t="s">
        <v>844</v>
      </c>
      <c r="B3354" s="21" t="s">
        <v>920</v>
      </c>
      <c r="C3354" s="21" t="s">
        <v>26</v>
      </c>
      <c r="D3354" s="21" t="s">
        <v>921</v>
      </c>
      <c r="E3354" s="21">
        <v>4</v>
      </c>
      <c r="F3354" s="22">
        <v>46245.4125</v>
      </c>
      <c r="G3354" s="22">
        <v>46267.3636226852</v>
      </c>
      <c r="H3354" s="23">
        <v>149.5</v>
      </c>
      <c r="I3354" s="23">
        <v>29.9</v>
      </c>
      <c r="J3354" s="24">
        <v>119.6</v>
      </c>
      <c r="K3354" s="21">
        <v>2</v>
      </c>
      <c r="L3354" s="21">
        <v>6</v>
      </c>
      <c r="M3354" s="21">
        <f>COUNTIF($A$2:$A$5481,A3354)</f>
        <v>1</v>
      </c>
      <c r="N3354" s="24">
        <f t="shared" si="52"/>
        <v>119.6003354</v>
      </c>
    </row>
    <row r="3355" spans="1:14">
      <c r="A3355" s="21" t="s">
        <v>3329</v>
      </c>
      <c r="B3355" s="21" t="s">
        <v>920</v>
      </c>
      <c r="C3355" s="21" t="s">
        <v>26</v>
      </c>
      <c r="D3355" s="21" t="s">
        <v>921</v>
      </c>
      <c r="E3355" s="21">
        <v>7</v>
      </c>
      <c r="F3355" s="22">
        <v>46239.7219791667</v>
      </c>
      <c r="G3355" s="22"/>
      <c r="H3355" s="23">
        <v>20.61</v>
      </c>
      <c r="I3355" s="23">
        <v>14.9442857143</v>
      </c>
      <c r="J3355" s="24">
        <v>104.58</v>
      </c>
      <c r="K3355" s="21">
        <v>0</v>
      </c>
      <c r="L3355" s="21">
        <v>0</v>
      </c>
      <c r="M3355" s="21">
        <f>COUNTIF($A$2:$A$5481,A3355)</f>
        <v>1</v>
      </c>
      <c r="N3355" s="24">
        <f t="shared" si="52"/>
        <v>104.5803355</v>
      </c>
    </row>
    <row r="3356" spans="1:14">
      <c r="A3356" s="21" t="s">
        <v>3330</v>
      </c>
      <c r="B3356" s="21" t="s">
        <v>920</v>
      </c>
      <c r="C3356" s="21" t="s">
        <v>26</v>
      </c>
      <c r="D3356" s="21" t="s">
        <v>921</v>
      </c>
      <c r="E3356" s="21">
        <v>6</v>
      </c>
      <c r="F3356" s="22">
        <v>45916.709375</v>
      </c>
      <c r="G3356" s="22"/>
      <c r="H3356" s="23">
        <v>188.94</v>
      </c>
      <c r="I3356" s="23">
        <v>61.12</v>
      </c>
      <c r="J3356" s="24">
        <v>366.72</v>
      </c>
      <c r="K3356" s="21">
        <v>0</v>
      </c>
      <c r="L3356" s="21">
        <v>0</v>
      </c>
      <c r="M3356" s="21">
        <f>COUNTIF($A$2:$A$5481,A3356)</f>
        <v>1</v>
      </c>
      <c r="N3356" s="24">
        <f t="shared" si="52"/>
        <v>366.7203356</v>
      </c>
    </row>
    <row r="3357" spans="1:14">
      <c r="A3357" s="21" t="s">
        <v>3331</v>
      </c>
      <c r="B3357" s="21" t="s">
        <v>920</v>
      </c>
      <c r="C3357" s="21" t="s">
        <v>26</v>
      </c>
      <c r="D3357" s="21" t="s">
        <v>921</v>
      </c>
      <c r="E3357" s="21">
        <v>2</v>
      </c>
      <c r="F3357" s="22">
        <v>45574.861412037</v>
      </c>
      <c r="G3357" s="22"/>
      <c r="H3357" s="23">
        <v>180</v>
      </c>
      <c r="I3357" s="23">
        <v>90</v>
      </c>
      <c r="J3357" s="24">
        <v>180</v>
      </c>
      <c r="K3357" s="21">
        <v>0</v>
      </c>
      <c r="L3357" s="21">
        <v>0</v>
      </c>
      <c r="M3357" s="21">
        <f>COUNTIF($A$2:$A$5481,A3357)</f>
        <v>1</v>
      </c>
      <c r="N3357" s="24">
        <f t="shared" si="52"/>
        <v>180.0003357</v>
      </c>
    </row>
    <row r="3358" spans="1:14">
      <c r="A3358" s="21" t="s">
        <v>3332</v>
      </c>
      <c r="B3358" s="21" t="s">
        <v>920</v>
      </c>
      <c r="C3358" s="21" t="s">
        <v>26</v>
      </c>
      <c r="D3358" s="21" t="s">
        <v>921</v>
      </c>
      <c r="E3358" s="21">
        <v>2</v>
      </c>
      <c r="F3358" s="22">
        <v>45574.861412037</v>
      </c>
      <c r="G3358" s="22"/>
      <c r="H3358" s="23">
        <v>180</v>
      </c>
      <c r="I3358" s="23">
        <v>90</v>
      </c>
      <c r="J3358" s="24">
        <v>180</v>
      </c>
      <c r="K3358" s="21">
        <v>0</v>
      </c>
      <c r="L3358" s="21">
        <v>0</v>
      </c>
      <c r="M3358" s="21">
        <f>COUNTIF($A$2:$A$5481,A3358)</f>
        <v>1</v>
      </c>
      <c r="N3358" s="24">
        <f t="shared" si="52"/>
        <v>180.0003358</v>
      </c>
    </row>
    <row r="3359" spans="1:14">
      <c r="A3359" s="21" t="s">
        <v>3333</v>
      </c>
      <c r="B3359" s="21" t="s">
        <v>929</v>
      </c>
      <c r="C3359" s="21" t="s">
        <v>414</v>
      </c>
      <c r="D3359" s="21" t="s">
        <v>921</v>
      </c>
      <c r="E3359" s="21">
        <v>2</v>
      </c>
      <c r="F3359" s="22">
        <v>45280.8307291667</v>
      </c>
      <c r="G3359" s="22"/>
      <c r="H3359" s="23">
        <v>12.6</v>
      </c>
      <c r="I3359" s="23">
        <v>6.3</v>
      </c>
      <c r="J3359" s="24">
        <v>12.6</v>
      </c>
      <c r="K3359" s="21">
        <v>1</v>
      </c>
      <c r="L3359" s="21">
        <v>6</v>
      </c>
      <c r="M3359" s="21">
        <f>COUNTIF($A$2:$A$5481,A3359)</f>
        <v>1</v>
      </c>
      <c r="N3359" s="24">
        <f t="shared" si="52"/>
        <v>12.6003359</v>
      </c>
    </row>
    <row r="3360" spans="1:14">
      <c r="A3360" s="21" t="s">
        <v>3334</v>
      </c>
      <c r="B3360" s="21" t="s">
        <v>929</v>
      </c>
      <c r="C3360" s="21" t="s">
        <v>26</v>
      </c>
      <c r="D3360" s="21" t="s">
        <v>921</v>
      </c>
      <c r="E3360" s="21">
        <v>2</v>
      </c>
      <c r="F3360" s="22">
        <v>45841.3473263889</v>
      </c>
      <c r="G3360" s="22"/>
      <c r="H3360" s="23">
        <v>11.76</v>
      </c>
      <c r="I3360" s="23">
        <v>5.88</v>
      </c>
      <c r="J3360" s="24">
        <v>11.76</v>
      </c>
      <c r="K3360" s="21">
        <v>0</v>
      </c>
      <c r="L3360" s="21">
        <v>0</v>
      </c>
      <c r="M3360" s="21">
        <f>COUNTIF($A$2:$A$5481,A3360)</f>
        <v>1</v>
      </c>
      <c r="N3360" s="24">
        <f t="shared" si="52"/>
        <v>11.760336</v>
      </c>
    </row>
    <row r="3361" spans="1:14">
      <c r="A3361" s="21" t="s">
        <v>3335</v>
      </c>
      <c r="B3361" s="21" t="s">
        <v>929</v>
      </c>
      <c r="C3361" s="21" t="s">
        <v>414</v>
      </c>
      <c r="D3361" s="21" t="s">
        <v>921</v>
      </c>
      <c r="E3361" s="21">
        <v>2</v>
      </c>
      <c r="F3361" s="22">
        <v>45280.8339467593</v>
      </c>
      <c r="G3361" s="22"/>
      <c r="H3361" s="23">
        <v>10.32</v>
      </c>
      <c r="I3361" s="23">
        <v>5.16</v>
      </c>
      <c r="J3361" s="24">
        <v>10.32</v>
      </c>
      <c r="K3361" s="21">
        <v>2</v>
      </c>
      <c r="L3361" s="21">
        <v>8</v>
      </c>
      <c r="M3361" s="21">
        <f>COUNTIF($A$2:$A$5481,A3361)</f>
        <v>1</v>
      </c>
      <c r="N3361" s="24">
        <f t="shared" si="52"/>
        <v>10.3203361</v>
      </c>
    </row>
    <row r="3362" spans="1:14">
      <c r="A3362" s="21" t="s">
        <v>3336</v>
      </c>
      <c r="B3362" s="21" t="s">
        <v>26</v>
      </c>
      <c r="C3362" s="21" t="s">
        <v>26</v>
      </c>
      <c r="D3362" s="21" t="s">
        <v>1068</v>
      </c>
      <c r="E3362" s="21">
        <v>2</v>
      </c>
      <c r="F3362" s="22">
        <v>45422.4402777778</v>
      </c>
      <c r="G3362" s="22"/>
      <c r="H3362" s="23">
        <v>91.52</v>
      </c>
      <c r="I3362" s="23">
        <v>45.76</v>
      </c>
      <c r="J3362" s="24">
        <v>91.52</v>
      </c>
      <c r="K3362" s="21">
        <v>0</v>
      </c>
      <c r="L3362" s="21">
        <v>0</v>
      </c>
      <c r="M3362" s="21">
        <f>COUNTIF($A$2:$A$5481,A3362)</f>
        <v>1</v>
      </c>
      <c r="N3362" s="24">
        <f t="shared" si="52"/>
        <v>91.5203362</v>
      </c>
    </row>
    <row r="3363" spans="1:14">
      <c r="A3363" s="21" t="s">
        <v>3337</v>
      </c>
      <c r="B3363" s="21" t="s">
        <v>920</v>
      </c>
      <c r="C3363" s="21" t="s">
        <v>26</v>
      </c>
      <c r="D3363" s="21" t="s">
        <v>921</v>
      </c>
      <c r="E3363" s="21">
        <v>0</v>
      </c>
      <c r="F3363" s="22">
        <v>45699.553287037</v>
      </c>
      <c r="G3363" s="22">
        <v>45699.5563310185</v>
      </c>
      <c r="H3363" s="23">
        <v>50</v>
      </c>
      <c r="I3363" s="23">
        <v>25</v>
      </c>
      <c r="J3363" s="24">
        <v>0</v>
      </c>
      <c r="K3363" s="21">
        <v>0</v>
      </c>
      <c r="L3363" s="21">
        <v>0</v>
      </c>
      <c r="M3363" s="21">
        <f>COUNTIF($A$2:$A$5481,A3363)</f>
        <v>1</v>
      </c>
      <c r="N3363" s="24">
        <f t="shared" si="52"/>
        <v>0.0003363</v>
      </c>
    </row>
    <row r="3364" spans="1:14">
      <c r="A3364" s="21" t="s">
        <v>453</v>
      </c>
      <c r="B3364" s="21" t="s">
        <v>26</v>
      </c>
      <c r="C3364" s="21" t="s">
        <v>414</v>
      </c>
      <c r="D3364" s="21" t="s">
        <v>921</v>
      </c>
      <c r="E3364" s="21">
        <v>10</v>
      </c>
      <c r="F3364" s="22">
        <v>45308.6041666667</v>
      </c>
      <c r="G3364" s="22"/>
      <c r="H3364" s="23">
        <v>82.5</v>
      </c>
      <c r="I3364" s="23">
        <v>8.25</v>
      </c>
      <c r="J3364" s="24">
        <v>82.5</v>
      </c>
      <c r="K3364" s="21">
        <v>0</v>
      </c>
      <c r="L3364" s="21">
        <v>0</v>
      </c>
      <c r="M3364" s="21">
        <f>COUNTIF($A$2:$A$5481,A3364)</f>
        <v>2</v>
      </c>
      <c r="N3364" s="24">
        <f t="shared" si="52"/>
        <v>82.5003364</v>
      </c>
    </row>
    <row r="3365" spans="1:14">
      <c r="A3365" s="21" t="s">
        <v>453</v>
      </c>
      <c r="B3365" s="21" t="s">
        <v>26</v>
      </c>
      <c r="C3365" s="21" t="s">
        <v>26</v>
      </c>
      <c r="D3365" s="21" t="s">
        <v>921</v>
      </c>
      <c r="E3365" s="21">
        <v>19</v>
      </c>
      <c r="F3365" s="22">
        <v>46199.7394560185</v>
      </c>
      <c r="G3365" s="22">
        <v>46209.4135069445</v>
      </c>
      <c r="H3365" s="23">
        <v>80</v>
      </c>
      <c r="I3365" s="23">
        <v>7.5</v>
      </c>
      <c r="J3365" s="24">
        <v>142.5</v>
      </c>
      <c r="K3365" s="21">
        <v>0</v>
      </c>
      <c r="L3365" s="21">
        <v>0</v>
      </c>
      <c r="M3365" s="21">
        <f>COUNTIF($A$2:$A$5481,A3365)</f>
        <v>2</v>
      </c>
      <c r="N3365" s="24">
        <f t="shared" si="52"/>
        <v>142.5003365</v>
      </c>
    </row>
    <row r="3366" spans="1:14">
      <c r="A3366" s="21" t="s">
        <v>3338</v>
      </c>
      <c r="B3366" s="21" t="s">
        <v>929</v>
      </c>
      <c r="C3366" s="21" t="s">
        <v>26</v>
      </c>
      <c r="D3366" s="21" t="s">
        <v>921</v>
      </c>
      <c r="E3366" s="21">
        <v>25</v>
      </c>
      <c r="F3366" s="22">
        <v>46048.8261574074</v>
      </c>
      <c r="G3366" s="22"/>
      <c r="H3366" s="23">
        <v>416.5</v>
      </c>
      <c r="I3366" s="23">
        <v>82.904</v>
      </c>
      <c r="J3366" s="24">
        <v>2072.5</v>
      </c>
      <c r="K3366" s="21">
        <v>0</v>
      </c>
      <c r="L3366" s="21">
        <v>0</v>
      </c>
      <c r="M3366" s="21">
        <f>COUNTIF($A$2:$A$5481,A3366)</f>
        <v>1</v>
      </c>
      <c r="N3366" s="24">
        <f t="shared" si="52"/>
        <v>2072.5003366</v>
      </c>
    </row>
    <row r="3367" spans="1:14">
      <c r="A3367" s="21" t="s">
        <v>3339</v>
      </c>
      <c r="B3367" s="21" t="s">
        <v>929</v>
      </c>
      <c r="C3367" s="21" t="s">
        <v>26</v>
      </c>
      <c r="D3367" s="21" t="s">
        <v>921</v>
      </c>
      <c r="E3367" s="21">
        <v>25</v>
      </c>
      <c r="F3367" s="22">
        <v>46048.8261574074</v>
      </c>
      <c r="G3367" s="22"/>
      <c r="H3367" s="23">
        <v>760.75</v>
      </c>
      <c r="I3367" s="23">
        <v>151.61</v>
      </c>
      <c r="J3367" s="24">
        <v>3790.25</v>
      </c>
      <c r="K3367" s="21">
        <v>0</v>
      </c>
      <c r="L3367" s="21">
        <v>0</v>
      </c>
      <c r="M3367" s="21">
        <f>COUNTIF($A$2:$A$5481,A3367)</f>
        <v>1</v>
      </c>
      <c r="N3367" s="24">
        <f t="shared" si="52"/>
        <v>3790.2503367</v>
      </c>
    </row>
    <row r="3368" spans="1:14">
      <c r="A3368" s="21" t="s">
        <v>3340</v>
      </c>
      <c r="B3368" s="21" t="s">
        <v>929</v>
      </c>
      <c r="C3368" s="21" t="s">
        <v>26</v>
      </c>
      <c r="D3368" s="21" t="s">
        <v>921</v>
      </c>
      <c r="E3368" s="21">
        <v>25</v>
      </c>
      <c r="F3368" s="22">
        <v>46048.8261574074</v>
      </c>
      <c r="G3368" s="22"/>
      <c r="H3368" s="23">
        <v>382.5</v>
      </c>
      <c r="I3368" s="23">
        <v>76.23</v>
      </c>
      <c r="J3368" s="24">
        <v>1905.75</v>
      </c>
      <c r="K3368" s="21">
        <v>0</v>
      </c>
      <c r="L3368" s="21">
        <v>0</v>
      </c>
      <c r="M3368" s="21">
        <f>COUNTIF($A$2:$A$5481,A3368)</f>
        <v>1</v>
      </c>
      <c r="N3368" s="24">
        <f t="shared" si="52"/>
        <v>1905.7503368</v>
      </c>
    </row>
    <row r="3369" spans="1:14">
      <c r="A3369" s="21" t="s">
        <v>3341</v>
      </c>
      <c r="B3369" s="21" t="s">
        <v>26</v>
      </c>
      <c r="C3369" s="21" t="s">
        <v>182</v>
      </c>
      <c r="D3369" s="21" t="s">
        <v>921</v>
      </c>
      <c r="E3369" s="21">
        <v>2</v>
      </c>
      <c r="F3369" s="22">
        <v>45294.6777199074</v>
      </c>
      <c r="G3369" s="22"/>
      <c r="H3369" s="23">
        <v>16</v>
      </c>
      <c r="I3369" s="23">
        <v>8</v>
      </c>
      <c r="J3369" s="24">
        <v>16</v>
      </c>
      <c r="K3369" s="21">
        <v>0</v>
      </c>
      <c r="L3369" s="21">
        <v>0</v>
      </c>
      <c r="M3369" s="21">
        <f>COUNTIF($A$2:$A$5481,A3369)</f>
        <v>1</v>
      </c>
      <c r="N3369" s="24">
        <f t="shared" si="52"/>
        <v>16.0003369</v>
      </c>
    </row>
    <row r="3370" spans="1:14">
      <c r="A3370" s="21" t="s">
        <v>3342</v>
      </c>
      <c r="B3370" s="21" t="s">
        <v>920</v>
      </c>
      <c r="C3370" s="21" t="s">
        <v>35</v>
      </c>
      <c r="D3370" s="21" t="s">
        <v>931</v>
      </c>
      <c r="E3370" s="21">
        <v>0</v>
      </c>
      <c r="F3370" s="22">
        <v>45688.4612731482</v>
      </c>
      <c r="G3370" s="22">
        <v>45692.4640509259</v>
      </c>
      <c r="H3370" s="23">
        <v>217.54</v>
      </c>
      <c r="I3370" s="23">
        <v>217.54</v>
      </c>
      <c r="J3370" s="24">
        <v>0</v>
      </c>
      <c r="K3370" s="21">
        <v>0</v>
      </c>
      <c r="L3370" s="21">
        <v>0</v>
      </c>
      <c r="M3370" s="21">
        <f>COUNTIF($A$2:$A$5481,A3370)</f>
        <v>1</v>
      </c>
      <c r="N3370" s="24">
        <f t="shared" si="52"/>
        <v>0.000337</v>
      </c>
    </row>
    <row r="3371" spans="1:14">
      <c r="A3371" s="21" t="s">
        <v>3343</v>
      </c>
      <c r="B3371" s="21" t="s">
        <v>920</v>
      </c>
      <c r="C3371" s="21" t="s">
        <v>35</v>
      </c>
      <c r="D3371" s="21" t="s">
        <v>931</v>
      </c>
      <c r="E3371" s="21">
        <v>1</v>
      </c>
      <c r="F3371" s="22">
        <v>45688.4612731482</v>
      </c>
      <c r="G3371" s="22"/>
      <c r="H3371" s="23">
        <v>194.5</v>
      </c>
      <c r="I3371" s="23">
        <v>194.5</v>
      </c>
      <c r="J3371" s="24">
        <v>194.5</v>
      </c>
      <c r="K3371" s="21">
        <v>0</v>
      </c>
      <c r="L3371" s="21">
        <v>0</v>
      </c>
      <c r="M3371" s="21">
        <f>COUNTIF($A$2:$A$5481,A3371)</f>
        <v>1</v>
      </c>
      <c r="N3371" s="24">
        <f t="shared" si="52"/>
        <v>194.5003371</v>
      </c>
    </row>
    <row r="3372" spans="1:14">
      <c r="A3372" s="21" t="s">
        <v>350</v>
      </c>
      <c r="B3372" s="21" t="s">
        <v>920</v>
      </c>
      <c r="C3372" s="21" t="s">
        <v>35</v>
      </c>
      <c r="D3372" s="21" t="s">
        <v>921</v>
      </c>
      <c r="E3372" s="21">
        <v>0</v>
      </c>
      <c r="F3372" s="22">
        <v>46118.5770833333</v>
      </c>
      <c r="G3372" s="22">
        <v>46122.3865393519</v>
      </c>
      <c r="H3372" s="23">
        <v>440</v>
      </c>
      <c r="I3372" s="23">
        <v>440</v>
      </c>
      <c r="J3372" s="24">
        <v>0</v>
      </c>
      <c r="K3372" s="21">
        <v>0</v>
      </c>
      <c r="L3372" s="21">
        <v>0</v>
      </c>
      <c r="M3372" s="21">
        <f>COUNTIF($A$2:$A$5481,A3372)</f>
        <v>1</v>
      </c>
      <c r="N3372" s="24">
        <f t="shared" si="52"/>
        <v>0.0003372</v>
      </c>
    </row>
    <row r="3373" spans="1:14">
      <c r="A3373" s="21" t="s">
        <v>3344</v>
      </c>
      <c r="B3373" s="21" t="s">
        <v>26</v>
      </c>
      <c r="C3373" s="21" t="s">
        <v>26</v>
      </c>
      <c r="D3373" s="21" t="s">
        <v>921</v>
      </c>
      <c r="E3373" s="21">
        <v>1</v>
      </c>
      <c r="F3373" s="22">
        <v>45800.7079282407</v>
      </c>
      <c r="G3373" s="22"/>
      <c r="H3373" s="23">
        <v>10</v>
      </c>
      <c r="I3373" s="23">
        <v>10</v>
      </c>
      <c r="J3373" s="24">
        <v>10</v>
      </c>
      <c r="K3373" s="21">
        <v>0</v>
      </c>
      <c r="L3373" s="21">
        <v>0</v>
      </c>
      <c r="M3373" s="21">
        <f>COUNTIF($A$2:$A$5481,A3373)</f>
        <v>1</v>
      </c>
      <c r="N3373" s="24">
        <f t="shared" si="52"/>
        <v>10.0003373</v>
      </c>
    </row>
    <row r="3374" spans="1:14">
      <c r="A3374" s="21" t="s">
        <v>3345</v>
      </c>
      <c r="B3374" s="21" t="s">
        <v>26</v>
      </c>
      <c r="C3374" s="21" t="s">
        <v>26</v>
      </c>
      <c r="D3374" s="21" t="s">
        <v>921</v>
      </c>
      <c r="E3374" s="21">
        <v>6</v>
      </c>
      <c r="F3374" s="22">
        <v>45518.4012847222</v>
      </c>
      <c r="G3374" s="22"/>
      <c r="H3374" s="23">
        <v>138</v>
      </c>
      <c r="I3374" s="23">
        <v>23</v>
      </c>
      <c r="J3374" s="24">
        <v>138</v>
      </c>
      <c r="K3374" s="21">
        <v>0</v>
      </c>
      <c r="L3374" s="21">
        <v>0</v>
      </c>
      <c r="M3374" s="21">
        <f>COUNTIF($A$2:$A$5481,A3374)</f>
        <v>1</v>
      </c>
      <c r="N3374" s="24">
        <f t="shared" si="52"/>
        <v>138.0003374</v>
      </c>
    </row>
    <row r="3375" spans="1:14">
      <c r="A3375" s="21" t="s">
        <v>3346</v>
      </c>
      <c r="B3375" s="21" t="s">
        <v>920</v>
      </c>
      <c r="C3375" s="21" t="s">
        <v>35</v>
      </c>
      <c r="D3375" s="21" t="s">
        <v>921</v>
      </c>
      <c r="E3375" s="21">
        <v>2</v>
      </c>
      <c r="F3375" s="22">
        <v>45383.5798611111</v>
      </c>
      <c r="G3375" s="22"/>
      <c r="H3375" s="23">
        <v>100</v>
      </c>
      <c r="I3375" s="23">
        <v>50</v>
      </c>
      <c r="J3375" s="24">
        <v>100</v>
      </c>
      <c r="K3375" s="21">
        <v>0</v>
      </c>
      <c r="L3375" s="21">
        <v>0</v>
      </c>
      <c r="M3375" s="21">
        <f>COUNTIF($A$2:$A$5481,A3375)</f>
        <v>2</v>
      </c>
      <c r="N3375" s="24">
        <f t="shared" si="52"/>
        <v>100.0003375</v>
      </c>
    </row>
    <row r="3376" spans="1:14">
      <c r="A3376" s="21" t="s">
        <v>3346</v>
      </c>
      <c r="B3376" s="21" t="s">
        <v>920</v>
      </c>
      <c r="C3376" s="21" t="s">
        <v>26</v>
      </c>
      <c r="D3376" s="21" t="s">
        <v>921</v>
      </c>
      <c r="E3376" s="21">
        <v>3</v>
      </c>
      <c r="F3376" s="22">
        <v>46062.555162037</v>
      </c>
      <c r="G3376" s="22">
        <v>45812.4005092593</v>
      </c>
      <c r="H3376" s="23">
        <v>35</v>
      </c>
      <c r="I3376" s="23">
        <v>51.6666666667</v>
      </c>
      <c r="J3376" s="24">
        <v>155.01</v>
      </c>
      <c r="K3376" s="21">
        <v>0</v>
      </c>
      <c r="L3376" s="21">
        <v>0</v>
      </c>
      <c r="M3376" s="21">
        <f>COUNTIF($A$2:$A$5481,A3376)</f>
        <v>2</v>
      </c>
      <c r="N3376" s="24">
        <f t="shared" si="52"/>
        <v>155.0103376</v>
      </c>
    </row>
    <row r="3377" spans="1:14">
      <c r="A3377" s="21" t="s">
        <v>3347</v>
      </c>
      <c r="B3377" s="21" t="s">
        <v>920</v>
      </c>
      <c r="C3377" s="21" t="s">
        <v>26</v>
      </c>
      <c r="D3377" s="21" t="s">
        <v>921</v>
      </c>
      <c r="E3377" s="21">
        <v>1</v>
      </c>
      <c r="F3377" s="22">
        <v>46090.6196875</v>
      </c>
      <c r="G3377" s="22"/>
      <c r="H3377" s="23">
        <v>45</v>
      </c>
      <c r="I3377" s="23">
        <v>45</v>
      </c>
      <c r="J3377" s="24">
        <v>45</v>
      </c>
      <c r="K3377" s="21">
        <v>0</v>
      </c>
      <c r="L3377" s="21">
        <v>0</v>
      </c>
      <c r="M3377" s="21">
        <f>COUNTIF($A$2:$A$5481,A3377)</f>
        <v>1</v>
      </c>
      <c r="N3377" s="24">
        <f t="shared" si="52"/>
        <v>45.0003377</v>
      </c>
    </row>
    <row r="3378" spans="1:14">
      <c r="A3378" s="21" t="s">
        <v>3348</v>
      </c>
      <c r="B3378" s="21" t="s">
        <v>1346</v>
      </c>
      <c r="C3378" s="21" t="s">
        <v>26</v>
      </c>
      <c r="D3378" s="21" t="s">
        <v>921</v>
      </c>
      <c r="E3378" s="21">
        <v>1</v>
      </c>
      <c r="F3378" s="22">
        <v>45345.5054166667</v>
      </c>
      <c r="G3378" s="22"/>
      <c r="H3378" s="23">
        <v>50</v>
      </c>
      <c r="I3378" s="23">
        <v>50</v>
      </c>
      <c r="J3378" s="24">
        <v>50</v>
      </c>
      <c r="K3378" s="21">
        <v>0</v>
      </c>
      <c r="L3378" s="21">
        <v>0</v>
      </c>
      <c r="M3378" s="21">
        <f>COUNTIF($A$2:$A$5481,A3378)</f>
        <v>1</v>
      </c>
      <c r="N3378" s="24">
        <f t="shared" si="52"/>
        <v>50.0003378</v>
      </c>
    </row>
    <row r="3379" spans="1:14">
      <c r="A3379" s="21" t="s">
        <v>3349</v>
      </c>
      <c r="B3379" s="21" t="s">
        <v>920</v>
      </c>
      <c r="C3379" s="21" t="s">
        <v>26</v>
      </c>
      <c r="D3379" s="21" t="s">
        <v>921</v>
      </c>
      <c r="E3379" s="21">
        <v>1</v>
      </c>
      <c r="F3379" s="22">
        <v>45345.5054166667</v>
      </c>
      <c r="G3379" s="22"/>
      <c r="H3379" s="23">
        <v>60</v>
      </c>
      <c r="I3379" s="23">
        <v>60</v>
      </c>
      <c r="J3379" s="24">
        <v>60</v>
      </c>
      <c r="K3379" s="21">
        <v>0</v>
      </c>
      <c r="L3379" s="21">
        <v>0</v>
      </c>
      <c r="M3379" s="21">
        <f>COUNTIF($A$2:$A$5481,A3379)</f>
        <v>1</v>
      </c>
      <c r="N3379" s="24">
        <f t="shared" si="52"/>
        <v>60.0003379</v>
      </c>
    </row>
    <row r="3380" spans="1:14">
      <c r="A3380" s="21" t="s">
        <v>3350</v>
      </c>
      <c r="B3380" s="21" t="s">
        <v>920</v>
      </c>
      <c r="C3380" s="21" t="s">
        <v>35</v>
      </c>
      <c r="D3380" s="21" t="s">
        <v>921</v>
      </c>
      <c r="E3380" s="21">
        <v>20</v>
      </c>
      <c r="F3380" s="22">
        <v>45370.8169328704</v>
      </c>
      <c r="G3380" s="22"/>
      <c r="H3380" s="23">
        <v>140</v>
      </c>
      <c r="I3380" s="23">
        <v>7</v>
      </c>
      <c r="J3380" s="24">
        <v>140</v>
      </c>
      <c r="K3380" s="21">
        <v>4</v>
      </c>
      <c r="L3380" s="21">
        <v>50</v>
      </c>
      <c r="M3380" s="21">
        <f>COUNTIF($A$2:$A$5481,A3380)</f>
        <v>1</v>
      </c>
      <c r="N3380" s="24">
        <f t="shared" si="52"/>
        <v>140.000338</v>
      </c>
    </row>
    <row r="3381" spans="1:14">
      <c r="A3381" s="21" t="s">
        <v>3351</v>
      </c>
      <c r="B3381" s="21" t="s">
        <v>26</v>
      </c>
      <c r="C3381" s="21" t="s">
        <v>26</v>
      </c>
      <c r="D3381" s="21" t="s">
        <v>921</v>
      </c>
      <c r="E3381" s="21">
        <v>1</v>
      </c>
      <c r="F3381" s="22">
        <v>45497.4106018519</v>
      </c>
      <c r="G3381" s="22"/>
      <c r="H3381" s="23">
        <v>15.67</v>
      </c>
      <c r="I3381" s="23">
        <v>15.67</v>
      </c>
      <c r="J3381" s="24">
        <v>15.67</v>
      </c>
      <c r="K3381" s="21">
        <v>0</v>
      </c>
      <c r="L3381" s="21">
        <v>0</v>
      </c>
      <c r="M3381" s="21">
        <f>COUNTIF($A$2:$A$5481,A3381)</f>
        <v>1</v>
      </c>
      <c r="N3381" s="24">
        <f t="shared" si="52"/>
        <v>15.6703381</v>
      </c>
    </row>
    <row r="3382" spans="1:14">
      <c r="A3382" s="21" t="s">
        <v>3352</v>
      </c>
      <c r="B3382" s="21" t="s">
        <v>920</v>
      </c>
      <c r="C3382" s="21" t="s">
        <v>26</v>
      </c>
      <c r="D3382" s="21" t="s">
        <v>921</v>
      </c>
      <c r="E3382" s="21">
        <v>1</v>
      </c>
      <c r="F3382" s="22">
        <v>46031.5570138889</v>
      </c>
      <c r="G3382" s="22"/>
      <c r="H3382" s="23">
        <v>24.74</v>
      </c>
      <c r="I3382" s="23">
        <v>24.74</v>
      </c>
      <c r="J3382" s="24">
        <v>24.74</v>
      </c>
      <c r="K3382" s="21">
        <v>0</v>
      </c>
      <c r="L3382" s="21">
        <v>0</v>
      </c>
      <c r="M3382" s="21">
        <f>COUNTIF($A$2:$A$5481,A3382)</f>
        <v>1</v>
      </c>
      <c r="N3382" s="24">
        <f t="shared" si="52"/>
        <v>24.7403382</v>
      </c>
    </row>
    <row r="3383" spans="1:14">
      <c r="A3383" s="21" t="s">
        <v>3353</v>
      </c>
      <c r="B3383" s="21" t="s">
        <v>920</v>
      </c>
      <c r="C3383" s="21" t="s">
        <v>26</v>
      </c>
      <c r="D3383" s="21" t="s">
        <v>921</v>
      </c>
      <c r="E3383" s="21">
        <v>1</v>
      </c>
      <c r="F3383" s="22">
        <v>46037.5511342593</v>
      </c>
      <c r="G3383" s="22"/>
      <c r="H3383" s="23">
        <v>20</v>
      </c>
      <c r="I3383" s="23">
        <v>20</v>
      </c>
      <c r="J3383" s="24">
        <v>20</v>
      </c>
      <c r="K3383" s="21">
        <v>0</v>
      </c>
      <c r="L3383" s="21">
        <v>0</v>
      </c>
      <c r="M3383" s="21">
        <f>COUNTIF($A$2:$A$5481,A3383)</f>
        <v>1</v>
      </c>
      <c r="N3383" s="24">
        <f t="shared" si="52"/>
        <v>20.0003383</v>
      </c>
    </row>
    <row r="3384" spans="1:14">
      <c r="A3384" s="21" t="s">
        <v>3354</v>
      </c>
      <c r="B3384" s="21" t="s">
        <v>920</v>
      </c>
      <c r="C3384" s="21" t="s">
        <v>26</v>
      </c>
      <c r="D3384" s="21" t="s">
        <v>921</v>
      </c>
      <c r="E3384" s="21">
        <v>1</v>
      </c>
      <c r="F3384" s="22">
        <v>46202.6769097222</v>
      </c>
      <c r="G3384" s="22"/>
      <c r="H3384" s="23">
        <v>939</v>
      </c>
      <c r="I3384" s="23">
        <v>939</v>
      </c>
      <c r="J3384" s="24">
        <v>939</v>
      </c>
      <c r="K3384" s="21">
        <v>0</v>
      </c>
      <c r="L3384" s="21">
        <v>0</v>
      </c>
      <c r="M3384" s="21">
        <f>COUNTIF($A$2:$A$5481,A3384)</f>
        <v>1</v>
      </c>
      <c r="N3384" s="24">
        <f t="shared" si="52"/>
        <v>939.0003384</v>
      </c>
    </row>
    <row r="3385" spans="1:14">
      <c r="A3385" s="21" t="s">
        <v>3355</v>
      </c>
      <c r="B3385" s="21" t="s">
        <v>920</v>
      </c>
      <c r="C3385" s="21" t="s">
        <v>26</v>
      </c>
      <c r="D3385" s="21" t="s">
        <v>921</v>
      </c>
      <c r="E3385" s="21">
        <v>0</v>
      </c>
      <c r="F3385" s="22">
        <v>45950.5730671296</v>
      </c>
      <c r="G3385" s="22">
        <v>45951.436712963</v>
      </c>
      <c r="H3385" s="23">
        <v>939</v>
      </c>
      <c r="I3385" s="23">
        <v>939</v>
      </c>
      <c r="J3385" s="24">
        <v>0</v>
      </c>
      <c r="K3385" s="21">
        <v>0</v>
      </c>
      <c r="L3385" s="21">
        <v>0</v>
      </c>
      <c r="M3385" s="21">
        <f>COUNTIF($A$2:$A$5481,A3385)</f>
        <v>1</v>
      </c>
      <c r="N3385" s="24">
        <f t="shared" si="52"/>
        <v>0.0003385</v>
      </c>
    </row>
    <row r="3386" spans="1:14">
      <c r="A3386" s="21" t="s">
        <v>189</v>
      </c>
      <c r="B3386" s="21" t="s">
        <v>920</v>
      </c>
      <c r="C3386" s="21" t="s">
        <v>26</v>
      </c>
      <c r="D3386" s="21" t="s">
        <v>921</v>
      </c>
      <c r="E3386" s="21">
        <v>0</v>
      </c>
      <c r="F3386" s="22">
        <v>46038.5921064815</v>
      </c>
      <c r="G3386" s="22">
        <v>46044.4319212963</v>
      </c>
      <c r="H3386" s="23">
        <v>1335</v>
      </c>
      <c r="I3386" s="23">
        <v>1335</v>
      </c>
      <c r="J3386" s="24">
        <v>0</v>
      </c>
      <c r="K3386" s="21">
        <v>0</v>
      </c>
      <c r="L3386" s="21">
        <v>0</v>
      </c>
      <c r="M3386" s="21">
        <f>COUNTIF($A$2:$A$5481,A3386)</f>
        <v>1</v>
      </c>
      <c r="N3386" s="24">
        <f t="shared" si="52"/>
        <v>0.0003386</v>
      </c>
    </row>
    <row r="3387" spans="1:14">
      <c r="A3387" s="21" t="s">
        <v>3356</v>
      </c>
      <c r="B3387" s="21" t="s">
        <v>26</v>
      </c>
      <c r="C3387" s="21" t="s">
        <v>35</v>
      </c>
      <c r="D3387" s="21" t="s">
        <v>921</v>
      </c>
      <c r="E3387" s="21">
        <v>1</v>
      </c>
      <c r="F3387" s="22">
        <v>45649.3698726852</v>
      </c>
      <c r="G3387" s="22"/>
      <c r="H3387" s="23">
        <v>4380</v>
      </c>
      <c r="I3387" s="23">
        <v>4380</v>
      </c>
      <c r="J3387" s="24">
        <v>4380</v>
      </c>
      <c r="K3387" s="21">
        <v>0</v>
      </c>
      <c r="L3387" s="21">
        <v>0</v>
      </c>
      <c r="M3387" s="21">
        <f>COUNTIF($A$2:$A$5481,A3387)</f>
        <v>1</v>
      </c>
      <c r="N3387" s="24">
        <f t="shared" si="52"/>
        <v>4380.0003387</v>
      </c>
    </row>
    <row r="3388" spans="1:14">
      <c r="A3388" s="21" t="s">
        <v>3357</v>
      </c>
      <c r="B3388" s="21" t="s">
        <v>26</v>
      </c>
      <c r="C3388" s="21" t="s">
        <v>35</v>
      </c>
      <c r="D3388" s="21" t="s">
        <v>921</v>
      </c>
      <c r="E3388" s="21">
        <v>1</v>
      </c>
      <c r="F3388" s="22">
        <v>45608.3634259259</v>
      </c>
      <c r="G3388" s="22"/>
      <c r="H3388" s="23">
        <v>210</v>
      </c>
      <c r="I3388" s="23">
        <v>210</v>
      </c>
      <c r="J3388" s="24">
        <v>210</v>
      </c>
      <c r="K3388" s="21">
        <v>0</v>
      </c>
      <c r="L3388" s="21">
        <v>0</v>
      </c>
      <c r="M3388" s="21">
        <f>COUNTIF($A$2:$A$5481,A3388)</f>
        <v>1</v>
      </c>
      <c r="N3388" s="24">
        <f t="shared" si="52"/>
        <v>210.0003388</v>
      </c>
    </row>
    <row r="3389" spans="1:14">
      <c r="A3389" s="21" t="s">
        <v>3358</v>
      </c>
      <c r="B3389" s="21" t="s">
        <v>920</v>
      </c>
      <c r="C3389" s="21" t="s">
        <v>35</v>
      </c>
      <c r="D3389" s="21" t="s">
        <v>921</v>
      </c>
      <c r="E3389" s="21">
        <v>1</v>
      </c>
      <c r="F3389" s="22">
        <v>45483.4218981482</v>
      </c>
      <c r="G3389" s="22"/>
      <c r="H3389" s="23">
        <v>99.99</v>
      </c>
      <c r="I3389" s="23">
        <v>99.99</v>
      </c>
      <c r="J3389" s="24">
        <v>99.99</v>
      </c>
      <c r="K3389" s="21">
        <v>0</v>
      </c>
      <c r="L3389" s="21">
        <v>0</v>
      </c>
      <c r="M3389" s="21">
        <f>COUNTIF($A$2:$A$5481,A3389)</f>
        <v>1</v>
      </c>
      <c r="N3389" s="24">
        <f t="shared" si="52"/>
        <v>99.9903389</v>
      </c>
    </row>
    <row r="3390" spans="1:14">
      <c r="A3390" s="21" t="s">
        <v>3359</v>
      </c>
      <c r="B3390" s="21" t="s">
        <v>26</v>
      </c>
      <c r="C3390" s="21" t="s">
        <v>35</v>
      </c>
      <c r="D3390" s="21" t="s">
        <v>921</v>
      </c>
      <c r="E3390" s="21">
        <v>1</v>
      </c>
      <c r="F3390" s="22">
        <v>45483.3805671296</v>
      </c>
      <c r="G3390" s="22"/>
      <c r="H3390" s="23">
        <v>61.51</v>
      </c>
      <c r="I3390" s="23">
        <v>61.51</v>
      </c>
      <c r="J3390" s="24">
        <v>61.51</v>
      </c>
      <c r="K3390" s="21">
        <v>0</v>
      </c>
      <c r="L3390" s="21">
        <v>0</v>
      </c>
      <c r="M3390" s="21">
        <f>COUNTIF($A$2:$A$5481,A3390)</f>
        <v>2</v>
      </c>
      <c r="N3390" s="24">
        <f t="shared" si="52"/>
        <v>61.510339</v>
      </c>
    </row>
    <row r="3391" spans="1:14">
      <c r="A3391" s="21" t="s">
        <v>3359</v>
      </c>
      <c r="B3391" s="21" t="s">
        <v>26</v>
      </c>
      <c r="C3391" s="21" t="s">
        <v>26</v>
      </c>
      <c r="D3391" s="21" t="s">
        <v>921</v>
      </c>
      <c r="E3391" s="21">
        <v>1</v>
      </c>
      <c r="F3391" s="22">
        <v>45484.4238310185</v>
      </c>
      <c r="G3391" s="22"/>
      <c r="H3391" s="23">
        <v>61.51</v>
      </c>
      <c r="I3391" s="23">
        <v>61.51</v>
      </c>
      <c r="J3391" s="24">
        <v>61.51</v>
      </c>
      <c r="K3391" s="21">
        <v>0</v>
      </c>
      <c r="L3391" s="21">
        <v>0</v>
      </c>
      <c r="M3391" s="21">
        <f>COUNTIF($A$2:$A$5481,A3391)</f>
        <v>2</v>
      </c>
      <c r="N3391" s="24">
        <f t="shared" si="52"/>
        <v>61.5103391</v>
      </c>
    </row>
    <row r="3392" spans="1:14">
      <c r="A3392" s="21" t="s">
        <v>3360</v>
      </c>
      <c r="B3392" s="21" t="s">
        <v>920</v>
      </c>
      <c r="C3392" s="21" t="s">
        <v>26</v>
      </c>
      <c r="D3392" s="21" t="s">
        <v>921</v>
      </c>
      <c r="E3392" s="21">
        <v>2</v>
      </c>
      <c r="F3392" s="22">
        <v>45971.5852199074</v>
      </c>
      <c r="G3392" s="22">
        <v>45974.6631134259</v>
      </c>
      <c r="H3392" s="23">
        <v>24</v>
      </c>
      <c r="I3392" s="23">
        <v>11.42</v>
      </c>
      <c r="J3392" s="24">
        <v>22.84</v>
      </c>
      <c r="K3392" s="21">
        <v>0</v>
      </c>
      <c r="L3392" s="21">
        <v>0</v>
      </c>
      <c r="M3392" s="21">
        <f>COUNTIF($A$2:$A$5481,A3392)</f>
        <v>1</v>
      </c>
      <c r="N3392" s="24">
        <f t="shared" si="52"/>
        <v>22.8403392</v>
      </c>
    </row>
    <row r="3393" spans="1:14">
      <c r="A3393" s="21" t="s">
        <v>3361</v>
      </c>
      <c r="B3393" s="21" t="s">
        <v>920</v>
      </c>
      <c r="C3393" s="21" t="s">
        <v>26</v>
      </c>
      <c r="D3393" s="21" t="s">
        <v>921</v>
      </c>
      <c r="E3393" s="21">
        <v>2</v>
      </c>
      <c r="F3393" s="22">
        <v>45971.5852199074</v>
      </c>
      <c r="G3393" s="22">
        <v>45974.6631018519</v>
      </c>
      <c r="H3393" s="23">
        <v>24</v>
      </c>
      <c r="I3393" s="23">
        <v>11.4166666667</v>
      </c>
      <c r="J3393" s="24">
        <v>22.84</v>
      </c>
      <c r="K3393" s="21">
        <v>0</v>
      </c>
      <c r="L3393" s="21">
        <v>0</v>
      </c>
      <c r="M3393" s="21">
        <f>COUNTIF($A$2:$A$5481,A3393)</f>
        <v>1</v>
      </c>
      <c r="N3393" s="24">
        <f t="shared" si="52"/>
        <v>22.8403393</v>
      </c>
    </row>
    <row r="3394" spans="1:14">
      <c r="A3394" s="21" t="s">
        <v>3362</v>
      </c>
      <c r="B3394" s="21" t="s">
        <v>920</v>
      </c>
      <c r="C3394" s="21" t="s">
        <v>26</v>
      </c>
      <c r="D3394" s="21" t="s">
        <v>921</v>
      </c>
      <c r="E3394" s="21">
        <v>6</v>
      </c>
      <c r="F3394" s="22">
        <v>45979.6843518519</v>
      </c>
      <c r="G3394" s="22">
        <v>45974.6630902778</v>
      </c>
      <c r="H3394" s="23">
        <v>48</v>
      </c>
      <c r="I3394" s="23">
        <v>11.5844444445</v>
      </c>
      <c r="J3394" s="24">
        <v>69.48</v>
      </c>
      <c r="K3394" s="21">
        <v>0</v>
      </c>
      <c r="L3394" s="21">
        <v>0</v>
      </c>
      <c r="M3394" s="21">
        <f>COUNTIF($A$2:$A$5481,A3394)</f>
        <v>1</v>
      </c>
      <c r="N3394" s="24">
        <f t="shared" ref="N3394:N3457" si="53">J3394+ROW()/10000000</f>
        <v>69.4803394</v>
      </c>
    </row>
    <row r="3395" spans="1:14">
      <c r="A3395" s="21" t="s">
        <v>3363</v>
      </c>
      <c r="B3395" s="21" t="s">
        <v>920</v>
      </c>
      <c r="C3395" s="21" t="s">
        <v>35</v>
      </c>
      <c r="D3395" s="21" t="s">
        <v>921</v>
      </c>
      <c r="E3395" s="21">
        <v>1</v>
      </c>
      <c r="F3395" s="22">
        <v>45273.4944212963</v>
      </c>
      <c r="G3395" s="22"/>
      <c r="H3395" s="23">
        <v>111.69</v>
      </c>
      <c r="I3395" s="23">
        <v>111.69</v>
      </c>
      <c r="J3395" s="24">
        <v>111.69</v>
      </c>
      <c r="K3395" s="21">
        <v>0</v>
      </c>
      <c r="L3395" s="21">
        <v>0</v>
      </c>
      <c r="M3395" s="21">
        <f>COUNTIF($A$2:$A$5481,A3395)</f>
        <v>1</v>
      </c>
      <c r="N3395" s="24">
        <f t="shared" si="53"/>
        <v>111.6903395</v>
      </c>
    </row>
    <row r="3396" spans="1:14">
      <c r="A3396" s="21" t="s">
        <v>3364</v>
      </c>
      <c r="B3396" s="21" t="s">
        <v>920</v>
      </c>
      <c r="C3396" s="21" t="s">
        <v>26</v>
      </c>
      <c r="D3396" s="21" t="s">
        <v>921</v>
      </c>
      <c r="E3396" s="21">
        <v>1</v>
      </c>
      <c r="F3396" s="22">
        <v>45943.4064930556</v>
      </c>
      <c r="G3396" s="22"/>
      <c r="H3396" s="23">
        <v>73.1</v>
      </c>
      <c r="I3396" s="23">
        <v>73.1</v>
      </c>
      <c r="J3396" s="24">
        <v>73.1</v>
      </c>
      <c r="K3396" s="21">
        <v>0</v>
      </c>
      <c r="L3396" s="21">
        <v>0</v>
      </c>
      <c r="M3396" s="21">
        <f>COUNTIF($A$2:$A$5481,A3396)</f>
        <v>1</v>
      </c>
      <c r="N3396" s="24">
        <f t="shared" si="53"/>
        <v>73.1003396</v>
      </c>
    </row>
    <row r="3397" spans="1:14">
      <c r="A3397" s="21" t="s">
        <v>3365</v>
      </c>
      <c r="B3397" s="21" t="s">
        <v>920</v>
      </c>
      <c r="C3397" s="21" t="s">
        <v>26</v>
      </c>
      <c r="D3397" s="21" t="s">
        <v>921</v>
      </c>
      <c r="E3397" s="21">
        <v>3</v>
      </c>
      <c r="F3397" s="22">
        <v>45943.7015740741</v>
      </c>
      <c r="G3397" s="22"/>
      <c r="H3397" s="23">
        <v>73.1</v>
      </c>
      <c r="I3397" s="23">
        <v>62.2866666667</v>
      </c>
      <c r="J3397" s="24">
        <v>186.87</v>
      </c>
      <c r="K3397" s="21">
        <v>0</v>
      </c>
      <c r="L3397" s="21">
        <v>0</v>
      </c>
      <c r="M3397" s="21">
        <f>COUNTIF($A$2:$A$5481,A3397)</f>
        <v>1</v>
      </c>
      <c r="N3397" s="24">
        <f t="shared" si="53"/>
        <v>186.8703397</v>
      </c>
    </row>
    <row r="3398" spans="1:14">
      <c r="A3398" s="21" t="s">
        <v>3366</v>
      </c>
      <c r="B3398" s="21" t="s">
        <v>920</v>
      </c>
      <c r="C3398" s="21" t="s">
        <v>26</v>
      </c>
      <c r="D3398" s="21" t="s">
        <v>921</v>
      </c>
      <c r="E3398" s="21">
        <v>2</v>
      </c>
      <c r="F3398" s="22">
        <v>45979.6843518519</v>
      </c>
      <c r="G3398" s="22"/>
      <c r="H3398" s="23">
        <v>24</v>
      </c>
      <c r="I3398" s="23">
        <v>12</v>
      </c>
      <c r="J3398" s="24">
        <v>24</v>
      </c>
      <c r="K3398" s="21">
        <v>0</v>
      </c>
      <c r="L3398" s="21">
        <v>0</v>
      </c>
      <c r="M3398" s="21">
        <f>COUNTIF($A$2:$A$5481,A3398)</f>
        <v>1</v>
      </c>
      <c r="N3398" s="24">
        <f t="shared" si="53"/>
        <v>24.0003398</v>
      </c>
    </row>
    <row r="3399" spans="1:14">
      <c r="A3399" s="21" t="s">
        <v>3367</v>
      </c>
      <c r="B3399" s="21" t="s">
        <v>920</v>
      </c>
      <c r="C3399" s="21" t="s">
        <v>26</v>
      </c>
      <c r="D3399" s="21" t="s">
        <v>921</v>
      </c>
      <c r="E3399" s="21">
        <v>2</v>
      </c>
      <c r="F3399" s="22">
        <v>45979.6843518519</v>
      </c>
      <c r="G3399" s="22"/>
      <c r="H3399" s="23">
        <v>24</v>
      </c>
      <c r="I3399" s="23">
        <v>12</v>
      </c>
      <c r="J3399" s="24">
        <v>24</v>
      </c>
      <c r="K3399" s="21">
        <v>0</v>
      </c>
      <c r="L3399" s="21">
        <v>0</v>
      </c>
      <c r="M3399" s="21">
        <f>COUNTIF($A$2:$A$5481,A3399)</f>
        <v>1</v>
      </c>
      <c r="N3399" s="24">
        <f t="shared" si="53"/>
        <v>24.0003399</v>
      </c>
    </row>
    <row r="3400" spans="1:14">
      <c r="A3400" s="21" t="s">
        <v>3368</v>
      </c>
      <c r="B3400" s="21" t="s">
        <v>26</v>
      </c>
      <c r="C3400" s="21" t="s">
        <v>35</v>
      </c>
      <c r="D3400" s="21" t="s">
        <v>921</v>
      </c>
      <c r="E3400" s="21">
        <v>1</v>
      </c>
      <c r="F3400" s="22">
        <v>45489.3864236111</v>
      </c>
      <c r="G3400" s="22"/>
      <c r="H3400" s="23">
        <v>83.9</v>
      </c>
      <c r="I3400" s="23">
        <v>83.9</v>
      </c>
      <c r="J3400" s="24">
        <v>83.9</v>
      </c>
      <c r="K3400" s="21">
        <v>0</v>
      </c>
      <c r="L3400" s="21">
        <v>0</v>
      </c>
      <c r="M3400" s="21">
        <f>COUNTIF($A$2:$A$5481,A3400)</f>
        <v>1</v>
      </c>
      <c r="N3400" s="24">
        <f t="shared" si="53"/>
        <v>83.90034</v>
      </c>
    </row>
    <row r="3401" spans="1:14">
      <c r="A3401" s="21" t="s">
        <v>3369</v>
      </c>
      <c r="B3401" s="21" t="s">
        <v>920</v>
      </c>
      <c r="C3401" s="21" t="s">
        <v>26</v>
      </c>
      <c r="D3401" s="21" t="s">
        <v>921</v>
      </c>
      <c r="E3401" s="21">
        <v>1</v>
      </c>
      <c r="F3401" s="22">
        <v>45981.4322685185</v>
      </c>
      <c r="G3401" s="22"/>
      <c r="H3401" s="23">
        <v>62.08</v>
      </c>
      <c r="I3401" s="23">
        <v>62.08</v>
      </c>
      <c r="J3401" s="24">
        <v>62.08</v>
      </c>
      <c r="K3401" s="21">
        <v>0</v>
      </c>
      <c r="L3401" s="21">
        <v>0</v>
      </c>
      <c r="M3401" s="21">
        <f>COUNTIF($A$2:$A$5481,A3401)</f>
        <v>1</v>
      </c>
      <c r="N3401" s="24">
        <f t="shared" si="53"/>
        <v>62.0803401</v>
      </c>
    </row>
    <row r="3402" spans="1:14">
      <c r="A3402" s="21" t="s">
        <v>3370</v>
      </c>
      <c r="B3402" s="21" t="s">
        <v>920</v>
      </c>
      <c r="C3402" s="21" t="s">
        <v>26</v>
      </c>
      <c r="D3402" s="21" t="s">
        <v>921</v>
      </c>
      <c r="E3402" s="21">
        <v>28</v>
      </c>
      <c r="F3402" s="22">
        <v>45449.8110185185</v>
      </c>
      <c r="G3402" s="22"/>
      <c r="H3402" s="23">
        <v>122.08</v>
      </c>
      <c r="I3402" s="23">
        <v>4.36</v>
      </c>
      <c r="J3402" s="24">
        <v>122.08</v>
      </c>
      <c r="K3402" s="21">
        <v>0</v>
      </c>
      <c r="L3402" s="21">
        <v>0</v>
      </c>
      <c r="M3402" s="21">
        <f>COUNTIF($A$2:$A$5481,A3402)</f>
        <v>1</v>
      </c>
      <c r="N3402" s="24">
        <f t="shared" si="53"/>
        <v>122.0803402</v>
      </c>
    </row>
    <row r="3403" spans="1:14">
      <c r="A3403" s="21" t="s">
        <v>3371</v>
      </c>
      <c r="B3403" s="21" t="s">
        <v>920</v>
      </c>
      <c r="C3403" s="21" t="s">
        <v>26</v>
      </c>
      <c r="D3403" s="21" t="s">
        <v>921</v>
      </c>
      <c r="E3403" s="21">
        <v>38</v>
      </c>
      <c r="F3403" s="22">
        <v>46248.5841666667</v>
      </c>
      <c r="G3403" s="22"/>
      <c r="H3403" s="23">
        <v>201.4</v>
      </c>
      <c r="I3403" s="23">
        <v>5.3</v>
      </c>
      <c r="J3403" s="24">
        <v>201.4</v>
      </c>
      <c r="K3403" s="21">
        <v>0</v>
      </c>
      <c r="L3403" s="21">
        <v>0</v>
      </c>
      <c r="M3403" s="21">
        <f>COUNTIF($A$2:$A$5481,A3403)</f>
        <v>1</v>
      </c>
      <c r="N3403" s="24">
        <f t="shared" si="53"/>
        <v>201.4003403</v>
      </c>
    </row>
    <row r="3404" spans="1:14">
      <c r="A3404" s="21" t="s">
        <v>3372</v>
      </c>
      <c r="B3404" s="21" t="s">
        <v>26</v>
      </c>
      <c r="C3404" s="21" t="s">
        <v>26</v>
      </c>
      <c r="D3404" s="21" t="s">
        <v>921</v>
      </c>
      <c r="E3404" s="21">
        <v>38</v>
      </c>
      <c r="F3404" s="22">
        <v>45660.3954976852</v>
      </c>
      <c r="G3404" s="22"/>
      <c r="H3404" s="23">
        <v>212.42</v>
      </c>
      <c r="I3404" s="23">
        <v>5.59</v>
      </c>
      <c r="J3404" s="24">
        <v>212.42</v>
      </c>
      <c r="K3404" s="21">
        <v>0</v>
      </c>
      <c r="L3404" s="21">
        <v>0</v>
      </c>
      <c r="M3404" s="21">
        <f>COUNTIF($A$2:$A$5481,A3404)</f>
        <v>1</v>
      </c>
      <c r="N3404" s="24">
        <f t="shared" si="53"/>
        <v>212.4203404</v>
      </c>
    </row>
    <row r="3405" spans="1:14">
      <c r="A3405" s="21" t="s">
        <v>3373</v>
      </c>
      <c r="B3405" s="21" t="s">
        <v>926</v>
      </c>
      <c r="C3405" s="21" t="s">
        <v>26</v>
      </c>
      <c r="D3405" s="21" t="s">
        <v>921</v>
      </c>
      <c r="E3405" s="21">
        <v>2</v>
      </c>
      <c r="F3405" s="22">
        <v>46185.6097222222</v>
      </c>
      <c r="G3405" s="22"/>
      <c r="H3405" s="23">
        <v>401</v>
      </c>
      <c r="I3405" s="23">
        <v>200.5</v>
      </c>
      <c r="J3405" s="24">
        <v>401</v>
      </c>
      <c r="K3405" s="21">
        <v>0</v>
      </c>
      <c r="L3405" s="21">
        <v>0</v>
      </c>
      <c r="M3405" s="21">
        <f>COUNTIF($A$2:$A$5481,A3405)</f>
        <v>1</v>
      </c>
      <c r="N3405" s="24">
        <f t="shared" si="53"/>
        <v>401.0003405</v>
      </c>
    </row>
    <row r="3406" spans="1:14">
      <c r="A3406" s="21" t="s">
        <v>66</v>
      </c>
      <c r="B3406" s="21" t="s">
        <v>920</v>
      </c>
      <c r="C3406" s="21" t="s">
        <v>26</v>
      </c>
      <c r="D3406" s="21" t="s">
        <v>921</v>
      </c>
      <c r="E3406" s="21">
        <v>0</v>
      </c>
      <c r="F3406" s="22">
        <v>46283.6702314815</v>
      </c>
      <c r="G3406" s="22">
        <v>46283.6709027778</v>
      </c>
      <c r="H3406" s="23">
        <v>360</v>
      </c>
      <c r="I3406" s="23">
        <v>360</v>
      </c>
      <c r="J3406" s="24">
        <v>0</v>
      </c>
      <c r="K3406" s="21">
        <v>0</v>
      </c>
      <c r="L3406" s="21">
        <v>0</v>
      </c>
      <c r="M3406" s="21">
        <f>COUNTIF($A$2:$A$5481,A3406)</f>
        <v>1</v>
      </c>
      <c r="N3406" s="24">
        <f t="shared" si="53"/>
        <v>0.0003406</v>
      </c>
    </row>
    <row r="3407" spans="1:14">
      <c r="A3407" s="21" t="s">
        <v>335</v>
      </c>
      <c r="B3407" s="21" t="s">
        <v>920</v>
      </c>
      <c r="C3407" s="21" t="s">
        <v>26</v>
      </c>
      <c r="D3407" s="21" t="s">
        <v>921</v>
      </c>
      <c r="E3407" s="21">
        <v>0</v>
      </c>
      <c r="F3407" s="22">
        <v>46120.5759722222</v>
      </c>
      <c r="G3407" s="22">
        <v>46120.5768287037</v>
      </c>
      <c r="H3407" s="23">
        <v>360</v>
      </c>
      <c r="I3407" s="23">
        <v>360</v>
      </c>
      <c r="J3407" s="24">
        <v>0</v>
      </c>
      <c r="K3407" s="21">
        <v>0</v>
      </c>
      <c r="L3407" s="21">
        <v>0</v>
      </c>
      <c r="M3407" s="21">
        <f>COUNTIF($A$2:$A$5481,A3407)</f>
        <v>1</v>
      </c>
      <c r="N3407" s="24">
        <f t="shared" si="53"/>
        <v>0.0003407</v>
      </c>
    </row>
    <row r="3408" spans="1:14">
      <c r="A3408" s="21" t="s">
        <v>407</v>
      </c>
      <c r="B3408" s="21" t="s">
        <v>920</v>
      </c>
      <c r="C3408" s="21" t="s">
        <v>26</v>
      </c>
      <c r="D3408" s="21" t="s">
        <v>921</v>
      </c>
      <c r="E3408" s="21">
        <v>1</v>
      </c>
      <c r="F3408" s="22">
        <v>46031.6888194445</v>
      </c>
      <c r="G3408" s="22">
        <v>46190.8064351852</v>
      </c>
      <c r="H3408" s="23">
        <v>395</v>
      </c>
      <c r="I3408" s="23">
        <v>197.5</v>
      </c>
      <c r="J3408" s="24">
        <v>197.5</v>
      </c>
      <c r="K3408" s="21">
        <v>0</v>
      </c>
      <c r="L3408" s="21">
        <v>0</v>
      </c>
      <c r="M3408" s="21">
        <f>COUNTIF($A$2:$A$5481,A3408)</f>
        <v>1</v>
      </c>
      <c r="N3408" s="24">
        <f t="shared" si="53"/>
        <v>197.5003408</v>
      </c>
    </row>
    <row r="3409" spans="1:14">
      <c r="A3409" s="21" t="s">
        <v>3374</v>
      </c>
      <c r="B3409" s="21" t="s">
        <v>920</v>
      </c>
      <c r="C3409" s="21" t="s">
        <v>26</v>
      </c>
      <c r="D3409" s="21" t="s">
        <v>921</v>
      </c>
      <c r="E3409" s="21">
        <v>2</v>
      </c>
      <c r="F3409" s="22">
        <v>46031.6888194445</v>
      </c>
      <c r="G3409" s="22"/>
      <c r="H3409" s="23">
        <v>395</v>
      </c>
      <c r="I3409" s="23">
        <v>197.5</v>
      </c>
      <c r="J3409" s="24">
        <v>395</v>
      </c>
      <c r="K3409" s="21">
        <v>0</v>
      </c>
      <c r="L3409" s="21">
        <v>0</v>
      </c>
      <c r="M3409" s="21">
        <f>COUNTIF($A$2:$A$5481,A3409)</f>
        <v>1</v>
      </c>
      <c r="N3409" s="24">
        <f t="shared" si="53"/>
        <v>395.0003409</v>
      </c>
    </row>
    <row r="3410" spans="1:14">
      <c r="A3410" s="21" t="s">
        <v>3375</v>
      </c>
      <c r="B3410" s="21" t="s">
        <v>920</v>
      </c>
      <c r="C3410" s="21" t="s">
        <v>26</v>
      </c>
      <c r="D3410" s="21" t="s">
        <v>921</v>
      </c>
      <c r="E3410" s="21">
        <v>4</v>
      </c>
      <c r="F3410" s="22">
        <v>45405.6769560185</v>
      </c>
      <c r="G3410" s="22"/>
      <c r="H3410" s="23">
        <v>44.68</v>
      </c>
      <c r="I3410" s="23">
        <v>11.17</v>
      </c>
      <c r="J3410" s="24">
        <v>44.68</v>
      </c>
      <c r="K3410" s="21">
        <v>0</v>
      </c>
      <c r="L3410" s="21">
        <v>0</v>
      </c>
      <c r="M3410" s="21">
        <f>COUNTIF($A$2:$A$5481,A3410)</f>
        <v>1</v>
      </c>
      <c r="N3410" s="24">
        <f t="shared" si="53"/>
        <v>44.680341</v>
      </c>
    </row>
    <row r="3411" spans="1:14">
      <c r="A3411" s="21" t="s">
        <v>3376</v>
      </c>
      <c r="B3411" s="21" t="s">
        <v>26</v>
      </c>
      <c r="C3411" s="21" t="s">
        <v>35</v>
      </c>
      <c r="D3411" s="21" t="s">
        <v>921</v>
      </c>
      <c r="E3411" s="21">
        <v>1</v>
      </c>
      <c r="F3411" s="22">
        <v>45608.4856944445</v>
      </c>
      <c r="G3411" s="22"/>
      <c r="H3411" s="23">
        <v>237.49</v>
      </c>
      <c r="I3411" s="23">
        <v>237.49</v>
      </c>
      <c r="J3411" s="24">
        <v>237.49</v>
      </c>
      <c r="K3411" s="21">
        <v>0</v>
      </c>
      <c r="L3411" s="21">
        <v>0</v>
      </c>
      <c r="M3411" s="21">
        <f>COUNTIF($A$2:$A$5481,A3411)</f>
        <v>1</v>
      </c>
      <c r="N3411" s="24">
        <f t="shared" si="53"/>
        <v>237.4903411</v>
      </c>
    </row>
    <row r="3412" spans="1:14">
      <c r="A3412" s="21" t="s">
        <v>3377</v>
      </c>
      <c r="B3412" s="21" t="s">
        <v>929</v>
      </c>
      <c r="C3412" s="21" t="s">
        <v>414</v>
      </c>
      <c r="D3412" s="21" t="s">
        <v>921</v>
      </c>
      <c r="E3412" s="21">
        <v>3</v>
      </c>
      <c r="F3412" s="22">
        <v>45590.4343055556</v>
      </c>
      <c r="G3412" s="22"/>
      <c r="H3412" s="23">
        <v>297</v>
      </c>
      <c r="I3412" s="23">
        <v>99</v>
      </c>
      <c r="J3412" s="24">
        <v>297</v>
      </c>
      <c r="K3412" s="21">
        <v>0</v>
      </c>
      <c r="L3412" s="21">
        <v>0</v>
      </c>
      <c r="M3412" s="21">
        <f>COUNTIF($A$2:$A$5481,A3412)</f>
        <v>1</v>
      </c>
      <c r="N3412" s="24">
        <f t="shared" si="53"/>
        <v>297.0003412</v>
      </c>
    </row>
    <row r="3413" spans="1:14">
      <c r="A3413" s="21" t="s">
        <v>3378</v>
      </c>
      <c r="B3413" s="21" t="s">
        <v>26</v>
      </c>
      <c r="C3413" s="21" t="s">
        <v>26</v>
      </c>
      <c r="D3413" s="21" t="s">
        <v>921</v>
      </c>
      <c r="E3413" s="21">
        <v>10</v>
      </c>
      <c r="F3413" s="22">
        <v>45699.84375</v>
      </c>
      <c r="G3413" s="22"/>
      <c r="H3413" s="23">
        <v>114.9</v>
      </c>
      <c r="I3413" s="23">
        <v>11.49</v>
      </c>
      <c r="J3413" s="24">
        <v>114.9</v>
      </c>
      <c r="K3413" s="21">
        <v>0</v>
      </c>
      <c r="L3413" s="21">
        <v>0</v>
      </c>
      <c r="M3413" s="21">
        <f>COUNTIF($A$2:$A$5481,A3413)</f>
        <v>1</v>
      </c>
      <c r="N3413" s="24">
        <f t="shared" si="53"/>
        <v>114.9003413</v>
      </c>
    </row>
    <row r="3414" spans="1:14">
      <c r="A3414" s="21" t="s">
        <v>3379</v>
      </c>
      <c r="B3414" s="21" t="s">
        <v>920</v>
      </c>
      <c r="C3414" s="21" t="s">
        <v>26</v>
      </c>
      <c r="D3414" s="21" t="s">
        <v>931</v>
      </c>
      <c r="E3414" s="21">
        <v>8</v>
      </c>
      <c r="F3414" s="22">
        <v>45818.6007175926</v>
      </c>
      <c r="G3414" s="22"/>
      <c r="H3414" s="23">
        <v>48</v>
      </c>
      <c r="I3414" s="23">
        <v>6</v>
      </c>
      <c r="J3414" s="24">
        <v>48</v>
      </c>
      <c r="K3414" s="21">
        <v>0</v>
      </c>
      <c r="L3414" s="21">
        <v>0</v>
      </c>
      <c r="M3414" s="21">
        <f>COUNTIF($A$2:$A$5481,A3414)</f>
        <v>1</v>
      </c>
      <c r="N3414" s="24">
        <f t="shared" si="53"/>
        <v>48.0003414</v>
      </c>
    </row>
    <row r="3415" spans="1:14">
      <c r="A3415" s="21" t="s">
        <v>3380</v>
      </c>
      <c r="B3415" s="21" t="s">
        <v>26</v>
      </c>
      <c r="C3415" s="21" t="s">
        <v>26</v>
      </c>
      <c r="D3415" s="21" t="s">
        <v>921</v>
      </c>
      <c r="E3415" s="21">
        <v>14</v>
      </c>
      <c r="F3415" s="22">
        <v>45740.6315509259</v>
      </c>
      <c r="G3415" s="22">
        <v>45856.418912037</v>
      </c>
      <c r="H3415" s="23">
        <v>127.2</v>
      </c>
      <c r="I3415" s="23">
        <v>25.44</v>
      </c>
      <c r="J3415" s="24">
        <v>356.16</v>
      </c>
      <c r="K3415" s="21">
        <v>0</v>
      </c>
      <c r="L3415" s="21">
        <v>0</v>
      </c>
      <c r="M3415" s="21">
        <f>COUNTIF($A$2:$A$5481,A3415)</f>
        <v>1</v>
      </c>
      <c r="N3415" s="24">
        <f t="shared" si="53"/>
        <v>356.1603415</v>
      </c>
    </row>
    <row r="3416" spans="1:14">
      <c r="A3416" s="21" t="s">
        <v>3381</v>
      </c>
      <c r="B3416" s="21" t="s">
        <v>920</v>
      </c>
      <c r="C3416" s="21" t="s">
        <v>26</v>
      </c>
      <c r="D3416" s="21" t="s">
        <v>931</v>
      </c>
      <c r="E3416" s="21">
        <v>22</v>
      </c>
      <c r="F3416" s="22">
        <v>46239.7029976852</v>
      </c>
      <c r="G3416" s="22"/>
      <c r="H3416" s="23">
        <v>80</v>
      </c>
      <c r="I3416" s="23">
        <v>6.9090909091</v>
      </c>
      <c r="J3416" s="24">
        <v>152.02</v>
      </c>
      <c r="K3416" s="21">
        <v>0</v>
      </c>
      <c r="L3416" s="21">
        <v>0</v>
      </c>
      <c r="M3416" s="21">
        <f>COUNTIF($A$2:$A$5481,A3416)</f>
        <v>1</v>
      </c>
      <c r="N3416" s="24">
        <f t="shared" si="53"/>
        <v>152.0203416</v>
      </c>
    </row>
    <row r="3417" spans="1:14">
      <c r="A3417" s="21" t="s">
        <v>3382</v>
      </c>
      <c r="B3417" s="21" t="s">
        <v>929</v>
      </c>
      <c r="C3417" s="21" t="s">
        <v>182</v>
      </c>
      <c r="D3417" s="21" t="s">
        <v>1539</v>
      </c>
      <c r="E3417" s="21">
        <v>5</v>
      </c>
      <c r="F3417" s="22">
        <v>45310.7049189815</v>
      </c>
      <c r="G3417" s="22"/>
      <c r="H3417" s="23">
        <v>127.2</v>
      </c>
      <c r="I3417" s="23">
        <v>25.44</v>
      </c>
      <c r="J3417" s="24">
        <v>127.2</v>
      </c>
      <c r="K3417" s="21">
        <v>0</v>
      </c>
      <c r="L3417" s="21">
        <v>0</v>
      </c>
      <c r="M3417" s="21">
        <f>COUNTIF($A$2:$A$5481,A3417)</f>
        <v>2</v>
      </c>
      <c r="N3417" s="24">
        <f t="shared" si="53"/>
        <v>127.2003417</v>
      </c>
    </row>
    <row r="3418" spans="1:14">
      <c r="A3418" s="21" t="s">
        <v>3382</v>
      </c>
      <c r="B3418" s="21" t="s">
        <v>929</v>
      </c>
      <c r="C3418" s="21" t="s">
        <v>26</v>
      </c>
      <c r="D3418" s="21" t="s">
        <v>1539</v>
      </c>
      <c r="E3418" s="21">
        <v>40</v>
      </c>
      <c r="F3418" s="22">
        <v>46171.6844675926</v>
      </c>
      <c r="G3418" s="22"/>
      <c r="H3418" s="23">
        <v>133.65</v>
      </c>
      <c r="I3418" s="23">
        <v>24.52</v>
      </c>
      <c r="J3418" s="24">
        <v>980.8</v>
      </c>
      <c r="K3418" s="21">
        <v>0</v>
      </c>
      <c r="L3418" s="21">
        <v>0</v>
      </c>
      <c r="M3418" s="21">
        <f>COUNTIF($A$2:$A$5481,A3418)</f>
        <v>2</v>
      </c>
      <c r="N3418" s="24">
        <f t="shared" si="53"/>
        <v>980.8003418</v>
      </c>
    </row>
    <row r="3419" spans="1:14">
      <c r="A3419" s="21" t="s">
        <v>3383</v>
      </c>
      <c r="B3419" s="21" t="s">
        <v>26</v>
      </c>
      <c r="C3419" s="21" t="s">
        <v>26</v>
      </c>
      <c r="D3419" s="21" t="s">
        <v>921</v>
      </c>
      <c r="E3419" s="21">
        <v>1</v>
      </c>
      <c r="F3419" s="22">
        <v>45601.7793865741</v>
      </c>
      <c r="G3419" s="22"/>
      <c r="H3419" s="23">
        <v>100.72</v>
      </c>
      <c r="I3419" s="23">
        <v>100.72</v>
      </c>
      <c r="J3419" s="24">
        <v>100.72</v>
      </c>
      <c r="K3419" s="21">
        <v>0</v>
      </c>
      <c r="L3419" s="21">
        <v>0</v>
      </c>
      <c r="M3419" s="21">
        <f>COUNTIF($A$2:$A$5481,A3419)</f>
        <v>1</v>
      </c>
      <c r="N3419" s="24">
        <f t="shared" si="53"/>
        <v>100.7203419</v>
      </c>
    </row>
    <row r="3420" spans="1:14">
      <c r="A3420" s="21" t="s">
        <v>3384</v>
      </c>
      <c r="B3420" s="21" t="s">
        <v>26</v>
      </c>
      <c r="C3420" s="21" t="s">
        <v>26</v>
      </c>
      <c r="D3420" s="21" t="s">
        <v>921</v>
      </c>
      <c r="E3420" s="21">
        <v>1</v>
      </c>
      <c r="F3420" s="22">
        <v>45601.7793865741</v>
      </c>
      <c r="G3420" s="22"/>
      <c r="H3420" s="23">
        <v>107.2</v>
      </c>
      <c r="I3420" s="23">
        <v>107.2</v>
      </c>
      <c r="J3420" s="24">
        <v>107.2</v>
      </c>
      <c r="K3420" s="21">
        <v>0</v>
      </c>
      <c r="L3420" s="21">
        <v>0</v>
      </c>
      <c r="M3420" s="21">
        <f>COUNTIF($A$2:$A$5481,A3420)</f>
        <v>1</v>
      </c>
      <c r="N3420" s="24">
        <f t="shared" si="53"/>
        <v>107.200342</v>
      </c>
    </row>
    <row r="3421" spans="1:14">
      <c r="A3421" s="21" t="s">
        <v>282</v>
      </c>
      <c r="B3421" s="21" t="s">
        <v>920</v>
      </c>
      <c r="C3421" s="21" t="s">
        <v>26</v>
      </c>
      <c r="D3421" s="21" t="s">
        <v>921</v>
      </c>
      <c r="E3421" s="21">
        <v>2</v>
      </c>
      <c r="F3421" s="22">
        <v>46076.5296412037</v>
      </c>
      <c r="G3421" s="22">
        <v>46076.5292013889</v>
      </c>
      <c r="H3421" s="23">
        <v>780</v>
      </c>
      <c r="I3421" s="23">
        <v>390</v>
      </c>
      <c r="J3421" s="24">
        <v>780</v>
      </c>
      <c r="K3421" s="21">
        <v>0</v>
      </c>
      <c r="L3421" s="21">
        <v>0</v>
      </c>
      <c r="M3421" s="21">
        <f>COUNTIF($A$2:$A$5481,A3421)</f>
        <v>1</v>
      </c>
      <c r="N3421" s="24">
        <f t="shared" si="53"/>
        <v>780.0003421</v>
      </c>
    </row>
    <row r="3422" spans="1:14">
      <c r="A3422" s="21" t="s">
        <v>3385</v>
      </c>
      <c r="B3422" s="21" t="s">
        <v>920</v>
      </c>
      <c r="C3422" s="21" t="s">
        <v>35</v>
      </c>
      <c r="D3422" s="21" t="s">
        <v>921</v>
      </c>
      <c r="E3422" s="21">
        <v>0</v>
      </c>
      <c r="F3422" s="22">
        <v>45370.8247800926</v>
      </c>
      <c r="G3422" s="22">
        <v>45373.4113888889</v>
      </c>
      <c r="H3422" s="23">
        <v>390</v>
      </c>
      <c r="I3422" s="23">
        <v>390</v>
      </c>
      <c r="J3422" s="24">
        <v>0</v>
      </c>
      <c r="K3422" s="21">
        <v>0</v>
      </c>
      <c r="L3422" s="21">
        <v>0</v>
      </c>
      <c r="M3422" s="21">
        <f>COUNTIF($A$2:$A$5481,A3422)</f>
        <v>2</v>
      </c>
      <c r="N3422" s="24">
        <f t="shared" si="53"/>
        <v>0.0003422</v>
      </c>
    </row>
    <row r="3423" spans="1:14">
      <c r="A3423" s="21" t="s">
        <v>3385</v>
      </c>
      <c r="B3423" s="21" t="s">
        <v>920</v>
      </c>
      <c r="C3423" s="21" t="s">
        <v>26</v>
      </c>
      <c r="D3423" s="21" t="s">
        <v>921</v>
      </c>
      <c r="E3423" s="21">
        <v>0</v>
      </c>
      <c r="F3423" s="22">
        <v>45712.3551041667</v>
      </c>
      <c r="G3423" s="22">
        <v>45713.4531828704</v>
      </c>
      <c r="H3423" s="23">
        <v>890</v>
      </c>
      <c r="I3423" s="23">
        <v>890.00001</v>
      </c>
      <c r="J3423" s="24">
        <v>0</v>
      </c>
      <c r="K3423" s="21">
        <v>0</v>
      </c>
      <c r="L3423" s="21">
        <v>0</v>
      </c>
      <c r="M3423" s="21">
        <f>COUNTIF($A$2:$A$5481,A3423)</f>
        <v>2</v>
      </c>
      <c r="N3423" s="24">
        <f t="shared" si="53"/>
        <v>0.0003423</v>
      </c>
    </row>
    <row r="3424" spans="1:14">
      <c r="A3424" s="21" t="s">
        <v>3386</v>
      </c>
      <c r="B3424" s="21" t="s">
        <v>920</v>
      </c>
      <c r="C3424" s="21" t="s">
        <v>35</v>
      </c>
      <c r="D3424" s="21" t="s">
        <v>921</v>
      </c>
      <c r="E3424" s="21">
        <v>0</v>
      </c>
      <c r="F3424" s="22">
        <v>45313.5903819444</v>
      </c>
      <c r="G3424" s="22">
        <v>45749.4164467593</v>
      </c>
      <c r="H3424" s="23">
        <v>1710</v>
      </c>
      <c r="I3424" s="23">
        <v>570</v>
      </c>
      <c r="J3424" s="24">
        <v>0</v>
      </c>
      <c r="K3424" s="21">
        <v>0</v>
      </c>
      <c r="L3424" s="21">
        <v>0</v>
      </c>
      <c r="M3424" s="21">
        <f>COUNTIF($A$2:$A$5481,A3424)</f>
        <v>2</v>
      </c>
      <c r="N3424" s="24">
        <f t="shared" si="53"/>
        <v>0.0003424</v>
      </c>
    </row>
    <row r="3425" spans="1:14">
      <c r="A3425" s="21" t="s">
        <v>3386</v>
      </c>
      <c r="B3425" s="21" t="s">
        <v>920</v>
      </c>
      <c r="C3425" s="21" t="s">
        <v>26</v>
      </c>
      <c r="D3425" s="21" t="s">
        <v>921</v>
      </c>
      <c r="E3425" s="21">
        <v>1</v>
      </c>
      <c r="F3425" s="22">
        <v>45917.6497106482</v>
      </c>
      <c r="G3425" s="22">
        <v>46000.4440740741</v>
      </c>
      <c r="H3425" s="23">
        <v>1140</v>
      </c>
      <c r="I3425" s="23">
        <v>570</v>
      </c>
      <c r="J3425" s="24">
        <v>570</v>
      </c>
      <c r="K3425" s="21">
        <v>0</v>
      </c>
      <c r="L3425" s="21">
        <v>0</v>
      </c>
      <c r="M3425" s="21">
        <f>COUNTIF($A$2:$A$5481,A3425)</f>
        <v>2</v>
      </c>
      <c r="N3425" s="24">
        <f t="shared" si="53"/>
        <v>570.0003425</v>
      </c>
    </row>
    <row r="3426" spans="1:14">
      <c r="A3426" s="21" t="s">
        <v>295</v>
      </c>
      <c r="B3426" s="21" t="s">
        <v>920</v>
      </c>
      <c r="C3426" s="21" t="s">
        <v>26</v>
      </c>
      <c r="D3426" s="21" t="s">
        <v>931</v>
      </c>
      <c r="E3426" s="21">
        <v>4</v>
      </c>
      <c r="F3426" s="22">
        <v>46087.6389467593</v>
      </c>
      <c r="G3426" s="22">
        <v>46090.4211574074</v>
      </c>
      <c r="H3426" s="23">
        <v>780</v>
      </c>
      <c r="I3426" s="23">
        <v>390</v>
      </c>
      <c r="J3426" s="24">
        <v>1560</v>
      </c>
      <c r="K3426" s="21">
        <v>0</v>
      </c>
      <c r="L3426" s="21">
        <v>0</v>
      </c>
      <c r="M3426" s="21">
        <f>COUNTIF($A$2:$A$5481,A3426)</f>
        <v>1</v>
      </c>
      <c r="N3426" s="24">
        <f t="shared" si="53"/>
        <v>1560.0003426</v>
      </c>
    </row>
    <row r="3427" spans="1:14">
      <c r="A3427" s="21" t="s">
        <v>202</v>
      </c>
      <c r="B3427" s="21" t="s">
        <v>26</v>
      </c>
      <c r="C3427" s="21" t="s">
        <v>26</v>
      </c>
      <c r="D3427" s="21" t="s">
        <v>921</v>
      </c>
      <c r="E3427" s="21">
        <v>8</v>
      </c>
      <c r="F3427" s="22">
        <v>46149.5520833333</v>
      </c>
      <c r="G3427" s="22">
        <v>46149.6238657407</v>
      </c>
      <c r="H3427" s="23">
        <v>700</v>
      </c>
      <c r="I3427" s="23">
        <v>339.7142857143</v>
      </c>
      <c r="J3427" s="24">
        <v>2717.68</v>
      </c>
      <c r="K3427" s="21">
        <v>0</v>
      </c>
      <c r="L3427" s="21">
        <v>0</v>
      </c>
      <c r="M3427" s="21">
        <f>COUNTIF($A$2:$A$5481,A3427)</f>
        <v>1</v>
      </c>
      <c r="N3427" s="24">
        <f t="shared" si="53"/>
        <v>2717.6803427</v>
      </c>
    </row>
    <row r="3428" spans="1:14">
      <c r="A3428" s="21" t="s">
        <v>281</v>
      </c>
      <c r="B3428" s="21" t="s">
        <v>920</v>
      </c>
      <c r="C3428" s="21" t="s">
        <v>26</v>
      </c>
      <c r="D3428" s="21" t="s">
        <v>921</v>
      </c>
      <c r="E3428" s="21">
        <v>0</v>
      </c>
      <c r="F3428" s="22">
        <v>45968.5468981482</v>
      </c>
      <c r="G3428" s="22">
        <v>46076.4498611111</v>
      </c>
      <c r="H3428" s="23">
        <v>1684.02</v>
      </c>
      <c r="I3428" s="23">
        <v>842.01</v>
      </c>
      <c r="J3428" s="24">
        <v>0</v>
      </c>
      <c r="K3428" s="21">
        <v>0</v>
      </c>
      <c r="L3428" s="21">
        <v>0</v>
      </c>
      <c r="M3428" s="21">
        <f>COUNTIF($A$2:$A$5481,A3428)</f>
        <v>1</v>
      </c>
      <c r="N3428" s="24">
        <f t="shared" si="53"/>
        <v>0.0003428</v>
      </c>
    </row>
    <row r="3429" spans="1:14">
      <c r="A3429" s="21" t="s">
        <v>3387</v>
      </c>
      <c r="B3429" s="21" t="s">
        <v>920</v>
      </c>
      <c r="C3429" s="21" t="s">
        <v>26</v>
      </c>
      <c r="D3429" s="21" t="s">
        <v>921</v>
      </c>
      <c r="E3429" s="21">
        <v>1</v>
      </c>
      <c r="F3429" s="22">
        <v>45996.5715393519</v>
      </c>
      <c r="G3429" s="22">
        <v>46020.6012152778</v>
      </c>
      <c r="H3429" s="23">
        <v>1780</v>
      </c>
      <c r="I3429" s="23">
        <v>890</v>
      </c>
      <c r="J3429" s="24">
        <v>890</v>
      </c>
      <c r="K3429" s="21">
        <v>0</v>
      </c>
      <c r="L3429" s="21">
        <v>0</v>
      </c>
      <c r="M3429" s="21">
        <f>COUNTIF($A$2:$A$5481,A3429)</f>
        <v>1</v>
      </c>
      <c r="N3429" s="24">
        <f t="shared" si="53"/>
        <v>890.0003429</v>
      </c>
    </row>
    <row r="3430" spans="1:14">
      <c r="A3430" s="21" t="s">
        <v>3388</v>
      </c>
      <c r="B3430" s="21" t="s">
        <v>920</v>
      </c>
      <c r="C3430" s="21" t="s">
        <v>26</v>
      </c>
      <c r="D3430" s="21" t="s">
        <v>931</v>
      </c>
      <c r="E3430" s="21">
        <v>0</v>
      </c>
      <c r="F3430" s="22">
        <v>45756.3680092593</v>
      </c>
      <c r="G3430" s="22">
        <v>46021.4328472222</v>
      </c>
      <c r="H3430" s="23">
        <v>920</v>
      </c>
      <c r="I3430" s="23">
        <v>460</v>
      </c>
      <c r="J3430" s="24">
        <v>0</v>
      </c>
      <c r="K3430" s="21">
        <v>0</v>
      </c>
      <c r="L3430" s="21">
        <v>0</v>
      </c>
      <c r="M3430" s="21">
        <f>COUNTIF($A$2:$A$5481,A3430)</f>
        <v>1</v>
      </c>
      <c r="N3430" s="24">
        <f t="shared" si="53"/>
        <v>0.000343</v>
      </c>
    </row>
    <row r="3431" spans="1:14">
      <c r="A3431" s="21" t="s">
        <v>3389</v>
      </c>
      <c r="B3431" s="21" t="s">
        <v>26</v>
      </c>
      <c r="C3431" s="21" t="s">
        <v>35</v>
      </c>
      <c r="D3431" s="21" t="s">
        <v>921</v>
      </c>
      <c r="E3431" s="21">
        <v>2</v>
      </c>
      <c r="F3431" s="22">
        <v>45688.4424305556</v>
      </c>
      <c r="G3431" s="22"/>
      <c r="H3431" s="23">
        <v>924.72</v>
      </c>
      <c r="I3431" s="23">
        <v>462.36</v>
      </c>
      <c r="J3431" s="24">
        <v>924.72</v>
      </c>
      <c r="K3431" s="21">
        <v>0</v>
      </c>
      <c r="L3431" s="21">
        <v>0</v>
      </c>
      <c r="M3431" s="21">
        <f>COUNTIF($A$2:$A$5481,A3431)</f>
        <v>1</v>
      </c>
      <c r="N3431" s="24">
        <f t="shared" si="53"/>
        <v>924.7203431</v>
      </c>
    </row>
    <row r="3432" spans="1:14">
      <c r="A3432" s="21" t="s">
        <v>3390</v>
      </c>
      <c r="B3432" s="21" t="s">
        <v>920</v>
      </c>
      <c r="C3432" s="21" t="s">
        <v>26</v>
      </c>
      <c r="D3432" s="21" t="s">
        <v>921</v>
      </c>
      <c r="E3432" s="21">
        <v>0</v>
      </c>
      <c r="F3432" s="22">
        <v>45608.3592708333</v>
      </c>
      <c r="G3432" s="22">
        <v>45698.6178587963</v>
      </c>
      <c r="H3432" s="23">
        <v>1350</v>
      </c>
      <c r="I3432" s="23">
        <v>0</v>
      </c>
      <c r="J3432" s="24">
        <v>0</v>
      </c>
      <c r="K3432" s="21">
        <v>0</v>
      </c>
      <c r="L3432" s="21">
        <v>0</v>
      </c>
      <c r="M3432" s="21">
        <f>COUNTIF($A$2:$A$5481,A3432)</f>
        <v>2</v>
      </c>
      <c r="N3432" s="24">
        <f t="shared" si="53"/>
        <v>0.0003432</v>
      </c>
    </row>
    <row r="3433" spans="1:14">
      <c r="A3433" s="21" t="s">
        <v>3390</v>
      </c>
      <c r="B3433" s="21" t="s">
        <v>920</v>
      </c>
      <c r="C3433" s="21" t="s">
        <v>35</v>
      </c>
      <c r="D3433" s="21" t="s">
        <v>921</v>
      </c>
      <c r="E3433" s="21">
        <v>4</v>
      </c>
      <c r="F3433" s="22">
        <v>45629.3824768519</v>
      </c>
      <c r="G3433" s="22">
        <v>45623.4570138889</v>
      </c>
      <c r="H3433" s="23">
        <v>1335</v>
      </c>
      <c r="I3433" s="23">
        <v>430.75</v>
      </c>
      <c r="J3433" s="24">
        <v>1723</v>
      </c>
      <c r="K3433" s="21">
        <v>0</v>
      </c>
      <c r="L3433" s="21">
        <v>0</v>
      </c>
      <c r="M3433" s="21">
        <f>COUNTIF($A$2:$A$5481,A3433)</f>
        <v>2</v>
      </c>
      <c r="N3433" s="24">
        <f t="shared" si="53"/>
        <v>1723.0003433</v>
      </c>
    </row>
    <row r="3434" spans="1:14">
      <c r="A3434" s="21" t="s">
        <v>3391</v>
      </c>
      <c r="B3434" s="21" t="s">
        <v>920</v>
      </c>
      <c r="C3434" s="21" t="s">
        <v>26</v>
      </c>
      <c r="D3434" s="21" t="s">
        <v>921</v>
      </c>
      <c r="E3434" s="21">
        <v>2</v>
      </c>
      <c r="F3434" s="22">
        <v>46000.4436689815</v>
      </c>
      <c r="G3434" s="22"/>
      <c r="H3434" s="23">
        <v>78</v>
      </c>
      <c r="I3434" s="23">
        <v>39</v>
      </c>
      <c r="J3434" s="24">
        <v>78</v>
      </c>
      <c r="K3434" s="21">
        <v>0</v>
      </c>
      <c r="L3434" s="21">
        <v>0</v>
      </c>
      <c r="M3434" s="21">
        <f>COUNTIF($A$2:$A$5481,A3434)</f>
        <v>1</v>
      </c>
      <c r="N3434" s="24">
        <f t="shared" si="53"/>
        <v>78.0003434</v>
      </c>
    </row>
    <row r="3435" spans="1:14">
      <c r="A3435" s="21" t="s">
        <v>838</v>
      </c>
      <c r="B3435" s="21" t="s">
        <v>920</v>
      </c>
      <c r="C3435" s="21" t="s">
        <v>35</v>
      </c>
      <c r="D3435" s="21" t="s">
        <v>921</v>
      </c>
      <c r="E3435" s="21">
        <v>0</v>
      </c>
      <c r="F3435" s="22">
        <v>46219.3555555556</v>
      </c>
      <c r="G3435" s="22">
        <v>46267.3801273148</v>
      </c>
      <c r="H3435" s="23">
        <v>280</v>
      </c>
      <c r="I3435" s="23">
        <v>140</v>
      </c>
      <c r="J3435" s="24">
        <v>0</v>
      </c>
      <c r="K3435" s="21">
        <v>0</v>
      </c>
      <c r="L3435" s="21">
        <v>0</v>
      </c>
      <c r="M3435" s="21">
        <f>COUNTIF($A$2:$A$5481,A3435)</f>
        <v>1</v>
      </c>
      <c r="N3435" s="24">
        <f t="shared" si="53"/>
        <v>0.0003435</v>
      </c>
    </row>
    <row r="3436" spans="1:14">
      <c r="A3436" s="21" t="s">
        <v>3392</v>
      </c>
      <c r="B3436" s="21" t="s">
        <v>929</v>
      </c>
      <c r="C3436" s="21" t="s">
        <v>414</v>
      </c>
      <c r="D3436" s="21" t="s">
        <v>921</v>
      </c>
      <c r="E3436" s="21">
        <v>2</v>
      </c>
      <c r="F3436" s="22">
        <v>45813.4411805556</v>
      </c>
      <c r="G3436" s="22"/>
      <c r="H3436" s="23">
        <v>353.6</v>
      </c>
      <c r="I3436" s="23">
        <v>176.8</v>
      </c>
      <c r="J3436" s="24">
        <v>353.6</v>
      </c>
      <c r="K3436" s="21">
        <v>0</v>
      </c>
      <c r="L3436" s="21">
        <v>0</v>
      </c>
      <c r="M3436" s="21">
        <f>COUNTIF($A$2:$A$5481,A3436)</f>
        <v>1</v>
      </c>
      <c r="N3436" s="24">
        <f t="shared" si="53"/>
        <v>353.6003436</v>
      </c>
    </row>
    <row r="3437" spans="1:14">
      <c r="A3437" s="21" t="s">
        <v>3393</v>
      </c>
      <c r="B3437" s="21" t="s">
        <v>929</v>
      </c>
      <c r="C3437" s="21" t="s">
        <v>414</v>
      </c>
      <c r="D3437" s="21" t="s">
        <v>921</v>
      </c>
      <c r="E3437" s="21">
        <v>4</v>
      </c>
      <c r="F3437" s="22">
        <v>45813.4411805556</v>
      </c>
      <c r="G3437" s="22"/>
      <c r="H3437" s="23">
        <v>323.96</v>
      </c>
      <c r="I3437" s="23">
        <v>80.99</v>
      </c>
      <c r="J3437" s="24">
        <v>323.96</v>
      </c>
      <c r="K3437" s="21">
        <v>0</v>
      </c>
      <c r="L3437" s="21">
        <v>0</v>
      </c>
      <c r="M3437" s="21">
        <f>COUNTIF($A$2:$A$5481,A3437)</f>
        <v>1</v>
      </c>
      <c r="N3437" s="24">
        <f t="shared" si="53"/>
        <v>323.9603437</v>
      </c>
    </row>
    <row r="3438" spans="1:14">
      <c r="A3438" s="21" t="s">
        <v>3394</v>
      </c>
      <c r="B3438" s="21" t="s">
        <v>929</v>
      </c>
      <c r="C3438" s="21" t="s">
        <v>414</v>
      </c>
      <c r="D3438" s="21" t="s">
        <v>921</v>
      </c>
      <c r="E3438" s="21">
        <v>4</v>
      </c>
      <c r="F3438" s="22">
        <v>45813.4411805556</v>
      </c>
      <c r="G3438" s="22"/>
      <c r="H3438" s="23">
        <v>393.6</v>
      </c>
      <c r="I3438" s="23">
        <v>98.4</v>
      </c>
      <c r="J3438" s="24">
        <v>393.6</v>
      </c>
      <c r="K3438" s="21">
        <v>0</v>
      </c>
      <c r="L3438" s="21">
        <v>0</v>
      </c>
      <c r="M3438" s="21">
        <f>COUNTIF($A$2:$A$5481,A3438)</f>
        <v>1</v>
      </c>
      <c r="N3438" s="24">
        <f t="shared" si="53"/>
        <v>393.6003438</v>
      </c>
    </row>
    <row r="3439" spans="1:14">
      <c r="A3439" s="21" t="s">
        <v>810</v>
      </c>
      <c r="B3439" s="21" t="s">
        <v>26</v>
      </c>
      <c r="C3439" s="21" t="s">
        <v>182</v>
      </c>
      <c r="D3439" s="21" t="s">
        <v>921</v>
      </c>
      <c r="E3439" s="21">
        <v>27</v>
      </c>
      <c r="F3439" s="22">
        <v>45378.5493055556</v>
      </c>
      <c r="G3439" s="22">
        <v>46259.6050115741</v>
      </c>
      <c r="H3439" s="23">
        <v>70.2</v>
      </c>
      <c r="I3439" s="23">
        <v>2.34</v>
      </c>
      <c r="J3439" s="24">
        <v>63.18</v>
      </c>
      <c r="K3439" s="21">
        <v>0</v>
      </c>
      <c r="L3439" s="21">
        <v>0</v>
      </c>
      <c r="M3439" s="21">
        <f>COUNTIF($A$2:$A$5481,A3439)</f>
        <v>2</v>
      </c>
      <c r="N3439" s="24">
        <f t="shared" si="53"/>
        <v>63.1803439</v>
      </c>
    </row>
    <row r="3440" spans="1:14">
      <c r="A3440" s="21" t="s">
        <v>810</v>
      </c>
      <c r="B3440" s="21" t="s">
        <v>26</v>
      </c>
      <c r="C3440" s="21" t="s">
        <v>51</v>
      </c>
      <c r="D3440" s="21" t="s">
        <v>921</v>
      </c>
      <c r="E3440" s="21">
        <v>20</v>
      </c>
      <c r="F3440" s="22">
        <v>45762.3576967593</v>
      </c>
      <c r="G3440" s="22"/>
      <c r="H3440" s="23">
        <v>33.6</v>
      </c>
      <c r="I3440" s="23">
        <v>1.68</v>
      </c>
      <c r="J3440" s="24">
        <v>33.6</v>
      </c>
      <c r="K3440" s="21">
        <v>0</v>
      </c>
      <c r="L3440" s="21">
        <v>0</v>
      </c>
      <c r="M3440" s="21">
        <f>COUNTIF($A$2:$A$5481,A3440)</f>
        <v>2</v>
      </c>
      <c r="N3440" s="24">
        <f t="shared" si="53"/>
        <v>33.600344</v>
      </c>
    </row>
    <row r="3441" spans="1:14">
      <c r="A3441" s="21" t="s">
        <v>3395</v>
      </c>
      <c r="B3441" s="21" t="s">
        <v>26</v>
      </c>
      <c r="C3441" s="21" t="s">
        <v>51</v>
      </c>
      <c r="D3441" s="21" t="s">
        <v>921</v>
      </c>
      <c r="E3441" s="21">
        <v>15</v>
      </c>
      <c r="F3441" s="22">
        <v>45868.3780324074</v>
      </c>
      <c r="G3441" s="22">
        <v>45887.3702083333</v>
      </c>
      <c r="H3441" s="23">
        <v>35</v>
      </c>
      <c r="I3441" s="23">
        <v>1.75</v>
      </c>
      <c r="J3441" s="24">
        <v>26.25</v>
      </c>
      <c r="K3441" s="21">
        <v>0</v>
      </c>
      <c r="L3441" s="21">
        <v>0</v>
      </c>
      <c r="M3441" s="21">
        <f>COUNTIF($A$2:$A$5481,A3441)</f>
        <v>2</v>
      </c>
      <c r="N3441" s="24">
        <f t="shared" si="53"/>
        <v>26.2503441</v>
      </c>
    </row>
    <row r="3442" spans="1:14">
      <c r="A3442" s="21" t="s">
        <v>3395</v>
      </c>
      <c r="B3442" s="21" t="s">
        <v>26</v>
      </c>
      <c r="C3442" s="21" t="s">
        <v>182</v>
      </c>
      <c r="D3442" s="21" t="s">
        <v>921</v>
      </c>
      <c r="E3442" s="21">
        <v>20</v>
      </c>
      <c r="F3442" s="22">
        <v>46029.5292592593</v>
      </c>
      <c r="G3442" s="22"/>
      <c r="H3442" s="23">
        <v>104</v>
      </c>
      <c r="I3442" s="23">
        <v>5.2</v>
      </c>
      <c r="J3442" s="24">
        <v>104</v>
      </c>
      <c r="K3442" s="21">
        <v>0</v>
      </c>
      <c r="L3442" s="21">
        <v>0</v>
      </c>
      <c r="M3442" s="21">
        <f>COUNTIF($A$2:$A$5481,A3442)</f>
        <v>2</v>
      </c>
      <c r="N3442" s="24">
        <f t="shared" si="53"/>
        <v>104.0003442</v>
      </c>
    </row>
    <row r="3443" spans="1:14">
      <c r="A3443" s="21" t="s">
        <v>3396</v>
      </c>
      <c r="B3443" s="21" t="s">
        <v>920</v>
      </c>
      <c r="C3443" s="21" t="s">
        <v>35</v>
      </c>
      <c r="D3443" s="21" t="s">
        <v>921</v>
      </c>
      <c r="E3443" s="21">
        <v>1</v>
      </c>
      <c r="F3443" s="22">
        <v>46021.5372685185</v>
      </c>
      <c r="G3443" s="22"/>
      <c r="H3443" s="23">
        <v>387.41</v>
      </c>
      <c r="I3443" s="23">
        <v>387.41</v>
      </c>
      <c r="J3443" s="24">
        <v>387.41</v>
      </c>
      <c r="K3443" s="21">
        <v>0</v>
      </c>
      <c r="L3443" s="21">
        <v>0</v>
      </c>
      <c r="M3443" s="21">
        <f>COUNTIF($A$2:$A$5481,A3443)</f>
        <v>1</v>
      </c>
      <c r="N3443" s="24">
        <f t="shared" si="53"/>
        <v>387.4103443</v>
      </c>
    </row>
    <row r="3444" spans="1:14">
      <c r="A3444" s="21" t="s">
        <v>3397</v>
      </c>
      <c r="B3444" s="21" t="s">
        <v>920</v>
      </c>
      <c r="C3444" s="21" t="s">
        <v>35</v>
      </c>
      <c r="D3444" s="21" t="s">
        <v>921</v>
      </c>
      <c r="E3444" s="21">
        <v>1</v>
      </c>
      <c r="F3444" s="22">
        <v>46021.5372685185</v>
      </c>
      <c r="G3444" s="22"/>
      <c r="H3444" s="23">
        <v>39.29</v>
      </c>
      <c r="I3444" s="23">
        <v>39.29</v>
      </c>
      <c r="J3444" s="24">
        <v>39.29</v>
      </c>
      <c r="K3444" s="21">
        <v>0</v>
      </c>
      <c r="L3444" s="21">
        <v>0</v>
      </c>
      <c r="M3444" s="21">
        <f>COUNTIF($A$2:$A$5481,A3444)</f>
        <v>1</v>
      </c>
      <c r="N3444" s="24">
        <f t="shared" si="53"/>
        <v>39.2903444</v>
      </c>
    </row>
    <row r="3445" spans="1:14">
      <c r="A3445" s="21" t="s">
        <v>206</v>
      </c>
      <c r="B3445" s="21" t="s">
        <v>920</v>
      </c>
      <c r="C3445" s="21" t="s">
        <v>35</v>
      </c>
      <c r="D3445" s="21" t="s">
        <v>921</v>
      </c>
      <c r="E3445" s="21">
        <v>0</v>
      </c>
      <c r="F3445" s="22">
        <v>46036.5803125</v>
      </c>
      <c r="G3445" s="22">
        <v>46050.44125</v>
      </c>
      <c r="H3445" s="23">
        <v>375</v>
      </c>
      <c r="I3445" s="23">
        <v>375</v>
      </c>
      <c r="J3445" s="24">
        <v>0</v>
      </c>
      <c r="K3445" s="21">
        <v>0</v>
      </c>
      <c r="L3445" s="21">
        <v>0</v>
      </c>
      <c r="M3445" s="21">
        <f>COUNTIF($A$2:$A$5481,A3445)</f>
        <v>1</v>
      </c>
      <c r="N3445" s="24">
        <f t="shared" si="53"/>
        <v>0.0003445</v>
      </c>
    </row>
    <row r="3446" spans="1:14">
      <c r="A3446" s="21" t="s">
        <v>3398</v>
      </c>
      <c r="B3446" s="21" t="s">
        <v>920</v>
      </c>
      <c r="C3446" s="21" t="s">
        <v>26</v>
      </c>
      <c r="D3446" s="21" t="s">
        <v>921</v>
      </c>
      <c r="E3446" s="21">
        <v>0</v>
      </c>
      <c r="F3446" s="22">
        <v>45775.4812615741</v>
      </c>
      <c r="G3446" s="22">
        <v>45789.4356944444</v>
      </c>
      <c r="H3446" s="23">
        <v>3483.33</v>
      </c>
      <c r="I3446" s="23">
        <v>3483.33</v>
      </c>
      <c r="J3446" s="24">
        <v>0</v>
      </c>
      <c r="K3446" s="21">
        <v>0</v>
      </c>
      <c r="L3446" s="21">
        <v>0</v>
      </c>
      <c r="M3446" s="21">
        <f>COUNTIF($A$2:$A$5481,A3446)</f>
        <v>1</v>
      </c>
      <c r="N3446" s="24">
        <f t="shared" si="53"/>
        <v>0.0003446</v>
      </c>
    </row>
    <row r="3447" spans="1:14">
      <c r="A3447" s="21" t="s">
        <v>3399</v>
      </c>
      <c r="B3447" s="21" t="s">
        <v>920</v>
      </c>
      <c r="C3447" s="21" t="s">
        <v>26</v>
      </c>
      <c r="D3447" s="21" t="s">
        <v>921</v>
      </c>
      <c r="E3447" s="21">
        <v>0</v>
      </c>
      <c r="F3447" s="22">
        <v>45715.8104166667</v>
      </c>
      <c r="G3447" s="22">
        <v>45733.365162037</v>
      </c>
      <c r="H3447" s="23">
        <v>1417.05</v>
      </c>
      <c r="I3447" s="23">
        <v>1417.05</v>
      </c>
      <c r="J3447" s="24">
        <v>0</v>
      </c>
      <c r="K3447" s="21">
        <v>0</v>
      </c>
      <c r="L3447" s="21">
        <v>0</v>
      </c>
      <c r="M3447" s="21">
        <f>COUNTIF($A$2:$A$5481,A3447)</f>
        <v>1</v>
      </c>
      <c r="N3447" s="24">
        <f t="shared" si="53"/>
        <v>0.0003447</v>
      </c>
    </row>
    <row r="3448" spans="1:14">
      <c r="A3448" s="21" t="s">
        <v>3400</v>
      </c>
      <c r="B3448" s="21" t="s">
        <v>920</v>
      </c>
      <c r="C3448" s="21" t="s">
        <v>35</v>
      </c>
      <c r="D3448" s="21" t="s">
        <v>921</v>
      </c>
      <c r="E3448" s="21">
        <v>1</v>
      </c>
      <c r="F3448" s="22">
        <v>45317.7935300926</v>
      </c>
      <c r="G3448" s="22"/>
      <c r="H3448" s="23">
        <v>1715</v>
      </c>
      <c r="I3448" s="23">
        <v>1715</v>
      </c>
      <c r="J3448" s="24">
        <v>1715</v>
      </c>
      <c r="K3448" s="21">
        <v>0</v>
      </c>
      <c r="L3448" s="21">
        <v>5</v>
      </c>
      <c r="M3448" s="21">
        <f>COUNTIF($A$2:$A$5481,A3448)</f>
        <v>1</v>
      </c>
      <c r="N3448" s="24">
        <f t="shared" si="53"/>
        <v>1715.0003448</v>
      </c>
    </row>
    <row r="3449" spans="1:14">
      <c r="A3449" s="21" t="s">
        <v>3401</v>
      </c>
      <c r="B3449" s="21" t="s">
        <v>920</v>
      </c>
      <c r="C3449" s="21" t="s">
        <v>26</v>
      </c>
      <c r="D3449" s="21" t="s">
        <v>921</v>
      </c>
      <c r="E3449" s="21">
        <v>1</v>
      </c>
      <c r="F3449" s="22">
        <v>46099.5333333333</v>
      </c>
      <c r="G3449" s="22"/>
      <c r="H3449" s="23">
        <v>120</v>
      </c>
      <c r="I3449" s="23">
        <v>120</v>
      </c>
      <c r="J3449" s="24">
        <v>120</v>
      </c>
      <c r="K3449" s="21">
        <v>0</v>
      </c>
      <c r="L3449" s="21">
        <v>0</v>
      </c>
      <c r="M3449" s="21">
        <f>COUNTIF($A$2:$A$5481,A3449)</f>
        <v>1</v>
      </c>
      <c r="N3449" s="24">
        <f t="shared" si="53"/>
        <v>120.0003449</v>
      </c>
    </row>
    <row r="3450" spans="1:14">
      <c r="A3450" s="21" t="s">
        <v>3402</v>
      </c>
      <c r="B3450" s="21" t="s">
        <v>920</v>
      </c>
      <c r="C3450" s="21" t="s">
        <v>35</v>
      </c>
      <c r="D3450" s="21" t="s">
        <v>921</v>
      </c>
      <c r="E3450" s="21">
        <v>0</v>
      </c>
      <c r="F3450" s="22">
        <v>45987.3845601852</v>
      </c>
      <c r="G3450" s="22">
        <v>46007.4199768519</v>
      </c>
      <c r="H3450" s="23">
        <v>1190</v>
      </c>
      <c r="I3450" s="23">
        <v>1190</v>
      </c>
      <c r="J3450" s="24">
        <v>0</v>
      </c>
      <c r="K3450" s="21">
        <v>0</v>
      </c>
      <c r="L3450" s="21">
        <v>0</v>
      </c>
      <c r="M3450" s="21">
        <f>COUNTIF($A$2:$A$5481,A3450)</f>
        <v>1</v>
      </c>
      <c r="N3450" s="24">
        <f t="shared" si="53"/>
        <v>0.000345</v>
      </c>
    </row>
    <row r="3451" spans="1:14">
      <c r="A3451" s="21" t="s">
        <v>3403</v>
      </c>
      <c r="B3451" s="21" t="s">
        <v>920</v>
      </c>
      <c r="C3451" s="21" t="s">
        <v>35</v>
      </c>
      <c r="D3451" s="21" t="s">
        <v>921</v>
      </c>
      <c r="E3451" s="21">
        <v>0</v>
      </c>
      <c r="F3451" s="22">
        <v>45279.3987384259</v>
      </c>
      <c r="G3451" s="22">
        <v>45279.4947222222</v>
      </c>
      <c r="H3451" s="23">
        <v>4980</v>
      </c>
      <c r="I3451" s="23">
        <v>4980</v>
      </c>
      <c r="J3451" s="24">
        <v>0</v>
      </c>
      <c r="K3451" s="21">
        <v>0</v>
      </c>
      <c r="L3451" s="21">
        <v>0</v>
      </c>
      <c r="M3451" s="21">
        <f>COUNTIF($A$2:$A$5481,A3451)</f>
        <v>1</v>
      </c>
      <c r="N3451" s="24">
        <f t="shared" si="53"/>
        <v>0.0003451</v>
      </c>
    </row>
    <row r="3452" spans="1:14">
      <c r="A3452" s="21" t="s">
        <v>3404</v>
      </c>
      <c r="B3452" s="21" t="s">
        <v>948</v>
      </c>
      <c r="C3452" s="21" t="s">
        <v>26</v>
      </c>
      <c r="D3452" s="21" t="s">
        <v>931</v>
      </c>
      <c r="E3452" s="21">
        <v>1</v>
      </c>
      <c r="F3452" s="22">
        <v>45630.3729282407</v>
      </c>
      <c r="G3452" s="22"/>
      <c r="H3452" s="23">
        <v>80</v>
      </c>
      <c r="I3452" s="23">
        <v>80</v>
      </c>
      <c r="J3452" s="24">
        <v>80</v>
      </c>
      <c r="K3452" s="21">
        <v>0</v>
      </c>
      <c r="L3452" s="21">
        <v>0</v>
      </c>
      <c r="M3452" s="21">
        <f>COUNTIF($A$2:$A$5481,A3452)</f>
        <v>1</v>
      </c>
      <c r="N3452" s="24">
        <f t="shared" si="53"/>
        <v>80.0003452</v>
      </c>
    </row>
    <row r="3453" spans="1:14">
      <c r="A3453" s="21" t="s">
        <v>3405</v>
      </c>
      <c r="B3453" s="21" t="s">
        <v>26</v>
      </c>
      <c r="C3453" s="21" t="s">
        <v>26</v>
      </c>
      <c r="D3453" s="21" t="s">
        <v>921</v>
      </c>
      <c r="E3453" s="21">
        <v>2</v>
      </c>
      <c r="F3453" s="22">
        <v>46001.5578356482</v>
      </c>
      <c r="G3453" s="22"/>
      <c r="H3453" s="23">
        <v>50</v>
      </c>
      <c r="I3453" s="23">
        <v>75</v>
      </c>
      <c r="J3453" s="24">
        <v>150</v>
      </c>
      <c r="K3453" s="21">
        <v>0</v>
      </c>
      <c r="L3453" s="21">
        <v>0</v>
      </c>
      <c r="M3453" s="21">
        <f>COUNTIF($A$2:$A$5481,A3453)</f>
        <v>1</v>
      </c>
      <c r="N3453" s="24">
        <f t="shared" si="53"/>
        <v>150.0003453</v>
      </c>
    </row>
    <row r="3454" spans="1:14">
      <c r="A3454" s="21" t="s">
        <v>3406</v>
      </c>
      <c r="B3454" s="21" t="s">
        <v>26</v>
      </c>
      <c r="C3454" s="21" t="s">
        <v>182</v>
      </c>
      <c r="D3454" s="21" t="s">
        <v>921</v>
      </c>
      <c r="E3454" s="21">
        <v>1</v>
      </c>
      <c r="F3454" s="22">
        <v>45646.4846296296</v>
      </c>
      <c r="G3454" s="22"/>
      <c r="H3454" s="23">
        <v>280.45</v>
      </c>
      <c r="I3454" s="23">
        <v>280.45</v>
      </c>
      <c r="J3454" s="24">
        <v>280.45</v>
      </c>
      <c r="K3454" s="21">
        <v>0</v>
      </c>
      <c r="L3454" s="21">
        <v>0</v>
      </c>
      <c r="M3454" s="21">
        <f>COUNTIF($A$2:$A$5481,A3454)</f>
        <v>2</v>
      </c>
      <c r="N3454" s="24">
        <f t="shared" si="53"/>
        <v>280.4503454</v>
      </c>
    </row>
    <row r="3455" spans="1:14">
      <c r="A3455" s="21" t="s">
        <v>3406</v>
      </c>
      <c r="B3455" s="21" t="s">
        <v>26</v>
      </c>
      <c r="C3455" s="21" t="s">
        <v>26</v>
      </c>
      <c r="D3455" s="21" t="s">
        <v>921</v>
      </c>
      <c r="E3455" s="21">
        <v>35</v>
      </c>
      <c r="F3455" s="22">
        <v>46087.4048611111</v>
      </c>
      <c r="G3455" s="22"/>
      <c r="H3455" s="23">
        <v>332.1</v>
      </c>
      <c r="I3455" s="23">
        <v>10.6885714286</v>
      </c>
      <c r="J3455" s="24">
        <v>374.15</v>
      </c>
      <c r="K3455" s="21">
        <v>0</v>
      </c>
      <c r="L3455" s="21">
        <v>0</v>
      </c>
      <c r="M3455" s="21">
        <f>COUNTIF($A$2:$A$5481,A3455)</f>
        <v>2</v>
      </c>
      <c r="N3455" s="24">
        <f t="shared" si="53"/>
        <v>374.1503455</v>
      </c>
    </row>
    <row r="3456" spans="1:14">
      <c r="A3456" s="21" t="s">
        <v>603</v>
      </c>
      <c r="B3456" s="21" t="s">
        <v>929</v>
      </c>
      <c r="C3456" s="21" t="s">
        <v>26</v>
      </c>
      <c r="D3456" s="21" t="s">
        <v>921</v>
      </c>
      <c r="E3456" s="21">
        <v>0</v>
      </c>
      <c r="F3456" s="22">
        <v>45338.4207407407</v>
      </c>
      <c r="G3456" s="22">
        <v>46252.3675810185</v>
      </c>
      <c r="H3456" s="23">
        <v>26</v>
      </c>
      <c r="I3456" s="23">
        <v>13</v>
      </c>
      <c r="J3456" s="24">
        <v>0</v>
      </c>
      <c r="K3456" s="21">
        <v>0</v>
      </c>
      <c r="L3456" s="21">
        <v>0</v>
      </c>
      <c r="M3456" s="21">
        <f>COUNTIF($A$2:$A$5481,A3456)</f>
        <v>1</v>
      </c>
      <c r="N3456" s="24">
        <f t="shared" si="53"/>
        <v>0.0003456</v>
      </c>
    </row>
    <row r="3457" spans="1:14">
      <c r="A3457" s="21" t="s">
        <v>3407</v>
      </c>
      <c r="B3457" s="21" t="s">
        <v>929</v>
      </c>
      <c r="C3457" s="21" t="s">
        <v>182</v>
      </c>
      <c r="D3457" s="21" t="s">
        <v>921</v>
      </c>
      <c r="E3457" s="21">
        <v>1</v>
      </c>
      <c r="F3457" s="22">
        <v>45327.586712963</v>
      </c>
      <c r="G3457" s="22"/>
      <c r="H3457" s="23">
        <v>13</v>
      </c>
      <c r="I3457" s="23">
        <v>13</v>
      </c>
      <c r="J3457" s="24">
        <v>13</v>
      </c>
      <c r="K3457" s="21">
        <v>0</v>
      </c>
      <c r="L3457" s="21">
        <v>0</v>
      </c>
      <c r="M3457" s="21">
        <f>COUNTIF($A$2:$A$5481,A3457)</f>
        <v>1</v>
      </c>
      <c r="N3457" s="24">
        <f t="shared" si="53"/>
        <v>13.0003457</v>
      </c>
    </row>
    <row r="3458" spans="1:14">
      <c r="A3458" s="21" t="s">
        <v>3408</v>
      </c>
      <c r="B3458" s="21" t="s">
        <v>26</v>
      </c>
      <c r="C3458" s="21" t="s">
        <v>26</v>
      </c>
      <c r="D3458" s="21" t="s">
        <v>931</v>
      </c>
      <c r="E3458" s="21">
        <v>2</v>
      </c>
      <c r="F3458" s="22">
        <v>45422.4402777778</v>
      </c>
      <c r="G3458" s="22"/>
      <c r="H3458" s="23">
        <v>68</v>
      </c>
      <c r="I3458" s="23">
        <v>34</v>
      </c>
      <c r="J3458" s="24">
        <v>68</v>
      </c>
      <c r="K3458" s="21">
        <v>0</v>
      </c>
      <c r="L3458" s="21">
        <v>0</v>
      </c>
      <c r="M3458" s="21">
        <f>COUNTIF($A$2:$A$5481,A3458)</f>
        <v>1</v>
      </c>
      <c r="N3458" s="24">
        <f t="shared" ref="N3458:N3521" si="54">J3458+ROW()/10000000</f>
        <v>68.0003458</v>
      </c>
    </row>
    <row r="3459" spans="1:14">
      <c r="A3459" s="21" t="s">
        <v>618</v>
      </c>
      <c r="B3459" s="21" t="s">
        <v>26</v>
      </c>
      <c r="C3459" s="21" t="s">
        <v>182</v>
      </c>
      <c r="D3459" s="21" t="s">
        <v>921</v>
      </c>
      <c r="E3459" s="21">
        <v>0</v>
      </c>
      <c r="F3459" s="22">
        <v>45307.4647106482</v>
      </c>
      <c r="G3459" s="22">
        <v>46252.452025463</v>
      </c>
      <c r="H3459" s="23">
        <v>54</v>
      </c>
      <c r="I3459" s="23">
        <v>6.75</v>
      </c>
      <c r="J3459" s="24">
        <v>0</v>
      </c>
      <c r="K3459" s="21">
        <v>0</v>
      </c>
      <c r="L3459" s="21">
        <v>0</v>
      </c>
      <c r="M3459" s="21">
        <f>COUNTIF($A$2:$A$5481,A3459)</f>
        <v>3</v>
      </c>
      <c r="N3459" s="24">
        <f t="shared" si="54"/>
        <v>0.0003459</v>
      </c>
    </row>
    <row r="3460" spans="1:14">
      <c r="A3460" s="21" t="s">
        <v>618</v>
      </c>
      <c r="B3460" s="21" t="s">
        <v>26</v>
      </c>
      <c r="C3460" s="21" t="s">
        <v>51</v>
      </c>
      <c r="D3460" s="21" t="s">
        <v>921</v>
      </c>
      <c r="E3460" s="21">
        <v>3</v>
      </c>
      <c r="F3460" s="22">
        <v>45428.6217013889</v>
      </c>
      <c r="G3460" s="22"/>
      <c r="H3460" s="23">
        <v>85.32</v>
      </c>
      <c r="I3460" s="23">
        <v>28.44</v>
      </c>
      <c r="J3460" s="24">
        <v>85.32</v>
      </c>
      <c r="K3460" s="21">
        <v>0</v>
      </c>
      <c r="L3460" s="21">
        <v>0</v>
      </c>
      <c r="M3460" s="21">
        <f>COUNTIF($A$2:$A$5481,A3460)</f>
        <v>3</v>
      </c>
      <c r="N3460" s="24">
        <f t="shared" si="54"/>
        <v>85.320346</v>
      </c>
    </row>
    <row r="3461" spans="1:14">
      <c r="A3461" s="21" t="s">
        <v>618</v>
      </c>
      <c r="B3461" s="21" t="s">
        <v>26</v>
      </c>
      <c r="C3461" s="21" t="s">
        <v>26</v>
      </c>
      <c r="D3461" s="21" t="s">
        <v>921</v>
      </c>
      <c r="E3461" s="21">
        <v>45</v>
      </c>
      <c r="F3461" s="22">
        <v>46275.6136805556</v>
      </c>
      <c r="G3461" s="22">
        <v>46275.6185532407</v>
      </c>
      <c r="H3461" s="23">
        <v>78.69</v>
      </c>
      <c r="I3461" s="23">
        <v>15.0509375</v>
      </c>
      <c r="J3461" s="24">
        <v>677.25</v>
      </c>
      <c r="K3461" s="21">
        <v>0</v>
      </c>
      <c r="L3461" s="21">
        <v>0</v>
      </c>
      <c r="M3461" s="21">
        <f>COUNTIF($A$2:$A$5481,A3461)</f>
        <v>3</v>
      </c>
      <c r="N3461" s="24">
        <f t="shared" si="54"/>
        <v>677.2503461</v>
      </c>
    </row>
    <row r="3462" spans="1:14">
      <c r="A3462" s="21" t="s">
        <v>3409</v>
      </c>
      <c r="B3462" s="21" t="s">
        <v>26</v>
      </c>
      <c r="C3462" s="21" t="s">
        <v>182</v>
      </c>
      <c r="D3462" s="21" t="s">
        <v>921</v>
      </c>
      <c r="E3462" s="21">
        <v>2</v>
      </c>
      <c r="F3462" s="22">
        <v>45434.3576388889</v>
      </c>
      <c r="G3462" s="22"/>
      <c r="H3462" s="23">
        <v>13.42</v>
      </c>
      <c r="I3462" s="23">
        <v>6.71</v>
      </c>
      <c r="J3462" s="24">
        <v>13.42</v>
      </c>
      <c r="K3462" s="21">
        <v>0</v>
      </c>
      <c r="L3462" s="21">
        <v>0</v>
      </c>
      <c r="M3462" s="21">
        <f>COUNTIF($A$2:$A$5481,A3462)</f>
        <v>3</v>
      </c>
      <c r="N3462" s="24">
        <f t="shared" si="54"/>
        <v>13.4203462</v>
      </c>
    </row>
    <row r="3463" spans="1:14">
      <c r="A3463" s="21" t="s">
        <v>3409</v>
      </c>
      <c r="B3463" s="21" t="s">
        <v>26</v>
      </c>
      <c r="C3463" s="21" t="s">
        <v>26</v>
      </c>
      <c r="D3463" s="21" t="s">
        <v>921</v>
      </c>
      <c r="E3463" s="21">
        <v>0</v>
      </c>
      <c r="F3463" s="22">
        <v>45434.4444444445</v>
      </c>
      <c r="G3463" s="22">
        <v>45434.4513888889</v>
      </c>
      <c r="H3463" s="23">
        <v>20.13</v>
      </c>
      <c r="I3463" s="23">
        <v>0</v>
      </c>
      <c r="J3463" s="24">
        <v>0</v>
      </c>
      <c r="K3463" s="21">
        <v>0</v>
      </c>
      <c r="L3463" s="21">
        <v>0</v>
      </c>
      <c r="M3463" s="21">
        <f>COUNTIF($A$2:$A$5481,A3463)</f>
        <v>3</v>
      </c>
      <c r="N3463" s="24">
        <f t="shared" si="54"/>
        <v>0.0003463</v>
      </c>
    </row>
    <row r="3464" spans="1:14">
      <c r="A3464" s="21" t="s">
        <v>3409</v>
      </c>
      <c r="B3464" s="21" t="s">
        <v>26</v>
      </c>
      <c r="C3464" s="21" t="s">
        <v>414</v>
      </c>
      <c r="D3464" s="21" t="s">
        <v>921</v>
      </c>
      <c r="E3464" s="21">
        <v>16</v>
      </c>
      <c r="F3464" s="22">
        <v>46138.5798611111</v>
      </c>
      <c r="G3464" s="22"/>
      <c r="H3464" s="23">
        <v>323.52</v>
      </c>
      <c r="I3464" s="23">
        <v>20.22</v>
      </c>
      <c r="J3464" s="24">
        <v>323.52</v>
      </c>
      <c r="K3464" s="21">
        <v>0</v>
      </c>
      <c r="L3464" s="21">
        <v>0</v>
      </c>
      <c r="M3464" s="21">
        <f>COUNTIF($A$2:$A$5481,A3464)</f>
        <v>3</v>
      </c>
      <c r="N3464" s="24">
        <f t="shared" si="54"/>
        <v>323.5203464</v>
      </c>
    </row>
    <row r="3465" spans="1:14">
      <c r="A3465" s="21" t="s">
        <v>3410</v>
      </c>
      <c r="B3465" s="21" t="s">
        <v>929</v>
      </c>
      <c r="C3465" s="21" t="s">
        <v>26</v>
      </c>
      <c r="D3465" s="21" t="s">
        <v>921</v>
      </c>
      <c r="E3465" s="21">
        <v>2</v>
      </c>
      <c r="F3465" s="22">
        <v>46253.4041666667</v>
      </c>
      <c r="G3465" s="22"/>
      <c r="H3465" s="23">
        <v>58.42</v>
      </c>
      <c r="I3465" s="23">
        <v>29.21</v>
      </c>
      <c r="J3465" s="24">
        <v>58.42</v>
      </c>
      <c r="K3465" s="21">
        <v>0</v>
      </c>
      <c r="L3465" s="21">
        <v>0</v>
      </c>
      <c r="M3465" s="21">
        <f>COUNTIF($A$2:$A$5481,A3465)</f>
        <v>1</v>
      </c>
      <c r="N3465" s="24">
        <f t="shared" si="54"/>
        <v>58.4203465</v>
      </c>
    </row>
    <row r="3466" spans="1:14">
      <c r="A3466" s="21" t="s">
        <v>3411</v>
      </c>
      <c r="B3466" s="21" t="s">
        <v>26</v>
      </c>
      <c r="C3466" s="21" t="s">
        <v>26</v>
      </c>
      <c r="D3466" s="21" t="s">
        <v>921</v>
      </c>
      <c r="E3466" s="21">
        <v>2</v>
      </c>
      <c r="F3466" s="22">
        <v>45562.4345717593</v>
      </c>
      <c r="G3466" s="22"/>
      <c r="H3466" s="23">
        <v>103.64</v>
      </c>
      <c r="I3466" s="23">
        <v>51.82</v>
      </c>
      <c r="J3466" s="24">
        <v>103.64</v>
      </c>
      <c r="K3466" s="21">
        <v>0</v>
      </c>
      <c r="L3466" s="21">
        <v>0</v>
      </c>
      <c r="M3466" s="21">
        <f>COUNTIF($A$2:$A$5481,A3466)</f>
        <v>1</v>
      </c>
      <c r="N3466" s="24">
        <f t="shared" si="54"/>
        <v>103.6403466</v>
      </c>
    </row>
    <row r="3467" spans="1:14">
      <c r="A3467" s="21" t="s">
        <v>3412</v>
      </c>
      <c r="B3467" s="21" t="s">
        <v>26</v>
      </c>
      <c r="C3467" s="21" t="s">
        <v>182</v>
      </c>
      <c r="D3467" s="21" t="s">
        <v>921</v>
      </c>
      <c r="E3467" s="21">
        <v>2</v>
      </c>
      <c r="F3467" s="22">
        <v>45434.3576388889</v>
      </c>
      <c r="G3467" s="22"/>
      <c r="H3467" s="23">
        <v>21.32</v>
      </c>
      <c r="I3467" s="23">
        <v>10.66</v>
      </c>
      <c r="J3467" s="24">
        <v>21.32</v>
      </c>
      <c r="K3467" s="21">
        <v>0</v>
      </c>
      <c r="L3467" s="21">
        <v>0</v>
      </c>
      <c r="M3467" s="21">
        <f>COUNTIF($A$2:$A$5481,A3467)</f>
        <v>2</v>
      </c>
      <c r="N3467" s="24">
        <f t="shared" si="54"/>
        <v>21.3203467</v>
      </c>
    </row>
    <row r="3468" spans="1:14">
      <c r="A3468" s="21" t="s">
        <v>3412</v>
      </c>
      <c r="B3468" s="21" t="s">
        <v>26</v>
      </c>
      <c r="C3468" s="21" t="s">
        <v>26</v>
      </c>
      <c r="D3468" s="21" t="s">
        <v>921</v>
      </c>
      <c r="E3468" s="21">
        <v>1</v>
      </c>
      <c r="F3468" s="22">
        <v>45708.5653587963</v>
      </c>
      <c r="G3468" s="22"/>
      <c r="H3468" s="23">
        <v>138.71</v>
      </c>
      <c r="I3468" s="23">
        <v>138.71</v>
      </c>
      <c r="J3468" s="24">
        <v>138.71</v>
      </c>
      <c r="K3468" s="21">
        <v>0</v>
      </c>
      <c r="L3468" s="21">
        <v>0</v>
      </c>
      <c r="M3468" s="21">
        <f>COUNTIF($A$2:$A$5481,A3468)</f>
        <v>2</v>
      </c>
      <c r="N3468" s="24">
        <f t="shared" si="54"/>
        <v>138.7103468</v>
      </c>
    </row>
    <row r="3469" spans="1:14">
      <c r="A3469" s="21" t="s">
        <v>3413</v>
      </c>
      <c r="B3469" s="21" t="s">
        <v>26</v>
      </c>
      <c r="C3469" s="21" t="s">
        <v>26</v>
      </c>
      <c r="D3469" s="21" t="s">
        <v>921</v>
      </c>
      <c r="E3469" s="21">
        <v>2</v>
      </c>
      <c r="F3469" s="22">
        <v>45482.4497800926</v>
      </c>
      <c r="G3469" s="22"/>
      <c r="H3469" s="23">
        <v>53.12</v>
      </c>
      <c r="I3469" s="23">
        <v>26.56</v>
      </c>
      <c r="J3469" s="24">
        <v>53.12</v>
      </c>
      <c r="K3469" s="21">
        <v>0</v>
      </c>
      <c r="L3469" s="21">
        <v>0</v>
      </c>
      <c r="M3469" s="21">
        <f>COUNTIF($A$2:$A$5481,A3469)</f>
        <v>1</v>
      </c>
      <c r="N3469" s="24">
        <f t="shared" si="54"/>
        <v>53.1203469</v>
      </c>
    </row>
    <row r="3470" spans="1:14">
      <c r="A3470" s="21" t="s">
        <v>3414</v>
      </c>
      <c r="B3470" s="21" t="s">
        <v>920</v>
      </c>
      <c r="C3470" s="21" t="s">
        <v>26</v>
      </c>
      <c r="D3470" s="21" t="s">
        <v>931</v>
      </c>
      <c r="E3470" s="21">
        <v>10</v>
      </c>
      <c r="F3470" s="22">
        <v>45695.6692476852</v>
      </c>
      <c r="G3470" s="22"/>
      <c r="H3470" s="23">
        <v>155</v>
      </c>
      <c r="I3470" s="23">
        <v>15.5</v>
      </c>
      <c r="J3470" s="24">
        <v>155</v>
      </c>
      <c r="K3470" s="21">
        <v>0</v>
      </c>
      <c r="L3470" s="21">
        <v>0</v>
      </c>
      <c r="M3470" s="21">
        <f>COUNTIF($A$2:$A$5481,A3470)</f>
        <v>2</v>
      </c>
      <c r="N3470" s="24">
        <f t="shared" si="54"/>
        <v>155.000347</v>
      </c>
    </row>
    <row r="3471" spans="1:14">
      <c r="A3471" s="21" t="s">
        <v>3414</v>
      </c>
      <c r="B3471" s="21" t="s">
        <v>920</v>
      </c>
      <c r="C3471" s="21" t="s">
        <v>35</v>
      </c>
      <c r="D3471" s="21" t="s">
        <v>931</v>
      </c>
      <c r="E3471" s="21">
        <v>33</v>
      </c>
      <c r="F3471" s="22">
        <v>46059.7185416667</v>
      </c>
      <c r="G3471" s="22"/>
      <c r="H3471" s="23">
        <v>370</v>
      </c>
      <c r="I3471" s="23">
        <v>17.3181818182</v>
      </c>
      <c r="J3471" s="24">
        <v>571.56</v>
      </c>
      <c r="K3471" s="21">
        <v>0</v>
      </c>
      <c r="L3471" s="21">
        <v>0</v>
      </c>
      <c r="M3471" s="21">
        <f>COUNTIF($A$2:$A$5481,A3471)</f>
        <v>2</v>
      </c>
      <c r="N3471" s="24">
        <f t="shared" si="54"/>
        <v>571.5603471</v>
      </c>
    </row>
    <row r="3472" spans="1:14">
      <c r="A3472" s="21" t="s">
        <v>3415</v>
      </c>
      <c r="B3472" s="21" t="s">
        <v>920</v>
      </c>
      <c r="C3472" s="21" t="s">
        <v>26</v>
      </c>
      <c r="D3472" s="21" t="s">
        <v>931</v>
      </c>
      <c r="E3472" s="21">
        <v>60</v>
      </c>
      <c r="F3472" s="22">
        <v>45695.6692476852</v>
      </c>
      <c r="G3472" s="22"/>
      <c r="H3472" s="23">
        <v>1110</v>
      </c>
      <c r="I3472" s="23">
        <v>18.5</v>
      </c>
      <c r="J3472" s="24">
        <v>1110</v>
      </c>
      <c r="K3472" s="21">
        <v>0</v>
      </c>
      <c r="L3472" s="21">
        <v>0</v>
      </c>
      <c r="M3472" s="21">
        <f>COUNTIF($A$2:$A$5481,A3472)</f>
        <v>2</v>
      </c>
      <c r="N3472" s="24">
        <f t="shared" si="54"/>
        <v>1110.0003472</v>
      </c>
    </row>
    <row r="3473" spans="1:14">
      <c r="A3473" s="21" t="s">
        <v>3415</v>
      </c>
      <c r="B3473" s="21" t="s">
        <v>920</v>
      </c>
      <c r="C3473" s="21" t="s">
        <v>35</v>
      </c>
      <c r="D3473" s="21" t="s">
        <v>931</v>
      </c>
      <c r="E3473" s="21">
        <v>140</v>
      </c>
      <c r="F3473" s="22">
        <v>46059.7185416667</v>
      </c>
      <c r="G3473" s="22"/>
      <c r="H3473" s="23">
        <v>1480</v>
      </c>
      <c r="I3473" s="23">
        <v>18.5</v>
      </c>
      <c r="J3473" s="24">
        <v>2590</v>
      </c>
      <c r="K3473" s="21">
        <v>0</v>
      </c>
      <c r="L3473" s="21">
        <v>0</v>
      </c>
      <c r="M3473" s="21">
        <f>COUNTIF($A$2:$A$5481,A3473)</f>
        <v>2</v>
      </c>
      <c r="N3473" s="24">
        <f t="shared" si="54"/>
        <v>2590.0003473</v>
      </c>
    </row>
    <row r="3474" spans="1:14">
      <c r="A3474" s="21" t="s">
        <v>3416</v>
      </c>
      <c r="B3474" s="21" t="s">
        <v>1115</v>
      </c>
      <c r="C3474" s="21" t="s">
        <v>51</v>
      </c>
      <c r="D3474" s="21" t="s">
        <v>931</v>
      </c>
      <c r="E3474" s="21">
        <v>1</v>
      </c>
      <c r="F3474" s="22">
        <v>45790.4134606482</v>
      </c>
      <c r="G3474" s="22"/>
      <c r="H3474" s="23">
        <v>772.5</v>
      </c>
      <c r="I3474" s="23">
        <v>772.5</v>
      </c>
      <c r="J3474" s="24">
        <v>772.5</v>
      </c>
      <c r="K3474" s="21">
        <v>0</v>
      </c>
      <c r="L3474" s="21">
        <v>0</v>
      </c>
      <c r="M3474" s="21">
        <f>COUNTIF($A$2:$A$5481,A3474)</f>
        <v>1</v>
      </c>
      <c r="N3474" s="24">
        <f t="shared" si="54"/>
        <v>772.5003474</v>
      </c>
    </row>
    <row r="3475" spans="1:14">
      <c r="A3475" s="21" t="s">
        <v>3417</v>
      </c>
      <c r="B3475" s="21" t="s">
        <v>929</v>
      </c>
      <c r="C3475" s="21" t="s">
        <v>26</v>
      </c>
      <c r="D3475" s="21" t="s">
        <v>921</v>
      </c>
      <c r="E3475" s="21">
        <v>1</v>
      </c>
      <c r="F3475" s="22">
        <v>46001.3631712963</v>
      </c>
      <c r="G3475" s="22"/>
      <c r="H3475" s="23">
        <v>35.9</v>
      </c>
      <c r="I3475" s="23">
        <v>35.9</v>
      </c>
      <c r="J3475" s="24">
        <v>35.9</v>
      </c>
      <c r="K3475" s="21">
        <v>0</v>
      </c>
      <c r="L3475" s="21">
        <v>0</v>
      </c>
      <c r="M3475" s="21">
        <f>COUNTIF($A$2:$A$5481,A3475)</f>
        <v>1</v>
      </c>
      <c r="N3475" s="24">
        <f t="shared" si="54"/>
        <v>35.9003475</v>
      </c>
    </row>
    <row r="3476" spans="1:14">
      <c r="A3476" s="21" t="s">
        <v>3418</v>
      </c>
      <c r="B3476" s="21" t="s">
        <v>929</v>
      </c>
      <c r="C3476" s="21" t="s">
        <v>414</v>
      </c>
      <c r="D3476" s="21" t="s">
        <v>921</v>
      </c>
      <c r="E3476" s="21">
        <v>0</v>
      </c>
      <c r="F3476" s="22">
        <v>45308.68125</v>
      </c>
      <c r="G3476" s="22">
        <v>45310.4120486111</v>
      </c>
      <c r="H3476" s="23">
        <v>95.38</v>
      </c>
      <c r="I3476" s="23">
        <v>47.69</v>
      </c>
      <c r="J3476" s="24">
        <v>0</v>
      </c>
      <c r="K3476" s="21">
        <v>0</v>
      </c>
      <c r="L3476" s="21">
        <v>0</v>
      </c>
      <c r="M3476" s="21">
        <f>COUNTIF($A$2:$A$5481,A3476)</f>
        <v>2</v>
      </c>
      <c r="N3476" s="24">
        <f t="shared" si="54"/>
        <v>0.0003476</v>
      </c>
    </row>
    <row r="3477" spans="1:14">
      <c r="A3477" s="21" t="s">
        <v>3418</v>
      </c>
      <c r="B3477" s="21" t="s">
        <v>929</v>
      </c>
      <c r="C3477" s="21" t="s">
        <v>26</v>
      </c>
      <c r="D3477" s="21" t="s">
        <v>921</v>
      </c>
      <c r="E3477" s="21">
        <v>2</v>
      </c>
      <c r="F3477" s="22">
        <v>46093.6966319445</v>
      </c>
      <c r="G3477" s="22"/>
      <c r="H3477" s="23">
        <v>96.24</v>
      </c>
      <c r="I3477" s="23">
        <v>48.12</v>
      </c>
      <c r="J3477" s="24">
        <v>96.24</v>
      </c>
      <c r="K3477" s="21">
        <v>0</v>
      </c>
      <c r="L3477" s="21">
        <v>0</v>
      </c>
      <c r="M3477" s="21">
        <f>COUNTIF($A$2:$A$5481,A3477)</f>
        <v>2</v>
      </c>
      <c r="N3477" s="24">
        <f t="shared" si="54"/>
        <v>96.2403477</v>
      </c>
    </row>
    <row r="3478" spans="1:14">
      <c r="A3478" s="21" t="s">
        <v>3419</v>
      </c>
      <c r="B3478" s="21" t="s">
        <v>929</v>
      </c>
      <c r="C3478" s="21" t="s">
        <v>26</v>
      </c>
      <c r="D3478" s="21" t="s">
        <v>921</v>
      </c>
      <c r="E3478" s="21">
        <v>2</v>
      </c>
      <c r="F3478" s="22">
        <v>45365.4284722222</v>
      </c>
      <c r="G3478" s="22"/>
      <c r="H3478" s="23">
        <v>46.4</v>
      </c>
      <c r="I3478" s="23">
        <v>23.2</v>
      </c>
      <c r="J3478" s="24">
        <v>46.4</v>
      </c>
      <c r="K3478" s="21">
        <v>0</v>
      </c>
      <c r="L3478" s="21">
        <v>0</v>
      </c>
      <c r="M3478" s="21">
        <f>COUNTIF($A$2:$A$5481,A3478)</f>
        <v>1</v>
      </c>
      <c r="N3478" s="24">
        <f t="shared" si="54"/>
        <v>46.4003478</v>
      </c>
    </row>
    <row r="3479" spans="1:14">
      <c r="A3479" s="21" t="s">
        <v>3420</v>
      </c>
      <c r="B3479" s="21" t="s">
        <v>929</v>
      </c>
      <c r="C3479" s="21" t="s">
        <v>26</v>
      </c>
      <c r="D3479" s="21" t="s">
        <v>921</v>
      </c>
      <c r="E3479" s="21">
        <v>2</v>
      </c>
      <c r="F3479" s="22">
        <v>45365.4284722222</v>
      </c>
      <c r="G3479" s="22"/>
      <c r="H3479" s="23">
        <v>37.66</v>
      </c>
      <c r="I3479" s="23">
        <v>18.83</v>
      </c>
      <c r="J3479" s="24">
        <v>37.66</v>
      </c>
      <c r="K3479" s="21">
        <v>0</v>
      </c>
      <c r="L3479" s="21">
        <v>0</v>
      </c>
      <c r="M3479" s="21">
        <f>COUNTIF($A$2:$A$5481,A3479)</f>
        <v>1</v>
      </c>
      <c r="N3479" s="24">
        <f t="shared" si="54"/>
        <v>37.6603479</v>
      </c>
    </row>
    <row r="3480" spans="1:14">
      <c r="A3480" s="21" t="s">
        <v>3421</v>
      </c>
      <c r="B3480" s="21" t="s">
        <v>929</v>
      </c>
      <c r="C3480" s="21" t="s">
        <v>414</v>
      </c>
      <c r="D3480" s="21" t="s">
        <v>921</v>
      </c>
      <c r="E3480" s="21">
        <v>1</v>
      </c>
      <c r="F3480" s="22">
        <v>45398.8191319444</v>
      </c>
      <c r="G3480" s="22"/>
      <c r="H3480" s="23">
        <v>79.5</v>
      </c>
      <c r="I3480" s="23">
        <v>79.5</v>
      </c>
      <c r="J3480" s="24">
        <v>79.5</v>
      </c>
      <c r="K3480" s="21">
        <v>0</v>
      </c>
      <c r="L3480" s="21">
        <v>0</v>
      </c>
      <c r="M3480" s="21">
        <f>COUNTIF($A$2:$A$5481,A3480)</f>
        <v>1</v>
      </c>
      <c r="N3480" s="24">
        <f t="shared" si="54"/>
        <v>79.500348</v>
      </c>
    </row>
    <row r="3481" spans="1:14">
      <c r="A3481" s="21" t="s">
        <v>3422</v>
      </c>
      <c r="B3481" s="21" t="s">
        <v>929</v>
      </c>
      <c r="C3481" s="21" t="s">
        <v>547</v>
      </c>
      <c r="D3481" s="21" t="s">
        <v>921</v>
      </c>
      <c r="E3481" s="21">
        <v>0</v>
      </c>
      <c r="F3481" s="22">
        <v>45327.5800694445</v>
      </c>
      <c r="G3481" s="22">
        <v>45433.8566087963</v>
      </c>
      <c r="H3481" s="23">
        <v>42.2</v>
      </c>
      <c r="I3481" s="23">
        <v>42.2</v>
      </c>
      <c r="J3481" s="24">
        <v>0</v>
      </c>
      <c r="K3481" s="21">
        <v>0</v>
      </c>
      <c r="L3481" s="21">
        <v>0</v>
      </c>
      <c r="M3481" s="21">
        <f>COUNTIF($A$2:$A$5481,A3481)</f>
        <v>2</v>
      </c>
      <c r="N3481" s="24">
        <f t="shared" si="54"/>
        <v>0.0003481</v>
      </c>
    </row>
    <row r="3482" spans="1:14">
      <c r="A3482" s="21" t="s">
        <v>3422</v>
      </c>
      <c r="B3482" s="21" t="s">
        <v>929</v>
      </c>
      <c r="C3482" s="21" t="s">
        <v>26</v>
      </c>
      <c r="D3482" s="21" t="s">
        <v>921</v>
      </c>
      <c r="E3482" s="21">
        <v>6</v>
      </c>
      <c r="F3482" s="22">
        <v>45527.3571180556</v>
      </c>
      <c r="G3482" s="22"/>
      <c r="H3482" s="23">
        <v>215.04</v>
      </c>
      <c r="I3482" s="23">
        <v>35.84</v>
      </c>
      <c r="J3482" s="24">
        <v>215.04</v>
      </c>
      <c r="K3482" s="21">
        <v>0</v>
      </c>
      <c r="L3482" s="21">
        <v>0</v>
      </c>
      <c r="M3482" s="21">
        <f>COUNTIF($A$2:$A$5481,A3482)</f>
        <v>2</v>
      </c>
      <c r="N3482" s="24">
        <f t="shared" si="54"/>
        <v>215.0403482</v>
      </c>
    </row>
    <row r="3483" spans="1:14">
      <c r="A3483" s="21" t="s">
        <v>3423</v>
      </c>
      <c r="B3483" s="21" t="s">
        <v>929</v>
      </c>
      <c r="C3483" s="21" t="s">
        <v>26</v>
      </c>
      <c r="D3483" s="21" t="s">
        <v>921</v>
      </c>
      <c r="E3483" s="21">
        <v>1</v>
      </c>
      <c r="F3483" s="22">
        <v>46238.5636689815</v>
      </c>
      <c r="G3483" s="22"/>
      <c r="H3483" s="23">
        <v>68.78</v>
      </c>
      <c r="I3483" s="23">
        <v>68.78</v>
      </c>
      <c r="J3483" s="24">
        <v>68.78</v>
      </c>
      <c r="K3483" s="21">
        <v>0</v>
      </c>
      <c r="L3483" s="21">
        <v>0</v>
      </c>
      <c r="M3483" s="21">
        <f>COUNTIF($A$2:$A$5481,A3483)</f>
        <v>1</v>
      </c>
      <c r="N3483" s="24">
        <f t="shared" si="54"/>
        <v>68.7803483</v>
      </c>
    </row>
    <row r="3484" spans="1:14">
      <c r="A3484" s="21" t="s">
        <v>3424</v>
      </c>
      <c r="B3484" s="21" t="s">
        <v>26</v>
      </c>
      <c r="C3484" s="21" t="s">
        <v>26</v>
      </c>
      <c r="D3484" s="21" t="s">
        <v>921</v>
      </c>
      <c r="E3484" s="21">
        <v>2</v>
      </c>
      <c r="F3484" s="22">
        <v>45559.3814814815</v>
      </c>
      <c r="G3484" s="22"/>
      <c r="H3484" s="23">
        <v>157.8</v>
      </c>
      <c r="I3484" s="23">
        <v>78.9</v>
      </c>
      <c r="J3484" s="24">
        <v>157.8</v>
      </c>
      <c r="K3484" s="21">
        <v>0</v>
      </c>
      <c r="L3484" s="21">
        <v>0</v>
      </c>
      <c r="M3484" s="21">
        <f>COUNTIF($A$2:$A$5481,A3484)</f>
        <v>1</v>
      </c>
      <c r="N3484" s="24">
        <f t="shared" si="54"/>
        <v>157.8003484</v>
      </c>
    </row>
    <row r="3485" spans="1:14">
      <c r="A3485" s="21" t="s">
        <v>3425</v>
      </c>
      <c r="B3485" s="21" t="s">
        <v>26</v>
      </c>
      <c r="C3485" s="21" t="s">
        <v>26</v>
      </c>
      <c r="D3485" s="21" t="s">
        <v>921</v>
      </c>
      <c r="E3485" s="21">
        <v>7</v>
      </c>
      <c r="F3485" s="22">
        <v>45559.4279861111</v>
      </c>
      <c r="G3485" s="22"/>
      <c r="H3485" s="23">
        <v>476.84</v>
      </c>
      <c r="I3485" s="23">
        <v>68.12</v>
      </c>
      <c r="J3485" s="24">
        <v>476.84</v>
      </c>
      <c r="K3485" s="21">
        <v>0</v>
      </c>
      <c r="L3485" s="21">
        <v>0</v>
      </c>
      <c r="M3485" s="21">
        <f>COUNTIF($A$2:$A$5481,A3485)</f>
        <v>1</v>
      </c>
      <c r="N3485" s="24">
        <f t="shared" si="54"/>
        <v>476.8403485</v>
      </c>
    </row>
    <row r="3486" spans="1:14">
      <c r="A3486" s="21" t="s">
        <v>3426</v>
      </c>
      <c r="B3486" s="21" t="s">
        <v>929</v>
      </c>
      <c r="C3486" s="21" t="s">
        <v>414</v>
      </c>
      <c r="D3486" s="21" t="s">
        <v>921</v>
      </c>
      <c r="E3486" s="21">
        <v>5</v>
      </c>
      <c r="F3486" s="22">
        <v>45341.8381944444</v>
      </c>
      <c r="G3486" s="22"/>
      <c r="H3486" s="23">
        <v>94.15</v>
      </c>
      <c r="I3486" s="23">
        <v>18.83</v>
      </c>
      <c r="J3486" s="24">
        <v>94.15</v>
      </c>
      <c r="K3486" s="21">
        <v>0</v>
      </c>
      <c r="L3486" s="21">
        <v>0</v>
      </c>
      <c r="M3486" s="21">
        <f>COUNTIF($A$2:$A$5481,A3486)</f>
        <v>1</v>
      </c>
      <c r="N3486" s="24">
        <f t="shared" si="54"/>
        <v>94.1503486</v>
      </c>
    </row>
    <row r="3487" spans="1:14">
      <c r="A3487" s="21" t="s">
        <v>3427</v>
      </c>
      <c r="B3487" s="21" t="s">
        <v>1175</v>
      </c>
      <c r="C3487" s="21" t="s">
        <v>26</v>
      </c>
      <c r="D3487" s="21" t="s">
        <v>931</v>
      </c>
      <c r="E3487" s="21">
        <v>5</v>
      </c>
      <c r="F3487" s="22">
        <v>45733.4887615741</v>
      </c>
      <c r="G3487" s="22"/>
      <c r="H3487" s="23">
        <v>1245</v>
      </c>
      <c r="I3487" s="23">
        <v>249</v>
      </c>
      <c r="J3487" s="24">
        <v>1245</v>
      </c>
      <c r="K3487" s="21">
        <v>0</v>
      </c>
      <c r="L3487" s="21">
        <v>0</v>
      </c>
      <c r="M3487" s="21">
        <f>COUNTIF($A$2:$A$5481,A3487)</f>
        <v>1</v>
      </c>
      <c r="N3487" s="24">
        <f t="shared" si="54"/>
        <v>1245.0003487</v>
      </c>
    </row>
    <row r="3488" spans="1:14">
      <c r="A3488" s="21" t="s">
        <v>3428</v>
      </c>
      <c r="B3488" s="21" t="s">
        <v>26</v>
      </c>
      <c r="C3488" s="21" t="s">
        <v>26</v>
      </c>
      <c r="D3488" s="21" t="s">
        <v>921</v>
      </c>
      <c r="E3488" s="21">
        <v>4</v>
      </c>
      <c r="F3488" s="22">
        <v>46073.3593402778</v>
      </c>
      <c r="G3488" s="22"/>
      <c r="H3488" s="23">
        <v>214.44</v>
      </c>
      <c r="I3488" s="23">
        <v>53.61</v>
      </c>
      <c r="J3488" s="24">
        <v>214.44</v>
      </c>
      <c r="K3488" s="21">
        <v>0</v>
      </c>
      <c r="L3488" s="21">
        <v>0</v>
      </c>
      <c r="M3488" s="21">
        <f>COUNTIF($A$2:$A$5481,A3488)</f>
        <v>1</v>
      </c>
      <c r="N3488" s="24">
        <f t="shared" si="54"/>
        <v>214.4403488</v>
      </c>
    </row>
    <row r="3489" spans="1:14">
      <c r="A3489" s="21" t="s">
        <v>3429</v>
      </c>
      <c r="B3489" s="21" t="s">
        <v>26</v>
      </c>
      <c r="C3489" s="21" t="s">
        <v>26</v>
      </c>
      <c r="D3489" s="21" t="s">
        <v>921</v>
      </c>
      <c r="E3489" s="21">
        <v>4</v>
      </c>
      <c r="F3489" s="22">
        <v>46073.3593402778</v>
      </c>
      <c r="G3489" s="22"/>
      <c r="H3489" s="23">
        <v>163.16</v>
      </c>
      <c r="I3489" s="23">
        <v>40.79</v>
      </c>
      <c r="J3489" s="24">
        <v>163.16</v>
      </c>
      <c r="K3489" s="21">
        <v>0</v>
      </c>
      <c r="L3489" s="21">
        <v>0</v>
      </c>
      <c r="M3489" s="21">
        <f>COUNTIF($A$2:$A$5481,A3489)</f>
        <v>1</v>
      </c>
      <c r="N3489" s="24">
        <f t="shared" si="54"/>
        <v>163.1603489</v>
      </c>
    </row>
    <row r="3490" spans="1:14">
      <c r="A3490" s="21" t="s">
        <v>3430</v>
      </c>
      <c r="B3490" s="21" t="s">
        <v>1510</v>
      </c>
      <c r="C3490" s="21" t="s">
        <v>35</v>
      </c>
      <c r="D3490" s="21" t="s">
        <v>921</v>
      </c>
      <c r="E3490" s="21">
        <v>2</v>
      </c>
      <c r="F3490" s="22">
        <v>45680.3609722222</v>
      </c>
      <c r="G3490" s="22"/>
      <c r="H3490" s="23">
        <v>240</v>
      </c>
      <c r="I3490" s="23">
        <v>120</v>
      </c>
      <c r="J3490" s="24">
        <v>240</v>
      </c>
      <c r="K3490" s="21">
        <v>0</v>
      </c>
      <c r="L3490" s="21">
        <v>0</v>
      </c>
      <c r="M3490" s="21">
        <f>COUNTIF($A$2:$A$5481,A3490)</f>
        <v>2</v>
      </c>
      <c r="N3490" s="24">
        <f t="shared" si="54"/>
        <v>240.000349</v>
      </c>
    </row>
    <row r="3491" spans="1:14">
      <c r="A3491" s="21" t="s">
        <v>3430</v>
      </c>
      <c r="B3491" s="21" t="s">
        <v>1510</v>
      </c>
      <c r="C3491" s="21" t="s">
        <v>390</v>
      </c>
      <c r="D3491" s="21" t="s">
        <v>921</v>
      </c>
      <c r="E3491" s="21">
        <v>4</v>
      </c>
      <c r="F3491" s="22">
        <v>46134.3965277778</v>
      </c>
      <c r="G3491" s="22"/>
      <c r="H3491" s="23">
        <v>144</v>
      </c>
      <c r="I3491" s="23">
        <v>144.75</v>
      </c>
      <c r="J3491" s="24">
        <v>579</v>
      </c>
      <c r="K3491" s="21">
        <v>0</v>
      </c>
      <c r="L3491" s="21">
        <v>0</v>
      </c>
      <c r="M3491" s="21">
        <f>COUNTIF($A$2:$A$5481,A3491)</f>
        <v>2</v>
      </c>
      <c r="N3491" s="24">
        <f t="shared" si="54"/>
        <v>579.0003491</v>
      </c>
    </row>
    <row r="3492" spans="1:14">
      <c r="A3492" s="21" t="s">
        <v>3431</v>
      </c>
      <c r="B3492" s="21" t="s">
        <v>26</v>
      </c>
      <c r="C3492" s="21" t="s">
        <v>26</v>
      </c>
      <c r="D3492" s="21" t="s">
        <v>921</v>
      </c>
      <c r="E3492" s="21">
        <v>2</v>
      </c>
      <c r="F3492" s="22">
        <v>45646.4635069444</v>
      </c>
      <c r="G3492" s="22"/>
      <c r="H3492" s="23">
        <v>240</v>
      </c>
      <c r="I3492" s="23">
        <v>120</v>
      </c>
      <c r="J3492" s="24">
        <v>240</v>
      </c>
      <c r="K3492" s="21">
        <v>0</v>
      </c>
      <c r="L3492" s="21">
        <v>0</v>
      </c>
      <c r="M3492" s="21">
        <f>COUNTIF($A$2:$A$5481,A3492)</f>
        <v>1</v>
      </c>
      <c r="N3492" s="24">
        <f t="shared" si="54"/>
        <v>240.0003492</v>
      </c>
    </row>
    <row r="3493" spans="1:14">
      <c r="A3493" s="21" t="s">
        <v>3432</v>
      </c>
      <c r="B3493" s="21" t="s">
        <v>920</v>
      </c>
      <c r="C3493" s="21" t="s">
        <v>26</v>
      </c>
      <c r="D3493" s="21" t="s">
        <v>921</v>
      </c>
      <c r="E3493" s="21">
        <v>10</v>
      </c>
      <c r="F3493" s="22">
        <v>45526.4375810185</v>
      </c>
      <c r="G3493" s="22"/>
      <c r="H3493" s="23">
        <v>29.9</v>
      </c>
      <c r="I3493" s="23">
        <v>2.99</v>
      </c>
      <c r="J3493" s="24">
        <v>29.9</v>
      </c>
      <c r="K3493" s="21">
        <v>0</v>
      </c>
      <c r="L3493" s="21">
        <v>0</v>
      </c>
      <c r="M3493" s="21">
        <f>COUNTIF($A$2:$A$5481,A3493)</f>
        <v>1</v>
      </c>
      <c r="N3493" s="24">
        <f t="shared" si="54"/>
        <v>29.9003493</v>
      </c>
    </row>
    <row r="3494" spans="1:14">
      <c r="A3494" s="21" t="s">
        <v>3433</v>
      </c>
      <c r="B3494" s="21" t="s">
        <v>26</v>
      </c>
      <c r="C3494" s="21" t="s">
        <v>26</v>
      </c>
      <c r="D3494" s="21" t="s">
        <v>921</v>
      </c>
      <c r="E3494" s="21">
        <v>1</v>
      </c>
      <c r="F3494" s="22">
        <v>45576.3458796296</v>
      </c>
      <c r="G3494" s="22"/>
      <c r="H3494" s="23">
        <v>240</v>
      </c>
      <c r="I3494" s="23">
        <v>240</v>
      </c>
      <c r="J3494" s="24">
        <v>240</v>
      </c>
      <c r="K3494" s="21">
        <v>0</v>
      </c>
      <c r="L3494" s="21">
        <v>0</v>
      </c>
      <c r="M3494" s="21">
        <f>COUNTIF($A$2:$A$5481,A3494)</f>
        <v>1</v>
      </c>
      <c r="N3494" s="24">
        <f t="shared" si="54"/>
        <v>240.0003494</v>
      </c>
    </row>
    <row r="3495" spans="1:14">
      <c r="A3495" s="21" t="s">
        <v>3434</v>
      </c>
      <c r="B3495" s="21" t="s">
        <v>920</v>
      </c>
      <c r="C3495" s="21" t="s">
        <v>35</v>
      </c>
      <c r="D3495" s="21" t="s">
        <v>921</v>
      </c>
      <c r="E3495" s="21">
        <v>2</v>
      </c>
      <c r="F3495" s="22">
        <v>45299.8298148148</v>
      </c>
      <c r="G3495" s="22"/>
      <c r="H3495" s="23">
        <v>460</v>
      </c>
      <c r="I3495" s="23">
        <v>230</v>
      </c>
      <c r="J3495" s="24">
        <v>460</v>
      </c>
      <c r="K3495" s="21">
        <v>1</v>
      </c>
      <c r="L3495" s="21">
        <v>5</v>
      </c>
      <c r="M3495" s="21">
        <f>COUNTIF($A$2:$A$5481,A3495)</f>
        <v>2</v>
      </c>
      <c r="N3495" s="24">
        <f t="shared" si="54"/>
        <v>460.0003495</v>
      </c>
    </row>
    <row r="3496" spans="1:14">
      <c r="A3496" s="21" t="s">
        <v>3434</v>
      </c>
      <c r="B3496" s="21" t="s">
        <v>920</v>
      </c>
      <c r="C3496" s="21" t="s">
        <v>390</v>
      </c>
      <c r="D3496" s="21" t="s">
        <v>921</v>
      </c>
      <c r="E3496" s="21">
        <v>1</v>
      </c>
      <c r="F3496" s="22">
        <v>46134.3965277778</v>
      </c>
      <c r="G3496" s="22"/>
      <c r="H3496" s="23">
        <v>241</v>
      </c>
      <c r="I3496" s="23">
        <v>241</v>
      </c>
      <c r="J3496" s="24">
        <v>241</v>
      </c>
      <c r="K3496" s="21">
        <v>1</v>
      </c>
      <c r="L3496" s="21">
        <v>5</v>
      </c>
      <c r="M3496" s="21">
        <f>COUNTIF($A$2:$A$5481,A3496)</f>
        <v>2</v>
      </c>
      <c r="N3496" s="24">
        <f t="shared" si="54"/>
        <v>241.0003496</v>
      </c>
    </row>
    <row r="3497" spans="1:14">
      <c r="A3497" s="21" t="s">
        <v>3435</v>
      </c>
      <c r="B3497" s="21" t="s">
        <v>920</v>
      </c>
      <c r="C3497" s="21" t="s">
        <v>26</v>
      </c>
      <c r="D3497" s="21" t="s">
        <v>921</v>
      </c>
      <c r="E3497" s="21">
        <v>135</v>
      </c>
      <c r="F3497" s="22">
        <v>46108.5424074074</v>
      </c>
      <c r="G3497" s="22"/>
      <c r="H3497" s="23">
        <v>814.05</v>
      </c>
      <c r="I3497" s="23">
        <v>6.03</v>
      </c>
      <c r="J3497" s="24">
        <v>814.05</v>
      </c>
      <c r="K3497" s="21">
        <v>0</v>
      </c>
      <c r="L3497" s="21">
        <v>0</v>
      </c>
      <c r="M3497" s="21">
        <f>COUNTIF($A$2:$A$5481,A3497)</f>
        <v>1</v>
      </c>
      <c r="N3497" s="24">
        <f t="shared" si="54"/>
        <v>814.0503497</v>
      </c>
    </row>
    <row r="3498" spans="1:14">
      <c r="A3498" s="21" t="s">
        <v>3436</v>
      </c>
      <c r="B3498" s="21" t="s">
        <v>26</v>
      </c>
      <c r="C3498" s="21" t="s">
        <v>26</v>
      </c>
      <c r="D3498" s="21" t="s">
        <v>921</v>
      </c>
      <c r="E3498" s="21">
        <v>100</v>
      </c>
      <c r="F3498" s="22">
        <v>45595.8369212963</v>
      </c>
      <c r="G3498" s="22"/>
      <c r="H3498" s="23">
        <v>514</v>
      </c>
      <c r="I3498" s="23">
        <v>5.14</v>
      </c>
      <c r="J3498" s="24">
        <v>514</v>
      </c>
      <c r="K3498" s="21">
        <v>0</v>
      </c>
      <c r="L3498" s="21">
        <v>0</v>
      </c>
      <c r="M3498" s="21">
        <f>COUNTIF($A$2:$A$5481,A3498)</f>
        <v>1</v>
      </c>
      <c r="N3498" s="24">
        <f t="shared" si="54"/>
        <v>514.0003498</v>
      </c>
    </row>
    <row r="3499" spans="1:14">
      <c r="A3499" s="21" t="s">
        <v>3437</v>
      </c>
      <c r="B3499" s="21" t="s">
        <v>920</v>
      </c>
      <c r="C3499" s="21" t="s">
        <v>26</v>
      </c>
      <c r="D3499" s="21" t="s">
        <v>921</v>
      </c>
      <c r="E3499" s="21">
        <v>90</v>
      </c>
      <c r="F3499" s="22">
        <v>46108.5424074074</v>
      </c>
      <c r="G3499" s="22"/>
      <c r="H3499" s="23">
        <v>817.2</v>
      </c>
      <c r="I3499" s="23">
        <v>9.08</v>
      </c>
      <c r="J3499" s="24">
        <v>817.2</v>
      </c>
      <c r="K3499" s="21">
        <v>0</v>
      </c>
      <c r="L3499" s="21">
        <v>0</v>
      </c>
      <c r="M3499" s="21">
        <f>COUNTIF($A$2:$A$5481,A3499)</f>
        <v>1</v>
      </c>
      <c r="N3499" s="24">
        <f t="shared" si="54"/>
        <v>817.2003499</v>
      </c>
    </row>
    <row r="3500" spans="1:14">
      <c r="A3500" s="21" t="s">
        <v>3438</v>
      </c>
      <c r="B3500" s="21" t="s">
        <v>920</v>
      </c>
      <c r="C3500" s="21" t="s">
        <v>35</v>
      </c>
      <c r="D3500" s="21" t="s">
        <v>931</v>
      </c>
      <c r="E3500" s="21">
        <v>2</v>
      </c>
      <c r="F3500" s="22">
        <v>45601.6769560185</v>
      </c>
      <c r="G3500" s="22"/>
      <c r="H3500" s="23">
        <v>420</v>
      </c>
      <c r="I3500" s="23">
        <v>210</v>
      </c>
      <c r="J3500" s="24">
        <v>420</v>
      </c>
      <c r="K3500" s="21">
        <v>0</v>
      </c>
      <c r="L3500" s="21">
        <v>0</v>
      </c>
      <c r="M3500" s="21">
        <f>COUNTIF($A$2:$A$5481,A3500)</f>
        <v>1</v>
      </c>
      <c r="N3500" s="24">
        <f t="shared" si="54"/>
        <v>420.00035</v>
      </c>
    </row>
    <row r="3501" spans="1:14">
      <c r="A3501" s="21" t="s">
        <v>3439</v>
      </c>
      <c r="B3501" s="21" t="s">
        <v>929</v>
      </c>
      <c r="C3501" s="21" t="s">
        <v>414</v>
      </c>
      <c r="D3501" s="21" t="s">
        <v>921</v>
      </c>
      <c r="E3501" s="21">
        <v>10</v>
      </c>
      <c r="F3501" s="22">
        <v>45355.570150463</v>
      </c>
      <c r="G3501" s="22"/>
      <c r="H3501" s="23">
        <v>116.5</v>
      </c>
      <c r="I3501" s="23">
        <v>11.65</v>
      </c>
      <c r="J3501" s="24">
        <v>116.5</v>
      </c>
      <c r="K3501" s="21">
        <v>1</v>
      </c>
      <c r="L3501" s="21">
        <v>100</v>
      </c>
      <c r="M3501" s="21">
        <f>COUNTIF($A$2:$A$5481,A3501)</f>
        <v>2</v>
      </c>
      <c r="N3501" s="24">
        <f t="shared" si="54"/>
        <v>116.5003501</v>
      </c>
    </row>
    <row r="3502" spans="1:14">
      <c r="A3502" s="21" t="s">
        <v>3439</v>
      </c>
      <c r="B3502" s="21" t="s">
        <v>929</v>
      </c>
      <c r="C3502" s="21" t="s">
        <v>26</v>
      </c>
      <c r="D3502" s="21" t="s">
        <v>921</v>
      </c>
      <c r="E3502" s="21">
        <v>33</v>
      </c>
      <c r="F3502" s="22">
        <v>46099.3736111111</v>
      </c>
      <c r="G3502" s="22"/>
      <c r="H3502" s="23">
        <v>54.44</v>
      </c>
      <c r="I3502" s="23">
        <v>13.3906060606</v>
      </c>
      <c r="J3502" s="24">
        <v>441.87</v>
      </c>
      <c r="K3502" s="21">
        <v>1</v>
      </c>
      <c r="L3502" s="21">
        <v>100</v>
      </c>
      <c r="M3502" s="21">
        <f>COUNTIF($A$2:$A$5481,A3502)</f>
        <v>2</v>
      </c>
      <c r="N3502" s="24">
        <f t="shared" si="54"/>
        <v>441.8703502</v>
      </c>
    </row>
    <row r="3503" spans="1:14">
      <c r="A3503" s="21" t="s">
        <v>3440</v>
      </c>
      <c r="B3503" s="21" t="s">
        <v>26</v>
      </c>
      <c r="C3503" s="21" t="s">
        <v>26</v>
      </c>
      <c r="D3503" s="21" t="s">
        <v>921</v>
      </c>
      <c r="E3503" s="21">
        <v>40</v>
      </c>
      <c r="F3503" s="22">
        <v>45939.6849189815</v>
      </c>
      <c r="G3503" s="22">
        <v>45841.4492361111</v>
      </c>
      <c r="H3503" s="23">
        <v>125</v>
      </c>
      <c r="I3503" s="23">
        <v>8.29370975</v>
      </c>
      <c r="J3503" s="24">
        <v>331.6</v>
      </c>
      <c r="K3503" s="21">
        <v>0</v>
      </c>
      <c r="L3503" s="21">
        <v>0</v>
      </c>
      <c r="M3503" s="21">
        <f>COUNTIF($A$2:$A$5481,A3503)</f>
        <v>1</v>
      </c>
      <c r="N3503" s="24">
        <f t="shared" si="54"/>
        <v>331.6003503</v>
      </c>
    </row>
    <row r="3504" spans="1:14">
      <c r="A3504" s="21" t="s">
        <v>3441</v>
      </c>
      <c r="B3504" s="21" t="s">
        <v>26</v>
      </c>
      <c r="C3504" s="21" t="s">
        <v>26</v>
      </c>
      <c r="D3504" s="21" t="s">
        <v>921</v>
      </c>
      <c r="E3504" s="21">
        <v>6</v>
      </c>
      <c r="F3504" s="22">
        <v>45671.3727546296</v>
      </c>
      <c r="G3504" s="22"/>
      <c r="H3504" s="23">
        <v>38.46</v>
      </c>
      <c r="I3504" s="23">
        <v>6.41</v>
      </c>
      <c r="J3504" s="24">
        <v>38.46</v>
      </c>
      <c r="K3504" s="21">
        <v>0</v>
      </c>
      <c r="L3504" s="21">
        <v>0</v>
      </c>
      <c r="M3504" s="21">
        <f>COUNTIF($A$2:$A$5481,A3504)</f>
        <v>1</v>
      </c>
      <c r="N3504" s="24">
        <f t="shared" si="54"/>
        <v>38.4603504</v>
      </c>
    </row>
    <row r="3505" spans="1:14">
      <c r="A3505" s="21" t="s">
        <v>3442</v>
      </c>
      <c r="B3505" s="21" t="s">
        <v>929</v>
      </c>
      <c r="C3505" s="21" t="s">
        <v>182</v>
      </c>
      <c r="D3505" s="21" t="s">
        <v>921</v>
      </c>
      <c r="E3505" s="21">
        <v>10</v>
      </c>
      <c r="F3505" s="22">
        <v>45303.7900925926</v>
      </c>
      <c r="G3505" s="22"/>
      <c r="H3505" s="23">
        <v>72.2</v>
      </c>
      <c r="I3505" s="23">
        <v>7.22</v>
      </c>
      <c r="J3505" s="24">
        <v>72.2</v>
      </c>
      <c r="K3505" s="21">
        <v>2</v>
      </c>
      <c r="L3505" s="21">
        <v>100</v>
      </c>
      <c r="M3505" s="21">
        <f>COUNTIF($A$2:$A$5481,A3505)</f>
        <v>2</v>
      </c>
      <c r="N3505" s="24">
        <f t="shared" si="54"/>
        <v>72.2003505</v>
      </c>
    </row>
    <row r="3506" spans="1:14">
      <c r="A3506" s="21" t="s">
        <v>3442</v>
      </c>
      <c r="B3506" s="21" t="s">
        <v>929</v>
      </c>
      <c r="C3506" s="21" t="s">
        <v>26</v>
      </c>
      <c r="D3506" s="21" t="s">
        <v>921</v>
      </c>
      <c r="E3506" s="21">
        <v>78</v>
      </c>
      <c r="F3506" s="22">
        <v>46099.3736111111</v>
      </c>
      <c r="G3506" s="22">
        <v>45786.4852546296</v>
      </c>
      <c r="H3506" s="23">
        <v>148.2</v>
      </c>
      <c r="I3506" s="23">
        <v>10.0776871795</v>
      </c>
      <c r="J3506" s="24">
        <v>786.24</v>
      </c>
      <c r="K3506" s="21">
        <v>2</v>
      </c>
      <c r="L3506" s="21">
        <v>100</v>
      </c>
      <c r="M3506" s="21">
        <f>COUNTIF($A$2:$A$5481,A3506)</f>
        <v>2</v>
      </c>
      <c r="N3506" s="24">
        <f t="shared" si="54"/>
        <v>786.2403506</v>
      </c>
    </row>
    <row r="3507" spans="1:14">
      <c r="A3507" s="21" t="s">
        <v>3443</v>
      </c>
      <c r="B3507" s="21" t="s">
        <v>929</v>
      </c>
      <c r="C3507" s="21" t="s">
        <v>182</v>
      </c>
      <c r="D3507" s="21" t="s">
        <v>921</v>
      </c>
      <c r="E3507" s="21">
        <v>9.98</v>
      </c>
      <c r="F3507" s="22">
        <v>45303.7923032407</v>
      </c>
      <c r="G3507" s="22">
        <v>45372.4415162037</v>
      </c>
      <c r="H3507" s="23">
        <v>72.2</v>
      </c>
      <c r="I3507" s="23">
        <v>7.22</v>
      </c>
      <c r="J3507" s="24">
        <v>72.0556</v>
      </c>
      <c r="K3507" s="21">
        <v>2</v>
      </c>
      <c r="L3507" s="21">
        <v>100</v>
      </c>
      <c r="M3507" s="21">
        <f>COUNTIF($A$2:$A$5481,A3507)</f>
        <v>2</v>
      </c>
      <c r="N3507" s="24">
        <f t="shared" si="54"/>
        <v>72.0559507</v>
      </c>
    </row>
    <row r="3508" spans="1:14">
      <c r="A3508" s="21" t="s">
        <v>3443</v>
      </c>
      <c r="B3508" s="21" t="s">
        <v>929</v>
      </c>
      <c r="C3508" s="21" t="s">
        <v>26</v>
      </c>
      <c r="D3508" s="21" t="s">
        <v>921</v>
      </c>
      <c r="E3508" s="21">
        <v>18</v>
      </c>
      <c r="F3508" s="22">
        <v>46164.5444212963</v>
      </c>
      <c r="G3508" s="22"/>
      <c r="H3508" s="23">
        <v>60.9</v>
      </c>
      <c r="I3508" s="23">
        <v>5.6588888889</v>
      </c>
      <c r="J3508" s="24">
        <v>101.88</v>
      </c>
      <c r="K3508" s="21">
        <v>2</v>
      </c>
      <c r="L3508" s="21">
        <v>100</v>
      </c>
      <c r="M3508" s="21">
        <f>COUNTIF($A$2:$A$5481,A3508)</f>
        <v>2</v>
      </c>
      <c r="N3508" s="24">
        <f t="shared" si="54"/>
        <v>101.8803508</v>
      </c>
    </row>
    <row r="3509" spans="1:14">
      <c r="A3509" s="21" t="s">
        <v>3444</v>
      </c>
      <c r="B3509" s="21" t="s">
        <v>920</v>
      </c>
      <c r="C3509" s="21" t="s">
        <v>26</v>
      </c>
      <c r="D3509" s="21" t="s">
        <v>921</v>
      </c>
      <c r="E3509" s="21">
        <v>10</v>
      </c>
      <c r="F3509" s="22">
        <v>45495.6993055556</v>
      </c>
      <c r="G3509" s="22"/>
      <c r="H3509" s="23">
        <v>118.1</v>
      </c>
      <c r="I3509" s="23">
        <v>11.81</v>
      </c>
      <c r="J3509" s="24">
        <v>118.1</v>
      </c>
      <c r="K3509" s="21">
        <v>0</v>
      </c>
      <c r="L3509" s="21">
        <v>0</v>
      </c>
      <c r="M3509" s="21">
        <f>COUNTIF($A$2:$A$5481,A3509)</f>
        <v>1</v>
      </c>
      <c r="N3509" s="24">
        <f t="shared" si="54"/>
        <v>118.1003509</v>
      </c>
    </row>
    <row r="3510" spans="1:14">
      <c r="A3510" s="21" t="s">
        <v>3445</v>
      </c>
      <c r="B3510" s="21" t="s">
        <v>920</v>
      </c>
      <c r="C3510" s="21" t="s">
        <v>26</v>
      </c>
      <c r="D3510" s="21" t="s">
        <v>921</v>
      </c>
      <c r="E3510" s="21">
        <v>13</v>
      </c>
      <c r="F3510" s="22">
        <v>46013.6269097222</v>
      </c>
      <c r="G3510" s="22">
        <v>45932.3785763889</v>
      </c>
      <c r="H3510" s="23">
        <v>38.85</v>
      </c>
      <c r="I3510" s="23">
        <v>8.4392307692</v>
      </c>
      <c r="J3510" s="24">
        <v>109.72</v>
      </c>
      <c r="K3510" s="21">
        <v>0</v>
      </c>
      <c r="L3510" s="21">
        <v>0</v>
      </c>
      <c r="M3510" s="21">
        <f>COUNTIF($A$2:$A$5481,A3510)</f>
        <v>1</v>
      </c>
      <c r="N3510" s="24">
        <f t="shared" si="54"/>
        <v>109.720351</v>
      </c>
    </row>
    <row r="3511" spans="1:14">
      <c r="A3511" s="21" t="s">
        <v>3446</v>
      </c>
      <c r="B3511" s="21" t="s">
        <v>920</v>
      </c>
      <c r="C3511" s="21" t="s">
        <v>26</v>
      </c>
      <c r="D3511" s="21" t="s">
        <v>921</v>
      </c>
      <c r="E3511" s="21">
        <v>22</v>
      </c>
      <c r="F3511" s="22">
        <v>46164.5766550926</v>
      </c>
      <c r="G3511" s="22"/>
      <c r="H3511" s="23">
        <v>72.9</v>
      </c>
      <c r="I3511" s="23">
        <v>9.2227272727</v>
      </c>
      <c r="J3511" s="24">
        <v>202.84</v>
      </c>
      <c r="K3511" s="21">
        <v>0</v>
      </c>
      <c r="L3511" s="21">
        <v>0</v>
      </c>
      <c r="M3511" s="21">
        <f>COUNTIF($A$2:$A$5481,A3511)</f>
        <v>1</v>
      </c>
      <c r="N3511" s="24">
        <f t="shared" si="54"/>
        <v>202.8403511</v>
      </c>
    </row>
    <row r="3512" spans="1:14">
      <c r="A3512" s="21" t="s">
        <v>3447</v>
      </c>
      <c r="B3512" s="21" t="s">
        <v>920</v>
      </c>
      <c r="C3512" s="21" t="s">
        <v>35</v>
      </c>
      <c r="D3512" s="21" t="s">
        <v>931</v>
      </c>
      <c r="E3512" s="21">
        <v>0</v>
      </c>
      <c r="F3512" s="22">
        <v>45804.3716435185</v>
      </c>
      <c r="G3512" s="22">
        <v>45814.4985300926</v>
      </c>
      <c r="H3512" s="23">
        <v>1440</v>
      </c>
      <c r="I3512" s="23">
        <v>1440</v>
      </c>
      <c r="J3512" s="24">
        <v>0</v>
      </c>
      <c r="K3512" s="21">
        <v>0</v>
      </c>
      <c r="L3512" s="21">
        <v>0</v>
      </c>
      <c r="M3512" s="21">
        <f>COUNTIF($A$2:$A$5481,A3512)</f>
        <v>1</v>
      </c>
      <c r="N3512" s="24">
        <f t="shared" si="54"/>
        <v>0.0003512</v>
      </c>
    </row>
    <row r="3513" spans="1:14">
      <c r="A3513" s="21" t="s">
        <v>3448</v>
      </c>
      <c r="B3513" s="21" t="s">
        <v>26</v>
      </c>
      <c r="C3513" s="21" t="s">
        <v>182</v>
      </c>
      <c r="D3513" s="21" t="s">
        <v>921</v>
      </c>
      <c r="E3513" s="21">
        <v>9</v>
      </c>
      <c r="F3513" s="22">
        <v>45383.5783680556</v>
      </c>
      <c r="G3513" s="22"/>
      <c r="H3513" s="23">
        <v>116.1</v>
      </c>
      <c r="I3513" s="23">
        <v>12.9</v>
      </c>
      <c r="J3513" s="24">
        <v>116.1</v>
      </c>
      <c r="K3513" s="21">
        <v>0</v>
      </c>
      <c r="L3513" s="21">
        <v>0</v>
      </c>
      <c r="M3513" s="21">
        <f>COUNTIF($A$2:$A$5481,A3513)</f>
        <v>2</v>
      </c>
      <c r="N3513" s="24">
        <f t="shared" si="54"/>
        <v>116.1003513</v>
      </c>
    </row>
    <row r="3514" spans="1:14">
      <c r="A3514" s="21" t="s">
        <v>3448</v>
      </c>
      <c r="B3514" s="21" t="s">
        <v>26</v>
      </c>
      <c r="C3514" s="21" t="s">
        <v>26</v>
      </c>
      <c r="D3514" s="21" t="s">
        <v>921</v>
      </c>
      <c r="E3514" s="21">
        <v>23</v>
      </c>
      <c r="F3514" s="22">
        <v>45916.709375</v>
      </c>
      <c r="G3514" s="22"/>
      <c r="H3514" s="23">
        <v>79.8</v>
      </c>
      <c r="I3514" s="23">
        <v>10.7608695652</v>
      </c>
      <c r="J3514" s="24">
        <v>247.48</v>
      </c>
      <c r="K3514" s="21">
        <v>0</v>
      </c>
      <c r="L3514" s="21">
        <v>0</v>
      </c>
      <c r="M3514" s="21">
        <f>COUNTIF($A$2:$A$5481,A3514)</f>
        <v>2</v>
      </c>
      <c r="N3514" s="24">
        <f t="shared" si="54"/>
        <v>247.4803514</v>
      </c>
    </row>
    <row r="3515" spans="1:14">
      <c r="A3515" s="21" t="s">
        <v>3449</v>
      </c>
      <c r="B3515" s="21" t="s">
        <v>920</v>
      </c>
      <c r="C3515" s="21" t="s">
        <v>35</v>
      </c>
      <c r="D3515" s="21" t="s">
        <v>921</v>
      </c>
      <c r="E3515" s="21">
        <v>1</v>
      </c>
      <c r="F3515" s="22">
        <v>45404.8213078704</v>
      </c>
      <c r="G3515" s="22"/>
      <c r="H3515" s="23">
        <v>28.2</v>
      </c>
      <c r="I3515" s="23">
        <v>28.2</v>
      </c>
      <c r="J3515" s="24">
        <v>28.2</v>
      </c>
      <c r="K3515" s="21">
        <v>0</v>
      </c>
      <c r="L3515" s="21">
        <v>0</v>
      </c>
      <c r="M3515" s="21">
        <f>COUNTIF($A$2:$A$5481,A3515)</f>
        <v>2</v>
      </c>
      <c r="N3515" s="24">
        <f t="shared" si="54"/>
        <v>28.2003515</v>
      </c>
    </row>
    <row r="3516" spans="1:14">
      <c r="A3516" s="21" t="s">
        <v>3449</v>
      </c>
      <c r="B3516" s="21" t="s">
        <v>920</v>
      </c>
      <c r="C3516" s="21" t="s">
        <v>26</v>
      </c>
      <c r="D3516" s="21" t="s">
        <v>921</v>
      </c>
      <c r="E3516" s="21">
        <v>1</v>
      </c>
      <c r="F3516" s="22">
        <v>45868.5708217593</v>
      </c>
      <c r="G3516" s="22"/>
      <c r="H3516" s="23">
        <v>54</v>
      </c>
      <c r="I3516" s="23">
        <v>54</v>
      </c>
      <c r="J3516" s="24">
        <v>54</v>
      </c>
      <c r="K3516" s="21">
        <v>0</v>
      </c>
      <c r="L3516" s="21">
        <v>0</v>
      </c>
      <c r="M3516" s="21">
        <f>COUNTIF($A$2:$A$5481,A3516)</f>
        <v>2</v>
      </c>
      <c r="N3516" s="24">
        <f t="shared" si="54"/>
        <v>54.0003516</v>
      </c>
    </row>
    <row r="3517" spans="1:14">
      <c r="A3517" s="21" t="s">
        <v>3450</v>
      </c>
      <c r="B3517" s="21" t="s">
        <v>26</v>
      </c>
      <c r="C3517" s="21" t="s">
        <v>26</v>
      </c>
      <c r="D3517" s="21" t="s">
        <v>921</v>
      </c>
      <c r="E3517" s="21">
        <v>8</v>
      </c>
      <c r="F3517" s="22">
        <v>45868.5708217593</v>
      </c>
      <c r="G3517" s="22"/>
      <c r="H3517" s="23">
        <v>43.69</v>
      </c>
      <c r="I3517" s="23">
        <v>43.69</v>
      </c>
      <c r="J3517" s="24">
        <v>349.52</v>
      </c>
      <c r="K3517" s="21">
        <v>0</v>
      </c>
      <c r="L3517" s="21">
        <v>0</v>
      </c>
      <c r="M3517" s="21">
        <f>COUNTIF($A$2:$A$5481,A3517)</f>
        <v>1</v>
      </c>
      <c r="N3517" s="24">
        <f t="shared" si="54"/>
        <v>349.5203517</v>
      </c>
    </row>
    <row r="3518" spans="1:14">
      <c r="A3518" s="21" t="s">
        <v>3451</v>
      </c>
      <c r="B3518" s="21" t="s">
        <v>920</v>
      </c>
      <c r="C3518" s="21" t="s">
        <v>26</v>
      </c>
      <c r="D3518" s="21" t="s">
        <v>921</v>
      </c>
      <c r="E3518" s="21">
        <v>19</v>
      </c>
      <c r="F3518" s="22">
        <v>46239.6050925926</v>
      </c>
      <c r="G3518" s="22"/>
      <c r="H3518" s="23">
        <v>140</v>
      </c>
      <c r="I3518" s="23">
        <v>51.7605263158</v>
      </c>
      <c r="J3518" s="24">
        <v>983.44</v>
      </c>
      <c r="K3518" s="21">
        <v>0</v>
      </c>
      <c r="L3518" s="21">
        <v>0</v>
      </c>
      <c r="M3518" s="21">
        <f>COUNTIF($A$2:$A$5481,A3518)</f>
        <v>1</v>
      </c>
      <c r="N3518" s="24">
        <f t="shared" si="54"/>
        <v>983.4403518</v>
      </c>
    </row>
    <row r="3519" spans="1:14">
      <c r="A3519" s="21" t="s">
        <v>234</v>
      </c>
      <c r="B3519" s="21" t="s">
        <v>26</v>
      </c>
      <c r="C3519" s="21" t="s">
        <v>26</v>
      </c>
      <c r="D3519" s="21" t="s">
        <v>921</v>
      </c>
      <c r="E3519" s="21">
        <v>102</v>
      </c>
      <c r="F3519" s="22">
        <v>45793.4132638889</v>
      </c>
      <c r="G3519" s="22">
        <v>46063.4077546296</v>
      </c>
      <c r="H3519" s="23">
        <v>247</v>
      </c>
      <c r="I3519" s="23">
        <v>4.74375</v>
      </c>
      <c r="J3519" s="24">
        <v>483.48</v>
      </c>
      <c r="K3519" s="21">
        <v>0</v>
      </c>
      <c r="L3519" s="21">
        <v>0</v>
      </c>
      <c r="M3519" s="21">
        <f>COUNTIF($A$2:$A$5481,A3519)</f>
        <v>2</v>
      </c>
      <c r="N3519" s="24">
        <f t="shared" si="54"/>
        <v>483.4803519</v>
      </c>
    </row>
    <row r="3520" spans="1:14">
      <c r="A3520" s="21" t="s">
        <v>234</v>
      </c>
      <c r="B3520" s="21" t="s">
        <v>26</v>
      </c>
      <c r="C3520" s="21" t="s">
        <v>35</v>
      </c>
      <c r="D3520" s="21" t="s">
        <v>921</v>
      </c>
      <c r="E3520" s="21">
        <v>94</v>
      </c>
      <c r="F3520" s="22">
        <v>45793.4261921296</v>
      </c>
      <c r="G3520" s="22">
        <v>45434.3467939815</v>
      </c>
      <c r="H3520" s="23">
        <v>247</v>
      </c>
      <c r="I3520" s="23">
        <v>4.42511</v>
      </c>
      <c r="J3520" s="24">
        <v>416.42</v>
      </c>
      <c r="K3520" s="21">
        <v>0</v>
      </c>
      <c r="L3520" s="21">
        <v>0</v>
      </c>
      <c r="M3520" s="21">
        <f>COUNTIF($A$2:$A$5481,A3520)</f>
        <v>2</v>
      </c>
      <c r="N3520" s="24">
        <f t="shared" si="54"/>
        <v>416.420352</v>
      </c>
    </row>
    <row r="3521" spans="1:14">
      <c r="A3521" s="21" t="s">
        <v>3452</v>
      </c>
      <c r="B3521" s="21" t="s">
        <v>1510</v>
      </c>
      <c r="C3521" s="21" t="s">
        <v>390</v>
      </c>
      <c r="D3521" s="21" t="s">
        <v>921</v>
      </c>
      <c r="E3521" s="21">
        <v>4</v>
      </c>
      <c r="F3521" s="22">
        <v>46233.6453009259</v>
      </c>
      <c r="G3521" s="22"/>
      <c r="H3521" s="23">
        <v>798</v>
      </c>
      <c r="I3521" s="23">
        <v>399</v>
      </c>
      <c r="J3521" s="24">
        <v>1596</v>
      </c>
      <c r="K3521" s="21">
        <v>0</v>
      </c>
      <c r="L3521" s="21">
        <v>0</v>
      </c>
      <c r="M3521" s="21">
        <f>COUNTIF($A$2:$A$5481,A3521)</f>
        <v>1</v>
      </c>
      <c r="N3521" s="24">
        <f t="shared" si="54"/>
        <v>1596.0003521</v>
      </c>
    </row>
    <row r="3522" spans="1:14">
      <c r="A3522" s="21" t="s">
        <v>197</v>
      </c>
      <c r="B3522" s="21" t="s">
        <v>26</v>
      </c>
      <c r="C3522" s="21" t="s">
        <v>26</v>
      </c>
      <c r="D3522" s="21" t="s">
        <v>921</v>
      </c>
      <c r="E3522" s="21">
        <v>81</v>
      </c>
      <c r="F3522" s="22">
        <v>45460.4116550926</v>
      </c>
      <c r="G3522" s="22">
        <v>46044.4391666667</v>
      </c>
      <c r="H3522" s="23">
        <v>492</v>
      </c>
      <c r="I3522" s="23">
        <v>4.9096039604</v>
      </c>
      <c r="J3522" s="24">
        <v>397.71</v>
      </c>
      <c r="K3522" s="21">
        <v>0</v>
      </c>
      <c r="L3522" s="21">
        <v>0</v>
      </c>
      <c r="M3522" s="21">
        <f>COUNTIF($A$2:$A$5481,A3522)</f>
        <v>1</v>
      </c>
      <c r="N3522" s="24">
        <f t="shared" ref="N3522:N3585" si="55">J3522+ROW()/10000000</f>
        <v>397.7103522</v>
      </c>
    </row>
    <row r="3523" spans="1:14">
      <c r="A3523" s="21" t="s">
        <v>3453</v>
      </c>
      <c r="B3523" s="21" t="s">
        <v>929</v>
      </c>
      <c r="C3523" s="21" t="s">
        <v>182</v>
      </c>
      <c r="D3523" s="21" t="s">
        <v>921</v>
      </c>
      <c r="E3523" s="21">
        <v>10</v>
      </c>
      <c r="F3523" s="22">
        <v>45303.8037037037</v>
      </c>
      <c r="G3523" s="22">
        <v>45477.8500347222</v>
      </c>
      <c r="H3523" s="23">
        <v>50.4</v>
      </c>
      <c r="I3523" s="23">
        <v>2.52</v>
      </c>
      <c r="J3523" s="24">
        <v>25.2</v>
      </c>
      <c r="K3523" s="21">
        <v>0</v>
      </c>
      <c r="L3523" s="21">
        <v>0</v>
      </c>
      <c r="M3523" s="21">
        <f>COUNTIF($A$2:$A$5481,A3523)</f>
        <v>2</v>
      </c>
      <c r="N3523" s="24">
        <f t="shared" si="55"/>
        <v>25.2003523</v>
      </c>
    </row>
    <row r="3524" spans="1:14">
      <c r="A3524" s="21" t="s">
        <v>3453</v>
      </c>
      <c r="B3524" s="21" t="s">
        <v>929</v>
      </c>
      <c r="C3524" s="21" t="s">
        <v>26</v>
      </c>
      <c r="D3524" s="21" t="s">
        <v>921</v>
      </c>
      <c r="E3524" s="21">
        <v>100</v>
      </c>
      <c r="F3524" s="22">
        <v>46066.5512731482</v>
      </c>
      <c r="G3524" s="22"/>
      <c r="H3524" s="23">
        <v>429</v>
      </c>
      <c r="I3524" s="23">
        <v>4.29</v>
      </c>
      <c r="J3524" s="24">
        <v>429</v>
      </c>
      <c r="K3524" s="21">
        <v>0</v>
      </c>
      <c r="L3524" s="21">
        <v>0</v>
      </c>
      <c r="M3524" s="21">
        <f>COUNTIF($A$2:$A$5481,A3524)</f>
        <v>2</v>
      </c>
      <c r="N3524" s="24">
        <f t="shared" si="55"/>
        <v>429.0003524</v>
      </c>
    </row>
    <row r="3525" spans="1:14">
      <c r="A3525" s="21" t="s">
        <v>3454</v>
      </c>
      <c r="B3525" s="21" t="s">
        <v>920</v>
      </c>
      <c r="C3525" s="21" t="s">
        <v>26</v>
      </c>
      <c r="D3525" s="21" t="s">
        <v>921</v>
      </c>
      <c r="E3525" s="21">
        <v>8</v>
      </c>
      <c r="F3525" s="22">
        <v>46073.6518865741</v>
      </c>
      <c r="G3525" s="22"/>
      <c r="H3525" s="23">
        <v>83.1</v>
      </c>
      <c r="I3525" s="23">
        <v>43.9725</v>
      </c>
      <c r="J3525" s="24">
        <v>351.76</v>
      </c>
      <c r="K3525" s="21">
        <v>0</v>
      </c>
      <c r="L3525" s="21">
        <v>0</v>
      </c>
      <c r="M3525" s="21">
        <f>COUNTIF($A$2:$A$5481,A3525)</f>
        <v>1</v>
      </c>
      <c r="N3525" s="24">
        <f t="shared" si="55"/>
        <v>351.7603525</v>
      </c>
    </row>
    <row r="3526" spans="1:14">
      <c r="A3526" s="21" t="s">
        <v>3455</v>
      </c>
      <c r="B3526" s="21" t="s">
        <v>920</v>
      </c>
      <c r="C3526" s="21" t="s">
        <v>26</v>
      </c>
      <c r="D3526" s="21" t="s">
        <v>921</v>
      </c>
      <c r="E3526" s="21">
        <v>3</v>
      </c>
      <c r="F3526" s="22">
        <v>45385.3291666667</v>
      </c>
      <c r="G3526" s="22"/>
      <c r="H3526" s="23">
        <v>79.05</v>
      </c>
      <c r="I3526" s="23">
        <v>26.35</v>
      </c>
      <c r="J3526" s="24">
        <v>79.05</v>
      </c>
      <c r="K3526" s="21">
        <v>0</v>
      </c>
      <c r="L3526" s="21">
        <v>0</v>
      </c>
      <c r="M3526" s="21">
        <f>COUNTIF($A$2:$A$5481,A3526)</f>
        <v>1</v>
      </c>
      <c r="N3526" s="24">
        <f t="shared" si="55"/>
        <v>79.0503526</v>
      </c>
    </row>
    <row r="3527" spans="1:14">
      <c r="A3527" s="21" t="s">
        <v>3456</v>
      </c>
      <c r="B3527" s="21" t="s">
        <v>26</v>
      </c>
      <c r="C3527" s="21" t="s">
        <v>26</v>
      </c>
      <c r="D3527" s="21" t="s">
        <v>921</v>
      </c>
      <c r="E3527" s="21">
        <v>60</v>
      </c>
      <c r="F3527" s="22">
        <v>46216.6027777778</v>
      </c>
      <c r="G3527" s="22"/>
      <c r="H3527" s="23">
        <v>287.5</v>
      </c>
      <c r="I3527" s="23">
        <v>12.275</v>
      </c>
      <c r="J3527" s="24">
        <v>736.8</v>
      </c>
      <c r="K3527" s="21">
        <v>0</v>
      </c>
      <c r="L3527" s="21">
        <v>0</v>
      </c>
      <c r="M3527" s="21">
        <f>COUNTIF($A$2:$A$5481,A3527)</f>
        <v>1</v>
      </c>
      <c r="N3527" s="24">
        <f t="shared" si="55"/>
        <v>736.8003527</v>
      </c>
    </row>
    <row r="3528" spans="1:14">
      <c r="A3528" s="21" t="s">
        <v>506</v>
      </c>
      <c r="B3528" s="21" t="s">
        <v>920</v>
      </c>
      <c r="C3528" s="21" t="s">
        <v>26</v>
      </c>
      <c r="D3528" s="21" t="s">
        <v>921</v>
      </c>
      <c r="E3528" s="21">
        <v>8</v>
      </c>
      <c r="F3528" s="22">
        <v>46230.3465277778</v>
      </c>
      <c r="G3528" s="22">
        <v>46238.5800231482</v>
      </c>
      <c r="H3528" s="23">
        <v>153.08</v>
      </c>
      <c r="I3528" s="23">
        <v>38.27</v>
      </c>
      <c r="J3528" s="24">
        <v>306.16</v>
      </c>
      <c r="K3528" s="21">
        <v>0</v>
      </c>
      <c r="L3528" s="21">
        <v>0</v>
      </c>
      <c r="M3528" s="21">
        <f>COUNTIF($A$2:$A$5481,A3528)</f>
        <v>1</v>
      </c>
      <c r="N3528" s="24">
        <f t="shared" si="55"/>
        <v>306.1603528</v>
      </c>
    </row>
    <row r="3529" spans="1:14">
      <c r="A3529" s="21" t="s">
        <v>3457</v>
      </c>
      <c r="B3529" s="21" t="s">
        <v>26</v>
      </c>
      <c r="C3529" s="21" t="s">
        <v>26</v>
      </c>
      <c r="D3529" s="21" t="s">
        <v>921</v>
      </c>
      <c r="E3529" s="21">
        <v>2</v>
      </c>
      <c r="F3529" s="22">
        <v>45664.3540856482</v>
      </c>
      <c r="G3529" s="22"/>
      <c r="H3529" s="23">
        <v>65.16</v>
      </c>
      <c r="I3529" s="23">
        <v>32.58</v>
      </c>
      <c r="J3529" s="24">
        <v>65.16</v>
      </c>
      <c r="K3529" s="21">
        <v>0</v>
      </c>
      <c r="L3529" s="21">
        <v>0</v>
      </c>
      <c r="M3529" s="21">
        <f>COUNTIF($A$2:$A$5481,A3529)</f>
        <v>1</v>
      </c>
      <c r="N3529" s="24">
        <f t="shared" si="55"/>
        <v>65.1603529</v>
      </c>
    </row>
    <row r="3530" spans="1:14">
      <c r="A3530" s="21" t="s">
        <v>3458</v>
      </c>
      <c r="B3530" s="21" t="s">
        <v>929</v>
      </c>
      <c r="C3530" s="21" t="s">
        <v>26</v>
      </c>
      <c r="D3530" s="21" t="s">
        <v>921</v>
      </c>
      <c r="E3530" s="21">
        <v>12</v>
      </c>
      <c r="F3530" s="22">
        <v>46002.5421412037</v>
      </c>
      <c r="G3530" s="22"/>
      <c r="H3530" s="23">
        <v>399.52</v>
      </c>
      <c r="I3530" s="23">
        <v>199.31</v>
      </c>
      <c r="J3530" s="24">
        <v>2391.72</v>
      </c>
      <c r="K3530" s="21">
        <v>0</v>
      </c>
      <c r="L3530" s="21">
        <v>0</v>
      </c>
      <c r="M3530" s="21">
        <f>COUNTIF($A$2:$A$5481,A3530)</f>
        <v>1</v>
      </c>
      <c r="N3530" s="24">
        <f t="shared" si="55"/>
        <v>2391.720353</v>
      </c>
    </row>
    <row r="3531" spans="1:14">
      <c r="A3531" s="21" t="s">
        <v>3459</v>
      </c>
      <c r="B3531" s="21" t="s">
        <v>26</v>
      </c>
      <c r="C3531" s="21" t="s">
        <v>26</v>
      </c>
      <c r="D3531" s="21" t="s">
        <v>921</v>
      </c>
      <c r="E3531" s="21">
        <v>1</v>
      </c>
      <c r="F3531" s="22">
        <v>45677.77375</v>
      </c>
      <c r="G3531" s="22"/>
      <c r="H3531" s="23">
        <v>24</v>
      </c>
      <c r="I3531" s="23">
        <v>24</v>
      </c>
      <c r="J3531" s="24">
        <v>24</v>
      </c>
      <c r="K3531" s="21">
        <v>0</v>
      </c>
      <c r="L3531" s="21">
        <v>0</v>
      </c>
      <c r="M3531" s="21">
        <f>COUNTIF($A$2:$A$5481,A3531)</f>
        <v>1</v>
      </c>
      <c r="N3531" s="24">
        <f t="shared" si="55"/>
        <v>24.0003531</v>
      </c>
    </row>
    <row r="3532" spans="1:14">
      <c r="A3532" s="21" t="s">
        <v>894</v>
      </c>
      <c r="B3532" s="21" t="s">
        <v>26</v>
      </c>
      <c r="C3532" s="21" t="s">
        <v>26</v>
      </c>
      <c r="D3532" s="21" t="s">
        <v>921</v>
      </c>
      <c r="E3532" s="21">
        <v>12</v>
      </c>
      <c r="F3532" s="22">
        <v>46275.6136805556</v>
      </c>
      <c r="G3532" s="22">
        <v>46275.6185648148</v>
      </c>
      <c r="H3532" s="23">
        <v>64.71</v>
      </c>
      <c r="I3532" s="23">
        <v>7.7785714286</v>
      </c>
      <c r="J3532" s="24">
        <v>93.36</v>
      </c>
      <c r="K3532" s="21">
        <v>0</v>
      </c>
      <c r="L3532" s="21">
        <v>0</v>
      </c>
      <c r="M3532" s="21">
        <f>COUNTIF($A$2:$A$5481,A3532)</f>
        <v>1</v>
      </c>
      <c r="N3532" s="24">
        <f t="shared" si="55"/>
        <v>93.3603532</v>
      </c>
    </row>
    <row r="3533" spans="1:14">
      <c r="A3533" s="21" t="s">
        <v>620</v>
      </c>
      <c r="B3533" s="21" t="s">
        <v>26</v>
      </c>
      <c r="C3533" s="21" t="s">
        <v>182</v>
      </c>
      <c r="D3533" s="21" t="s">
        <v>921</v>
      </c>
      <c r="E3533" s="21">
        <v>0</v>
      </c>
      <c r="F3533" s="22">
        <v>45307.4647106482</v>
      </c>
      <c r="G3533" s="22">
        <v>46252.4520486111</v>
      </c>
      <c r="H3533" s="23">
        <v>28.98</v>
      </c>
      <c r="I3533" s="23">
        <v>14.49</v>
      </c>
      <c r="J3533" s="24">
        <v>0</v>
      </c>
      <c r="K3533" s="21">
        <v>0</v>
      </c>
      <c r="L3533" s="21">
        <v>0</v>
      </c>
      <c r="M3533" s="21">
        <f>COUNTIF($A$2:$A$5481,A3533)</f>
        <v>3</v>
      </c>
      <c r="N3533" s="24">
        <f t="shared" si="55"/>
        <v>0.0003533</v>
      </c>
    </row>
    <row r="3534" spans="1:14">
      <c r="A3534" s="21" t="s">
        <v>620</v>
      </c>
      <c r="B3534" s="21" t="s">
        <v>26</v>
      </c>
      <c r="C3534" s="21" t="s">
        <v>51</v>
      </c>
      <c r="D3534" s="21" t="s">
        <v>921</v>
      </c>
      <c r="E3534" s="21">
        <v>12</v>
      </c>
      <c r="F3534" s="22">
        <v>45428.6217013889</v>
      </c>
      <c r="G3534" s="22"/>
      <c r="H3534" s="23">
        <v>71.88</v>
      </c>
      <c r="I3534" s="23">
        <v>5.99</v>
      </c>
      <c r="J3534" s="24">
        <v>71.88</v>
      </c>
      <c r="K3534" s="21">
        <v>0</v>
      </c>
      <c r="L3534" s="21">
        <v>0</v>
      </c>
      <c r="M3534" s="21">
        <f>COUNTIF($A$2:$A$5481,A3534)</f>
        <v>3</v>
      </c>
      <c r="N3534" s="24">
        <f t="shared" si="55"/>
        <v>71.8803534</v>
      </c>
    </row>
    <row r="3535" spans="1:14">
      <c r="A3535" s="21" t="s">
        <v>620</v>
      </c>
      <c r="B3535" s="21" t="s">
        <v>26</v>
      </c>
      <c r="C3535" s="21" t="s">
        <v>26</v>
      </c>
      <c r="D3535" s="21" t="s">
        <v>921</v>
      </c>
      <c r="E3535" s="21">
        <v>76</v>
      </c>
      <c r="F3535" s="22">
        <v>46245.6304513889</v>
      </c>
      <c r="G3535" s="22"/>
      <c r="H3535" s="23">
        <v>29.55</v>
      </c>
      <c r="I3535" s="23">
        <v>17.5061710526</v>
      </c>
      <c r="J3535" s="24">
        <v>1330.76</v>
      </c>
      <c r="K3535" s="21">
        <v>0</v>
      </c>
      <c r="L3535" s="21">
        <v>0</v>
      </c>
      <c r="M3535" s="21">
        <f>COUNTIF($A$2:$A$5481,A3535)</f>
        <v>3</v>
      </c>
      <c r="N3535" s="24">
        <f t="shared" si="55"/>
        <v>1330.7603535</v>
      </c>
    </row>
    <row r="3536" spans="1:14">
      <c r="A3536" s="21" t="s">
        <v>3460</v>
      </c>
      <c r="B3536" s="21" t="s">
        <v>929</v>
      </c>
      <c r="C3536" s="21" t="s">
        <v>26</v>
      </c>
      <c r="D3536" s="21" t="s">
        <v>921</v>
      </c>
      <c r="E3536" s="21">
        <v>1</v>
      </c>
      <c r="F3536" s="22">
        <v>45735.8520486111</v>
      </c>
      <c r="G3536" s="22"/>
      <c r="H3536" s="23">
        <v>24.55</v>
      </c>
      <c r="I3536" s="23">
        <v>24.55</v>
      </c>
      <c r="J3536" s="24">
        <v>24.55</v>
      </c>
      <c r="K3536" s="21">
        <v>0</v>
      </c>
      <c r="L3536" s="21">
        <v>0</v>
      </c>
      <c r="M3536" s="21">
        <f>COUNTIF($A$2:$A$5481,A3536)</f>
        <v>1</v>
      </c>
      <c r="N3536" s="24">
        <f t="shared" si="55"/>
        <v>24.5503536</v>
      </c>
    </row>
    <row r="3537" spans="1:14">
      <c r="A3537" s="21" t="s">
        <v>3461</v>
      </c>
      <c r="B3537" s="21" t="s">
        <v>920</v>
      </c>
      <c r="C3537" s="21" t="s">
        <v>26</v>
      </c>
      <c r="D3537" s="21" t="s">
        <v>931</v>
      </c>
      <c r="E3537" s="21">
        <v>2</v>
      </c>
      <c r="F3537" s="22">
        <v>45432.3800462963</v>
      </c>
      <c r="G3537" s="22"/>
      <c r="H3537" s="23">
        <v>21.52</v>
      </c>
      <c r="I3537" s="23">
        <v>10.76</v>
      </c>
      <c r="J3537" s="24">
        <v>21.52</v>
      </c>
      <c r="K3537" s="21">
        <v>0</v>
      </c>
      <c r="L3537" s="21">
        <v>0</v>
      </c>
      <c r="M3537" s="21">
        <f>COUNTIF($A$2:$A$5481,A3537)</f>
        <v>1</v>
      </c>
      <c r="N3537" s="24">
        <f t="shared" si="55"/>
        <v>21.5203537</v>
      </c>
    </row>
    <row r="3538" spans="1:14">
      <c r="A3538" s="21" t="s">
        <v>491</v>
      </c>
      <c r="B3538" s="21" t="s">
        <v>926</v>
      </c>
      <c r="C3538" s="21" t="s">
        <v>38</v>
      </c>
      <c r="D3538" s="21" t="s">
        <v>921</v>
      </c>
      <c r="E3538" s="21">
        <v>1</v>
      </c>
      <c r="F3538" s="22">
        <v>46169.3608680556</v>
      </c>
      <c r="G3538" s="22">
        <v>46268.6312731481</v>
      </c>
      <c r="H3538" s="23">
        <v>352.2</v>
      </c>
      <c r="I3538" s="23">
        <v>17.61</v>
      </c>
      <c r="J3538" s="24">
        <v>17.61</v>
      </c>
      <c r="K3538" s="21">
        <v>0</v>
      </c>
      <c r="L3538" s="21">
        <v>0</v>
      </c>
      <c r="M3538" s="21">
        <f>COUNTIF($A$2:$A$5481,A3538)</f>
        <v>1</v>
      </c>
      <c r="N3538" s="24">
        <f t="shared" si="55"/>
        <v>17.6103538</v>
      </c>
    </row>
    <row r="3539" spans="1:14">
      <c r="A3539" s="21" t="s">
        <v>815</v>
      </c>
      <c r="B3539" s="21" t="s">
        <v>926</v>
      </c>
      <c r="C3539" s="21" t="s">
        <v>38</v>
      </c>
      <c r="D3539" s="21" t="s">
        <v>921</v>
      </c>
      <c r="E3539" s="21">
        <v>0</v>
      </c>
      <c r="F3539" s="22">
        <v>46161.4354166667</v>
      </c>
      <c r="G3539" s="22">
        <v>46261.4705902778</v>
      </c>
      <c r="H3539" s="23">
        <v>176.1</v>
      </c>
      <c r="I3539" s="23">
        <v>17.61</v>
      </c>
      <c r="J3539" s="24">
        <v>0</v>
      </c>
      <c r="K3539" s="21">
        <v>0</v>
      </c>
      <c r="L3539" s="21">
        <v>0</v>
      </c>
      <c r="M3539" s="21">
        <f>COUNTIF($A$2:$A$5481,A3539)</f>
        <v>2</v>
      </c>
      <c r="N3539" s="24">
        <f t="shared" si="55"/>
        <v>0.0003539</v>
      </c>
    </row>
    <row r="3540" spans="1:14">
      <c r="A3540" s="21" t="s">
        <v>815</v>
      </c>
      <c r="B3540" s="21" t="s">
        <v>926</v>
      </c>
      <c r="C3540" s="21" t="s">
        <v>35</v>
      </c>
      <c r="D3540" s="21" t="s">
        <v>921</v>
      </c>
      <c r="E3540" s="21">
        <v>20</v>
      </c>
      <c r="F3540" s="22">
        <v>46169.3608680556</v>
      </c>
      <c r="G3540" s="22"/>
      <c r="H3540" s="23">
        <v>352.2</v>
      </c>
      <c r="I3540" s="23">
        <v>17.61</v>
      </c>
      <c r="J3540" s="24">
        <v>352.2</v>
      </c>
      <c r="K3540" s="21">
        <v>0</v>
      </c>
      <c r="L3540" s="21">
        <v>0</v>
      </c>
      <c r="M3540" s="21">
        <f>COUNTIF($A$2:$A$5481,A3540)</f>
        <v>2</v>
      </c>
      <c r="N3540" s="24">
        <f t="shared" si="55"/>
        <v>352.200354</v>
      </c>
    </row>
    <row r="3541" spans="1:14">
      <c r="A3541" s="21" t="s">
        <v>3462</v>
      </c>
      <c r="B3541" s="21" t="s">
        <v>920</v>
      </c>
      <c r="C3541" s="21" t="s">
        <v>26</v>
      </c>
      <c r="D3541" s="21" t="s">
        <v>921</v>
      </c>
      <c r="E3541" s="21">
        <v>31</v>
      </c>
      <c r="F3541" s="22">
        <v>45450.4229166667</v>
      </c>
      <c r="G3541" s="22">
        <v>45366.4635763889</v>
      </c>
      <c r="H3541" s="23">
        <v>580</v>
      </c>
      <c r="I3541" s="23">
        <v>29.29032</v>
      </c>
      <c r="J3541" s="24">
        <v>907.99</v>
      </c>
      <c r="K3541" s="21">
        <v>0</v>
      </c>
      <c r="L3541" s="21">
        <v>0</v>
      </c>
      <c r="M3541" s="21">
        <f>COUNTIF($A$2:$A$5481,A3541)</f>
        <v>1</v>
      </c>
      <c r="N3541" s="24">
        <f t="shared" si="55"/>
        <v>907.9903541</v>
      </c>
    </row>
    <row r="3542" spans="1:14">
      <c r="A3542" s="21" t="s">
        <v>3463</v>
      </c>
      <c r="B3542" s="21" t="s">
        <v>920</v>
      </c>
      <c r="C3542" s="21" t="s">
        <v>26</v>
      </c>
      <c r="D3542" s="21" t="s">
        <v>921</v>
      </c>
      <c r="E3542" s="21">
        <v>48</v>
      </c>
      <c r="F3542" s="22">
        <v>46028.5578356482</v>
      </c>
      <c r="G3542" s="22"/>
      <c r="H3542" s="23">
        <v>140</v>
      </c>
      <c r="I3542" s="23">
        <v>25.1875</v>
      </c>
      <c r="J3542" s="24">
        <v>1209.12</v>
      </c>
      <c r="K3542" s="21">
        <v>0</v>
      </c>
      <c r="L3542" s="21">
        <v>0</v>
      </c>
      <c r="M3542" s="21">
        <f>COUNTIF($A$2:$A$5481,A3542)</f>
        <v>2</v>
      </c>
      <c r="N3542" s="24">
        <f t="shared" si="55"/>
        <v>1209.1203542</v>
      </c>
    </row>
    <row r="3543" spans="1:14">
      <c r="A3543" s="21" t="s">
        <v>3463</v>
      </c>
      <c r="B3543" s="21" t="s">
        <v>920</v>
      </c>
      <c r="C3543" s="21" t="s">
        <v>35</v>
      </c>
      <c r="D3543" s="21" t="s">
        <v>921</v>
      </c>
      <c r="E3543" s="21">
        <v>6</v>
      </c>
      <c r="F3543" s="22">
        <v>46254.7075462963</v>
      </c>
      <c r="G3543" s="22"/>
      <c r="H3543" s="23">
        <v>168</v>
      </c>
      <c r="I3543" s="23">
        <v>28</v>
      </c>
      <c r="J3543" s="24">
        <v>168</v>
      </c>
      <c r="K3543" s="21">
        <v>0</v>
      </c>
      <c r="L3543" s="21">
        <v>0</v>
      </c>
      <c r="M3543" s="21">
        <f>COUNTIF($A$2:$A$5481,A3543)</f>
        <v>2</v>
      </c>
      <c r="N3543" s="24">
        <f t="shared" si="55"/>
        <v>168.0003543</v>
      </c>
    </row>
    <row r="3544" spans="1:14">
      <c r="A3544" s="21" t="s">
        <v>3464</v>
      </c>
      <c r="B3544" s="21" t="s">
        <v>920</v>
      </c>
      <c r="C3544" s="21" t="s">
        <v>26</v>
      </c>
      <c r="D3544" s="21" t="s">
        <v>921</v>
      </c>
      <c r="E3544" s="21">
        <v>1</v>
      </c>
      <c r="F3544" s="22">
        <v>45999.3908796296</v>
      </c>
      <c r="G3544" s="22">
        <v>46000.4389236111</v>
      </c>
      <c r="H3544" s="23">
        <v>120</v>
      </c>
      <c r="I3544" s="23">
        <v>60</v>
      </c>
      <c r="J3544" s="24">
        <v>60</v>
      </c>
      <c r="K3544" s="21">
        <v>0</v>
      </c>
      <c r="L3544" s="21">
        <v>0</v>
      </c>
      <c r="M3544" s="21">
        <f>COUNTIF($A$2:$A$5481,A3544)</f>
        <v>1</v>
      </c>
      <c r="N3544" s="24">
        <f t="shared" si="55"/>
        <v>60.0003544</v>
      </c>
    </row>
    <row r="3545" spans="1:14">
      <c r="A3545" s="21" t="s">
        <v>444</v>
      </c>
      <c r="B3545" s="21" t="s">
        <v>920</v>
      </c>
      <c r="C3545" s="21" t="s">
        <v>26</v>
      </c>
      <c r="D3545" s="21" t="s">
        <v>921</v>
      </c>
      <c r="E3545" s="21">
        <v>6</v>
      </c>
      <c r="F3545" s="22">
        <v>46087.6375115741</v>
      </c>
      <c r="G3545" s="22">
        <v>46205.6043402778</v>
      </c>
      <c r="H3545" s="23">
        <v>203</v>
      </c>
      <c r="I3545" s="23">
        <v>29</v>
      </c>
      <c r="J3545" s="24">
        <v>174</v>
      </c>
      <c r="K3545" s="21">
        <v>0</v>
      </c>
      <c r="L3545" s="21">
        <v>0</v>
      </c>
      <c r="M3545" s="21">
        <f>COUNTIF($A$2:$A$5481,A3545)</f>
        <v>1</v>
      </c>
      <c r="N3545" s="24">
        <f t="shared" si="55"/>
        <v>174.0003545</v>
      </c>
    </row>
    <row r="3546" spans="1:14">
      <c r="A3546" s="21" t="s">
        <v>3465</v>
      </c>
      <c r="B3546" s="21" t="s">
        <v>920</v>
      </c>
      <c r="C3546" s="21" t="s">
        <v>26</v>
      </c>
      <c r="D3546" s="21" t="s">
        <v>921</v>
      </c>
      <c r="E3546" s="21">
        <v>10</v>
      </c>
      <c r="F3546" s="22">
        <v>46182.6971759259</v>
      </c>
      <c r="G3546" s="22"/>
      <c r="H3546" s="23">
        <v>280</v>
      </c>
      <c r="I3546" s="23">
        <v>28</v>
      </c>
      <c r="J3546" s="24">
        <v>280</v>
      </c>
      <c r="K3546" s="21">
        <v>0</v>
      </c>
      <c r="L3546" s="21">
        <v>0</v>
      </c>
      <c r="M3546" s="21">
        <f>COUNTIF($A$2:$A$5481,A3546)</f>
        <v>1</v>
      </c>
      <c r="N3546" s="24">
        <f t="shared" si="55"/>
        <v>280.0003546</v>
      </c>
    </row>
    <row r="3547" spans="1:14">
      <c r="A3547" s="21" t="s">
        <v>3466</v>
      </c>
      <c r="B3547" s="21" t="s">
        <v>920</v>
      </c>
      <c r="C3547" s="21" t="s">
        <v>26</v>
      </c>
      <c r="D3547" s="21" t="s">
        <v>921</v>
      </c>
      <c r="E3547" s="21">
        <v>10</v>
      </c>
      <c r="F3547" s="22">
        <v>46182.6971759259</v>
      </c>
      <c r="G3547" s="22"/>
      <c r="H3547" s="23">
        <v>280</v>
      </c>
      <c r="I3547" s="23">
        <v>28</v>
      </c>
      <c r="J3547" s="24">
        <v>280</v>
      </c>
      <c r="K3547" s="21">
        <v>0</v>
      </c>
      <c r="L3547" s="21">
        <v>0</v>
      </c>
      <c r="M3547" s="21">
        <f>COUNTIF($A$2:$A$5481,A3547)</f>
        <v>1</v>
      </c>
      <c r="N3547" s="24">
        <f t="shared" si="55"/>
        <v>280.0003547</v>
      </c>
    </row>
    <row r="3548" spans="1:14">
      <c r="A3548" s="21" t="s">
        <v>3467</v>
      </c>
      <c r="B3548" s="21" t="s">
        <v>920</v>
      </c>
      <c r="C3548" s="21" t="s">
        <v>26</v>
      </c>
      <c r="D3548" s="21" t="s">
        <v>921</v>
      </c>
      <c r="E3548" s="21">
        <v>9</v>
      </c>
      <c r="F3548" s="22">
        <v>45573.4590277778</v>
      </c>
      <c r="G3548" s="22">
        <v>45894.3816203704</v>
      </c>
      <c r="H3548" s="23">
        <v>258</v>
      </c>
      <c r="I3548" s="23">
        <v>25.8</v>
      </c>
      <c r="J3548" s="24">
        <v>232.2</v>
      </c>
      <c r="K3548" s="21">
        <v>0</v>
      </c>
      <c r="L3548" s="21">
        <v>0</v>
      </c>
      <c r="M3548" s="21">
        <f>COUNTIF($A$2:$A$5481,A3548)</f>
        <v>1</v>
      </c>
      <c r="N3548" s="24">
        <f t="shared" si="55"/>
        <v>232.2003548</v>
      </c>
    </row>
    <row r="3549" spans="1:14">
      <c r="A3549" s="21" t="s">
        <v>3468</v>
      </c>
      <c r="B3549" s="21" t="s">
        <v>920</v>
      </c>
      <c r="C3549" s="21" t="s">
        <v>26</v>
      </c>
      <c r="D3549" s="21" t="s">
        <v>921</v>
      </c>
      <c r="E3549" s="21">
        <v>44</v>
      </c>
      <c r="F3549" s="22">
        <v>46028.5578356482</v>
      </c>
      <c r="G3549" s="22">
        <v>45604.3873611111</v>
      </c>
      <c r="H3549" s="23">
        <v>140</v>
      </c>
      <c r="I3549" s="23">
        <v>27.9090909091</v>
      </c>
      <c r="J3549" s="24">
        <v>1228.04</v>
      </c>
      <c r="K3549" s="21">
        <v>0</v>
      </c>
      <c r="L3549" s="21">
        <v>0</v>
      </c>
      <c r="M3549" s="21">
        <f>COUNTIF($A$2:$A$5481,A3549)</f>
        <v>1</v>
      </c>
      <c r="N3549" s="24">
        <f t="shared" si="55"/>
        <v>1228.0403549</v>
      </c>
    </row>
    <row r="3550" spans="1:14">
      <c r="A3550" s="21" t="s">
        <v>3469</v>
      </c>
      <c r="B3550" s="21" t="s">
        <v>920</v>
      </c>
      <c r="C3550" s="21" t="s">
        <v>26</v>
      </c>
      <c r="D3550" s="21" t="s">
        <v>921</v>
      </c>
      <c r="E3550" s="21">
        <v>10</v>
      </c>
      <c r="F3550" s="22">
        <v>45412.3528703704</v>
      </c>
      <c r="G3550" s="22"/>
      <c r="H3550" s="23">
        <v>270</v>
      </c>
      <c r="I3550" s="23">
        <v>27</v>
      </c>
      <c r="J3550" s="24">
        <v>270</v>
      </c>
      <c r="K3550" s="21">
        <v>0</v>
      </c>
      <c r="L3550" s="21">
        <v>0</v>
      </c>
      <c r="M3550" s="21">
        <f>COUNTIF($A$2:$A$5481,A3550)</f>
        <v>1</v>
      </c>
      <c r="N3550" s="24">
        <f t="shared" si="55"/>
        <v>270.000355</v>
      </c>
    </row>
    <row r="3551" spans="1:14">
      <c r="A3551" s="21" t="s">
        <v>3470</v>
      </c>
      <c r="B3551" s="21" t="s">
        <v>920</v>
      </c>
      <c r="C3551" s="21" t="s">
        <v>26</v>
      </c>
      <c r="D3551" s="21" t="s">
        <v>921</v>
      </c>
      <c r="E3551" s="21">
        <v>1</v>
      </c>
      <c r="F3551" s="22">
        <v>45714.4301736111</v>
      </c>
      <c r="G3551" s="22"/>
      <c r="H3551" s="23">
        <v>71.58</v>
      </c>
      <c r="I3551" s="23">
        <v>71.58</v>
      </c>
      <c r="J3551" s="24">
        <v>71.58</v>
      </c>
      <c r="K3551" s="21">
        <v>0</v>
      </c>
      <c r="L3551" s="21">
        <v>0</v>
      </c>
      <c r="M3551" s="21">
        <f>COUNTIF($A$2:$A$5481,A3551)</f>
        <v>1</v>
      </c>
      <c r="N3551" s="24">
        <f t="shared" si="55"/>
        <v>71.5803551</v>
      </c>
    </row>
    <row r="3552" spans="1:14">
      <c r="A3552" s="21" t="s">
        <v>3471</v>
      </c>
      <c r="B3552" s="21" t="s">
        <v>26</v>
      </c>
      <c r="C3552" s="21" t="s">
        <v>26</v>
      </c>
      <c r="D3552" s="21" t="s">
        <v>921</v>
      </c>
      <c r="E3552" s="21">
        <v>1</v>
      </c>
      <c r="F3552" s="22">
        <v>45994.5415277778</v>
      </c>
      <c r="G3552" s="22"/>
      <c r="H3552" s="23">
        <v>217.45</v>
      </c>
      <c r="I3552" s="23">
        <v>217.45</v>
      </c>
      <c r="J3552" s="24">
        <v>217.45</v>
      </c>
      <c r="K3552" s="21">
        <v>0</v>
      </c>
      <c r="L3552" s="21">
        <v>0</v>
      </c>
      <c r="M3552" s="21">
        <f>COUNTIF($A$2:$A$5481,A3552)</f>
        <v>1</v>
      </c>
      <c r="N3552" s="24">
        <f t="shared" si="55"/>
        <v>217.4503552</v>
      </c>
    </row>
    <row r="3553" spans="1:14">
      <c r="A3553" s="21" t="s">
        <v>262</v>
      </c>
      <c r="B3553" s="21" t="s">
        <v>926</v>
      </c>
      <c r="C3553" s="21" t="s">
        <v>182</v>
      </c>
      <c r="D3553" s="21" t="s">
        <v>921</v>
      </c>
      <c r="E3553" s="21">
        <v>22</v>
      </c>
      <c r="F3553" s="22">
        <v>45411.3269328704</v>
      </c>
      <c r="G3553" s="22">
        <v>46072.4269097222</v>
      </c>
      <c r="H3553" s="23">
        <v>52.32</v>
      </c>
      <c r="I3553" s="23">
        <v>2.18</v>
      </c>
      <c r="J3553" s="24">
        <v>47.96</v>
      </c>
      <c r="K3553" s="21">
        <v>0</v>
      </c>
      <c r="L3553" s="21">
        <v>0</v>
      </c>
      <c r="M3553" s="21">
        <f>COUNTIF($A$2:$A$5481,A3553)</f>
        <v>4</v>
      </c>
      <c r="N3553" s="24">
        <f t="shared" si="55"/>
        <v>47.9603553</v>
      </c>
    </row>
    <row r="3554" spans="1:14">
      <c r="A3554" s="21" t="s">
        <v>262</v>
      </c>
      <c r="B3554" s="21" t="s">
        <v>926</v>
      </c>
      <c r="C3554" s="21" t="s">
        <v>628</v>
      </c>
      <c r="D3554" s="21" t="s">
        <v>921</v>
      </c>
      <c r="E3554" s="21">
        <v>0</v>
      </c>
      <c r="F3554" s="22">
        <v>45859.5680208333</v>
      </c>
      <c r="G3554" s="22">
        <v>46252.4639699074</v>
      </c>
      <c r="H3554" s="23">
        <v>54</v>
      </c>
      <c r="I3554" s="23">
        <v>2.25</v>
      </c>
      <c r="J3554" s="24">
        <v>0</v>
      </c>
      <c r="K3554" s="21">
        <v>0</v>
      </c>
      <c r="L3554" s="21">
        <v>0</v>
      </c>
      <c r="M3554" s="21">
        <f>COUNTIF($A$2:$A$5481,A3554)</f>
        <v>4</v>
      </c>
      <c r="N3554" s="24">
        <f t="shared" si="55"/>
        <v>0.0003554</v>
      </c>
    </row>
    <row r="3555" spans="1:14">
      <c r="A3555" s="21" t="s">
        <v>262</v>
      </c>
      <c r="B3555" s="21" t="s">
        <v>926</v>
      </c>
      <c r="C3555" s="21" t="s">
        <v>26</v>
      </c>
      <c r="D3555" s="21" t="s">
        <v>921</v>
      </c>
      <c r="E3555" s="21">
        <v>30</v>
      </c>
      <c r="F3555" s="22">
        <v>45916.6561689815</v>
      </c>
      <c r="G3555" s="22">
        <v>46268.6312615741</v>
      </c>
      <c r="H3555" s="23">
        <v>21.48</v>
      </c>
      <c r="I3555" s="23">
        <v>2.0599190625</v>
      </c>
      <c r="J3555" s="24">
        <v>61.8</v>
      </c>
      <c r="K3555" s="21">
        <v>0</v>
      </c>
      <c r="L3555" s="21">
        <v>0</v>
      </c>
      <c r="M3555" s="21">
        <f>COUNTIF($A$2:$A$5481,A3555)</f>
        <v>4</v>
      </c>
      <c r="N3555" s="24">
        <f t="shared" si="55"/>
        <v>61.8003555</v>
      </c>
    </row>
    <row r="3556" spans="1:14">
      <c r="A3556" s="21" t="s">
        <v>262</v>
      </c>
      <c r="B3556" s="21" t="s">
        <v>926</v>
      </c>
      <c r="C3556" s="21" t="s">
        <v>38</v>
      </c>
      <c r="D3556" s="21" t="s">
        <v>921</v>
      </c>
      <c r="E3556" s="21">
        <v>334</v>
      </c>
      <c r="F3556" s="22">
        <v>46161.4354166667</v>
      </c>
      <c r="G3556" s="22">
        <v>46203.682662037</v>
      </c>
      <c r="H3556" s="23">
        <v>95.6</v>
      </c>
      <c r="I3556" s="23">
        <v>2.3140488215</v>
      </c>
      <c r="J3556" s="24">
        <v>771.54</v>
      </c>
      <c r="K3556" s="21">
        <v>0</v>
      </c>
      <c r="L3556" s="21">
        <v>0</v>
      </c>
      <c r="M3556" s="21">
        <f>COUNTIF($A$2:$A$5481,A3556)</f>
        <v>4</v>
      </c>
      <c r="N3556" s="24">
        <f t="shared" si="55"/>
        <v>771.5403556</v>
      </c>
    </row>
    <row r="3557" spans="1:14">
      <c r="A3557" s="21" t="s">
        <v>3472</v>
      </c>
      <c r="B3557" s="21" t="s">
        <v>926</v>
      </c>
      <c r="C3557" s="21" t="s">
        <v>26</v>
      </c>
      <c r="D3557" s="21" t="s">
        <v>921</v>
      </c>
      <c r="E3557" s="21">
        <v>1</v>
      </c>
      <c r="F3557" s="22">
        <v>46160.6449768519</v>
      </c>
      <c r="G3557" s="22"/>
      <c r="H3557" s="23">
        <v>120.62</v>
      </c>
      <c r="I3557" s="23">
        <v>120.62</v>
      </c>
      <c r="J3557" s="24">
        <v>120.62</v>
      </c>
      <c r="K3557" s="21">
        <v>0</v>
      </c>
      <c r="L3557" s="21">
        <v>0</v>
      </c>
      <c r="M3557" s="21">
        <f>COUNTIF($A$2:$A$5481,A3557)</f>
        <v>1</v>
      </c>
      <c r="N3557" s="24">
        <f t="shared" si="55"/>
        <v>120.6203557</v>
      </c>
    </row>
    <row r="3558" spans="1:14">
      <c r="A3558" s="21" t="s">
        <v>3473</v>
      </c>
      <c r="B3558" s="21" t="s">
        <v>926</v>
      </c>
      <c r="C3558" s="21" t="s">
        <v>26</v>
      </c>
      <c r="D3558" s="21" t="s">
        <v>921</v>
      </c>
      <c r="E3558" s="21">
        <v>2</v>
      </c>
      <c r="F3558" s="22">
        <v>46160.6449768519</v>
      </c>
      <c r="G3558" s="22"/>
      <c r="H3558" s="23">
        <v>301.94</v>
      </c>
      <c r="I3558" s="23">
        <v>150.97</v>
      </c>
      <c r="J3558" s="24">
        <v>301.94</v>
      </c>
      <c r="K3558" s="21">
        <v>0</v>
      </c>
      <c r="L3558" s="21">
        <v>0</v>
      </c>
      <c r="M3558" s="21">
        <f>COUNTIF($A$2:$A$5481,A3558)</f>
        <v>1</v>
      </c>
      <c r="N3558" s="24">
        <f t="shared" si="55"/>
        <v>301.9403558</v>
      </c>
    </row>
    <row r="3559" spans="1:14">
      <c r="A3559" s="21" t="s">
        <v>3474</v>
      </c>
      <c r="B3559" s="21" t="s">
        <v>926</v>
      </c>
      <c r="C3559" s="21" t="s">
        <v>26</v>
      </c>
      <c r="D3559" s="21" t="s">
        <v>921</v>
      </c>
      <c r="E3559" s="21">
        <v>7</v>
      </c>
      <c r="F3559" s="22">
        <v>46108.549525463</v>
      </c>
      <c r="G3559" s="22"/>
      <c r="H3559" s="23">
        <v>177.72</v>
      </c>
      <c r="I3559" s="23">
        <v>88.86</v>
      </c>
      <c r="J3559" s="24">
        <v>622.02</v>
      </c>
      <c r="K3559" s="21">
        <v>0</v>
      </c>
      <c r="L3559" s="21">
        <v>0</v>
      </c>
      <c r="M3559" s="21">
        <f>COUNTIF($A$2:$A$5481,A3559)</f>
        <v>1</v>
      </c>
      <c r="N3559" s="24">
        <f t="shared" si="55"/>
        <v>622.0203559</v>
      </c>
    </row>
    <row r="3560" spans="1:14">
      <c r="A3560" s="21" t="s">
        <v>3475</v>
      </c>
      <c r="B3560" s="21" t="s">
        <v>926</v>
      </c>
      <c r="C3560" s="21" t="s">
        <v>26</v>
      </c>
      <c r="D3560" s="21" t="s">
        <v>921</v>
      </c>
      <c r="E3560" s="21">
        <v>6</v>
      </c>
      <c r="F3560" s="22">
        <v>45642.3665509259</v>
      </c>
      <c r="G3560" s="22">
        <v>45847.4269907407</v>
      </c>
      <c r="H3560" s="23">
        <v>1256</v>
      </c>
      <c r="I3560" s="23">
        <v>157</v>
      </c>
      <c r="J3560" s="24">
        <v>942</v>
      </c>
      <c r="K3560" s="21">
        <v>0</v>
      </c>
      <c r="L3560" s="21">
        <v>0</v>
      </c>
      <c r="M3560" s="21">
        <f>COUNTIF($A$2:$A$5481,A3560)</f>
        <v>2</v>
      </c>
      <c r="N3560" s="24">
        <f t="shared" si="55"/>
        <v>942.000356</v>
      </c>
    </row>
    <row r="3561" spans="1:14">
      <c r="A3561" s="21" t="s">
        <v>3475</v>
      </c>
      <c r="B3561" s="21" t="s">
        <v>926</v>
      </c>
      <c r="C3561" s="21" t="s">
        <v>38</v>
      </c>
      <c r="D3561" s="21" t="s">
        <v>921</v>
      </c>
      <c r="E3561" s="21">
        <v>97</v>
      </c>
      <c r="F3561" s="22">
        <v>45795.588275463</v>
      </c>
      <c r="G3561" s="22">
        <v>45805.4079166667</v>
      </c>
      <c r="H3561" s="23">
        <v>1895.86368</v>
      </c>
      <c r="I3561" s="23">
        <v>157.98864</v>
      </c>
      <c r="J3561" s="24">
        <v>15325.03</v>
      </c>
      <c r="K3561" s="21">
        <v>0</v>
      </c>
      <c r="L3561" s="21">
        <v>0</v>
      </c>
      <c r="M3561" s="21">
        <f>COUNTIF($A$2:$A$5481,A3561)</f>
        <v>2</v>
      </c>
      <c r="N3561" s="24">
        <f t="shared" si="55"/>
        <v>15325.0303561</v>
      </c>
    </row>
    <row r="3562" spans="1:14">
      <c r="A3562" s="21" t="s">
        <v>3476</v>
      </c>
      <c r="B3562" s="21" t="s">
        <v>920</v>
      </c>
      <c r="C3562" s="21" t="s">
        <v>26</v>
      </c>
      <c r="D3562" s="21" t="s">
        <v>921</v>
      </c>
      <c r="E3562" s="21">
        <v>32</v>
      </c>
      <c r="F3562" s="22">
        <v>46170.3909722222</v>
      </c>
      <c r="G3562" s="22"/>
      <c r="H3562" s="23">
        <v>130.2</v>
      </c>
      <c r="I3562" s="23">
        <v>16.465625</v>
      </c>
      <c r="J3562" s="24">
        <v>527.04</v>
      </c>
      <c r="K3562" s="21">
        <v>0</v>
      </c>
      <c r="L3562" s="21">
        <v>0</v>
      </c>
      <c r="M3562" s="21">
        <f>COUNTIF($A$2:$A$5481,A3562)</f>
        <v>1</v>
      </c>
      <c r="N3562" s="24">
        <f t="shared" si="55"/>
        <v>527.0403562</v>
      </c>
    </row>
    <row r="3563" spans="1:14">
      <c r="A3563" s="21" t="s">
        <v>3477</v>
      </c>
      <c r="B3563" s="21" t="s">
        <v>926</v>
      </c>
      <c r="C3563" s="21" t="s">
        <v>26</v>
      </c>
      <c r="D3563" s="21" t="s">
        <v>921</v>
      </c>
      <c r="E3563" s="21">
        <v>4</v>
      </c>
      <c r="F3563" s="22">
        <v>46191.6926851852</v>
      </c>
      <c r="G3563" s="22"/>
      <c r="H3563" s="23">
        <v>431.72</v>
      </c>
      <c r="I3563" s="23">
        <v>107.93</v>
      </c>
      <c r="J3563" s="24">
        <v>431.72</v>
      </c>
      <c r="K3563" s="21">
        <v>0</v>
      </c>
      <c r="L3563" s="21">
        <v>0</v>
      </c>
      <c r="M3563" s="21">
        <f>COUNTIF($A$2:$A$5481,A3563)</f>
        <v>1</v>
      </c>
      <c r="N3563" s="24">
        <f t="shared" si="55"/>
        <v>431.7203563</v>
      </c>
    </row>
    <row r="3564" spans="1:14">
      <c r="A3564" s="21" t="s">
        <v>263</v>
      </c>
      <c r="B3564" s="21" t="s">
        <v>926</v>
      </c>
      <c r="C3564" s="21" t="s">
        <v>26</v>
      </c>
      <c r="D3564" s="21" t="s">
        <v>921</v>
      </c>
      <c r="E3564" s="21">
        <v>7</v>
      </c>
      <c r="F3564" s="22">
        <v>45642.3665509259</v>
      </c>
      <c r="G3564" s="22">
        <v>45805.4078935185</v>
      </c>
      <c r="H3564" s="23">
        <v>1120</v>
      </c>
      <c r="I3564" s="23">
        <v>140</v>
      </c>
      <c r="J3564" s="24">
        <v>980</v>
      </c>
      <c r="K3564" s="21">
        <v>0</v>
      </c>
      <c r="L3564" s="21">
        <v>0</v>
      </c>
      <c r="M3564" s="21">
        <f>COUNTIF($A$2:$A$5481,A3564)</f>
        <v>2</v>
      </c>
      <c r="N3564" s="24">
        <f t="shared" si="55"/>
        <v>980.0003564</v>
      </c>
    </row>
    <row r="3565" spans="1:14">
      <c r="A3565" s="21" t="s">
        <v>263</v>
      </c>
      <c r="B3565" s="21" t="s">
        <v>926</v>
      </c>
      <c r="C3565" s="21" t="s">
        <v>38</v>
      </c>
      <c r="D3565" s="21" t="s">
        <v>921</v>
      </c>
      <c r="E3565" s="21">
        <v>59</v>
      </c>
      <c r="F3565" s="22">
        <v>45795.588275463</v>
      </c>
      <c r="G3565" s="22">
        <v>46072.4269328704</v>
      </c>
      <c r="H3565" s="23">
        <v>1139.95896</v>
      </c>
      <c r="I3565" s="23">
        <v>142.494872</v>
      </c>
      <c r="J3565" s="24">
        <v>8406.91</v>
      </c>
      <c r="K3565" s="21">
        <v>0</v>
      </c>
      <c r="L3565" s="21">
        <v>0</v>
      </c>
      <c r="M3565" s="21">
        <f>COUNTIF($A$2:$A$5481,A3565)</f>
        <v>2</v>
      </c>
      <c r="N3565" s="24">
        <f t="shared" si="55"/>
        <v>8406.9103565</v>
      </c>
    </row>
    <row r="3566" spans="1:14">
      <c r="A3566" s="21" t="s">
        <v>3478</v>
      </c>
      <c r="B3566" s="21" t="s">
        <v>926</v>
      </c>
      <c r="C3566" s="21" t="s">
        <v>26</v>
      </c>
      <c r="D3566" s="21" t="s">
        <v>921</v>
      </c>
      <c r="E3566" s="21">
        <v>1</v>
      </c>
      <c r="F3566" s="22">
        <v>46160.6449768519</v>
      </c>
      <c r="G3566" s="22"/>
      <c r="H3566" s="23">
        <v>120</v>
      </c>
      <c r="I3566" s="23">
        <v>120</v>
      </c>
      <c r="J3566" s="24">
        <v>120</v>
      </c>
      <c r="K3566" s="21">
        <v>0</v>
      </c>
      <c r="L3566" s="21">
        <v>0</v>
      </c>
      <c r="M3566" s="21">
        <f>COUNTIF($A$2:$A$5481,A3566)</f>
        <v>1</v>
      </c>
      <c r="N3566" s="24">
        <f t="shared" si="55"/>
        <v>120.0003566</v>
      </c>
    </row>
    <row r="3567" spans="1:14">
      <c r="A3567" s="21" t="s">
        <v>3479</v>
      </c>
      <c r="B3567" s="21" t="s">
        <v>926</v>
      </c>
      <c r="C3567" s="21" t="s">
        <v>26</v>
      </c>
      <c r="D3567" s="21" t="s">
        <v>921</v>
      </c>
      <c r="E3567" s="21">
        <v>1</v>
      </c>
      <c r="F3567" s="22">
        <v>45785.3877199074</v>
      </c>
      <c r="G3567" s="22"/>
      <c r="H3567" s="23">
        <v>10.9</v>
      </c>
      <c r="I3567" s="23">
        <v>10.9</v>
      </c>
      <c r="J3567" s="24">
        <v>10.9</v>
      </c>
      <c r="K3567" s="21">
        <v>0</v>
      </c>
      <c r="L3567" s="21">
        <v>0</v>
      </c>
      <c r="M3567" s="21">
        <f>COUNTIF($A$2:$A$5481,A3567)</f>
        <v>1</v>
      </c>
      <c r="N3567" s="24">
        <f t="shared" si="55"/>
        <v>10.9003567</v>
      </c>
    </row>
    <row r="3568" spans="1:14">
      <c r="A3568" s="21" t="s">
        <v>65</v>
      </c>
      <c r="B3568" s="21" t="s">
        <v>926</v>
      </c>
      <c r="C3568" s="21" t="s">
        <v>26</v>
      </c>
      <c r="D3568" s="21" t="s">
        <v>921</v>
      </c>
      <c r="E3568" s="21">
        <v>1</v>
      </c>
      <c r="F3568" s="22">
        <v>45785.3877199074</v>
      </c>
      <c r="G3568" s="22"/>
      <c r="H3568" s="23">
        <v>22</v>
      </c>
      <c r="I3568" s="23">
        <v>22</v>
      </c>
      <c r="J3568" s="24">
        <v>22</v>
      </c>
      <c r="K3568" s="21">
        <v>0</v>
      </c>
      <c r="L3568" s="21">
        <v>0</v>
      </c>
      <c r="M3568" s="21">
        <f>COUNTIF($A$2:$A$5481,A3568)</f>
        <v>1</v>
      </c>
      <c r="N3568" s="24">
        <f t="shared" si="55"/>
        <v>22.0003568</v>
      </c>
    </row>
    <row r="3569" spans="1:14">
      <c r="A3569" s="21" t="s">
        <v>3480</v>
      </c>
      <c r="B3569" s="21" t="s">
        <v>26</v>
      </c>
      <c r="C3569" s="21" t="s">
        <v>26</v>
      </c>
      <c r="D3569" s="21" t="s">
        <v>921</v>
      </c>
      <c r="E3569" s="21">
        <v>20</v>
      </c>
      <c r="F3569" s="22">
        <v>45750.369537037</v>
      </c>
      <c r="G3569" s="22"/>
      <c r="H3569" s="23">
        <v>99.1</v>
      </c>
      <c r="I3569" s="23">
        <v>11.385</v>
      </c>
      <c r="J3569" s="24">
        <v>227.8</v>
      </c>
      <c r="K3569" s="21">
        <v>0</v>
      </c>
      <c r="L3569" s="21">
        <v>0</v>
      </c>
      <c r="M3569" s="21">
        <f>COUNTIF($A$2:$A$5481,A3569)</f>
        <v>1</v>
      </c>
      <c r="N3569" s="24">
        <f t="shared" si="55"/>
        <v>227.8003569</v>
      </c>
    </row>
    <row r="3570" spans="1:14">
      <c r="A3570" s="21" t="s">
        <v>3481</v>
      </c>
      <c r="B3570" s="21" t="s">
        <v>1342</v>
      </c>
      <c r="C3570" s="21" t="s">
        <v>26</v>
      </c>
      <c r="D3570" s="21" t="s">
        <v>921</v>
      </c>
      <c r="E3570" s="21">
        <v>6</v>
      </c>
      <c r="F3570" s="22">
        <v>45633.35</v>
      </c>
      <c r="G3570" s="22"/>
      <c r="H3570" s="23">
        <v>159.74</v>
      </c>
      <c r="I3570" s="23">
        <v>46.69667</v>
      </c>
      <c r="J3570" s="24">
        <v>280.2</v>
      </c>
      <c r="K3570" s="21">
        <v>0</v>
      </c>
      <c r="L3570" s="21">
        <v>0</v>
      </c>
      <c r="M3570" s="21">
        <f>COUNTIF($A$2:$A$5481,A3570)</f>
        <v>1</v>
      </c>
      <c r="N3570" s="24">
        <f t="shared" si="55"/>
        <v>280.200357</v>
      </c>
    </row>
    <row r="3571" spans="1:14">
      <c r="A3571" s="21" t="s">
        <v>3482</v>
      </c>
      <c r="B3571" s="21" t="s">
        <v>926</v>
      </c>
      <c r="C3571" s="21" t="s">
        <v>26</v>
      </c>
      <c r="D3571" s="21" t="s">
        <v>921</v>
      </c>
      <c r="E3571" s="21">
        <v>4</v>
      </c>
      <c r="F3571" s="22">
        <v>46196.647662037</v>
      </c>
      <c r="G3571" s="22"/>
      <c r="H3571" s="23">
        <v>422.36</v>
      </c>
      <c r="I3571" s="23">
        <v>105.59</v>
      </c>
      <c r="J3571" s="24">
        <v>422.36</v>
      </c>
      <c r="K3571" s="21">
        <v>0</v>
      </c>
      <c r="L3571" s="21">
        <v>0</v>
      </c>
      <c r="M3571" s="21">
        <f>COUNTIF($A$2:$A$5481,A3571)</f>
        <v>1</v>
      </c>
      <c r="N3571" s="24">
        <f t="shared" si="55"/>
        <v>422.3603571</v>
      </c>
    </row>
    <row r="3572" spans="1:14">
      <c r="A3572" s="21" t="s">
        <v>3483</v>
      </c>
      <c r="B3572" s="21" t="s">
        <v>926</v>
      </c>
      <c r="C3572" s="21" t="s">
        <v>26</v>
      </c>
      <c r="D3572" s="21" t="s">
        <v>921</v>
      </c>
      <c r="E3572" s="21">
        <v>4</v>
      </c>
      <c r="F3572" s="22">
        <v>46196.647662037</v>
      </c>
      <c r="G3572" s="22"/>
      <c r="H3572" s="23">
        <v>603.88</v>
      </c>
      <c r="I3572" s="23">
        <v>150.97</v>
      </c>
      <c r="J3572" s="24">
        <v>603.88</v>
      </c>
      <c r="K3572" s="21">
        <v>0</v>
      </c>
      <c r="L3572" s="21">
        <v>0</v>
      </c>
      <c r="M3572" s="21">
        <f>COUNTIF($A$2:$A$5481,A3572)</f>
        <v>1</v>
      </c>
      <c r="N3572" s="24">
        <f t="shared" si="55"/>
        <v>603.8803572</v>
      </c>
    </row>
    <row r="3573" spans="1:14">
      <c r="A3573" s="21" t="s">
        <v>3484</v>
      </c>
      <c r="B3573" s="21" t="s">
        <v>1342</v>
      </c>
      <c r="C3573" s="21" t="s">
        <v>182</v>
      </c>
      <c r="D3573" s="21" t="s">
        <v>921</v>
      </c>
      <c r="E3573" s="21">
        <v>1</v>
      </c>
      <c r="F3573" s="22">
        <v>45317.5947337963</v>
      </c>
      <c r="G3573" s="22"/>
      <c r="H3573" s="23">
        <v>970</v>
      </c>
      <c r="I3573" s="23">
        <v>970</v>
      </c>
      <c r="J3573" s="24">
        <v>970</v>
      </c>
      <c r="K3573" s="21">
        <v>0</v>
      </c>
      <c r="L3573" s="21">
        <v>0</v>
      </c>
      <c r="M3573" s="21">
        <f>COUNTIF($A$2:$A$5481,A3573)</f>
        <v>1</v>
      </c>
      <c r="N3573" s="24">
        <f t="shared" si="55"/>
        <v>970.0003573</v>
      </c>
    </row>
    <row r="3574" spans="1:14">
      <c r="A3574" s="21" t="s">
        <v>3485</v>
      </c>
      <c r="B3574" s="21" t="s">
        <v>949</v>
      </c>
      <c r="C3574" s="21" t="s">
        <v>26</v>
      </c>
      <c r="D3574" s="21" t="s">
        <v>921</v>
      </c>
      <c r="E3574" s="21">
        <v>4</v>
      </c>
      <c r="F3574" s="22">
        <v>45698.589525463</v>
      </c>
      <c r="G3574" s="22"/>
      <c r="H3574" s="23">
        <v>32</v>
      </c>
      <c r="I3574" s="23">
        <v>17.95</v>
      </c>
      <c r="J3574" s="24">
        <v>71.8</v>
      </c>
      <c r="K3574" s="21">
        <v>0</v>
      </c>
      <c r="L3574" s="21">
        <v>0</v>
      </c>
      <c r="M3574" s="21">
        <f>COUNTIF($A$2:$A$5481,A3574)</f>
        <v>1</v>
      </c>
      <c r="N3574" s="24">
        <f t="shared" si="55"/>
        <v>71.8003574</v>
      </c>
    </row>
    <row r="3575" spans="1:14">
      <c r="A3575" s="21" t="s">
        <v>3486</v>
      </c>
      <c r="B3575" s="21" t="s">
        <v>926</v>
      </c>
      <c r="C3575" s="21" t="s">
        <v>26</v>
      </c>
      <c r="D3575" s="21" t="s">
        <v>921</v>
      </c>
      <c r="E3575" s="21">
        <v>12</v>
      </c>
      <c r="F3575" s="22">
        <v>46202.5805555556</v>
      </c>
      <c r="G3575" s="22"/>
      <c r="H3575" s="23">
        <v>167.88</v>
      </c>
      <c r="I3575" s="23">
        <v>13.99</v>
      </c>
      <c r="J3575" s="24">
        <v>167.88</v>
      </c>
      <c r="K3575" s="21">
        <v>0</v>
      </c>
      <c r="L3575" s="21">
        <v>0</v>
      </c>
      <c r="M3575" s="21">
        <f>COUNTIF($A$2:$A$5481,A3575)</f>
        <v>1</v>
      </c>
      <c r="N3575" s="24">
        <f t="shared" si="55"/>
        <v>167.8803575</v>
      </c>
    </row>
    <row r="3576" spans="1:14">
      <c r="A3576" s="21" t="s">
        <v>3487</v>
      </c>
      <c r="B3576" s="21" t="s">
        <v>920</v>
      </c>
      <c r="C3576" s="21" t="s">
        <v>35</v>
      </c>
      <c r="D3576" s="21" t="s">
        <v>921</v>
      </c>
      <c r="E3576" s="21">
        <v>1</v>
      </c>
      <c r="F3576" s="22">
        <v>45373.8125</v>
      </c>
      <c r="G3576" s="22"/>
      <c r="H3576" s="23">
        <v>24.8</v>
      </c>
      <c r="I3576" s="23">
        <v>24.8</v>
      </c>
      <c r="J3576" s="24">
        <v>24.8</v>
      </c>
      <c r="K3576" s="21">
        <v>0</v>
      </c>
      <c r="L3576" s="21">
        <v>0</v>
      </c>
      <c r="M3576" s="21">
        <f>COUNTIF($A$2:$A$5481,A3576)</f>
        <v>2</v>
      </c>
      <c r="N3576" s="24">
        <f t="shared" si="55"/>
        <v>24.8003576</v>
      </c>
    </row>
    <row r="3577" spans="1:14">
      <c r="A3577" s="21" t="s">
        <v>3487</v>
      </c>
      <c r="B3577" s="21" t="s">
        <v>920</v>
      </c>
      <c r="C3577" s="21" t="s">
        <v>26</v>
      </c>
      <c r="D3577" s="21" t="s">
        <v>921</v>
      </c>
      <c r="E3577" s="21">
        <v>8</v>
      </c>
      <c r="F3577" s="22">
        <v>45882.8106944444</v>
      </c>
      <c r="G3577" s="22"/>
      <c r="H3577" s="23">
        <v>73.56</v>
      </c>
      <c r="I3577" s="23">
        <v>20.67</v>
      </c>
      <c r="J3577" s="24">
        <v>165.36</v>
      </c>
      <c r="K3577" s="21">
        <v>0</v>
      </c>
      <c r="L3577" s="21">
        <v>0</v>
      </c>
      <c r="M3577" s="21">
        <f>COUNTIF($A$2:$A$5481,A3577)</f>
        <v>2</v>
      </c>
      <c r="N3577" s="24">
        <f t="shared" si="55"/>
        <v>165.3603577</v>
      </c>
    </row>
    <row r="3578" spans="1:14">
      <c r="A3578" s="21" t="s">
        <v>3488</v>
      </c>
      <c r="B3578" s="21" t="s">
        <v>920</v>
      </c>
      <c r="C3578" s="21" t="s">
        <v>26</v>
      </c>
      <c r="D3578" s="21" t="s">
        <v>921</v>
      </c>
      <c r="E3578" s="21">
        <v>1</v>
      </c>
      <c r="F3578" s="22">
        <v>45691.5877777778</v>
      </c>
      <c r="G3578" s="22">
        <v>45691.5889236111</v>
      </c>
      <c r="H3578" s="23">
        <v>1082.8</v>
      </c>
      <c r="I3578" s="23">
        <v>541.4</v>
      </c>
      <c r="J3578" s="24">
        <v>541.4</v>
      </c>
      <c r="K3578" s="21">
        <v>0</v>
      </c>
      <c r="L3578" s="21">
        <v>0</v>
      </c>
      <c r="M3578" s="21">
        <f>COUNTIF($A$2:$A$5481,A3578)</f>
        <v>2</v>
      </c>
      <c r="N3578" s="24">
        <f t="shared" si="55"/>
        <v>541.4003578</v>
      </c>
    </row>
    <row r="3579" spans="1:14">
      <c r="A3579" s="21" t="s">
        <v>3488</v>
      </c>
      <c r="B3579" s="21" t="s">
        <v>920</v>
      </c>
      <c r="C3579" s="21" t="s">
        <v>35</v>
      </c>
      <c r="D3579" s="21" t="s">
        <v>921</v>
      </c>
      <c r="E3579" s="21">
        <v>0</v>
      </c>
      <c r="F3579" s="22">
        <v>45726.357962963</v>
      </c>
      <c r="G3579" s="22">
        <v>45814.4141550926</v>
      </c>
      <c r="H3579" s="23">
        <v>1560</v>
      </c>
      <c r="I3579" s="23">
        <v>780</v>
      </c>
      <c r="J3579" s="24">
        <v>0</v>
      </c>
      <c r="K3579" s="21">
        <v>0</v>
      </c>
      <c r="L3579" s="21">
        <v>0</v>
      </c>
      <c r="M3579" s="21">
        <f>COUNTIF($A$2:$A$5481,A3579)</f>
        <v>2</v>
      </c>
      <c r="N3579" s="24">
        <f t="shared" si="55"/>
        <v>0.0003579</v>
      </c>
    </row>
    <row r="3580" spans="1:14">
      <c r="A3580" s="21" t="s">
        <v>840</v>
      </c>
      <c r="B3580" s="21" t="s">
        <v>920</v>
      </c>
      <c r="C3580" s="21" t="s">
        <v>35</v>
      </c>
      <c r="D3580" s="21" t="s">
        <v>931</v>
      </c>
      <c r="E3580" s="21">
        <v>1</v>
      </c>
      <c r="F3580" s="22">
        <v>45792.6260300926</v>
      </c>
      <c r="G3580" s="22">
        <v>46266.6984375</v>
      </c>
      <c r="H3580" s="23">
        <v>775</v>
      </c>
      <c r="I3580" s="23">
        <v>778.33333</v>
      </c>
      <c r="J3580" s="24">
        <v>778.33</v>
      </c>
      <c r="K3580" s="21">
        <v>0</v>
      </c>
      <c r="L3580" s="21">
        <v>0</v>
      </c>
      <c r="M3580" s="21">
        <f>COUNTIF($A$2:$A$5481,A3580)</f>
        <v>1</v>
      </c>
      <c r="N3580" s="24">
        <f t="shared" si="55"/>
        <v>778.330358</v>
      </c>
    </row>
    <row r="3581" spans="1:14">
      <c r="A3581" s="21" t="s">
        <v>3489</v>
      </c>
      <c r="B3581" s="21" t="s">
        <v>920</v>
      </c>
      <c r="C3581" s="21" t="s">
        <v>26</v>
      </c>
      <c r="D3581" s="21" t="s">
        <v>921</v>
      </c>
      <c r="E3581" s="21">
        <v>3</v>
      </c>
      <c r="F3581" s="22">
        <v>45937.6970023148</v>
      </c>
      <c r="G3581" s="22">
        <v>45982.3630092593</v>
      </c>
      <c r="H3581" s="23">
        <v>223.96</v>
      </c>
      <c r="I3581" s="23">
        <v>55.99</v>
      </c>
      <c r="J3581" s="24">
        <v>167.97</v>
      </c>
      <c r="K3581" s="21">
        <v>0</v>
      </c>
      <c r="L3581" s="21">
        <v>0</v>
      </c>
      <c r="M3581" s="21">
        <f>COUNTIF($A$2:$A$5481,A3581)</f>
        <v>1</v>
      </c>
      <c r="N3581" s="24">
        <f t="shared" si="55"/>
        <v>167.9703581</v>
      </c>
    </row>
    <row r="3582" spans="1:14">
      <c r="A3582" s="21" t="s">
        <v>361</v>
      </c>
      <c r="B3582" s="21" t="s">
        <v>920</v>
      </c>
      <c r="C3582" s="21" t="s">
        <v>26</v>
      </c>
      <c r="D3582" s="21" t="s">
        <v>921</v>
      </c>
      <c r="E3582" s="21">
        <v>3</v>
      </c>
      <c r="F3582" s="22">
        <v>45937.6970023148</v>
      </c>
      <c r="G3582" s="22">
        <v>46122.4006365741</v>
      </c>
      <c r="H3582" s="23">
        <v>223.96</v>
      </c>
      <c r="I3582" s="23">
        <v>55.99</v>
      </c>
      <c r="J3582" s="24">
        <v>167.97</v>
      </c>
      <c r="K3582" s="21">
        <v>0</v>
      </c>
      <c r="L3582" s="21">
        <v>0</v>
      </c>
      <c r="M3582" s="21">
        <f>COUNTIF($A$2:$A$5481,A3582)</f>
        <v>1</v>
      </c>
      <c r="N3582" s="24">
        <f t="shared" si="55"/>
        <v>167.9703582</v>
      </c>
    </row>
    <row r="3583" spans="1:14">
      <c r="A3583" s="21" t="s">
        <v>3490</v>
      </c>
      <c r="B3583" s="21" t="s">
        <v>26</v>
      </c>
      <c r="C3583" s="21" t="s">
        <v>35</v>
      </c>
      <c r="D3583" s="21" t="s">
        <v>921</v>
      </c>
      <c r="E3583" s="21">
        <v>0</v>
      </c>
      <c r="F3583" s="22">
        <v>45608.3634259259</v>
      </c>
      <c r="G3583" s="22">
        <v>45775.4840509259</v>
      </c>
      <c r="H3583" s="23">
        <v>400</v>
      </c>
      <c r="I3583" s="23">
        <v>400</v>
      </c>
      <c r="J3583" s="24">
        <v>0</v>
      </c>
      <c r="K3583" s="21">
        <v>0</v>
      </c>
      <c r="L3583" s="21">
        <v>0</v>
      </c>
      <c r="M3583" s="21">
        <f>COUNTIF($A$2:$A$5481,A3583)</f>
        <v>1</v>
      </c>
      <c r="N3583" s="24">
        <f t="shared" si="55"/>
        <v>0.0003583</v>
      </c>
    </row>
    <row r="3584" spans="1:14">
      <c r="A3584" s="21" t="s">
        <v>3491</v>
      </c>
      <c r="B3584" s="21" t="s">
        <v>920</v>
      </c>
      <c r="C3584" s="21" t="s">
        <v>35</v>
      </c>
      <c r="D3584" s="21" t="s">
        <v>921</v>
      </c>
      <c r="E3584" s="21">
        <v>0</v>
      </c>
      <c r="F3584" s="22">
        <v>45379.7816782407</v>
      </c>
      <c r="G3584" s="22">
        <v>45461.8400462963</v>
      </c>
      <c r="H3584" s="23">
        <v>237.92</v>
      </c>
      <c r="I3584" s="23">
        <v>59.48</v>
      </c>
      <c r="J3584" s="24">
        <v>0</v>
      </c>
      <c r="K3584" s="21">
        <v>0</v>
      </c>
      <c r="L3584" s="21">
        <v>0</v>
      </c>
      <c r="M3584" s="21">
        <f>COUNTIF($A$2:$A$5481,A3584)</f>
        <v>1</v>
      </c>
      <c r="N3584" s="24">
        <f t="shared" si="55"/>
        <v>0.0003584</v>
      </c>
    </row>
    <row r="3585" spans="1:14">
      <c r="A3585" s="21" t="s">
        <v>3492</v>
      </c>
      <c r="B3585" s="21" t="s">
        <v>920</v>
      </c>
      <c r="C3585" s="21" t="s">
        <v>26</v>
      </c>
      <c r="D3585" s="21" t="s">
        <v>931</v>
      </c>
      <c r="E3585" s="21">
        <v>0</v>
      </c>
      <c r="F3585" s="22">
        <v>45470.3909606482</v>
      </c>
      <c r="G3585" s="22">
        <v>45478.59375</v>
      </c>
      <c r="H3585" s="23">
        <v>332.06</v>
      </c>
      <c r="I3585" s="23">
        <v>332.06</v>
      </c>
      <c r="J3585" s="24">
        <v>0</v>
      </c>
      <c r="K3585" s="21">
        <v>0</v>
      </c>
      <c r="L3585" s="21">
        <v>0</v>
      </c>
      <c r="M3585" s="21">
        <f>COUNTIF($A$2:$A$5481,A3585)</f>
        <v>1</v>
      </c>
      <c r="N3585" s="24">
        <f t="shared" si="55"/>
        <v>0.0003585</v>
      </c>
    </row>
    <row r="3586" spans="1:14">
      <c r="A3586" s="21" t="s">
        <v>3493</v>
      </c>
      <c r="B3586" s="21" t="s">
        <v>920</v>
      </c>
      <c r="C3586" s="21" t="s">
        <v>26</v>
      </c>
      <c r="D3586" s="21" t="s">
        <v>921</v>
      </c>
      <c r="E3586" s="21">
        <v>1</v>
      </c>
      <c r="F3586" s="22">
        <v>46127.3888888889</v>
      </c>
      <c r="G3586" s="22"/>
      <c r="H3586" s="23">
        <v>135.56</v>
      </c>
      <c r="I3586" s="23">
        <v>135.56</v>
      </c>
      <c r="J3586" s="24">
        <v>135.56</v>
      </c>
      <c r="K3586" s="21">
        <v>0</v>
      </c>
      <c r="L3586" s="21">
        <v>0</v>
      </c>
      <c r="M3586" s="21">
        <f>COUNTIF($A$2:$A$5481,A3586)</f>
        <v>1</v>
      </c>
      <c r="N3586" s="24">
        <f t="shared" ref="N3586:N3649" si="56">J3586+ROW()/10000000</f>
        <v>135.5603586</v>
      </c>
    </row>
    <row r="3587" spans="1:14">
      <c r="A3587" s="21" t="s">
        <v>3494</v>
      </c>
      <c r="B3587" s="21" t="s">
        <v>26</v>
      </c>
      <c r="C3587" s="21" t="s">
        <v>182</v>
      </c>
      <c r="D3587" s="21" t="s">
        <v>921</v>
      </c>
      <c r="E3587" s="21">
        <v>400</v>
      </c>
      <c r="F3587" s="22">
        <v>45294.6777199074</v>
      </c>
      <c r="G3587" s="22"/>
      <c r="H3587" s="23">
        <v>80</v>
      </c>
      <c r="I3587" s="23">
        <v>0.2</v>
      </c>
      <c r="J3587" s="24">
        <v>80</v>
      </c>
      <c r="K3587" s="21">
        <v>0</v>
      </c>
      <c r="L3587" s="21">
        <v>0</v>
      </c>
      <c r="M3587" s="21">
        <f>COUNTIF($A$2:$A$5481,A3587)</f>
        <v>1</v>
      </c>
      <c r="N3587" s="24">
        <f t="shared" si="56"/>
        <v>80.0003587</v>
      </c>
    </row>
    <row r="3588" spans="1:14">
      <c r="A3588" s="21" t="s">
        <v>3495</v>
      </c>
      <c r="B3588" s="21" t="s">
        <v>929</v>
      </c>
      <c r="C3588" s="21" t="s">
        <v>26</v>
      </c>
      <c r="D3588" s="21" t="s">
        <v>921</v>
      </c>
      <c r="E3588" s="21">
        <v>10</v>
      </c>
      <c r="F3588" s="22">
        <v>46216.7099652778</v>
      </c>
      <c r="G3588" s="22"/>
      <c r="H3588" s="23">
        <v>738.2</v>
      </c>
      <c r="I3588" s="23">
        <v>73.82</v>
      </c>
      <c r="J3588" s="24">
        <v>738.2</v>
      </c>
      <c r="K3588" s="21">
        <v>0</v>
      </c>
      <c r="L3588" s="21">
        <v>0</v>
      </c>
      <c r="M3588" s="21">
        <f>COUNTIF($A$2:$A$5481,A3588)</f>
        <v>1</v>
      </c>
      <c r="N3588" s="24">
        <f t="shared" si="56"/>
        <v>738.2003588</v>
      </c>
    </row>
    <row r="3589" spans="1:14">
      <c r="A3589" s="21" t="s">
        <v>3496</v>
      </c>
      <c r="B3589" s="21" t="s">
        <v>1346</v>
      </c>
      <c r="C3589" s="21" t="s">
        <v>51</v>
      </c>
      <c r="D3589" s="21" t="s">
        <v>921</v>
      </c>
      <c r="E3589" s="21">
        <v>4275</v>
      </c>
      <c r="F3589" s="22">
        <v>45493.5548611111</v>
      </c>
      <c r="G3589" s="22"/>
      <c r="H3589" s="23">
        <v>18596.3</v>
      </c>
      <c r="I3589" s="23">
        <v>4.35001</v>
      </c>
      <c r="J3589" s="24">
        <v>18596.25</v>
      </c>
      <c r="K3589" s="21">
        <v>0</v>
      </c>
      <c r="L3589" s="21">
        <v>0</v>
      </c>
      <c r="M3589" s="21">
        <f>COUNTIF($A$2:$A$5481,A3589)</f>
        <v>2</v>
      </c>
      <c r="N3589" s="24">
        <f t="shared" si="56"/>
        <v>18596.2503589</v>
      </c>
    </row>
    <row r="3590" spans="1:14">
      <c r="A3590" s="21" t="s">
        <v>3496</v>
      </c>
      <c r="B3590" s="21" t="s">
        <v>1346</v>
      </c>
      <c r="C3590" s="21" t="s">
        <v>390</v>
      </c>
      <c r="D3590" s="21" t="s">
        <v>921</v>
      </c>
      <c r="E3590" s="21">
        <v>12961</v>
      </c>
      <c r="F3590" s="22">
        <v>45772.4865972222</v>
      </c>
      <c r="G3590" s="22"/>
      <c r="H3590" s="23">
        <v>10866.3</v>
      </c>
      <c r="I3590" s="23">
        <v>4.29599</v>
      </c>
      <c r="J3590" s="24">
        <v>55732.3</v>
      </c>
      <c r="K3590" s="21">
        <v>0</v>
      </c>
      <c r="L3590" s="21">
        <v>0</v>
      </c>
      <c r="M3590" s="21">
        <f>COUNTIF($A$2:$A$5481,A3590)</f>
        <v>2</v>
      </c>
      <c r="N3590" s="24">
        <f t="shared" si="56"/>
        <v>55732.300359</v>
      </c>
    </row>
    <row r="3591" spans="1:14">
      <c r="A3591" s="21" t="s">
        <v>3497</v>
      </c>
      <c r="B3591" s="21" t="s">
        <v>1346</v>
      </c>
      <c r="C3591" s="21" t="s">
        <v>390</v>
      </c>
      <c r="D3591" s="21" t="s">
        <v>921</v>
      </c>
      <c r="E3591" s="21">
        <v>20966</v>
      </c>
      <c r="F3591" s="22">
        <v>46223.7379282407</v>
      </c>
      <c r="G3591" s="22"/>
      <c r="H3591" s="23">
        <v>1491</v>
      </c>
      <c r="I3591" s="23">
        <v>4.6007454927</v>
      </c>
      <c r="J3591" s="24">
        <v>96443.6</v>
      </c>
      <c r="K3591" s="21">
        <v>0</v>
      </c>
      <c r="L3591" s="21">
        <v>0</v>
      </c>
      <c r="M3591" s="21">
        <f>COUNTIF($A$2:$A$5481,A3591)</f>
        <v>1</v>
      </c>
      <c r="N3591" s="24">
        <f t="shared" si="56"/>
        <v>96443.6003591</v>
      </c>
    </row>
    <row r="3592" spans="1:14">
      <c r="A3592" s="21" t="s">
        <v>3498</v>
      </c>
      <c r="B3592" s="21" t="s">
        <v>1346</v>
      </c>
      <c r="C3592" s="21" t="s">
        <v>390</v>
      </c>
      <c r="D3592" s="21" t="s">
        <v>921</v>
      </c>
      <c r="E3592" s="21">
        <v>13269</v>
      </c>
      <c r="F3592" s="22">
        <v>46223.7379282407</v>
      </c>
      <c r="G3592" s="22"/>
      <c r="H3592" s="23">
        <v>1220.16</v>
      </c>
      <c r="I3592" s="23">
        <v>4.7458293767</v>
      </c>
      <c r="J3592" s="24">
        <v>63027.75</v>
      </c>
      <c r="K3592" s="21">
        <v>0</v>
      </c>
      <c r="L3592" s="21">
        <v>0</v>
      </c>
      <c r="M3592" s="21">
        <f>COUNTIF($A$2:$A$5481,A3592)</f>
        <v>1</v>
      </c>
      <c r="N3592" s="24">
        <f t="shared" si="56"/>
        <v>63027.7503592</v>
      </c>
    </row>
    <row r="3593" spans="1:14">
      <c r="A3593" s="21" t="s">
        <v>3499</v>
      </c>
      <c r="B3593" s="21" t="s">
        <v>1346</v>
      </c>
      <c r="C3593" s="21" t="s">
        <v>390</v>
      </c>
      <c r="D3593" s="21" t="s">
        <v>921</v>
      </c>
      <c r="E3593" s="21">
        <v>15781</v>
      </c>
      <c r="F3593" s="22">
        <v>46223.7379282407</v>
      </c>
      <c r="G3593" s="22"/>
      <c r="H3593" s="23">
        <v>1265.73</v>
      </c>
      <c r="I3593" s="23">
        <v>4.1054103035</v>
      </c>
      <c r="J3593" s="24">
        <v>64859.91</v>
      </c>
      <c r="K3593" s="21">
        <v>0</v>
      </c>
      <c r="L3593" s="21">
        <v>0</v>
      </c>
      <c r="M3593" s="21">
        <f>COUNTIF($A$2:$A$5481,A3593)</f>
        <v>1</v>
      </c>
      <c r="N3593" s="24">
        <f t="shared" si="56"/>
        <v>64859.9103593</v>
      </c>
    </row>
    <row r="3594" spans="1:14">
      <c r="A3594" s="21" t="s">
        <v>3500</v>
      </c>
      <c r="B3594" s="21" t="s">
        <v>929</v>
      </c>
      <c r="C3594" s="21" t="s">
        <v>26</v>
      </c>
      <c r="D3594" s="21" t="s">
        <v>921</v>
      </c>
      <c r="E3594" s="21">
        <v>2</v>
      </c>
      <c r="F3594" s="22">
        <v>45567.8273032407</v>
      </c>
      <c r="G3594" s="22"/>
      <c r="H3594" s="23">
        <v>8.52</v>
      </c>
      <c r="I3594" s="23">
        <v>4.26</v>
      </c>
      <c r="J3594" s="24">
        <v>8.52</v>
      </c>
      <c r="K3594" s="21">
        <v>0</v>
      </c>
      <c r="L3594" s="21">
        <v>0</v>
      </c>
      <c r="M3594" s="21">
        <f>COUNTIF($A$2:$A$5481,A3594)</f>
        <v>1</v>
      </c>
      <c r="N3594" s="24">
        <f t="shared" si="56"/>
        <v>8.5203594</v>
      </c>
    </row>
    <row r="3595" spans="1:14">
      <c r="A3595" s="21" t="s">
        <v>3501</v>
      </c>
      <c r="B3595" s="21" t="s">
        <v>929</v>
      </c>
      <c r="C3595" s="21" t="s">
        <v>26</v>
      </c>
      <c r="D3595" s="21" t="s">
        <v>921</v>
      </c>
      <c r="E3595" s="21">
        <v>4</v>
      </c>
      <c r="F3595" s="22">
        <v>45323.6319444445</v>
      </c>
      <c r="G3595" s="22"/>
      <c r="H3595" s="23">
        <v>119.6</v>
      </c>
      <c r="I3595" s="23">
        <v>29.9</v>
      </c>
      <c r="J3595" s="24">
        <v>119.6</v>
      </c>
      <c r="K3595" s="21">
        <v>0</v>
      </c>
      <c r="L3595" s="21">
        <v>0</v>
      </c>
      <c r="M3595" s="21">
        <f>COUNTIF($A$2:$A$5481,A3595)</f>
        <v>1</v>
      </c>
      <c r="N3595" s="24">
        <f t="shared" si="56"/>
        <v>119.6003595</v>
      </c>
    </row>
    <row r="3596" spans="1:14">
      <c r="A3596" s="21" t="s">
        <v>3502</v>
      </c>
      <c r="B3596" s="21" t="s">
        <v>26</v>
      </c>
      <c r="C3596" s="21" t="s">
        <v>26</v>
      </c>
      <c r="D3596" s="21" t="s">
        <v>921</v>
      </c>
      <c r="E3596" s="21">
        <v>10</v>
      </c>
      <c r="F3596" s="22">
        <v>45686.4293055556</v>
      </c>
      <c r="G3596" s="22"/>
      <c r="H3596" s="23">
        <v>100</v>
      </c>
      <c r="I3596" s="23">
        <v>10</v>
      </c>
      <c r="J3596" s="24">
        <v>100</v>
      </c>
      <c r="K3596" s="21">
        <v>0</v>
      </c>
      <c r="L3596" s="21">
        <v>0</v>
      </c>
      <c r="M3596" s="21">
        <f>COUNTIF($A$2:$A$5481,A3596)</f>
        <v>1</v>
      </c>
      <c r="N3596" s="24">
        <f t="shared" si="56"/>
        <v>100.0003596</v>
      </c>
    </row>
    <row r="3597" spans="1:14">
      <c r="A3597" s="21" t="s">
        <v>3503</v>
      </c>
      <c r="B3597" s="21" t="s">
        <v>26</v>
      </c>
      <c r="C3597" s="21" t="s">
        <v>26</v>
      </c>
      <c r="D3597" s="21" t="s">
        <v>921</v>
      </c>
      <c r="E3597" s="21">
        <v>4</v>
      </c>
      <c r="F3597" s="22">
        <v>45435.4884375</v>
      </c>
      <c r="G3597" s="22"/>
      <c r="H3597" s="23">
        <v>27.92</v>
      </c>
      <c r="I3597" s="23">
        <v>6.98</v>
      </c>
      <c r="J3597" s="24">
        <v>27.92</v>
      </c>
      <c r="K3597" s="21">
        <v>0</v>
      </c>
      <c r="L3597" s="21">
        <v>0</v>
      </c>
      <c r="M3597" s="21">
        <f>COUNTIF($A$2:$A$5481,A3597)</f>
        <v>1</v>
      </c>
      <c r="N3597" s="24">
        <f t="shared" si="56"/>
        <v>27.9203597</v>
      </c>
    </row>
    <row r="3598" spans="1:14">
      <c r="A3598" s="21" t="s">
        <v>3504</v>
      </c>
      <c r="B3598" s="21" t="s">
        <v>929</v>
      </c>
      <c r="C3598" s="21" t="s">
        <v>26</v>
      </c>
      <c r="D3598" s="21" t="s">
        <v>921</v>
      </c>
      <c r="E3598" s="21">
        <v>1</v>
      </c>
      <c r="F3598" s="22">
        <v>45769.8021412037</v>
      </c>
      <c r="G3598" s="22"/>
      <c r="H3598" s="23">
        <v>28.12</v>
      </c>
      <c r="I3598" s="23">
        <v>28.12</v>
      </c>
      <c r="J3598" s="24">
        <v>28.12</v>
      </c>
      <c r="K3598" s="21">
        <v>0</v>
      </c>
      <c r="L3598" s="21">
        <v>0</v>
      </c>
      <c r="M3598" s="21">
        <f>COUNTIF($A$2:$A$5481,A3598)</f>
        <v>1</v>
      </c>
      <c r="N3598" s="24">
        <f t="shared" si="56"/>
        <v>28.1203598</v>
      </c>
    </row>
    <row r="3599" spans="1:14">
      <c r="A3599" s="21" t="s">
        <v>3505</v>
      </c>
      <c r="B3599" s="21" t="s">
        <v>929</v>
      </c>
      <c r="C3599" s="21" t="s">
        <v>26</v>
      </c>
      <c r="D3599" s="21" t="s">
        <v>921</v>
      </c>
      <c r="E3599" s="21">
        <v>1</v>
      </c>
      <c r="F3599" s="22">
        <v>45345.5030208333</v>
      </c>
      <c r="G3599" s="22"/>
      <c r="H3599" s="23">
        <v>10</v>
      </c>
      <c r="I3599" s="23">
        <v>10</v>
      </c>
      <c r="J3599" s="24">
        <v>10</v>
      </c>
      <c r="K3599" s="21">
        <v>0</v>
      </c>
      <c r="L3599" s="21">
        <v>0</v>
      </c>
      <c r="M3599" s="21">
        <f>COUNTIF($A$2:$A$5481,A3599)</f>
        <v>1</v>
      </c>
      <c r="N3599" s="24">
        <f t="shared" si="56"/>
        <v>10.0003599</v>
      </c>
    </row>
    <row r="3600" spans="1:14">
      <c r="A3600" s="21" t="s">
        <v>3506</v>
      </c>
      <c r="B3600" s="21" t="s">
        <v>26</v>
      </c>
      <c r="C3600" s="21" t="s">
        <v>26</v>
      </c>
      <c r="D3600" s="21" t="s">
        <v>921</v>
      </c>
      <c r="E3600" s="21">
        <v>3</v>
      </c>
      <c r="F3600" s="22">
        <v>46035.3522453704</v>
      </c>
      <c r="G3600" s="22"/>
      <c r="H3600" s="23">
        <v>21</v>
      </c>
      <c r="I3600" s="23">
        <v>11.1633333333</v>
      </c>
      <c r="J3600" s="24">
        <v>33.48</v>
      </c>
      <c r="K3600" s="21">
        <v>0</v>
      </c>
      <c r="L3600" s="21">
        <v>0</v>
      </c>
      <c r="M3600" s="21">
        <f>COUNTIF($A$2:$A$5481,A3600)</f>
        <v>1</v>
      </c>
      <c r="N3600" s="24">
        <f t="shared" si="56"/>
        <v>33.48036</v>
      </c>
    </row>
    <row r="3601" spans="1:14">
      <c r="A3601" s="21" t="s">
        <v>3507</v>
      </c>
      <c r="B3601" s="21" t="s">
        <v>26</v>
      </c>
      <c r="C3601" s="21" t="s">
        <v>26</v>
      </c>
      <c r="D3601" s="21" t="s">
        <v>921</v>
      </c>
      <c r="E3601" s="21">
        <v>10</v>
      </c>
      <c r="F3601" s="22">
        <v>46120.3576388889</v>
      </c>
      <c r="G3601" s="22"/>
      <c r="H3601" s="23">
        <v>10.99</v>
      </c>
      <c r="I3601" s="23">
        <v>12.328</v>
      </c>
      <c r="J3601" s="24">
        <v>123.3</v>
      </c>
      <c r="K3601" s="21">
        <v>0</v>
      </c>
      <c r="L3601" s="21">
        <v>0</v>
      </c>
      <c r="M3601" s="21">
        <f>COUNTIF($A$2:$A$5481,A3601)</f>
        <v>1</v>
      </c>
      <c r="N3601" s="24">
        <f t="shared" si="56"/>
        <v>123.3003601</v>
      </c>
    </row>
    <row r="3602" spans="1:14">
      <c r="A3602" s="21" t="s">
        <v>3508</v>
      </c>
      <c r="B3602" s="21" t="s">
        <v>948</v>
      </c>
      <c r="C3602" s="21" t="s">
        <v>26</v>
      </c>
      <c r="D3602" s="21" t="s">
        <v>921</v>
      </c>
      <c r="E3602" s="21">
        <v>2</v>
      </c>
      <c r="F3602" s="22">
        <v>45992.5750694444</v>
      </c>
      <c r="G3602" s="22"/>
      <c r="H3602" s="23">
        <v>17.6</v>
      </c>
      <c r="I3602" s="23">
        <v>8.8</v>
      </c>
      <c r="J3602" s="24">
        <v>17.6</v>
      </c>
      <c r="K3602" s="21">
        <v>0</v>
      </c>
      <c r="L3602" s="21">
        <v>0</v>
      </c>
      <c r="M3602" s="21">
        <f>COUNTIF($A$2:$A$5481,A3602)</f>
        <v>1</v>
      </c>
      <c r="N3602" s="24">
        <f t="shared" si="56"/>
        <v>17.6003602</v>
      </c>
    </row>
    <row r="3603" spans="1:14">
      <c r="A3603" s="21" t="s">
        <v>3509</v>
      </c>
      <c r="B3603" s="21" t="s">
        <v>920</v>
      </c>
      <c r="C3603" s="21" t="s">
        <v>26</v>
      </c>
      <c r="D3603" s="21" t="s">
        <v>921</v>
      </c>
      <c r="E3603" s="21">
        <v>0</v>
      </c>
      <c r="F3603" s="22">
        <v>45939.4306018519</v>
      </c>
      <c r="G3603" s="22">
        <v>45987.4096527778</v>
      </c>
      <c r="H3603" s="23">
        <v>560</v>
      </c>
      <c r="I3603" s="23">
        <v>280</v>
      </c>
      <c r="J3603" s="24">
        <v>0</v>
      </c>
      <c r="K3603" s="21">
        <v>0</v>
      </c>
      <c r="L3603" s="21">
        <v>0</v>
      </c>
      <c r="M3603" s="21">
        <f>COUNTIF($A$2:$A$5481,A3603)</f>
        <v>1</v>
      </c>
      <c r="N3603" s="24">
        <f t="shared" si="56"/>
        <v>0.0003603</v>
      </c>
    </row>
    <row r="3604" spans="1:14">
      <c r="A3604" s="21" t="s">
        <v>3510</v>
      </c>
      <c r="B3604" s="21" t="s">
        <v>920</v>
      </c>
      <c r="C3604" s="21" t="s">
        <v>26</v>
      </c>
      <c r="D3604" s="21" t="s">
        <v>921</v>
      </c>
      <c r="E3604" s="21">
        <v>0</v>
      </c>
      <c r="F3604" s="22">
        <v>45866.5473263889</v>
      </c>
      <c r="G3604" s="22">
        <v>45867.4262037037</v>
      </c>
      <c r="H3604" s="23">
        <v>298</v>
      </c>
      <c r="I3604" s="23">
        <v>298</v>
      </c>
      <c r="J3604" s="24">
        <v>0</v>
      </c>
      <c r="K3604" s="21">
        <v>0</v>
      </c>
      <c r="L3604" s="21">
        <v>0</v>
      </c>
      <c r="M3604" s="21">
        <f>COUNTIF($A$2:$A$5481,A3604)</f>
        <v>1</v>
      </c>
      <c r="N3604" s="24">
        <f t="shared" si="56"/>
        <v>0.0003604</v>
      </c>
    </row>
    <row r="3605" spans="1:14">
      <c r="A3605" s="21" t="s">
        <v>3511</v>
      </c>
      <c r="B3605" s="21" t="s">
        <v>920</v>
      </c>
      <c r="C3605" s="21" t="s">
        <v>26</v>
      </c>
      <c r="D3605" s="21" t="s">
        <v>921</v>
      </c>
      <c r="E3605" s="21">
        <v>1</v>
      </c>
      <c r="F3605" s="22">
        <v>45867.4395833333</v>
      </c>
      <c r="G3605" s="22"/>
      <c r="H3605" s="23">
        <v>298</v>
      </c>
      <c r="I3605" s="23">
        <v>298</v>
      </c>
      <c r="J3605" s="24">
        <v>298</v>
      </c>
      <c r="K3605" s="21">
        <v>0</v>
      </c>
      <c r="L3605" s="21">
        <v>0</v>
      </c>
      <c r="M3605" s="21">
        <f>COUNTIF($A$2:$A$5481,A3605)</f>
        <v>1</v>
      </c>
      <c r="N3605" s="24">
        <f t="shared" si="56"/>
        <v>298.0003605</v>
      </c>
    </row>
    <row r="3606" spans="1:14">
      <c r="A3606" s="21" t="s">
        <v>3512</v>
      </c>
      <c r="B3606" s="21" t="s">
        <v>920</v>
      </c>
      <c r="C3606" s="21" t="s">
        <v>26</v>
      </c>
      <c r="D3606" s="21" t="s">
        <v>931</v>
      </c>
      <c r="E3606" s="21">
        <v>1</v>
      </c>
      <c r="F3606" s="22">
        <v>45798.3968402778</v>
      </c>
      <c r="G3606" s="22"/>
      <c r="H3606" s="23">
        <v>369</v>
      </c>
      <c r="I3606" s="23">
        <v>369</v>
      </c>
      <c r="J3606" s="24">
        <v>369</v>
      </c>
      <c r="K3606" s="21">
        <v>0</v>
      </c>
      <c r="L3606" s="21">
        <v>0</v>
      </c>
      <c r="M3606" s="21">
        <f>COUNTIF($A$2:$A$5481,A3606)</f>
        <v>1</v>
      </c>
      <c r="N3606" s="24">
        <f t="shared" si="56"/>
        <v>369.0003606</v>
      </c>
    </row>
    <row r="3607" spans="1:14">
      <c r="A3607" s="21" t="s">
        <v>3513</v>
      </c>
      <c r="B3607" s="21" t="s">
        <v>26</v>
      </c>
      <c r="C3607" s="21" t="s">
        <v>35</v>
      </c>
      <c r="D3607" s="21" t="s">
        <v>921</v>
      </c>
      <c r="E3607" s="21">
        <v>1</v>
      </c>
      <c r="F3607" s="22">
        <v>45665.4137847222</v>
      </c>
      <c r="G3607" s="22"/>
      <c r="H3607" s="23">
        <v>2300</v>
      </c>
      <c r="I3607" s="23">
        <v>2300</v>
      </c>
      <c r="J3607" s="24">
        <v>2300</v>
      </c>
      <c r="K3607" s="21">
        <v>0</v>
      </c>
      <c r="L3607" s="21">
        <v>0</v>
      </c>
      <c r="M3607" s="21">
        <f>COUNTIF($A$2:$A$5481,A3607)</f>
        <v>1</v>
      </c>
      <c r="N3607" s="24">
        <f t="shared" si="56"/>
        <v>2300.0003607</v>
      </c>
    </row>
    <row r="3608" spans="1:14">
      <c r="A3608" s="21" t="s">
        <v>3514</v>
      </c>
      <c r="B3608" s="21" t="s">
        <v>920</v>
      </c>
      <c r="C3608" s="21" t="s">
        <v>26</v>
      </c>
      <c r="D3608" s="21" t="s">
        <v>921</v>
      </c>
      <c r="E3608" s="21">
        <v>1</v>
      </c>
      <c r="F3608" s="22">
        <v>46048.5902430556</v>
      </c>
      <c r="G3608" s="22"/>
      <c r="H3608" s="23">
        <v>460</v>
      </c>
      <c r="I3608" s="23">
        <v>460</v>
      </c>
      <c r="J3608" s="24">
        <v>460</v>
      </c>
      <c r="K3608" s="21">
        <v>0</v>
      </c>
      <c r="L3608" s="21">
        <v>0</v>
      </c>
      <c r="M3608" s="21">
        <f>COUNTIF($A$2:$A$5481,A3608)</f>
        <v>1</v>
      </c>
      <c r="N3608" s="24">
        <f t="shared" si="56"/>
        <v>460.0003608</v>
      </c>
    </row>
    <row r="3609" spans="1:14">
      <c r="A3609" s="21" t="s">
        <v>3515</v>
      </c>
      <c r="B3609" s="21" t="s">
        <v>920</v>
      </c>
      <c r="C3609" s="21" t="s">
        <v>26</v>
      </c>
      <c r="D3609" s="21" t="s">
        <v>921</v>
      </c>
      <c r="E3609" s="21">
        <v>3</v>
      </c>
      <c r="F3609" s="22">
        <v>45426.4461574074</v>
      </c>
      <c r="G3609" s="22">
        <v>45366.4635648148</v>
      </c>
      <c r="H3609" s="23">
        <v>849</v>
      </c>
      <c r="I3609" s="23">
        <v>339.66667</v>
      </c>
      <c r="J3609" s="24">
        <v>1019.01</v>
      </c>
      <c r="K3609" s="21">
        <v>0</v>
      </c>
      <c r="L3609" s="21">
        <v>0</v>
      </c>
      <c r="M3609" s="21">
        <f>COUNTIF($A$2:$A$5481,A3609)</f>
        <v>1</v>
      </c>
      <c r="N3609" s="24">
        <f t="shared" si="56"/>
        <v>1019.0103609</v>
      </c>
    </row>
    <row r="3610" spans="1:14">
      <c r="A3610" s="21" t="s">
        <v>3516</v>
      </c>
      <c r="B3610" s="21" t="s">
        <v>920</v>
      </c>
      <c r="C3610" s="21" t="s">
        <v>26</v>
      </c>
      <c r="D3610" s="21" t="s">
        <v>921</v>
      </c>
      <c r="E3610" s="21">
        <v>0</v>
      </c>
      <c r="F3610" s="22">
        <v>45426.4461574074</v>
      </c>
      <c r="G3610" s="22">
        <v>45435.8379976852</v>
      </c>
      <c r="H3610" s="23">
        <v>722</v>
      </c>
      <c r="I3610" s="23">
        <v>0</v>
      </c>
      <c r="J3610" s="24">
        <v>0</v>
      </c>
      <c r="K3610" s="21">
        <v>0</v>
      </c>
      <c r="L3610" s="21">
        <v>0</v>
      </c>
      <c r="M3610" s="21">
        <f>COUNTIF($A$2:$A$5481,A3610)</f>
        <v>1</v>
      </c>
      <c r="N3610" s="24">
        <f t="shared" si="56"/>
        <v>0.000361</v>
      </c>
    </row>
    <row r="3611" spans="1:14">
      <c r="A3611" s="21" t="s">
        <v>3517</v>
      </c>
      <c r="B3611" s="21" t="s">
        <v>920</v>
      </c>
      <c r="C3611" s="21" t="s">
        <v>26</v>
      </c>
      <c r="D3611" s="21" t="s">
        <v>921</v>
      </c>
      <c r="E3611" s="21">
        <v>0</v>
      </c>
      <c r="F3611" s="22">
        <v>45715.8104166667</v>
      </c>
      <c r="G3611" s="22">
        <v>45733.3651736111</v>
      </c>
      <c r="H3611" s="23">
        <v>472.32</v>
      </c>
      <c r="I3611" s="23">
        <v>472.32</v>
      </c>
      <c r="J3611" s="24">
        <v>0</v>
      </c>
      <c r="K3611" s="21">
        <v>0</v>
      </c>
      <c r="L3611" s="21">
        <v>0</v>
      </c>
      <c r="M3611" s="21">
        <f>COUNTIF($A$2:$A$5481,A3611)</f>
        <v>1</v>
      </c>
      <c r="N3611" s="24">
        <f t="shared" si="56"/>
        <v>0.0003611</v>
      </c>
    </row>
    <row r="3612" spans="1:14">
      <c r="A3612" s="21" t="s">
        <v>3518</v>
      </c>
      <c r="B3612" s="21" t="s">
        <v>920</v>
      </c>
      <c r="C3612" s="21" t="s">
        <v>26</v>
      </c>
      <c r="D3612" s="21" t="s">
        <v>921</v>
      </c>
      <c r="E3612" s="21">
        <v>0</v>
      </c>
      <c r="F3612" s="22">
        <v>45715.8104166667</v>
      </c>
      <c r="G3612" s="22">
        <v>45733.3651851852</v>
      </c>
      <c r="H3612" s="23">
        <v>486.31</v>
      </c>
      <c r="I3612" s="23">
        <v>486.31</v>
      </c>
      <c r="J3612" s="24">
        <v>0</v>
      </c>
      <c r="K3612" s="21">
        <v>0</v>
      </c>
      <c r="L3612" s="21">
        <v>0</v>
      </c>
      <c r="M3612" s="21">
        <f>COUNTIF($A$2:$A$5481,A3612)</f>
        <v>1</v>
      </c>
      <c r="N3612" s="24">
        <f t="shared" si="56"/>
        <v>0.0003612</v>
      </c>
    </row>
    <row r="3613" spans="1:14">
      <c r="A3613" s="21" t="s">
        <v>3519</v>
      </c>
      <c r="B3613" s="21" t="s">
        <v>920</v>
      </c>
      <c r="C3613" s="21" t="s">
        <v>26</v>
      </c>
      <c r="D3613" s="21" t="s">
        <v>931</v>
      </c>
      <c r="E3613" s="21">
        <v>0</v>
      </c>
      <c r="F3613" s="22">
        <v>45736.4490046296</v>
      </c>
      <c r="G3613" s="22">
        <v>45747.462037037</v>
      </c>
      <c r="H3613" s="23">
        <v>747.73</v>
      </c>
      <c r="I3613" s="23">
        <v>747.73</v>
      </c>
      <c r="J3613" s="24">
        <v>0</v>
      </c>
      <c r="K3613" s="21">
        <v>0</v>
      </c>
      <c r="L3613" s="21">
        <v>0</v>
      </c>
      <c r="M3613" s="21">
        <f>COUNTIF($A$2:$A$5481,A3613)</f>
        <v>1</v>
      </c>
      <c r="N3613" s="24">
        <f t="shared" si="56"/>
        <v>0.0003613</v>
      </c>
    </row>
    <row r="3614" spans="1:14">
      <c r="A3614" s="21" t="s">
        <v>3520</v>
      </c>
      <c r="B3614" s="21" t="s">
        <v>920</v>
      </c>
      <c r="C3614" s="21" t="s">
        <v>26</v>
      </c>
      <c r="D3614" s="21" t="s">
        <v>921</v>
      </c>
      <c r="E3614" s="21">
        <v>1</v>
      </c>
      <c r="F3614" s="22">
        <v>45573.3506944445</v>
      </c>
      <c r="G3614" s="22"/>
      <c r="H3614" s="23">
        <v>228.5</v>
      </c>
      <c r="I3614" s="23">
        <v>228.5</v>
      </c>
      <c r="J3614" s="24">
        <v>228.5</v>
      </c>
      <c r="K3614" s="21">
        <v>0</v>
      </c>
      <c r="L3614" s="21">
        <v>0</v>
      </c>
      <c r="M3614" s="21">
        <f>COUNTIF($A$2:$A$5481,A3614)</f>
        <v>1</v>
      </c>
      <c r="N3614" s="24">
        <f t="shared" si="56"/>
        <v>228.5003614</v>
      </c>
    </row>
    <row r="3615" spans="1:14">
      <c r="A3615" s="21" t="s">
        <v>3521</v>
      </c>
      <c r="B3615" s="21" t="s">
        <v>920</v>
      </c>
      <c r="C3615" s="21" t="s">
        <v>26</v>
      </c>
      <c r="D3615" s="21" t="s">
        <v>931</v>
      </c>
      <c r="E3615" s="21">
        <v>0</v>
      </c>
      <c r="F3615" s="22">
        <v>45946.559537037</v>
      </c>
      <c r="G3615" s="22">
        <v>45951.4328587963</v>
      </c>
      <c r="H3615" s="23">
        <v>1180</v>
      </c>
      <c r="I3615" s="23">
        <v>1180</v>
      </c>
      <c r="J3615" s="24">
        <v>0</v>
      </c>
      <c r="K3615" s="21">
        <v>0</v>
      </c>
      <c r="L3615" s="21">
        <v>0</v>
      </c>
      <c r="M3615" s="21">
        <f>COUNTIF($A$2:$A$5481,A3615)</f>
        <v>1</v>
      </c>
      <c r="N3615" s="24">
        <f t="shared" si="56"/>
        <v>0.0003615</v>
      </c>
    </row>
    <row r="3616" spans="1:14">
      <c r="A3616" s="21" t="s">
        <v>3522</v>
      </c>
      <c r="B3616" s="21" t="s">
        <v>920</v>
      </c>
      <c r="C3616" s="21" t="s">
        <v>35</v>
      </c>
      <c r="D3616" s="21" t="s">
        <v>921</v>
      </c>
      <c r="E3616" s="21">
        <v>1</v>
      </c>
      <c r="F3616" s="22">
        <v>45356.5759143519</v>
      </c>
      <c r="G3616" s="22"/>
      <c r="H3616" s="23">
        <v>1450</v>
      </c>
      <c r="I3616" s="23">
        <v>1450</v>
      </c>
      <c r="J3616" s="24">
        <v>1450</v>
      </c>
      <c r="K3616" s="21">
        <v>0</v>
      </c>
      <c r="L3616" s="21">
        <v>0</v>
      </c>
      <c r="M3616" s="21">
        <f>COUNTIF($A$2:$A$5481,A3616)</f>
        <v>1</v>
      </c>
      <c r="N3616" s="24">
        <f t="shared" si="56"/>
        <v>1450.0003616</v>
      </c>
    </row>
    <row r="3617" spans="1:14">
      <c r="A3617" s="21" t="s">
        <v>323</v>
      </c>
      <c r="B3617" s="21" t="s">
        <v>920</v>
      </c>
      <c r="C3617" s="21" t="s">
        <v>26</v>
      </c>
      <c r="D3617" s="21" t="s">
        <v>921</v>
      </c>
      <c r="E3617" s="21">
        <v>9</v>
      </c>
      <c r="F3617" s="22">
        <v>45929.6434490741</v>
      </c>
      <c r="G3617" s="22">
        <v>46232.4534837963</v>
      </c>
      <c r="H3617" s="23">
        <v>580</v>
      </c>
      <c r="I3617" s="23">
        <v>142.5238092857</v>
      </c>
      <c r="J3617" s="24">
        <v>1282.68</v>
      </c>
      <c r="K3617" s="21">
        <v>0</v>
      </c>
      <c r="L3617" s="21">
        <v>0</v>
      </c>
      <c r="M3617" s="21">
        <f>COUNTIF($A$2:$A$5481,A3617)</f>
        <v>1</v>
      </c>
      <c r="N3617" s="24">
        <f t="shared" si="56"/>
        <v>1282.6803617</v>
      </c>
    </row>
    <row r="3618" spans="1:14">
      <c r="A3618" s="21" t="s">
        <v>3523</v>
      </c>
      <c r="B3618" s="21" t="s">
        <v>920</v>
      </c>
      <c r="C3618" s="21" t="s">
        <v>26</v>
      </c>
      <c r="D3618" s="21" t="s">
        <v>921</v>
      </c>
      <c r="E3618" s="21">
        <v>1</v>
      </c>
      <c r="F3618" s="22">
        <v>46282.5756944444</v>
      </c>
      <c r="G3618" s="22"/>
      <c r="H3618" s="23">
        <v>190</v>
      </c>
      <c r="I3618" s="23">
        <v>190</v>
      </c>
      <c r="J3618" s="24">
        <v>190</v>
      </c>
      <c r="K3618" s="21">
        <v>0</v>
      </c>
      <c r="L3618" s="21">
        <v>0</v>
      </c>
      <c r="M3618" s="21">
        <f>COUNTIF($A$2:$A$5481,A3618)</f>
        <v>1</v>
      </c>
      <c r="N3618" s="24">
        <f t="shared" si="56"/>
        <v>190.0003618</v>
      </c>
    </row>
    <row r="3619" spans="1:14">
      <c r="A3619" s="21" t="s">
        <v>376</v>
      </c>
      <c r="B3619" s="21" t="s">
        <v>920</v>
      </c>
      <c r="C3619" s="21" t="s">
        <v>26</v>
      </c>
      <c r="D3619" s="21" t="s">
        <v>921</v>
      </c>
      <c r="E3619" s="21">
        <v>0</v>
      </c>
      <c r="F3619" s="22">
        <v>45931.7089814815</v>
      </c>
      <c r="G3619" s="22">
        <v>46248.6223726852</v>
      </c>
      <c r="H3619" s="23">
        <v>496</v>
      </c>
      <c r="I3619" s="23">
        <v>124</v>
      </c>
      <c r="J3619" s="24">
        <v>0</v>
      </c>
      <c r="K3619" s="21">
        <v>0</v>
      </c>
      <c r="L3619" s="21">
        <v>0</v>
      </c>
      <c r="M3619" s="21">
        <f>COUNTIF($A$2:$A$5481,A3619)</f>
        <v>1</v>
      </c>
      <c r="N3619" s="24">
        <f t="shared" si="56"/>
        <v>0.0003619</v>
      </c>
    </row>
    <row r="3620" spans="1:14">
      <c r="A3620" s="21" t="s">
        <v>3524</v>
      </c>
      <c r="B3620" s="21" t="s">
        <v>26</v>
      </c>
      <c r="C3620" s="21" t="s">
        <v>35</v>
      </c>
      <c r="D3620" s="21" t="s">
        <v>921</v>
      </c>
      <c r="E3620" s="21">
        <v>4</v>
      </c>
      <c r="F3620" s="22">
        <v>45680.3609722222</v>
      </c>
      <c r="G3620" s="22"/>
      <c r="H3620" s="23">
        <v>440</v>
      </c>
      <c r="I3620" s="23">
        <v>110</v>
      </c>
      <c r="J3620" s="24">
        <v>440</v>
      </c>
      <c r="K3620" s="21">
        <v>0</v>
      </c>
      <c r="L3620" s="21">
        <v>0</v>
      </c>
      <c r="M3620" s="21">
        <f>COUNTIF($A$2:$A$5481,A3620)</f>
        <v>1</v>
      </c>
      <c r="N3620" s="24">
        <f t="shared" si="56"/>
        <v>440.000362</v>
      </c>
    </row>
    <row r="3621" spans="1:14">
      <c r="A3621" s="21" t="s">
        <v>3525</v>
      </c>
      <c r="B3621" s="21" t="s">
        <v>1510</v>
      </c>
      <c r="C3621" s="21" t="s">
        <v>390</v>
      </c>
      <c r="D3621" s="21" t="s">
        <v>921</v>
      </c>
      <c r="E3621" s="21">
        <v>1</v>
      </c>
      <c r="F3621" s="22">
        <v>46134.3965277778</v>
      </c>
      <c r="G3621" s="22"/>
      <c r="H3621" s="23">
        <v>137</v>
      </c>
      <c r="I3621" s="23">
        <v>137</v>
      </c>
      <c r="J3621" s="24">
        <v>137</v>
      </c>
      <c r="K3621" s="21">
        <v>0</v>
      </c>
      <c r="L3621" s="21">
        <v>0</v>
      </c>
      <c r="M3621" s="21">
        <f>COUNTIF($A$2:$A$5481,A3621)</f>
        <v>1</v>
      </c>
      <c r="N3621" s="24">
        <f t="shared" si="56"/>
        <v>137.0003621</v>
      </c>
    </row>
    <row r="3622" spans="1:14">
      <c r="A3622" s="21" t="s">
        <v>3526</v>
      </c>
      <c r="B3622" s="21" t="s">
        <v>26</v>
      </c>
      <c r="C3622" s="21" t="s">
        <v>26</v>
      </c>
      <c r="D3622" s="21" t="s">
        <v>921</v>
      </c>
      <c r="E3622" s="21">
        <v>2</v>
      </c>
      <c r="F3622" s="22">
        <v>45576.3458912037</v>
      </c>
      <c r="G3622" s="22"/>
      <c r="H3622" s="23">
        <v>272</v>
      </c>
      <c r="I3622" s="23">
        <v>136</v>
      </c>
      <c r="J3622" s="24">
        <v>272</v>
      </c>
      <c r="K3622" s="21">
        <v>0</v>
      </c>
      <c r="L3622" s="21">
        <v>0</v>
      </c>
      <c r="M3622" s="21">
        <f>COUNTIF($A$2:$A$5481,A3622)</f>
        <v>1</v>
      </c>
      <c r="N3622" s="24">
        <f t="shared" si="56"/>
        <v>272.0003622</v>
      </c>
    </row>
    <row r="3623" spans="1:14">
      <c r="A3623" s="21" t="s">
        <v>3527</v>
      </c>
      <c r="B3623" s="21" t="s">
        <v>920</v>
      </c>
      <c r="C3623" s="21" t="s">
        <v>35</v>
      </c>
      <c r="D3623" s="21" t="s">
        <v>921</v>
      </c>
      <c r="E3623" s="21">
        <v>2</v>
      </c>
      <c r="F3623" s="22">
        <v>45299.8328472222</v>
      </c>
      <c r="G3623" s="22"/>
      <c r="H3623" s="23">
        <v>264</v>
      </c>
      <c r="I3623" s="23">
        <v>132</v>
      </c>
      <c r="J3623" s="24">
        <v>264</v>
      </c>
      <c r="K3623" s="21">
        <v>1</v>
      </c>
      <c r="L3623" s="21">
        <v>5</v>
      </c>
      <c r="M3623" s="21">
        <f>COUNTIF($A$2:$A$5481,A3623)</f>
        <v>1</v>
      </c>
      <c r="N3623" s="24">
        <f t="shared" si="56"/>
        <v>264.0003623</v>
      </c>
    </row>
    <row r="3624" spans="1:14">
      <c r="A3624" s="21" t="s">
        <v>3528</v>
      </c>
      <c r="B3624" s="21" t="s">
        <v>920</v>
      </c>
      <c r="C3624" s="21" t="s">
        <v>35</v>
      </c>
      <c r="D3624" s="21" t="s">
        <v>921</v>
      </c>
      <c r="E3624" s="21">
        <v>2</v>
      </c>
      <c r="F3624" s="22">
        <v>45362.6848958333</v>
      </c>
      <c r="G3624" s="22">
        <v>45373.4113194444</v>
      </c>
      <c r="H3624" s="23">
        <v>612</v>
      </c>
      <c r="I3624" s="23">
        <v>153</v>
      </c>
      <c r="J3624" s="24">
        <v>306</v>
      </c>
      <c r="K3624" s="21">
        <v>1</v>
      </c>
      <c r="L3624" s="21">
        <v>10</v>
      </c>
      <c r="M3624" s="21">
        <f>COUNTIF($A$2:$A$5481,A3624)</f>
        <v>2</v>
      </c>
      <c r="N3624" s="24">
        <f t="shared" si="56"/>
        <v>306.0003624</v>
      </c>
    </row>
    <row r="3625" spans="1:14">
      <c r="A3625" s="21" t="s">
        <v>3528</v>
      </c>
      <c r="B3625" s="21" t="s">
        <v>920</v>
      </c>
      <c r="C3625" s="21" t="s">
        <v>26</v>
      </c>
      <c r="D3625" s="21" t="s">
        <v>921</v>
      </c>
      <c r="E3625" s="21">
        <v>1</v>
      </c>
      <c r="F3625" s="22">
        <v>45540.3539236111</v>
      </c>
      <c r="G3625" s="22">
        <v>45541.851412037</v>
      </c>
      <c r="H3625" s="23">
        <v>153</v>
      </c>
      <c r="I3625" s="23">
        <v>229.5</v>
      </c>
      <c r="J3625" s="24">
        <v>229.5</v>
      </c>
      <c r="K3625" s="21">
        <v>1</v>
      </c>
      <c r="L3625" s="21">
        <v>10</v>
      </c>
      <c r="M3625" s="21">
        <f>COUNTIF($A$2:$A$5481,A3625)</f>
        <v>2</v>
      </c>
      <c r="N3625" s="24">
        <f t="shared" si="56"/>
        <v>229.5003625</v>
      </c>
    </row>
    <row r="3626" spans="1:14">
      <c r="A3626" s="21" t="s">
        <v>3529</v>
      </c>
      <c r="B3626" s="21" t="s">
        <v>948</v>
      </c>
      <c r="C3626" s="21" t="s">
        <v>641</v>
      </c>
      <c r="D3626" s="21" t="s">
        <v>921</v>
      </c>
      <c r="E3626" s="21">
        <v>2</v>
      </c>
      <c r="F3626" s="22">
        <v>45441.4573611111</v>
      </c>
      <c r="G3626" s="22"/>
      <c r="H3626" s="23">
        <v>40</v>
      </c>
      <c r="I3626" s="23">
        <v>20</v>
      </c>
      <c r="J3626" s="24">
        <v>40</v>
      </c>
      <c r="K3626" s="21">
        <v>0</v>
      </c>
      <c r="L3626" s="21">
        <v>0</v>
      </c>
      <c r="M3626" s="21">
        <f>COUNTIF($A$2:$A$5481,A3626)</f>
        <v>1</v>
      </c>
      <c r="N3626" s="24">
        <f t="shared" si="56"/>
        <v>40.0003626</v>
      </c>
    </row>
    <row r="3627" spans="1:14">
      <c r="A3627" s="21" t="s">
        <v>3530</v>
      </c>
      <c r="B3627" s="21" t="s">
        <v>948</v>
      </c>
      <c r="C3627" s="21" t="s">
        <v>26</v>
      </c>
      <c r="D3627" s="21" t="s">
        <v>921</v>
      </c>
      <c r="E3627" s="21">
        <v>2</v>
      </c>
      <c r="F3627" s="22">
        <v>45919.4195486111</v>
      </c>
      <c r="G3627" s="22"/>
      <c r="H3627" s="23">
        <v>48</v>
      </c>
      <c r="I3627" s="23">
        <v>24</v>
      </c>
      <c r="J3627" s="24">
        <v>48</v>
      </c>
      <c r="K3627" s="21">
        <v>0</v>
      </c>
      <c r="L3627" s="21">
        <v>0</v>
      </c>
      <c r="M3627" s="21">
        <f>COUNTIF($A$2:$A$5481,A3627)</f>
        <v>1</v>
      </c>
      <c r="N3627" s="24">
        <f t="shared" si="56"/>
        <v>48.0003627</v>
      </c>
    </row>
    <row r="3628" spans="1:14">
      <c r="A3628" s="21" t="s">
        <v>3531</v>
      </c>
      <c r="B3628" s="21" t="s">
        <v>949</v>
      </c>
      <c r="C3628" s="21" t="s">
        <v>26</v>
      </c>
      <c r="D3628" s="21" t="s">
        <v>1539</v>
      </c>
      <c r="E3628" s="21">
        <v>0.06</v>
      </c>
      <c r="F3628" s="22">
        <v>45474.810775463</v>
      </c>
      <c r="G3628" s="22"/>
      <c r="H3628" s="23">
        <v>7.674</v>
      </c>
      <c r="I3628" s="23">
        <v>127.9</v>
      </c>
      <c r="J3628" s="24">
        <v>7.674</v>
      </c>
      <c r="K3628" s="21">
        <v>0</v>
      </c>
      <c r="L3628" s="21">
        <v>0</v>
      </c>
      <c r="M3628" s="21">
        <f>COUNTIF($A$2:$A$5481,A3628)</f>
        <v>1</v>
      </c>
      <c r="N3628" s="24">
        <f t="shared" si="56"/>
        <v>7.6743628</v>
      </c>
    </row>
    <row r="3629" spans="1:14">
      <c r="A3629" s="21" t="s">
        <v>3532</v>
      </c>
      <c r="B3629" s="21" t="s">
        <v>948</v>
      </c>
      <c r="C3629" s="21" t="s">
        <v>26</v>
      </c>
      <c r="D3629" s="21" t="s">
        <v>921</v>
      </c>
      <c r="E3629" s="21">
        <v>1</v>
      </c>
      <c r="F3629" s="22">
        <v>45420.3631944444</v>
      </c>
      <c r="G3629" s="22"/>
      <c r="H3629" s="23">
        <v>39</v>
      </c>
      <c r="I3629" s="23">
        <v>39</v>
      </c>
      <c r="J3629" s="24">
        <v>39</v>
      </c>
      <c r="K3629" s="21">
        <v>0</v>
      </c>
      <c r="L3629" s="21">
        <v>0</v>
      </c>
      <c r="M3629" s="21">
        <f>COUNTIF($A$2:$A$5481,A3629)</f>
        <v>1</v>
      </c>
      <c r="N3629" s="24">
        <f t="shared" si="56"/>
        <v>39.0003629</v>
      </c>
    </row>
    <row r="3630" spans="1:14">
      <c r="A3630" s="21" t="s">
        <v>782</v>
      </c>
      <c r="B3630" s="21" t="s">
        <v>1895</v>
      </c>
      <c r="C3630" s="21" t="s">
        <v>783</v>
      </c>
      <c r="D3630" s="21" t="s">
        <v>921</v>
      </c>
      <c r="E3630" s="21">
        <v>0</v>
      </c>
      <c r="F3630" s="22">
        <v>45590.3612847222</v>
      </c>
      <c r="G3630" s="22">
        <v>46253.6455324074</v>
      </c>
      <c r="H3630" s="23">
        <v>52</v>
      </c>
      <c r="I3630" s="23">
        <v>13</v>
      </c>
      <c r="J3630" s="24">
        <v>0</v>
      </c>
      <c r="K3630" s="21">
        <v>0</v>
      </c>
      <c r="L3630" s="21">
        <v>0</v>
      </c>
      <c r="M3630" s="21">
        <f>COUNTIF($A$2:$A$5481,A3630)</f>
        <v>2</v>
      </c>
      <c r="N3630" s="24">
        <f t="shared" si="56"/>
        <v>0.000363</v>
      </c>
    </row>
    <row r="3631" spans="1:14">
      <c r="A3631" s="21" t="s">
        <v>782</v>
      </c>
      <c r="B3631" s="21" t="s">
        <v>1895</v>
      </c>
      <c r="C3631" s="21" t="s">
        <v>26</v>
      </c>
      <c r="D3631" s="21" t="s">
        <v>921</v>
      </c>
      <c r="E3631" s="21">
        <v>15</v>
      </c>
      <c r="F3631" s="22">
        <v>46266.6019791667</v>
      </c>
      <c r="G3631" s="22">
        <v>46253.645</v>
      </c>
      <c r="H3631" s="23">
        <v>225</v>
      </c>
      <c r="I3631" s="23">
        <v>15</v>
      </c>
      <c r="J3631" s="24">
        <v>225</v>
      </c>
      <c r="K3631" s="21">
        <v>0</v>
      </c>
      <c r="L3631" s="21">
        <v>0</v>
      </c>
      <c r="M3631" s="21">
        <f>COUNTIF($A$2:$A$5481,A3631)</f>
        <v>2</v>
      </c>
      <c r="N3631" s="24">
        <f t="shared" si="56"/>
        <v>225.0003631</v>
      </c>
    </row>
    <row r="3632" spans="1:14">
      <c r="A3632" s="21" t="s">
        <v>3533</v>
      </c>
      <c r="B3632" s="21" t="s">
        <v>929</v>
      </c>
      <c r="C3632" s="21" t="s">
        <v>26</v>
      </c>
      <c r="D3632" s="21" t="s">
        <v>921</v>
      </c>
      <c r="E3632" s="21">
        <v>3</v>
      </c>
      <c r="F3632" s="22">
        <v>45775.7177083333</v>
      </c>
      <c r="G3632" s="22"/>
      <c r="H3632" s="23">
        <v>46.82</v>
      </c>
      <c r="I3632" s="23">
        <v>23.41</v>
      </c>
      <c r="J3632" s="24">
        <v>70.23</v>
      </c>
      <c r="K3632" s="21">
        <v>0</v>
      </c>
      <c r="L3632" s="21">
        <v>0</v>
      </c>
      <c r="M3632" s="21">
        <f>COUNTIF($A$2:$A$5481,A3632)</f>
        <v>1</v>
      </c>
      <c r="N3632" s="24">
        <f t="shared" si="56"/>
        <v>70.2303632</v>
      </c>
    </row>
    <row r="3633" spans="1:14">
      <c r="A3633" s="21" t="s">
        <v>3534</v>
      </c>
      <c r="B3633" s="21" t="s">
        <v>929</v>
      </c>
      <c r="C3633" s="21" t="s">
        <v>26</v>
      </c>
      <c r="D3633" s="21" t="s">
        <v>921</v>
      </c>
      <c r="E3633" s="21">
        <v>10</v>
      </c>
      <c r="F3633" s="22">
        <v>45435.4884375</v>
      </c>
      <c r="G3633" s="22"/>
      <c r="H3633" s="23">
        <v>443.61</v>
      </c>
      <c r="I3633" s="23">
        <v>49.29</v>
      </c>
      <c r="J3633" s="24">
        <v>492.9</v>
      </c>
      <c r="K3633" s="21">
        <v>0</v>
      </c>
      <c r="L3633" s="21">
        <v>0</v>
      </c>
      <c r="M3633" s="21">
        <f>COUNTIF($A$2:$A$5481,A3633)</f>
        <v>1</v>
      </c>
      <c r="N3633" s="24">
        <f t="shared" si="56"/>
        <v>492.9003633</v>
      </c>
    </row>
    <row r="3634" spans="1:14">
      <c r="A3634" s="21" t="s">
        <v>3535</v>
      </c>
      <c r="B3634" s="21" t="s">
        <v>929</v>
      </c>
      <c r="C3634" s="21" t="s">
        <v>26</v>
      </c>
      <c r="D3634" s="21" t="s">
        <v>921</v>
      </c>
      <c r="E3634" s="21">
        <v>1</v>
      </c>
      <c r="F3634" s="22">
        <v>45352.4984027778</v>
      </c>
      <c r="G3634" s="22"/>
      <c r="H3634" s="23">
        <v>6.94</v>
      </c>
      <c r="I3634" s="23">
        <v>6.94</v>
      </c>
      <c r="J3634" s="24">
        <v>6.94</v>
      </c>
      <c r="K3634" s="21">
        <v>0</v>
      </c>
      <c r="L3634" s="21">
        <v>0</v>
      </c>
      <c r="M3634" s="21">
        <f>COUNTIF($A$2:$A$5481,A3634)</f>
        <v>1</v>
      </c>
      <c r="N3634" s="24">
        <f t="shared" si="56"/>
        <v>6.9403634</v>
      </c>
    </row>
    <row r="3635" spans="1:14">
      <c r="A3635" s="21" t="s">
        <v>3536</v>
      </c>
      <c r="B3635" s="21" t="s">
        <v>929</v>
      </c>
      <c r="C3635" s="21" t="s">
        <v>26</v>
      </c>
      <c r="D3635" s="21" t="s">
        <v>921</v>
      </c>
      <c r="E3635" s="21">
        <v>1</v>
      </c>
      <c r="F3635" s="22">
        <v>45357.45625</v>
      </c>
      <c r="G3635" s="22"/>
      <c r="H3635" s="23">
        <v>21.06</v>
      </c>
      <c r="I3635" s="23">
        <v>21.06</v>
      </c>
      <c r="J3635" s="24">
        <v>21.06</v>
      </c>
      <c r="K3635" s="21">
        <v>0</v>
      </c>
      <c r="L3635" s="21">
        <v>0</v>
      </c>
      <c r="M3635" s="21">
        <f>COUNTIF($A$2:$A$5481,A3635)</f>
        <v>1</v>
      </c>
      <c r="N3635" s="24">
        <f t="shared" si="56"/>
        <v>21.0603635</v>
      </c>
    </row>
    <row r="3636" spans="1:14">
      <c r="A3636" s="21" t="s">
        <v>3537</v>
      </c>
      <c r="B3636" s="21" t="s">
        <v>929</v>
      </c>
      <c r="C3636" s="21" t="s">
        <v>26</v>
      </c>
      <c r="D3636" s="21" t="s">
        <v>921</v>
      </c>
      <c r="E3636" s="21">
        <v>12</v>
      </c>
      <c r="F3636" s="22">
        <v>45435.4884375</v>
      </c>
      <c r="G3636" s="22"/>
      <c r="H3636" s="23">
        <v>8.6</v>
      </c>
      <c r="I3636" s="23">
        <v>4.3</v>
      </c>
      <c r="J3636" s="24">
        <v>51.6</v>
      </c>
      <c r="K3636" s="21">
        <v>0</v>
      </c>
      <c r="L3636" s="21">
        <v>0</v>
      </c>
      <c r="M3636" s="21">
        <f>COUNTIF($A$2:$A$5481,A3636)</f>
        <v>1</v>
      </c>
      <c r="N3636" s="24">
        <f t="shared" si="56"/>
        <v>51.6003636</v>
      </c>
    </row>
    <row r="3637" spans="1:14">
      <c r="A3637" s="21" t="s">
        <v>3538</v>
      </c>
      <c r="B3637" s="21" t="s">
        <v>929</v>
      </c>
      <c r="C3637" s="21" t="s">
        <v>26</v>
      </c>
      <c r="D3637" s="21" t="s">
        <v>921</v>
      </c>
      <c r="E3637" s="21">
        <v>4</v>
      </c>
      <c r="F3637" s="22">
        <v>45357.45625</v>
      </c>
      <c r="G3637" s="22"/>
      <c r="H3637" s="23">
        <v>85.68</v>
      </c>
      <c r="I3637" s="23">
        <v>21.42</v>
      </c>
      <c r="J3637" s="24">
        <v>85.68</v>
      </c>
      <c r="K3637" s="21">
        <v>0</v>
      </c>
      <c r="L3637" s="21">
        <v>0</v>
      </c>
      <c r="M3637" s="21">
        <f>COUNTIF($A$2:$A$5481,A3637)</f>
        <v>1</v>
      </c>
      <c r="N3637" s="24">
        <f t="shared" si="56"/>
        <v>85.6803637</v>
      </c>
    </row>
    <row r="3638" spans="1:14">
      <c r="A3638" s="21" t="s">
        <v>3539</v>
      </c>
      <c r="B3638" s="21" t="s">
        <v>929</v>
      </c>
      <c r="C3638" s="21" t="s">
        <v>414</v>
      </c>
      <c r="D3638" s="21" t="s">
        <v>921</v>
      </c>
      <c r="E3638" s="21">
        <v>0</v>
      </c>
      <c r="F3638" s="22">
        <v>45275.4531481482</v>
      </c>
      <c r="G3638" s="22">
        <v>45278.3941203704</v>
      </c>
      <c r="H3638" s="23">
        <v>166.63</v>
      </c>
      <c r="I3638" s="23">
        <v>166.63</v>
      </c>
      <c r="J3638" s="24">
        <v>0</v>
      </c>
      <c r="K3638" s="21">
        <v>0</v>
      </c>
      <c r="L3638" s="21">
        <v>0</v>
      </c>
      <c r="M3638" s="21">
        <f>COUNTIF($A$2:$A$5481,A3638)</f>
        <v>1</v>
      </c>
      <c r="N3638" s="24">
        <f t="shared" si="56"/>
        <v>0.0003638</v>
      </c>
    </row>
    <row r="3639" spans="1:14">
      <c r="A3639" s="21" t="s">
        <v>669</v>
      </c>
      <c r="B3639" s="21" t="s">
        <v>1175</v>
      </c>
      <c r="C3639" s="21" t="s">
        <v>26</v>
      </c>
      <c r="D3639" s="21" t="s">
        <v>921</v>
      </c>
      <c r="E3639" s="21">
        <v>0</v>
      </c>
      <c r="F3639" s="22">
        <v>46234.5743055556</v>
      </c>
      <c r="G3639" s="22">
        <v>46252.5529976852</v>
      </c>
      <c r="H3639" s="23">
        <v>5199</v>
      </c>
      <c r="I3639" s="23">
        <v>5199</v>
      </c>
      <c r="J3639" s="24">
        <v>0</v>
      </c>
      <c r="K3639" s="21">
        <v>0</v>
      </c>
      <c r="L3639" s="21">
        <v>0</v>
      </c>
      <c r="M3639" s="21">
        <f>COUNTIF($A$2:$A$5481,A3639)</f>
        <v>1</v>
      </c>
      <c r="N3639" s="24">
        <f t="shared" si="56"/>
        <v>0.0003639</v>
      </c>
    </row>
    <row r="3640" spans="1:14">
      <c r="A3640" s="21" t="s">
        <v>3540</v>
      </c>
      <c r="B3640" s="21" t="s">
        <v>920</v>
      </c>
      <c r="C3640" s="21" t="s">
        <v>26</v>
      </c>
      <c r="D3640" s="21" t="s">
        <v>931</v>
      </c>
      <c r="E3640" s="21">
        <v>2</v>
      </c>
      <c r="F3640" s="22">
        <v>45866.5586805556</v>
      </c>
      <c r="G3640" s="22"/>
      <c r="H3640" s="23">
        <v>2160</v>
      </c>
      <c r="I3640" s="23">
        <v>1080</v>
      </c>
      <c r="J3640" s="24">
        <v>2160</v>
      </c>
      <c r="K3640" s="21">
        <v>0</v>
      </c>
      <c r="L3640" s="21">
        <v>0</v>
      </c>
      <c r="M3640" s="21">
        <f>COUNTIF($A$2:$A$5481,A3640)</f>
        <v>1</v>
      </c>
      <c r="N3640" s="24">
        <f t="shared" si="56"/>
        <v>2160.000364</v>
      </c>
    </row>
    <row r="3641" spans="1:14">
      <c r="A3641" s="21" t="s">
        <v>3541</v>
      </c>
      <c r="B3641" s="21" t="s">
        <v>920</v>
      </c>
      <c r="C3641" s="21" t="s">
        <v>35</v>
      </c>
      <c r="D3641" s="21" t="s">
        <v>921</v>
      </c>
      <c r="E3641" s="21">
        <v>1</v>
      </c>
      <c r="F3641" s="22">
        <v>46085.4340277778</v>
      </c>
      <c r="G3641" s="22"/>
      <c r="H3641" s="23">
        <v>319.64</v>
      </c>
      <c r="I3641" s="23">
        <v>319.64</v>
      </c>
      <c r="J3641" s="24">
        <v>319.64</v>
      </c>
      <c r="K3641" s="21">
        <v>0</v>
      </c>
      <c r="L3641" s="21">
        <v>0</v>
      </c>
      <c r="M3641" s="21">
        <f>COUNTIF($A$2:$A$5481,A3641)</f>
        <v>1</v>
      </c>
      <c r="N3641" s="24">
        <f t="shared" si="56"/>
        <v>319.6403641</v>
      </c>
    </row>
    <row r="3642" spans="1:14">
      <c r="A3642" s="21" t="s">
        <v>3542</v>
      </c>
      <c r="B3642" s="21" t="s">
        <v>920</v>
      </c>
      <c r="C3642" s="21" t="s">
        <v>35</v>
      </c>
      <c r="D3642" s="21" t="s">
        <v>921</v>
      </c>
      <c r="E3642" s="21">
        <v>1</v>
      </c>
      <c r="F3642" s="22">
        <v>45300.3920138889</v>
      </c>
      <c r="G3642" s="22"/>
      <c r="H3642" s="23">
        <v>165</v>
      </c>
      <c r="I3642" s="23">
        <v>165</v>
      </c>
      <c r="J3642" s="24">
        <v>165</v>
      </c>
      <c r="K3642" s="21">
        <v>0</v>
      </c>
      <c r="L3642" s="21">
        <v>0</v>
      </c>
      <c r="M3642" s="21">
        <f>COUNTIF($A$2:$A$5481,A3642)</f>
        <v>1</v>
      </c>
      <c r="N3642" s="24">
        <f t="shared" si="56"/>
        <v>165.0003642</v>
      </c>
    </row>
    <row r="3643" spans="1:14">
      <c r="A3643" s="21" t="s">
        <v>3543</v>
      </c>
      <c r="B3643" s="21" t="s">
        <v>26</v>
      </c>
      <c r="C3643" s="21" t="s">
        <v>35</v>
      </c>
      <c r="D3643" s="21" t="s">
        <v>931</v>
      </c>
      <c r="E3643" s="21">
        <v>0</v>
      </c>
      <c r="F3643" s="22">
        <v>45507.5927893519</v>
      </c>
      <c r="G3643" s="22">
        <v>45503.4485185185</v>
      </c>
      <c r="H3643" s="23">
        <v>321.84</v>
      </c>
      <c r="I3643" s="23">
        <v>0</v>
      </c>
      <c r="J3643" s="24">
        <v>0</v>
      </c>
      <c r="K3643" s="21">
        <v>0</v>
      </c>
      <c r="L3643" s="21">
        <v>0</v>
      </c>
      <c r="M3643" s="21">
        <f>COUNTIF($A$2:$A$5481,A3643)</f>
        <v>2</v>
      </c>
      <c r="N3643" s="24">
        <f t="shared" si="56"/>
        <v>0.0003643</v>
      </c>
    </row>
    <row r="3644" spans="1:14">
      <c r="A3644" s="21" t="s">
        <v>3543</v>
      </c>
      <c r="B3644" s="21" t="s">
        <v>26</v>
      </c>
      <c r="C3644" s="21" t="s">
        <v>26</v>
      </c>
      <c r="D3644" s="21" t="s">
        <v>931</v>
      </c>
      <c r="E3644" s="21">
        <v>4</v>
      </c>
      <c r="F3644" s="22">
        <v>45953.5792824074</v>
      </c>
      <c r="G3644" s="22"/>
      <c r="H3644" s="23">
        <v>580</v>
      </c>
      <c r="I3644" s="23">
        <v>145</v>
      </c>
      <c r="J3644" s="24">
        <v>580</v>
      </c>
      <c r="K3644" s="21">
        <v>0</v>
      </c>
      <c r="L3644" s="21">
        <v>0</v>
      </c>
      <c r="M3644" s="21">
        <f>COUNTIF($A$2:$A$5481,A3644)</f>
        <v>2</v>
      </c>
      <c r="N3644" s="24">
        <f t="shared" si="56"/>
        <v>580.0003644</v>
      </c>
    </row>
    <row r="3645" spans="1:14">
      <c r="A3645" s="21" t="s">
        <v>3544</v>
      </c>
      <c r="B3645" s="21" t="s">
        <v>920</v>
      </c>
      <c r="C3645" s="21" t="s">
        <v>26</v>
      </c>
      <c r="D3645" s="21" t="s">
        <v>921</v>
      </c>
      <c r="E3645" s="21">
        <v>0</v>
      </c>
      <c r="F3645" s="22">
        <v>45449.8077199074</v>
      </c>
      <c r="G3645" s="22">
        <v>45449.8188078704</v>
      </c>
      <c r="H3645" s="23">
        <v>200</v>
      </c>
      <c r="I3645" s="23">
        <v>50</v>
      </c>
      <c r="J3645" s="24">
        <v>0</v>
      </c>
      <c r="K3645" s="21">
        <v>0</v>
      </c>
      <c r="L3645" s="21">
        <v>0</v>
      </c>
      <c r="M3645" s="21">
        <f>COUNTIF($A$2:$A$5481,A3645)</f>
        <v>1</v>
      </c>
      <c r="N3645" s="24">
        <f t="shared" si="56"/>
        <v>0.0003645</v>
      </c>
    </row>
    <row r="3646" spans="1:14">
      <c r="A3646" s="21" t="s">
        <v>372</v>
      </c>
      <c r="B3646" s="21" t="s">
        <v>920</v>
      </c>
      <c r="C3646" s="21" t="s">
        <v>26</v>
      </c>
      <c r="D3646" s="21" t="s">
        <v>921</v>
      </c>
      <c r="E3646" s="21">
        <v>0</v>
      </c>
      <c r="F3646" s="22">
        <v>46132.44375</v>
      </c>
      <c r="G3646" s="22">
        <v>46139.3730092593</v>
      </c>
      <c r="H3646" s="23">
        <v>120</v>
      </c>
      <c r="I3646" s="23">
        <v>120</v>
      </c>
      <c r="J3646" s="24">
        <v>0</v>
      </c>
      <c r="K3646" s="21">
        <v>0</v>
      </c>
      <c r="L3646" s="21">
        <v>0</v>
      </c>
      <c r="M3646" s="21">
        <f>COUNTIF($A$2:$A$5481,A3646)</f>
        <v>1</v>
      </c>
      <c r="N3646" s="24">
        <f t="shared" si="56"/>
        <v>0.0003646</v>
      </c>
    </row>
    <row r="3647" spans="1:14">
      <c r="A3647" s="21" t="s">
        <v>3545</v>
      </c>
      <c r="B3647" s="21" t="s">
        <v>920</v>
      </c>
      <c r="C3647" s="21" t="s">
        <v>26</v>
      </c>
      <c r="D3647" s="21" t="s">
        <v>921</v>
      </c>
      <c r="E3647" s="21">
        <v>1</v>
      </c>
      <c r="F3647" s="22">
        <v>46132.44375</v>
      </c>
      <c r="G3647" s="22"/>
      <c r="H3647" s="23">
        <v>180</v>
      </c>
      <c r="I3647" s="23">
        <v>180</v>
      </c>
      <c r="J3647" s="24">
        <v>180</v>
      </c>
      <c r="K3647" s="21">
        <v>0</v>
      </c>
      <c r="L3647" s="21">
        <v>0</v>
      </c>
      <c r="M3647" s="21">
        <f>COUNTIF($A$2:$A$5481,A3647)</f>
        <v>1</v>
      </c>
      <c r="N3647" s="24">
        <f t="shared" si="56"/>
        <v>180.0003647</v>
      </c>
    </row>
    <row r="3648" spans="1:14">
      <c r="A3648" s="21" t="s">
        <v>3546</v>
      </c>
      <c r="B3648" s="21" t="s">
        <v>920</v>
      </c>
      <c r="C3648" s="21" t="s">
        <v>26</v>
      </c>
      <c r="D3648" s="21" t="s">
        <v>931</v>
      </c>
      <c r="E3648" s="21">
        <v>2</v>
      </c>
      <c r="F3648" s="22">
        <v>45866.5586805556</v>
      </c>
      <c r="G3648" s="22"/>
      <c r="H3648" s="23">
        <v>1338.24</v>
      </c>
      <c r="I3648" s="23">
        <v>669.12</v>
      </c>
      <c r="J3648" s="24">
        <v>1338.24</v>
      </c>
      <c r="K3648" s="21">
        <v>0</v>
      </c>
      <c r="L3648" s="21">
        <v>0</v>
      </c>
      <c r="M3648" s="21">
        <f>COUNTIF($A$2:$A$5481,A3648)</f>
        <v>1</v>
      </c>
      <c r="N3648" s="24">
        <f t="shared" si="56"/>
        <v>1338.2403648</v>
      </c>
    </row>
    <row r="3649" spans="1:14">
      <c r="A3649" s="21" t="s">
        <v>3547</v>
      </c>
      <c r="B3649" s="21" t="s">
        <v>920</v>
      </c>
      <c r="C3649" s="21" t="s">
        <v>35</v>
      </c>
      <c r="D3649" s="21" t="s">
        <v>921</v>
      </c>
      <c r="E3649" s="21">
        <v>1</v>
      </c>
      <c r="F3649" s="22">
        <v>45286.8533680556</v>
      </c>
      <c r="G3649" s="22">
        <v>45313.4653009259</v>
      </c>
      <c r="H3649" s="23">
        <v>155</v>
      </c>
      <c r="I3649" s="23">
        <v>160</v>
      </c>
      <c r="J3649" s="24">
        <v>160</v>
      </c>
      <c r="K3649" s="21">
        <v>0</v>
      </c>
      <c r="L3649" s="21">
        <v>0</v>
      </c>
      <c r="M3649" s="21">
        <f>COUNTIF($A$2:$A$5481,A3649)</f>
        <v>1</v>
      </c>
      <c r="N3649" s="24">
        <f t="shared" si="56"/>
        <v>160.0003649</v>
      </c>
    </row>
    <row r="3650" spans="1:14">
      <c r="A3650" s="21" t="s">
        <v>3548</v>
      </c>
      <c r="B3650" s="21" t="s">
        <v>920</v>
      </c>
      <c r="C3650" s="21" t="s">
        <v>35</v>
      </c>
      <c r="D3650" s="21" t="s">
        <v>921</v>
      </c>
      <c r="E3650" s="21">
        <v>4</v>
      </c>
      <c r="F3650" s="22">
        <v>45378.8611458333</v>
      </c>
      <c r="G3650" s="22">
        <v>45398.8643055556</v>
      </c>
      <c r="H3650" s="23">
        <v>1560</v>
      </c>
      <c r="I3650" s="23">
        <v>195</v>
      </c>
      <c r="J3650" s="24">
        <v>780</v>
      </c>
      <c r="K3650" s="21">
        <v>0</v>
      </c>
      <c r="L3650" s="21">
        <v>0</v>
      </c>
      <c r="M3650" s="21">
        <f>COUNTIF($A$2:$A$5481,A3650)</f>
        <v>1</v>
      </c>
      <c r="N3650" s="24">
        <f t="shared" ref="N3650:N3713" si="57">J3650+ROW()/10000000</f>
        <v>780.000365</v>
      </c>
    </row>
    <row r="3651" spans="1:14">
      <c r="A3651" s="21" t="s">
        <v>859</v>
      </c>
      <c r="B3651" s="21" t="s">
        <v>920</v>
      </c>
      <c r="C3651" s="21" t="s">
        <v>35</v>
      </c>
      <c r="D3651" s="21" t="s">
        <v>921</v>
      </c>
      <c r="E3651" s="21">
        <v>0</v>
      </c>
      <c r="F3651" s="22">
        <v>45300.3920138889</v>
      </c>
      <c r="G3651" s="22">
        <v>45758.3929282407</v>
      </c>
      <c r="H3651" s="23">
        <v>46</v>
      </c>
      <c r="I3651" s="23">
        <v>46</v>
      </c>
      <c r="J3651" s="24">
        <v>0</v>
      </c>
      <c r="K3651" s="21">
        <v>0</v>
      </c>
      <c r="L3651" s="21">
        <v>0</v>
      </c>
      <c r="M3651" s="21">
        <f>COUNTIF($A$2:$A$5481,A3651)</f>
        <v>2</v>
      </c>
      <c r="N3651" s="24">
        <f t="shared" si="57"/>
        <v>0.0003651</v>
      </c>
    </row>
    <row r="3652" spans="1:14">
      <c r="A3652" s="21" t="s">
        <v>859</v>
      </c>
      <c r="B3652" s="21" t="s">
        <v>920</v>
      </c>
      <c r="C3652" s="21" t="s">
        <v>26</v>
      </c>
      <c r="D3652" s="21" t="s">
        <v>921</v>
      </c>
      <c r="E3652" s="21">
        <v>5</v>
      </c>
      <c r="F3652" s="22">
        <v>45950.5730671296</v>
      </c>
      <c r="G3652" s="22">
        <v>46268.4347685185</v>
      </c>
      <c r="H3652" s="23">
        <v>945</v>
      </c>
      <c r="I3652" s="23">
        <v>187.5714285714</v>
      </c>
      <c r="J3652" s="24">
        <v>937.85</v>
      </c>
      <c r="K3652" s="21">
        <v>0</v>
      </c>
      <c r="L3652" s="21">
        <v>0</v>
      </c>
      <c r="M3652" s="21">
        <f>COUNTIF($A$2:$A$5481,A3652)</f>
        <v>2</v>
      </c>
      <c r="N3652" s="24">
        <f t="shared" si="57"/>
        <v>937.8503652</v>
      </c>
    </row>
    <row r="3653" spans="1:14">
      <c r="A3653" s="21" t="s">
        <v>199</v>
      </c>
      <c r="B3653" s="21" t="s">
        <v>920</v>
      </c>
      <c r="C3653" s="21" t="s">
        <v>35</v>
      </c>
      <c r="D3653" s="21" t="s">
        <v>921</v>
      </c>
      <c r="E3653" s="21">
        <v>20</v>
      </c>
      <c r="F3653" s="22">
        <v>46092.5605671296</v>
      </c>
      <c r="G3653" s="22">
        <v>46232.3357638889</v>
      </c>
      <c r="H3653" s="23">
        <v>258</v>
      </c>
      <c r="I3653" s="23">
        <v>42.2727272727</v>
      </c>
      <c r="J3653" s="24">
        <v>845.4</v>
      </c>
      <c r="K3653" s="21">
        <v>0</v>
      </c>
      <c r="L3653" s="21">
        <v>0</v>
      </c>
      <c r="M3653" s="21">
        <f>COUNTIF($A$2:$A$5481,A3653)</f>
        <v>1</v>
      </c>
      <c r="N3653" s="24">
        <f t="shared" si="57"/>
        <v>845.4003653</v>
      </c>
    </row>
    <row r="3654" spans="1:14">
      <c r="A3654" s="21" t="s">
        <v>200</v>
      </c>
      <c r="B3654" s="21" t="s">
        <v>920</v>
      </c>
      <c r="C3654" s="21" t="s">
        <v>35</v>
      </c>
      <c r="D3654" s="21" t="s">
        <v>921</v>
      </c>
      <c r="E3654" s="21">
        <v>12</v>
      </c>
      <c r="F3654" s="22">
        <v>46092.5605671296</v>
      </c>
      <c r="G3654" s="22">
        <v>46232.335775463</v>
      </c>
      <c r="H3654" s="23">
        <v>690</v>
      </c>
      <c r="I3654" s="23">
        <v>106.7727278571</v>
      </c>
      <c r="J3654" s="24">
        <v>1281.24</v>
      </c>
      <c r="K3654" s="21">
        <v>0</v>
      </c>
      <c r="L3654" s="21">
        <v>0</v>
      </c>
      <c r="M3654" s="21">
        <f>COUNTIF($A$2:$A$5481,A3654)</f>
        <v>1</v>
      </c>
      <c r="N3654" s="24">
        <f t="shared" si="57"/>
        <v>1281.2403654</v>
      </c>
    </row>
    <row r="3655" spans="1:14">
      <c r="A3655" s="21" t="s">
        <v>3549</v>
      </c>
      <c r="B3655" s="21" t="s">
        <v>920</v>
      </c>
      <c r="C3655" s="21" t="s">
        <v>35</v>
      </c>
      <c r="D3655" s="21" t="s">
        <v>921</v>
      </c>
      <c r="E3655" s="21">
        <v>6</v>
      </c>
      <c r="F3655" s="22">
        <v>45554.4087847222</v>
      </c>
      <c r="G3655" s="22">
        <v>45750.4108449074</v>
      </c>
      <c r="H3655" s="23">
        <v>792</v>
      </c>
      <c r="I3655" s="23">
        <v>99</v>
      </c>
      <c r="J3655" s="24">
        <v>594</v>
      </c>
      <c r="K3655" s="21">
        <v>0</v>
      </c>
      <c r="L3655" s="21">
        <v>0</v>
      </c>
      <c r="M3655" s="21">
        <f>COUNTIF($A$2:$A$5481,A3655)</f>
        <v>1</v>
      </c>
      <c r="N3655" s="24">
        <f t="shared" si="57"/>
        <v>594.0003655</v>
      </c>
    </row>
    <row r="3656" spans="1:14">
      <c r="A3656" s="21" t="s">
        <v>3550</v>
      </c>
      <c r="B3656" s="21" t="s">
        <v>949</v>
      </c>
      <c r="C3656" s="21" t="s">
        <v>182</v>
      </c>
      <c r="D3656" s="21" t="s">
        <v>921</v>
      </c>
      <c r="E3656" s="21">
        <v>0</v>
      </c>
      <c r="F3656" s="22">
        <v>45307.3745601852</v>
      </c>
      <c r="G3656" s="22">
        <v>45310.4238310185</v>
      </c>
      <c r="H3656" s="23">
        <v>27.86</v>
      </c>
      <c r="I3656" s="23">
        <v>1.99</v>
      </c>
      <c r="J3656" s="24">
        <v>0</v>
      </c>
      <c r="K3656" s="21">
        <v>0</v>
      </c>
      <c r="L3656" s="21">
        <v>0</v>
      </c>
      <c r="M3656" s="21">
        <f>COUNTIF($A$2:$A$5481,A3656)</f>
        <v>2</v>
      </c>
      <c r="N3656" s="24">
        <f t="shared" si="57"/>
        <v>0.0003656</v>
      </c>
    </row>
    <row r="3657" spans="1:14">
      <c r="A3657" s="21" t="s">
        <v>3550</v>
      </c>
      <c r="B3657" s="21" t="s">
        <v>949</v>
      </c>
      <c r="C3657" s="21" t="s">
        <v>26</v>
      </c>
      <c r="D3657" s="21" t="s">
        <v>921</v>
      </c>
      <c r="E3657" s="21">
        <v>16</v>
      </c>
      <c r="F3657" s="22">
        <v>45338.3729166667</v>
      </c>
      <c r="G3657" s="22">
        <v>45324.4903935185</v>
      </c>
      <c r="H3657" s="23">
        <v>31.84</v>
      </c>
      <c r="I3657" s="23">
        <v>1.99</v>
      </c>
      <c r="J3657" s="24">
        <v>31.84</v>
      </c>
      <c r="K3657" s="21">
        <v>0</v>
      </c>
      <c r="L3657" s="21">
        <v>0</v>
      </c>
      <c r="M3657" s="21">
        <f>COUNTIF($A$2:$A$5481,A3657)</f>
        <v>2</v>
      </c>
      <c r="N3657" s="24">
        <f t="shared" si="57"/>
        <v>31.8403657</v>
      </c>
    </row>
    <row r="3658" spans="1:14">
      <c r="A3658" s="21" t="s">
        <v>3551</v>
      </c>
      <c r="B3658" s="21" t="s">
        <v>920</v>
      </c>
      <c r="C3658" s="21" t="s">
        <v>35</v>
      </c>
      <c r="D3658" s="21" t="s">
        <v>921</v>
      </c>
      <c r="E3658" s="21">
        <v>4</v>
      </c>
      <c r="F3658" s="22">
        <v>46065.560787037</v>
      </c>
      <c r="G3658" s="22"/>
      <c r="H3658" s="23">
        <v>820</v>
      </c>
      <c r="I3658" s="23">
        <v>421.425</v>
      </c>
      <c r="J3658" s="24">
        <v>1685.72</v>
      </c>
      <c r="K3658" s="21">
        <v>0</v>
      </c>
      <c r="L3658" s="21">
        <v>0</v>
      </c>
      <c r="M3658" s="21">
        <f>COUNTIF($A$2:$A$5481,A3658)</f>
        <v>1</v>
      </c>
      <c r="N3658" s="24">
        <f t="shared" si="57"/>
        <v>1685.7203658</v>
      </c>
    </row>
    <row r="3659" spans="1:14">
      <c r="A3659" s="21" t="s">
        <v>3552</v>
      </c>
      <c r="B3659" s="21" t="s">
        <v>920</v>
      </c>
      <c r="C3659" s="21" t="s">
        <v>26</v>
      </c>
      <c r="D3659" s="21" t="s">
        <v>921</v>
      </c>
      <c r="E3659" s="21">
        <v>3</v>
      </c>
      <c r="F3659" s="22">
        <v>45749.8237731482</v>
      </c>
      <c r="G3659" s="22"/>
      <c r="H3659" s="23">
        <v>87</v>
      </c>
      <c r="I3659" s="23">
        <v>29</v>
      </c>
      <c r="J3659" s="24">
        <v>87</v>
      </c>
      <c r="K3659" s="21">
        <v>0</v>
      </c>
      <c r="L3659" s="21">
        <v>0</v>
      </c>
      <c r="M3659" s="21">
        <f>COUNTIF($A$2:$A$5481,A3659)</f>
        <v>1</v>
      </c>
      <c r="N3659" s="24">
        <f t="shared" si="57"/>
        <v>87.0003659</v>
      </c>
    </row>
    <row r="3660" spans="1:14">
      <c r="A3660" s="21" t="s">
        <v>3553</v>
      </c>
      <c r="B3660" s="21" t="s">
        <v>920</v>
      </c>
      <c r="C3660" s="21" t="s">
        <v>26</v>
      </c>
      <c r="D3660" s="21" t="s">
        <v>921</v>
      </c>
      <c r="E3660" s="21">
        <v>2</v>
      </c>
      <c r="F3660" s="22">
        <v>45783.8055787037</v>
      </c>
      <c r="G3660" s="22"/>
      <c r="H3660" s="23">
        <v>9.2</v>
      </c>
      <c r="I3660" s="23">
        <v>4.6</v>
      </c>
      <c r="J3660" s="24">
        <v>9.2</v>
      </c>
      <c r="K3660" s="21">
        <v>0</v>
      </c>
      <c r="L3660" s="21">
        <v>0</v>
      </c>
      <c r="M3660" s="21">
        <f>COUNTIF($A$2:$A$5481,A3660)</f>
        <v>1</v>
      </c>
      <c r="N3660" s="24">
        <f t="shared" si="57"/>
        <v>9.200366</v>
      </c>
    </row>
    <row r="3661" spans="1:14">
      <c r="A3661" s="21" t="s">
        <v>3554</v>
      </c>
      <c r="B3661" s="21" t="s">
        <v>929</v>
      </c>
      <c r="C3661" s="21" t="s">
        <v>26</v>
      </c>
      <c r="D3661" s="21" t="s">
        <v>921</v>
      </c>
      <c r="E3661" s="21">
        <v>3</v>
      </c>
      <c r="F3661" s="22">
        <v>45552.8465625</v>
      </c>
      <c r="G3661" s="22"/>
      <c r="H3661" s="23">
        <v>29.82</v>
      </c>
      <c r="I3661" s="23">
        <v>9.94</v>
      </c>
      <c r="J3661" s="24">
        <v>29.82</v>
      </c>
      <c r="K3661" s="21">
        <v>0</v>
      </c>
      <c r="L3661" s="21">
        <v>0</v>
      </c>
      <c r="M3661" s="21">
        <f>COUNTIF($A$2:$A$5481,A3661)</f>
        <v>1</v>
      </c>
      <c r="N3661" s="24">
        <f t="shared" si="57"/>
        <v>29.8203661</v>
      </c>
    </row>
    <row r="3662" spans="1:14">
      <c r="A3662" s="21" t="s">
        <v>3555</v>
      </c>
      <c r="B3662" s="21" t="s">
        <v>929</v>
      </c>
      <c r="C3662" s="21" t="s">
        <v>26</v>
      </c>
      <c r="D3662" s="21" t="s">
        <v>921</v>
      </c>
      <c r="E3662" s="21">
        <v>2</v>
      </c>
      <c r="F3662" s="22">
        <v>46157.5895949074</v>
      </c>
      <c r="G3662" s="22"/>
      <c r="H3662" s="23">
        <v>8.8</v>
      </c>
      <c r="I3662" s="23">
        <v>4.4</v>
      </c>
      <c r="J3662" s="24">
        <v>8.8</v>
      </c>
      <c r="K3662" s="21">
        <v>0</v>
      </c>
      <c r="L3662" s="21">
        <v>0</v>
      </c>
      <c r="M3662" s="21">
        <f>COUNTIF($A$2:$A$5481,A3662)</f>
        <v>1</v>
      </c>
      <c r="N3662" s="24">
        <f t="shared" si="57"/>
        <v>8.8003662</v>
      </c>
    </row>
    <row r="3663" spans="1:14">
      <c r="A3663" s="21" t="s">
        <v>3556</v>
      </c>
      <c r="B3663" s="21" t="s">
        <v>26</v>
      </c>
      <c r="C3663" s="21" t="s">
        <v>26</v>
      </c>
      <c r="D3663" s="21" t="s">
        <v>921</v>
      </c>
      <c r="E3663" s="21">
        <v>0</v>
      </c>
      <c r="F3663" s="22">
        <v>45498.4420601852</v>
      </c>
      <c r="G3663" s="22">
        <v>45576.4622453704</v>
      </c>
      <c r="H3663" s="23">
        <v>269</v>
      </c>
      <c r="I3663" s="23">
        <v>269</v>
      </c>
      <c r="J3663" s="24">
        <v>0</v>
      </c>
      <c r="K3663" s="21">
        <v>0</v>
      </c>
      <c r="L3663" s="21">
        <v>0</v>
      </c>
      <c r="M3663" s="21">
        <f>COUNTIF($A$2:$A$5481,A3663)</f>
        <v>1</v>
      </c>
      <c r="N3663" s="24">
        <f t="shared" si="57"/>
        <v>0.0003663</v>
      </c>
    </row>
    <row r="3664" spans="1:14">
      <c r="A3664" s="21" t="s">
        <v>3557</v>
      </c>
      <c r="B3664" s="21" t="s">
        <v>920</v>
      </c>
      <c r="C3664" s="21" t="s">
        <v>51</v>
      </c>
      <c r="D3664" s="21" t="s">
        <v>921</v>
      </c>
      <c r="E3664" s="21">
        <v>25</v>
      </c>
      <c r="F3664" s="22">
        <v>45384.5571759259</v>
      </c>
      <c r="G3664" s="22"/>
      <c r="H3664" s="23">
        <v>877.5</v>
      </c>
      <c r="I3664" s="23">
        <v>35.1</v>
      </c>
      <c r="J3664" s="24">
        <v>877.5</v>
      </c>
      <c r="K3664" s="21">
        <v>0</v>
      </c>
      <c r="L3664" s="21">
        <v>0</v>
      </c>
      <c r="M3664" s="21">
        <f>COUNTIF($A$2:$A$5481,A3664)</f>
        <v>2</v>
      </c>
      <c r="N3664" s="24">
        <f t="shared" si="57"/>
        <v>877.5003664</v>
      </c>
    </row>
    <row r="3665" spans="1:14">
      <c r="A3665" s="21" t="s">
        <v>3557</v>
      </c>
      <c r="B3665" s="21" t="s">
        <v>920</v>
      </c>
      <c r="C3665" s="21" t="s">
        <v>26</v>
      </c>
      <c r="D3665" s="21" t="s">
        <v>921</v>
      </c>
      <c r="E3665" s="21">
        <v>25</v>
      </c>
      <c r="F3665" s="22">
        <v>45397.8377430556</v>
      </c>
      <c r="G3665" s="22"/>
      <c r="H3665" s="23">
        <v>625</v>
      </c>
      <c r="I3665" s="23">
        <v>25</v>
      </c>
      <c r="J3665" s="24">
        <v>625</v>
      </c>
      <c r="K3665" s="21">
        <v>0</v>
      </c>
      <c r="L3665" s="21">
        <v>0</v>
      </c>
      <c r="M3665" s="21">
        <f>COUNTIF($A$2:$A$5481,A3665)</f>
        <v>2</v>
      </c>
      <c r="N3665" s="24">
        <f t="shared" si="57"/>
        <v>625.0003665</v>
      </c>
    </row>
    <row r="3666" spans="1:14">
      <c r="A3666" s="21" t="s">
        <v>3558</v>
      </c>
      <c r="B3666" s="21" t="s">
        <v>920</v>
      </c>
      <c r="C3666" s="21" t="s">
        <v>35</v>
      </c>
      <c r="D3666" s="21" t="s">
        <v>921</v>
      </c>
      <c r="E3666" s="21">
        <v>10</v>
      </c>
      <c r="F3666" s="22">
        <v>45308.8192824074</v>
      </c>
      <c r="G3666" s="22"/>
      <c r="H3666" s="23">
        <v>200</v>
      </c>
      <c r="I3666" s="23">
        <v>20</v>
      </c>
      <c r="J3666" s="24">
        <v>200</v>
      </c>
      <c r="K3666" s="21">
        <v>0</v>
      </c>
      <c r="L3666" s="21">
        <v>0</v>
      </c>
      <c r="M3666" s="21">
        <f>COUNTIF($A$2:$A$5481,A3666)</f>
        <v>1</v>
      </c>
      <c r="N3666" s="24">
        <f t="shared" si="57"/>
        <v>200.0003666</v>
      </c>
    </row>
    <row r="3667" spans="1:14">
      <c r="A3667" s="21" t="s">
        <v>3559</v>
      </c>
      <c r="B3667" s="21" t="s">
        <v>920</v>
      </c>
      <c r="C3667" s="21" t="s">
        <v>26</v>
      </c>
      <c r="D3667" s="21" t="s">
        <v>921</v>
      </c>
      <c r="E3667" s="21">
        <v>190</v>
      </c>
      <c r="F3667" s="22">
        <v>46183.8239930556</v>
      </c>
      <c r="G3667" s="22"/>
      <c r="H3667" s="23">
        <v>241.3</v>
      </c>
      <c r="I3667" s="23">
        <v>1.27</v>
      </c>
      <c r="J3667" s="24">
        <v>241.3</v>
      </c>
      <c r="K3667" s="21">
        <v>0</v>
      </c>
      <c r="L3667" s="21">
        <v>0</v>
      </c>
      <c r="M3667" s="21">
        <f>COUNTIF($A$2:$A$5481,A3667)</f>
        <v>1</v>
      </c>
      <c r="N3667" s="24">
        <f t="shared" si="57"/>
        <v>241.3003667</v>
      </c>
    </row>
    <row r="3668" spans="1:14">
      <c r="A3668" s="21" t="s">
        <v>3560</v>
      </c>
      <c r="B3668" s="21" t="s">
        <v>26</v>
      </c>
      <c r="C3668" s="21" t="s">
        <v>26</v>
      </c>
      <c r="D3668" s="21" t="s">
        <v>921</v>
      </c>
      <c r="E3668" s="21">
        <v>1</v>
      </c>
      <c r="F3668" s="22">
        <v>45559.4279861111</v>
      </c>
      <c r="G3668" s="22"/>
      <c r="H3668" s="23">
        <v>72.82</v>
      </c>
      <c r="I3668" s="23">
        <v>72.82</v>
      </c>
      <c r="J3668" s="24">
        <v>72.82</v>
      </c>
      <c r="K3668" s="21">
        <v>0</v>
      </c>
      <c r="L3668" s="21">
        <v>0</v>
      </c>
      <c r="M3668" s="21">
        <f>COUNTIF($A$2:$A$5481,A3668)</f>
        <v>1</v>
      </c>
      <c r="N3668" s="24">
        <f t="shared" si="57"/>
        <v>72.8203668</v>
      </c>
    </row>
    <row r="3669" spans="1:14">
      <c r="A3669" s="21" t="s">
        <v>774</v>
      </c>
      <c r="B3669" s="21" t="s">
        <v>1510</v>
      </c>
      <c r="C3669" s="21" t="s">
        <v>390</v>
      </c>
      <c r="D3669" s="21" t="s">
        <v>931</v>
      </c>
      <c r="E3669" s="21">
        <v>0</v>
      </c>
      <c r="F3669" s="22">
        <v>46247.6909722222</v>
      </c>
      <c r="G3669" s="22">
        <v>46252.6932986111</v>
      </c>
      <c r="H3669" s="23">
        <v>53000</v>
      </c>
      <c r="I3669" s="23">
        <v>53000</v>
      </c>
      <c r="J3669" s="24">
        <v>0</v>
      </c>
      <c r="K3669" s="21">
        <v>0</v>
      </c>
      <c r="L3669" s="21">
        <v>0</v>
      </c>
      <c r="M3669" s="21">
        <f>COUNTIF($A$2:$A$5481,A3669)</f>
        <v>1</v>
      </c>
      <c r="N3669" s="24">
        <f t="shared" si="57"/>
        <v>0.0003669</v>
      </c>
    </row>
    <row r="3670" spans="1:14">
      <c r="A3670" s="21" t="s">
        <v>482</v>
      </c>
      <c r="B3670" s="21" t="s">
        <v>26</v>
      </c>
      <c r="C3670" s="21" t="s">
        <v>51</v>
      </c>
      <c r="D3670" s="21" t="s">
        <v>921</v>
      </c>
      <c r="E3670" s="21">
        <v>23</v>
      </c>
      <c r="F3670" s="22">
        <v>45762.3576967593</v>
      </c>
      <c r="G3670" s="22">
        <v>45889.4330902778</v>
      </c>
      <c r="H3670" s="23">
        <v>36.1</v>
      </c>
      <c r="I3670" s="23">
        <v>4.21308</v>
      </c>
      <c r="J3670" s="24">
        <v>96.83</v>
      </c>
      <c r="K3670" s="21">
        <v>0</v>
      </c>
      <c r="L3670" s="21">
        <v>0</v>
      </c>
      <c r="M3670" s="21">
        <f>COUNTIF($A$2:$A$5481,A3670)</f>
        <v>2</v>
      </c>
      <c r="N3670" s="24">
        <f t="shared" si="57"/>
        <v>96.830367</v>
      </c>
    </row>
    <row r="3671" spans="1:14">
      <c r="A3671" s="21" t="s">
        <v>482</v>
      </c>
      <c r="B3671" s="21" t="s">
        <v>26</v>
      </c>
      <c r="C3671" s="21" t="s">
        <v>182</v>
      </c>
      <c r="D3671" s="21" t="s">
        <v>921</v>
      </c>
      <c r="E3671" s="21">
        <v>11</v>
      </c>
      <c r="F3671" s="22">
        <v>46260.4125</v>
      </c>
      <c r="G3671" s="22">
        <v>46280.5769791667</v>
      </c>
      <c r="H3671" s="23">
        <v>54.6</v>
      </c>
      <c r="I3671" s="23">
        <v>4.5239160839</v>
      </c>
      <c r="J3671" s="24">
        <v>49.72</v>
      </c>
      <c r="K3671" s="21">
        <v>0</v>
      </c>
      <c r="L3671" s="21">
        <v>0</v>
      </c>
      <c r="M3671" s="21">
        <f>COUNTIF($A$2:$A$5481,A3671)</f>
        <v>2</v>
      </c>
      <c r="N3671" s="24">
        <f t="shared" si="57"/>
        <v>49.7203671</v>
      </c>
    </row>
    <row r="3672" spans="1:14">
      <c r="A3672" s="21" t="s">
        <v>3561</v>
      </c>
      <c r="B3672" s="21" t="s">
        <v>920</v>
      </c>
      <c r="C3672" s="21" t="s">
        <v>26</v>
      </c>
      <c r="D3672" s="21" t="s">
        <v>921</v>
      </c>
      <c r="E3672" s="21">
        <v>30</v>
      </c>
      <c r="F3672" s="22">
        <v>45561.4165162037</v>
      </c>
      <c r="G3672" s="22"/>
      <c r="H3672" s="23">
        <v>13.16</v>
      </c>
      <c r="I3672" s="23">
        <v>10.99467</v>
      </c>
      <c r="J3672" s="24">
        <v>329.7</v>
      </c>
      <c r="K3672" s="21">
        <v>0</v>
      </c>
      <c r="L3672" s="21">
        <v>0</v>
      </c>
      <c r="M3672" s="21">
        <f>COUNTIF($A$2:$A$5481,A3672)</f>
        <v>1</v>
      </c>
      <c r="N3672" s="24">
        <f t="shared" si="57"/>
        <v>329.7003672</v>
      </c>
    </row>
    <row r="3673" spans="1:14">
      <c r="A3673" s="21" t="s">
        <v>3562</v>
      </c>
      <c r="B3673" s="21" t="s">
        <v>920</v>
      </c>
      <c r="C3673" s="21" t="s">
        <v>26</v>
      </c>
      <c r="D3673" s="21" t="s">
        <v>1068</v>
      </c>
      <c r="E3673" s="21">
        <v>16</v>
      </c>
      <c r="F3673" s="22">
        <v>45909.6520601852</v>
      </c>
      <c r="G3673" s="22"/>
      <c r="H3673" s="23">
        <v>162.8833</v>
      </c>
      <c r="I3673" s="23">
        <v>16.28833125</v>
      </c>
      <c r="J3673" s="24">
        <v>260.64</v>
      </c>
      <c r="K3673" s="21">
        <v>0</v>
      </c>
      <c r="L3673" s="21">
        <v>0</v>
      </c>
      <c r="M3673" s="21">
        <f>COUNTIF($A$2:$A$5481,A3673)</f>
        <v>1</v>
      </c>
      <c r="N3673" s="24">
        <f t="shared" si="57"/>
        <v>260.6403673</v>
      </c>
    </row>
    <row r="3674" spans="1:14">
      <c r="A3674" s="21" t="s">
        <v>3563</v>
      </c>
      <c r="B3674" s="21" t="s">
        <v>920</v>
      </c>
      <c r="C3674" s="21" t="s">
        <v>26</v>
      </c>
      <c r="D3674" s="21" t="s">
        <v>921</v>
      </c>
      <c r="E3674" s="21">
        <v>4</v>
      </c>
      <c r="F3674" s="22">
        <v>46234.5952430556</v>
      </c>
      <c r="G3674" s="22"/>
      <c r="H3674" s="23">
        <v>17.2</v>
      </c>
      <c r="I3674" s="23">
        <v>4.3</v>
      </c>
      <c r="J3674" s="24">
        <v>17.2</v>
      </c>
      <c r="K3674" s="21">
        <v>0</v>
      </c>
      <c r="L3674" s="21">
        <v>0</v>
      </c>
      <c r="M3674" s="21">
        <f>COUNTIF($A$2:$A$5481,A3674)</f>
        <v>1</v>
      </c>
      <c r="N3674" s="24">
        <f t="shared" si="57"/>
        <v>17.2003674</v>
      </c>
    </row>
    <row r="3675" spans="1:14">
      <c r="A3675" s="21" t="s">
        <v>3564</v>
      </c>
      <c r="B3675" s="21" t="s">
        <v>920</v>
      </c>
      <c r="C3675" s="21" t="s">
        <v>35</v>
      </c>
      <c r="D3675" s="21" t="s">
        <v>921</v>
      </c>
      <c r="E3675" s="21">
        <v>0</v>
      </c>
      <c r="F3675" s="22">
        <v>45369.6154513889</v>
      </c>
      <c r="G3675" s="22">
        <v>45372.4657175926</v>
      </c>
      <c r="H3675" s="23">
        <v>109</v>
      </c>
      <c r="I3675" s="23">
        <v>109</v>
      </c>
      <c r="J3675" s="24">
        <v>0</v>
      </c>
      <c r="K3675" s="21">
        <v>0</v>
      </c>
      <c r="L3675" s="21">
        <v>0</v>
      </c>
      <c r="M3675" s="21">
        <f>COUNTIF($A$2:$A$5481,A3675)</f>
        <v>1</v>
      </c>
      <c r="N3675" s="24">
        <f t="shared" si="57"/>
        <v>0.0003675</v>
      </c>
    </row>
    <row r="3676" spans="1:14">
      <c r="A3676" s="21" t="s">
        <v>3565</v>
      </c>
      <c r="B3676" s="21" t="s">
        <v>920</v>
      </c>
      <c r="C3676" s="21" t="s">
        <v>35</v>
      </c>
      <c r="D3676" s="21" t="s">
        <v>921</v>
      </c>
      <c r="E3676" s="21">
        <v>1</v>
      </c>
      <c r="F3676" s="22">
        <v>45303.3972222222</v>
      </c>
      <c r="G3676" s="22"/>
      <c r="H3676" s="23">
        <v>267.26</v>
      </c>
      <c r="I3676" s="23">
        <v>267.26</v>
      </c>
      <c r="J3676" s="24">
        <v>267.26</v>
      </c>
      <c r="K3676" s="21">
        <v>0</v>
      </c>
      <c r="L3676" s="21">
        <v>0</v>
      </c>
      <c r="M3676" s="21">
        <f>COUNTIF($A$2:$A$5481,A3676)</f>
        <v>1</v>
      </c>
      <c r="N3676" s="24">
        <f t="shared" si="57"/>
        <v>267.2603676</v>
      </c>
    </row>
    <row r="3677" spans="1:14">
      <c r="A3677" s="21" t="s">
        <v>3566</v>
      </c>
      <c r="B3677" s="21" t="s">
        <v>920</v>
      </c>
      <c r="C3677" s="21" t="s">
        <v>35</v>
      </c>
      <c r="D3677" s="21" t="s">
        <v>931</v>
      </c>
      <c r="E3677" s="21">
        <v>2</v>
      </c>
      <c r="F3677" s="22">
        <v>45608.3634259259</v>
      </c>
      <c r="G3677" s="22">
        <v>45586.8534143519</v>
      </c>
      <c r="H3677" s="23">
        <v>160</v>
      </c>
      <c r="I3677" s="23">
        <v>80</v>
      </c>
      <c r="J3677" s="24">
        <v>160</v>
      </c>
      <c r="K3677" s="21">
        <v>0</v>
      </c>
      <c r="L3677" s="21">
        <v>0</v>
      </c>
      <c r="M3677" s="21">
        <f>COUNTIF($A$2:$A$5481,A3677)</f>
        <v>1</v>
      </c>
      <c r="N3677" s="24">
        <f t="shared" si="57"/>
        <v>160.0003677</v>
      </c>
    </row>
    <row r="3678" spans="1:14">
      <c r="A3678" s="21" t="s">
        <v>3567</v>
      </c>
      <c r="B3678" s="21" t="s">
        <v>920</v>
      </c>
      <c r="C3678" s="21" t="s">
        <v>35</v>
      </c>
      <c r="D3678" s="21" t="s">
        <v>931</v>
      </c>
      <c r="E3678" s="21">
        <v>1</v>
      </c>
      <c r="F3678" s="22">
        <v>45863.3893981482</v>
      </c>
      <c r="G3678" s="22"/>
      <c r="H3678" s="23">
        <v>80</v>
      </c>
      <c r="I3678" s="23">
        <v>80</v>
      </c>
      <c r="J3678" s="24">
        <v>80</v>
      </c>
      <c r="K3678" s="21">
        <v>0</v>
      </c>
      <c r="L3678" s="21">
        <v>0</v>
      </c>
      <c r="M3678" s="21">
        <f>COUNTIF($A$2:$A$5481,A3678)</f>
        <v>1</v>
      </c>
      <c r="N3678" s="24">
        <f t="shared" si="57"/>
        <v>80.0003678</v>
      </c>
    </row>
    <row r="3679" spans="1:14">
      <c r="A3679" s="21" t="s">
        <v>3568</v>
      </c>
      <c r="B3679" s="21" t="s">
        <v>929</v>
      </c>
      <c r="C3679" s="21" t="s">
        <v>26</v>
      </c>
      <c r="D3679" s="21" t="s">
        <v>931</v>
      </c>
      <c r="E3679" s="21">
        <v>2.8</v>
      </c>
      <c r="F3679" s="22">
        <v>46059.5711226852</v>
      </c>
      <c r="G3679" s="22"/>
      <c r="H3679" s="23">
        <v>142.02</v>
      </c>
      <c r="I3679" s="23">
        <v>77.5071428571</v>
      </c>
      <c r="J3679" s="24">
        <v>217.028</v>
      </c>
      <c r="K3679" s="21">
        <v>0</v>
      </c>
      <c r="L3679" s="21">
        <v>0</v>
      </c>
      <c r="M3679" s="21">
        <f>COUNTIF($A$2:$A$5481,A3679)</f>
        <v>1</v>
      </c>
      <c r="N3679" s="24">
        <f t="shared" si="57"/>
        <v>217.0283679</v>
      </c>
    </row>
    <row r="3680" spans="1:14">
      <c r="A3680" s="21" t="s">
        <v>3569</v>
      </c>
      <c r="B3680" s="21" t="s">
        <v>920</v>
      </c>
      <c r="C3680" s="21" t="s">
        <v>26</v>
      </c>
      <c r="D3680" s="21" t="s">
        <v>921</v>
      </c>
      <c r="E3680" s="21">
        <v>1</v>
      </c>
      <c r="F3680" s="22">
        <v>45351.4104166667</v>
      </c>
      <c r="G3680" s="22"/>
      <c r="H3680" s="23">
        <v>26.6</v>
      </c>
      <c r="I3680" s="23">
        <v>26.6</v>
      </c>
      <c r="J3680" s="24">
        <v>26.6</v>
      </c>
      <c r="K3680" s="21">
        <v>0</v>
      </c>
      <c r="L3680" s="21">
        <v>0</v>
      </c>
      <c r="M3680" s="21">
        <f>COUNTIF($A$2:$A$5481,A3680)</f>
        <v>1</v>
      </c>
      <c r="N3680" s="24">
        <f t="shared" si="57"/>
        <v>26.600368</v>
      </c>
    </row>
    <row r="3681" spans="1:14">
      <c r="A3681" s="21" t="s">
        <v>3570</v>
      </c>
      <c r="B3681" s="21" t="s">
        <v>920</v>
      </c>
      <c r="C3681" s="21" t="s">
        <v>26</v>
      </c>
      <c r="D3681" s="21" t="s">
        <v>921</v>
      </c>
      <c r="E3681" s="21">
        <v>2</v>
      </c>
      <c r="F3681" s="22">
        <v>45595.3803703704</v>
      </c>
      <c r="G3681" s="22">
        <v>45909.385474537</v>
      </c>
      <c r="H3681" s="23">
        <v>15.52</v>
      </c>
      <c r="I3681" s="23">
        <v>15.88</v>
      </c>
      <c r="J3681" s="24">
        <v>31.76</v>
      </c>
      <c r="K3681" s="21">
        <v>0</v>
      </c>
      <c r="L3681" s="21">
        <v>0</v>
      </c>
      <c r="M3681" s="21">
        <f>COUNTIF($A$2:$A$5481,A3681)</f>
        <v>1</v>
      </c>
      <c r="N3681" s="24">
        <f t="shared" si="57"/>
        <v>31.7603681</v>
      </c>
    </row>
    <row r="3682" spans="1:14">
      <c r="A3682" s="21" t="s">
        <v>3571</v>
      </c>
      <c r="B3682" s="21" t="s">
        <v>26</v>
      </c>
      <c r="C3682" s="21" t="s">
        <v>26</v>
      </c>
      <c r="D3682" s="21" t="s">
        <v>921</v>
      </c>
      <c r="E3682" s="21">
        <v>3</v>
      </c>
      <c r="F3682" s="22">
        <v>45509.3528240741</v>
      </c>
      <c r="G3682" s="22"/>
      <c r="H3682" s="23">
        <v>51</v>
      </c>
      <c r="I3682" s="23">
        <v>17</v>
      </c>
      <c r="J3682" s="24">
        <v>51</v>
      </c>
      <c r="K3682" s="21">
        <v>0</v>
      </c>
      <c r="L3682" s="21">
        <v>0</v>
      </c>
      <c r="M3682" s="21">
        <f>COUNTIF($A$2:$A$5481,A3682)</f>
        <v>1</v>
      </c>
      <c r="N3682" s="24">
        <f t="shared" si="57"/>
        <v>51.0003682</v>
      </c>
    </row>
    <row r="3683" spans="1:14">
      <c r="A3683" s="21" t="s">
        <v>3572</v>
      </c>
      <c r="B3683" s="21" t="s">
        <v>920</v>
      </c>
      <c r="C3683" s="21" t="s">
        <v>26</v>
      </c>
      <c r="D3683" s="21" t="s">
        <v>921</v>
      </c>
      <c r="E3683" s="21">
        <v>0</v>
      </c>
      <c r="F3683" s="22">
        <v>45359.4388888889</v>
      </c>
      <c r="G3683" s="22">
        <v>45573.8386458333</v>
      </c>
      <c r="H3683" s="23">
        <v>30.64</v>
      </c>
      <c r="I3683" s="23">
        <v>7.66</v>
      </c>
      <c r="J3683" s="24">
        <v>0</v>
      </c>
      <c r="K3683" s="21">
        <v>0</v>
      </c>
      <c r="L3683" s="21">
        <v>0</v>
      </c>
      <c r="M3683" s="21">
        <f>COUNTIF($A$2:$A$5481,A3683)</f>
        <v>1</v>
      </c>
      <c r="N3683" s="24">
        <f t="shared" si="57"/>
        <v>0.0003683</v>
      </c>
    </row>
    <row r="3684" spans="1:14">
      <c r="A3684" s="21" t="s">
        <v>3573</v>
      </c>
      <c r="B3684" s="21" t="s">
        <v>26</v>
      </c>
      <c r="C3684" s="21" t="s">
        <v>26</v>
      </c>
      <c r="D3684" s="21" t="s">
        <v>921</v>
      </c>
      <c r="E3684" s="21">
        <v>1</v>
      </c>
      <c r="F3684" s="22">
        <v>45615.3699421296</v>
      </c>
      <c r="G3684" s="22"/>
      <c r="H3684" s="23">
        <v>70</v>
      </c>
      <c r="I3684" s="23">
        <v>70</v>
      </c>
      <c r="J3684" s="24">
        <v>70</v>
      </c>
      <c r="K3684" s="21">
        <v>0</v>
      </c>
      <c r="L3684" s="21">
        <v>0</v>
      </c>
      <c r="M3684" s="21">
        <f>COUNTIF($A$2:$A$5481,A3684)</f>
        <v>1</v>
      </c>
      <c r="N3684" s="24">
        <f t="shared" si="57"/>
        <v>70.0003684</v>
      </c>
    </row>
    <row r="3685" spans="1:14">
      <c r="A3685" s="21" t="s">
        <v>3574</v>
      </c>
      <c r="B3685" s="21" t="s">
        <v>929</v>
      </c>
      <c r="C3685" s="21" t="s">
        <v>26</v>
      </c>
      <c r="D3685" s="21" t="s">
        <v>921</v>
      </c>
      <c r="E3685" s="21">
        <v>3</v>
      </c>
      <c r="F3685" s="22">
        <v>46121.561087963</v>
      </c>
      <c r="G3685" s="22"/>
      <c r="H3685" s="23">
        <v>60</v>
      </c>
      <c r="I3685" s="23">
        <v>20</v>
      </c>
      <c r="J3685" s="24">
        <v>60</v>
      </c>
      <c r="K3685" s="21">
        <v>0</v>
      </c>
      <c r="L3685" s="21">
        <v>0</v>
      </c>
      <c r="M3685" s="21">
        <f>COUNTIF($A$2:$A$5481,A3685)</f>
        <v>1</v>
      </c>
      <c r="N3685" s="24">
        <f t="shared" si="57"/>
        <v>60.0003685</v>
      </c>
    </row>
    <row r="3686" spans="1:14">
      <c r="A3686" s="21" t="s">
        <v>3575</v>
      </c>
      <c r="B3686" s="21" t="s">
        <v>920</v>
      </c>
      <c r="C3686" s="21" t="s">
        <v>35</v>
      </c>
      <c r="D3686" s="21" t="s">
        <v>921</v>
      </c>
      <c r="E3686" s="21">
        <v>0</v>
      </c>
      <c r="F3686" s="22">
        <v>45376.5597222222</v>
      </c>
      <c r="G3686" s="22">
        <v>45618.4671180556</v>
      </c>
      <c r="H3686" s="23">
        <v>227.7</v>
      </c>
      <c r="I3686" s="23">
        <v>75.9</v>
      </c>
      <c r="J3686" s="24">
        <v>0</v>
      </c>
      <c r="K3686" s="21">
        <v>0</v>
      </c>
      <c r="L3686" s="21">
        <v>0</v>
      </c>
      <c r="M3686" s="21">
        <f>COUNTIF($A$2:$A$5481,A3686)</f>
        <v>2</v>
      </c>
      <c r="N3686" s="24">
        <f t="shared" si="57"/>
        <v>0.0003686</v>
      </c>
    </row>
    <row r="3687" spans="1:14">
      <c r="A3687" s="21" t="s">
        <v>3575</v>
      </c>
      <c r="B3687" s="21" t="s">
        <v>920</v>
      </c>
      <c r="C3687" s="21" t="s">
        <v>26</v>
      </c>
      <c r="D3687" s="21" t="s">
        <v>921</v>
      </c>
      <c r="E3687" s="21">
        <v>0</v>
      </c>
      <c r="F3687" s="22">
        <v>45693.8210185185</v>
      </c>
      <c r="G3687" s="22">
        <v>45707.5959259259</v>
      </c>
      <c r="H3687" s="23">
        <v>116</v>
      </c>
      <c r="I3687" s="23">
        <v>58</v>
      </c>
      <c r="J3687" s="24">
        <v>0</v>
      </c>
      <c r="K3687" s="21">
        <v>0</v>
      </c>
      <c r="L3687" s="21">
        <v>0</v>
      </c>
      <c r="M3687" s="21">
        <f>COUNTIF($A$2:$A$5481,A3687)</f>
        <v>2</v>
      </c>
      <c r="N3687" s="24">
        <f t="shared" si="57"/>
        <v>0.0003687</v>
      </c>
    </row>
    <row r="3688" spans="1:14">
      <c r="A3688" s="21" t="s">
        <v>3576</v>
      </c>
      <c r="B3688" s="21" t="s">
        <v>920</v>
      </c>
      <c r="C3688" s="21" t="s">
        <v>26</v>
      </c>
      <c r="D3688" s="21" t="s">
        <v>921</v>
      </c>
      <c r="E3688" s="21">
        <v>1</v>
      </c>
      <c r="F3688" s="22">
        <v>45729.5519328704</v>
      </c>
      <c r="G3688" s="22">
        <v>45776.7868055556</v>
      </c>
      <c r="H3688" s="23">
        <v>99.6</v>
      </c>
      <c r="I3688" s="23">
        <v>49.8</v>
      </c>
      <c r="J3688" s="24">
        <v>49.8</v>
      </c>
      <c r="K3688" s="21">
        <v>0</v>
      </c>
      <c r="L3688" s="21">
        <v>0</v>
      </c>
      <c r="M3688" s="21">
        <f>COUNTIF($A$2:$A$5481,A3688)</f>
        <v>1</v>
      </c>
      <c r="N3688" s="24">
        <f t="shared" si="57"/>
        <v>49.8003688</v>
      </c>
    </row>
    <row r="3689" spans="1:14">
      <c r="A3689" s="21" t="s">
        <v>3577</v>
      </c>
      <c r="B3689" s="21" t="s">
        <v>920</v>
      </c>
      <c r="C3689" s="21" t="s">
        <v>35</v>
      </c>
      <c r="D3689" s="21" t="s">
        <v>931</v>
      </c>
      <c r="E3689" s="21">
        <v>2</v>
      </c>
      <c r="F3689" s="22">
        <v>45274.5817476852</v>
      </c>
      <c r="G3689" s="22"/>
      <c r="H3689" s="23">
        <v>244</v>
      </c>
      <c r="I3689" s="23">
        <v>122</v>
      </c>
      <c r="J3689" s="24">
        <v>244</v>
      </c>
      <c r="K3689" s="21">
        <v>0</v>
      </c>
      <c r="L3689" s="21">
        <v>0</v>
      </c>
      <c r="M3689" s="21">
        <f>COUNTIF($A$2:$A$5481,A3689)</f>
        <v>1</v>
      </c>
      <c r="N3689" s="24">
        <f t="shared" si="57"/>
        <v>244.0003689</v>
      </c>
    </row>
    <row r="3690" spans="1:14">
      <c r="A3690" s="21" t="s">
        <v>230</v>
      </c>
      <c r="B3690" s="21" t="s">
        <v>920</v>
      </c>
      <c r="C3690" s="21" t="s">
        <v>26</v>
      </c>
      <c r="D3690" s="21" t="s">
        <v>921</v>
      </c>
      <c r="E3690" s="21">
        <v>2</v>
      </c>
      <c r="F3690" s="22">
        <v>46059.4660416667</v>
      </c>
      <c r="G3690" s="22">
        <v>46062.6889814815</v>
      </c>
      <c r="H3690" s="23">
        <v>318</v>
      </c>
      <c r="I3690" s="23">
        <v>157.5555533333</v>
      </c>
      <c r="J3690" s="24">
        <v>315.12</v>
      </c>
      <c r="K3690" s="21">
        <v>0</v>
      </c>
      <c r="L3690" s="21">
        <v>0</v>
      </c>
      <c r="M3690" s="21">
        <f>COUNTIF($A$2:$A$5481,A3690)</f>
        <v>1</v>
      </c>
      <c r="N3690" s="24">
        <f t="shared" si="57"/>
        <v>315.120369</v>
      </c>
    </row>
    <row r="3691" spans="1:14">
      <c r="A3691" s="21" t="s">
        <v>3578</v>
      </c>
      <c r="B3691" s="21" t="s">
        <v>26</v>
      </c>
      <c r="C3691" s="21" t="s">
        <v>26</v>
      </c>
      <c r="D3691" s="21" t="s">
        <v>921</v>
      </c>
      <c r="E3691" s="21">
        <v>3</v>
      </c>
      <c r="F3691" s="22">
        <v>46161.6149421296</v>
      </c>
      <c r="G3691" s="22">
        <v>46000.4279050926</v>
      </c>
      <c r="H3691" s="23">
        <v>244</v>
      </c>
      <c r="I3691" s="23">
        <v>113.6666666667</v>
      </c>
      <c r="J3691" s="24">
        <v>341.01</v>
      </c>
      <c r="K3691" s="21">
        <v>0</v>
      </c>
      <c r="L3691" s="21">
        <v>0</v>
      </c>
      <c r="M3691" s="21">
        <f>COUNTIF($A$2:$A$5481,A3691)</f>
        <v>1</v>
      </c>
      <c r="N3691" s="24">
        <f t="shared" si="57"/>
        <v>341.0103691</v>
      </c>
    </row>
    <row r="3692" spans="1:14">
      <c r="A3692" s="21" t="s">
        <v>229</v>
      </c>
      <c r="B3692" s="21" t="s">
        <v>920</v>
      </c>
      <c r="C3692" s="21" t="s">
        <v>26</v>
      </c>
      <c r="D3692" s="21" t="s">
        <v>921</v>
      </c>
      <c r="E3692" s="21">
        <v>2</v>
      </c>
      <c r="F3692" s="22">
        <v>46058.7061226852</v>
      </c>
      <c r="G3692" s="22">
        <v>46062.6889699074</v>
      </c>
      <c r="H3692" s="23">
        <v>167.4</v>
      </c>
      <c r="I3692" s="23">
        <v>55.8</v>
      </c>
      <c r="J3692" s="24">
        <v>111.6</v>
      </c>
      <c r="K3692" s="21">
        <v>0</v>
      </c>
      <c r="L3692" s="21">
        <v>0</v>
      </c>
      <c r="M3692" s="21">
        <f>COUNTIF($A$2:$A$5481,A3692)</f>
        <v>1</v>
      </c>
      <c r="N3692" s="24">
        <f t="shared" si="57"/>
        <v>111.6003692</v>
      </c>
    </row>
    <row r="3693" spans="1:14">
      <c r="A3693" s="21" t="s">
        <v>3579</v>
      </c>
      <c r="B3693" s="21" t="s">
        <v>920</v>
      </c>
      <c r="C3693" s="21" t="s">
        <v>26</v>
      </c>
      <c r="D3693" s="21" t="s">
        <v>931</v>
      </c>
      <c r="E3693" s="21">
        <v>0</v>
      </c>
      <c r="F3693" s="22">
        <v>45855.3623726852</v>
      </c>
      <c r="G3693" s="22">
        <v>45855.4742013889</v>
      </c>
      <c r="H3693" s="23">
        <v>28</v>
      </c>
      <c r="I3693" s="23">
        <v>28</v>
      </c>
      <c r="J3693" s="24">
        <v>0</v>
      </c>
      <c r="K3693" s="21">
        <v>0</v>
      </c>
      <c r="L3693" s="21">
        <v>0</v>
      </c>
      <c r="M3693" s="21">
        <f>COUNTIF($A$2:$A$5481,A3693)</f>
        <v>1</v>
      </c>
      <c r="N3693" s="24">
        <f t="shared" si="57"/>
        <v>0.0003693</v>
      </c>
    </row>
    <row r="3694" spans="1:14">
      <c r="A3694" s="21" t="s">
        <v>3580</v>
      </c>
      <c r="B3694" s="21" t="s">
        <v>920</v>
      </c>
      <c r="C3694" s="21" t="s">
        <v>35</v>
      </c>
      <c r="D3694" s="21" t="s">
        <v>921</v>
      </c>
      <c r="E3694" s="21">
        <v>0</v>
      </c>
      <c r="F3694" s="22">
        <v>45491.7395486111</v>
      </c>
      <c r="G3694" s="22">
        <v>45937.843599537</v>
      </c>
      <c r="H3694" s="23">
        <v>104</v>
      </c>
      <c r="I3694" s="23">
        <v>26</v>
      </c>
      <c r="J3694" s="24">
        <v>0</v>
      </c>
      <c r="K3694" s="21">
        <v>0</v>
      </c>
      <c r="L3694" s="21">
        <v>0</v>
      </c>
      <c r="M3694" s="21">
        <f>COUNTIF($A$2:$A$5481,A3694)</f>
        <v>2</v>
      </c>
      <c r="N3694" s="24">
        <f t="shared" si="57"/>
        <v>0.0003694</v>
      </c>
    </row>
    <row r="3695" spans="1:14">
      <c r="A3695" s="21" t="s">
        <v>3580</v>
      </c>
      <c r="B3695" s="21" t="s">
        <v>920</v>
      </c>
      <c r="C3695" s="21" t="s">
        <v>26</v>
      </c>
      <c r="D3695" s="21" t="s">
        <v>921</v>
      </c>
      <c r="E3695" s="21">
        <v>1</v>
      </c>
      <c r="F3695" s="22">
        <v>45938.5486574074</v>
      </c>
      <c r="G3695" s="22">
        <v>45996.3933101852</v>
      </c>
      <c r="H3695" s="23">
        <v>20.04</v>
      </c>
      <c r="I3695" s="23">
        <v>10.02</v>
      </c>
      <c r="J3695" s="24">
        <v>10.02</v>
      </c>
      <c r="K3695" s="21">
        <v>0</v>
      </c>
      <c r="L3695" s="21">
        <v>0</v>
      </c>
      <c r="M3695" s="21">
        <f>COUNTIF($A$2:$A$5481,A3695)</f>
        <v>2</v>
      </c>
      <c r="N3695" s="24">
        <f t="shared" si="57"/>
        <v>10.0203695</v>
      </c>
    </row>
    <row r="3696" spans="1:14">
      <c r="A3696" s="21" t="s">
        <v>794</v>
      </c>
      <c r="B3696" s="21" t="s">
        <v>920</v>
      </c>
      <c r="C3696" s="21" t="s">
        <v>35</v>
      </c>
      <c r="D3696" s="21" t="s">
        <v>921</v>
      </c>
      <c r="E3696" s="21">
        <v>0</v>
      </c>
      <c r="F3696" s="22">
        <v>45324.3781481482</v>
      </c>
      <c r="G3696" s="22">
        <v>45425.8523726852</v>
      </c>
      <c r="H3696" s="23">
        <v>52</v>
      </c>
      <c r="I3696" s="23">
        <v>26</v>
      </c>
      <c r="J3696" s="24">
        <v>0</v>
      </c>
      <c r="K3696" s="21">
        <v>0</v>
      </c>
      <c r="L3696" s="21">
        <v>0</v>
      </c>
      <c r="M3696" s="21">
        <f>COUNTIF($A$2:$A$5481,A3696)</f>
        <v>2</v>
      </c>
      <c r="N3696" s="24">
        <f t="shared" si="57"/>
        <v>0.0003696</v>
      </c>
    </row>
    <row r="3697" spans="1:14">
      <c r="A3697" s="21" t="s">
        <v>794</v>
      </c>
      <c r="B3697" s="21" t="s">
        <v>920</v>
      </c>
      <c r="C3697" s="21" t="s">
        <v>26</v>
      </c>
      <c r="D3697" s="21" t="s">
        <v>921</v>
      </c>
      <c r="E3697" s="21">
        <v>2</v>
      </c>
      <c r="F3697" s="22">
        <v>45910.5726967593</v>
      </c>
      <c r="G3697" s="22">
        <v>46254.5979861111</v>
      </c>
      <c r="H3697" s="23">
        <v>104</v>
      </c>
      <c r="I3697" s="23">
        <v>26</v>
      </c>
      <c r="J3697" s="24">
        <v>52</v>
      </c>
      <c r="K3697" s="21">
        <v>0</v>
      </c>
      <c r="L3697" s="21">
        <v>0</v>
      </c>
      <c r="M3697" s="21">
        <f>COUNTIF($A$2:$A$5481,A3697)</f>
        <v>2</v>
      </c>
      <c r="N3697" s="24">
        <f t="shared" si="57"/>
        <v>52.0003697</v>
      </c>
    </row>
    <row r="3698" spans="1:14">
      <c r="A3698" s="21" t="s">
        <v>3581</v>
      </c>
      <c r="B3698" s="21" t="s">
        <v>920</v>
      </c>
      <c r="C3698" s="21" t="s">
        <v>26</v>
      </c>
      <c r="D3698" s="21" t="s">
        <v>921</v>
      </c>
      <c r="E3698" s="21">
        <v>2</v>
      </c>
      <c r="F3698" s="22">
        <v>45741.6715162037</v>
      </c>
      <c r="G3698" s="22">
        <v>45741.6745717593</v>
      </c>
      <c r="H3698" s="23">
        <v>135</v>
      </c>
      <c r="I3698" s="23">
        <v>45</v>
      </c>
      <c r="J3698" s="24">
        <v>90</v>
      </c>
      <c r="K3698" s="21">
        <v>0</v>
      </c>
      <c r="L3698" s="21">
        <v>0</v>
      </c>
      <c r="M3698" s="21">
        <f>COUNTIF($A$2:$A$5481,A3698)</f>
        <v>1</v>
      </c>
      <c r="N3698" s="24">
        <f t="shared" si="57"/>
        <v>90.0003698</v>
      </c>
    </row>
    <row r="3699" spans="1:14">
      <c r="A3699" s="21" t="s">
        <v>3582</v>
      </c>
      <c r="B3699" s="21" t="s">
        <v>26</v>
      </c>
      <c r="C3699" s="21" t="s">
        <v>26</v>
      </c>
      <c r="D3699" s="21" t="s">
        <v>921</v>
      </c>
      <c r="E3699" s="21">
        <v>7</v>
      </c>
      <c r="F3699" s="22">
        <v>46252.5486805556</v>
      </c>
      <c r="G3699" s="22"/>
      <c r="H3699" s="23">
        <v>40</v>
      </c>
      <c r="I3699" s="23">
        <v>13.1428571429</v>
      </c>
      <c r="J3699" s="24">
        <v>91.98</v>
      </c>
      <c r="K3699" s="21">
        <v>0</v>
      </c>
      <c r="L3699" s="21">
        <v>0</v>
      </c>
      <c r="M3699" s="21">
        <f>COUNTIF($A$2:$A$5481,A3699)</f>
        <v>1</v>
      </c>
      <c r="N3699" s="24">
        <f t="shared" si="57"/>
        <v>91.9803699</v>
      </c>
    </row>
    <row r="3700" spans="1:14">
      <c r="A3700" s="21" t="s">
        <v>3583</v>
      </c>
      <c r="B3700" s="21" t="s">
        <v>26</v>
      </c>
      <c r="C3700" s="21" t="s">
        <v>26</v>
      </c>
      <c r="D3700" s="21" t="s">
        <v>921</v>
      </c>
      <c r="E3700" s="21">
        <v>1</v>
      </c>
      <c r="F3700" s="22">
        <v>45565.3682986111</v>
      </c>
      <c r="G3700" s="22">
        <v>46007.4285300926</v>
      </c>
      <c r="H3700" s="23">
        <v>52</v>
      </c>
      <c r="I3700" s="23">
        <v>26</v>
      </c>
      <c r="J3700" s="24">
        <v>26</v>
      </c>
      <c r="K3700" s="21">
        <v>0</v>
      </c>
      <c r="L3700" s="21">
        <v>0</v>
      </c>
      <c r="M3700" s="21">
        <f>COUNTIF($A$2:$A$5481,A3700)</f>
        <v>1</v>
      </c>
      <c r="N3700" s="24">
        <f t="shared" si="57"/>
        <v>26.00037</v>
      </c>
    </row>
    <row r="3701" spans="1:14">
      <c r="A3701" s="21" t="s">
        <v>163</v>
      </c>
      <c r="B3701" s="21" t="s">
        <v>920</v>
      </c>
      <c r="C3701" s="21" t="s">
        <v>35</v>
      </c>
      <c r="D3701" s="21" t="s">
        <v>921</v>
      </c>
      <c r="E3701" s="21">
        <v>0</v>
      </c>
      <c r="F3701" s="22">
        <v>45574.6566550926</v>
      </c>
      <c r="G3701" s="22">
        <v>45700.8497916667</v>
      </c>
      <c r="H3701" s="23">
        <v>52</v>
      </c>
      <c r="I3701" s="23">
        <v>26</v>
      </c>
      <c r="J3701" s="24">
        <v>0</v>
      </c>
      <c r="K3701" s="21">
        <v>1</v>
      </c>
      <c r="L3701" s="21">
        <v>2</v>
      </c>
      <c r="M3701" s="21">
        <f>COUNTIF($A$2:$A$5481,A3701)</f>
        <v>2</v>
      </c>
      <c r="N3701" s="24">
        <f t="shared" si="57"/>
        <v>0.0003701</v>
      </c>
    </row>
    <row r="3702" spans="1:14">
      <c r="A3702" s="21" t="s">
        <v>163</v>
      </c>
      <c r="B3702" s="21" t="s">
        <v>920</v>
      </c>
      <c r="C3702" s="21" t="s">
        <v>26</v>
      </c>
      <c r="D3702" s="21" t="s">
        <v>921</v>
      </c>
      <c r="E3702" s="21">
        <v>2</v>
      </c>
      <c r="F3702" s="22">
        <v>46029.5877430556</v>
      </c>
      <c r="G3702" s="22">
        <v>46212.7044675926</v>
      </c>
      <c r="H3702" s="23">
        <v>104</v>
      </c>
      <c r="I3702" s="23">
        <v>26</v>
      </c>
      <c r="J3702" s="24">
        <v>52</v>
      </c>
      <c r="K3702" s="21">
        <v>1</v>
      </c>
      <c r="L3702" s="21">
        <v>2</v>
      </c>
      <c r="M3702" s="21">
        <f>COUNTIF($A$2:$A$5481,A3702)</f>
        <v>2</v>
      </c>
      <c r="N3702" s="24">
        <f t="shared" si="57"/>
        <v>52.0003702</v>
      </c>
    </row>
    <row r="3703" spans="1:14">
      <c r="A3703" s="21" t="s">
        <v>3584</v>
      </c>
      <c r="B3703" s="21" t="s">
        <v>920</v>
      </c>
      <c r="C3703" s="21" t="s">
        <v>35</v>
      </c>
      <c r="D3703" s="21" t="s">
        <v>921</v>
      </c>
      <c r="E3703" s="21">
        <v>2</v>
      </c>
      <c r="F3703" s="22">
        <v>45324.3781481482</v>
      </c>
      <c r="G3703" s="22">
        <v>45313.4718518519</v>
      </c>
      <c r="H3703" s="23">
        <v>48</v>
      </c>
      <c r="I3703" s="23">
        <v>24</v>
      </c>
      <c r="J3703" s="24">
        <v>48</v>
      </c>
      <c r="K3703" s="21">
        <v>0</v>
      </c>
      <c r="L3703" s="21">
        <v>0</v>
      </c>
      <c r="M3703" s="21">
        <f>COUNTIF($A$2:$A$5481,A3703)</f>
        <v>2</v>
      </c>
      <c r="N3703" s="24">
        <f t="shared" si="57"/>
        <v>48.0003703</v>
      </c>
    </row>
    <row r="3704" spans="1:14">
      <c r="A3704" s="21" t="s">
        <v>3584</v>
      </c>
      <c r="B3704" s="21" t="s">
        <v>920</v>
      </c>
      <c r="C3704" s="21" t="s">
        <v>26</v>
      </c>
      <c r="D3704" s="21" t="s">
        <v>921</v>
      </c>
      <c r="E3704" s="21">
        <v>2</v>
      </c>
      <c r="F3704" s="22">
        <v>45783.3458333333</v>
      </c>
      <c r="G3704" s="22">
        <v>45868.7368055556</v>
      </c>
      <c r="H3704" s="23">
        <v>16.88</v>
      </c>
      <c r="I3704" s="23">
        <v>13.8112</v>
      </c>
      <c r="J3704" s="24">
        <v>27.62</v>
      </c>
      <c r="K3704" s="21">
        <v>0</v>
      </c>
      <c r="L3704" s="21">
        <v>0</v>
      </c>
      <c r="M3704" s="21">
        <f>COUNTIF($A$2:$A$5481,A3704)</f>
        <v>2</v>
      </c>
      <c r="N3704" s="24">
        <f t="shared" si="57"/>
        <v>27.6203704</v>
      </c>
    </row>
    <row r="3705" spans="1:14">
      <c r="A3705" s="21" t="s">
        <v>843</v>
      </c>
      <c r="B3705" s="21" t="s">
        <v>920</v>
      </c>
      <c r="C3705" s="21" t="s">
        <v>35</v>
      </c>
      <c r="D3705" s="21" t="s">
        <v>921</v>
      </c>
      <c r="E3705" s="21">
        <v>1</v>
      </c>
      <c r="F3705" s="22">
        <v>45324.3781481482</v>
      </c>
      <c r="G3705" s="22">
        <v>45666.4619560185</v>
      </c>
      <c r="H3705" s="23">
        <v>48</v>
      </c>
      <c r="I3705" s="23">
        <v>24</v>
      </c>
      <c r="J3705" s="24">
        <v>24</v>
      </c>
      <c r="K3705" s="21">
        <v>0</v>
      </c>
      <c r="L3705" s="21">
        <v>0</v>
      </c>
      <c r="M3705" s="21">
        <f>COUNTIF($A$2:$A$5481,A3705)</f>
        <v>2</v>
      </c>
      <c r="N3705" s="24">
        <f t="shared" si="57"/>
        <v>24.0003705</v>
      </c>
    </row>
    <row r="3706" spans="1:14">
      <c r="A3706" s="21" t="s">
        <v>843</v>
      </c>
      <c r="B3706" s="21" t="s">
        <v>920</v>
      </c>
      <c r="C3706" s="21" t="s">
        <v>26</v>
      </c>
      <c r="D3706" s="21" t="s">
        <v>921</v>
      </c>
      <c r="E3706" s="21">
        <v>1</v>
      </c>
      <c r="F3706" s="22">
        <v>46279.6529398148</v>
      </c>
      <c r="G3706" s="22">
        <v>46266.723287037</v>
      </c>
      <c r="H3706" s="23">
        <v>24</v>
      </c>
      <c r="I3706" s="23">
        <v>24</v>
      </c>
      <c r="J3706" s="24">
        <v>24</v>
      </c>
      <c r="K3706" s="21">
        <v>0</v>
      </c>
      <c r="L3706" s="21">
        <v>0</v>
      </c>
      <c r="M3706" s="21">
        <f>COUNTIF($A$2:$A$5481,A3706)</f>
        <v>2</v>
      </c>
      <c r="N3706" s="24">
        <f t="shared" si="57"/>
        <v>24.0003706</v>
      </c>
    </row>
    <row r="3707" spans="1:14">
      <c r="A3707" s="21" t="s">
        <v>3585</v>
      </c>
      <c r="B3707" s="21" t="s">
        <v>920</v>
      </c>
      <c r="C3707" s="21" t="s">
        <v>35</v>
      </c>
      <c r="D3707" s="21" t="s">
        <v>921</v>
      </c>
      <c r="E3707" s="21">
        <v>0</v>
      </c>
      <c r="F3707" s="22">
        <v>45267.5935416667</v>
      </c>
      <c r="G3707" s="22">
        <v>45267.5504861111</v>
      </c>
      <c r="H3707" s="23">
        <v>21.95</v>
      </c>
      <c r="I3707" s="23">
        <v>0</v>
      </c>
      <c r="J3707" s="24">
        <v>0</v>
      </c>
      <c r="K3707" s="21">
        <v>0</v>
      </c>
      <c r="L3707" s="21">
        <v>0</v>
      </c>
      <c r="M3707" s="21">
        <f>COUNTIF($A$2:$A$5481,A3707)</f>
        <v>1</v>
      </c>
      <c r="N3707" s="24">
        <f t="shared" si="57"/>
        <v>0.0003707</v>
      </c>
    </row>
    <row r="3708" spans="1:14">
      <c r="A3708" s="21" t="s">
        <v>3586</v>
      </c>
      <c r="B3708" s="21" t="s">
        <v>920</v>
      </c>
      <c r="C3708" s="21" t="s">
        <v>35</v>
      </c>
      <c r="D3708" s="21" t="s">
        <v>921</v>
      </c>
      <c r="E3708" s="21">
        <v>2</v>
      </c>
      <c r="F3708" s="22">
        <v>45274.5636805556</v>
      </c>
      <c r="G3708" s="22"/>
      <c r="H3708" s="23">
        <v>244</v>
      </c>
      <c r="I3708" s="23">
        <v>122</v>
      </c>
      <c r="J3708" s="24">
        <v>244</v>
      </c>
      <c r="K3708" s="21">
        <v>0</v>
      </c>
      <c r="L3708" s="21">
        <v>0</v>
      </c>
      <c r="M3708" s="21">
        <f>COUNTIF($A$2:$A$5481,A3708)</f>
        <v>1</v>
      </c>
      <c r="N3708" s="24">
        <f t="shared" si="57"/>
        <v>244.0003708</v>
      </c>
    </row>
    <row r="3709" spans="1:14">
      <c r="A3709" s="21" t="s">
        <v>223</v>
      </c>
      <c r="B3709" s="21" t="s">
        <v>920</v>
      </c>
      <c r="C3709" s="21" t="s">
        <v>26</v>
      </c>
      <c r="D3709" s="21" t="s">
        <v>921</v>
      </c>
      <c r="E3709" s="21">
        <v>1</v>
      </c>
      <c r="F3709" s="22">
        <v>46135.6804861111</v>
      </c>
      <c r="G3709" s="22">
        <v>46212.7097337963</v>
      </c>
      <c r="H3709" s="23">
        <v>109</v>
      </c>
      <c r="I3709" s="23">
        <v>103.5</v>
      </c>
      <c r="J3709" s="24">
        <v>103.5</v>
      </c>
      <c r="K3709" s="21">
        <v>0</v>
      </c>
      <c r="L3709" s="21">
        <v>0</v>
      </c>
      <c r="M3709" s="21">
        <f>COUNTIF($A$2:$A$5481,A3709)</f>
        <v>1</v>
      </c>
      <c r="N3709" s="24">
        <f t="shared" si="57"/>
        <v>103.5003709</v>
      </c>
    </row>
    <row r="3710" spans="1:14">
      <c r="A3710" s="21" t="s">
        <v>3587</v>
      </c>
      <c r="B3710" s="21" t="s">
        <v>920</v>
      </c>
      <c r="C3710" s="21" t="s">
        <v>26</v>
      </c>
      <c r="D3710" s="21" t="s">
        <v>931</v>
      </c>
      <c r="E3710" s="21">
        <v>1</v>
      </c>
      <c r="F3710" s="22">
        <v>45856.6817361111</v>
      </c>
      <c r="G3710" s="22"/>
      <c r="H3710" s="23">
        <v>99</v>
      </c>
      <c r="I3710" s="23">
        <v>99</v>
      </c>
      <c r="J3710" s="24">
        <v>99</v>
      </c>
      <c r="K3710" s="21">
        <v>0</v>
      </c>
      <c r="L3710" s="21">
        <v>0</v>
      </c>
      <c r="M3710" s="21">
        <f>COUNTIF($A$2:$A$5481,A3710)</f>
        <v>1</v>
      </c>
      <c r="N3710" s="24">
        <f t="shared" si="57"/>
        <v>99.000371</v>
      </c>
    </row>
    <row r="3711" spans="1:14">
      <c r="A3711" s="21" t="s">
        <v>3588</v>
      </c>
      <c r="B3711" s="21" t="s">
        <v>920</v>
      </c>
      <c r="C3711" s="21" t="s">
        <v>35</v>
      </c>
      <c r="D3711" s="21" t="s">
        <v>921</v>
      </c>
      <c r="E3711" s="21">
        <v>2</v>
      </c>
      <c r="F3711" s="22">
        <v>45649.828287037</v>
      </c>
      <c r="G3711" s="22">
        <v>45939.4644444444</v>
      </c>
      <c r="H3711" s="23">
        <v>68</v>
      </c>
      <c r="I3711" s="23">
        <v>68</v>
      </c>
      <c r="J3711" s="24">
        <v>136</v>
      </c>
      <c r="K3711" s="21">
        <v>0</v>
      </c>
      <c r="L3711" s="21">
        <v>0</v>
      </c>
      <c r="M3711" s="21">
        <f>COUNTIF($A$2:$A$5481,A3711)</f>
        <v>1</v>
      </c>
      <c r="N3711" s="24">
        <f t="shared" si="57"/>
        <v>136.0003711</v>
      </c>
    </row>
    <row r="3712" spans="1:14">
      <c r="A3712" s="21" t="s">
        <v>384</v>
      </c>
      <c r="B3712" s="21" t="s">
        <v>920</v>
      </c>
      <c r="C3712" s="21" t="s">
        <v>26</v>
      </c>
      <c r="D3712" s="21" t="s">
        <v>921</v>
      </c>
      <c r="E3712" s="21">
        <v>0</v>
      </c>
      <c r="F3712" s="22">
        <v>45649.8221296296</v>
      </c>
      <c r="G3712" s="22">
        <v>46162.611412037</v>
      </c>
      <c r="H3712" s="23">
        <v>144</v>
      </c>
      <c r="I3712" s="23">
        <v>72</v>
      </c>
      <c r="J3712" s="24">
        <v>0</v>
      </c>
      <c r="K3712" s="21">
        <v>0</v>
      </c>
      <c r="L3712" s="21">
        <v>0</v>
      </c>
      <c r="M3712" s="21">
        <f>COUNTIF($A$2:$A$5481,A3712)</f>
        <v>1</v>
      </c>
      <c r="N3712" s="24">
        <f t="shared" si="57"/>
        <v>0.0003712</v>
      </c>
    </row>
    <row r="3713" spans="1:14">
      <c r="A3713" s="21" t="s">
        <v>3589</v>
      </c>
      <c r="B3713" s="21" t="s">
        <v>920</v>
      </c>
      <c r="C3713" s="21" t="s">
        <v>26</v>
      </c>
      <c r="D3713" s="21" t="s">
        <v>921</v>
      </c>
      <c r="E3713" s="21">
        <v>2</v>
      </c>
      <c r="F3713" s="22">
        <v>45939.5474537037</v>
      </c>
      <c r="G3713" s="22">
        <v>45895.3775231482</v>
      </c>
      <c r="H3713" s="23">
        <v>150</v>
      </c>
      <c r="I3713" s="23">
        <v>75</v>
      </c>
      <c r="J3713" s="24">
        <v>150</v>
      </c>
      <c r="K3713" s="21">
        <v>0</v>
      </c>
      <c r="L3713" s="21">
        <v>0</v>
      </c>
      <c r="M3713" s="21">
        <f>COUNTIF($A$2:$A$5481,A3713)</f>
        <v>1</v>
      </c>
      <c r="N3713" s="24">
        <f t="shared" si="57"/>
        <v>150.0003713</v>
      </c>
    </row>
    <row r="3714" spans="1:14">
      <c r="A3714" s="21" t="s">
        <v>3590</v>
      </c>
      <c r="B3714" s="21" t="s">
        <v>26</v>
      </c>
      <c r="C3714" s="21" t="s">
        <v>35</v>
      </c>
      <c r="D3714" s="21" t="s">
        <v>921</v>
      </c>
      <c r="E3714" s="21">
        <v>3</v>
      </c>
      <c r="F3714" s="22">
        <v>45504.3738310185</v>
      </c>
      <c r="G3714" s="22"/>
      <c r="H3714" s="23">
        <v>120.96</v>
      </c>
      <c r="I3714" s="23">
        <v>40.32</v>
      </c>
      <c r="J3714" s="24">
        <v>120.96</v>
      </c>
      <c r="K3714" s="21">
        <v>0</v>
      </c>
      <c r="L3714" s="21">
        <v>0</v>
      </c>
      <c r="M3714" s="21">
        <f>COUNTIF($A$2:$A$5481,A3714)</f>
        <v>1</v>
      </c>
      <c r="N3714" s="24">
        <f t="shared" ref="N3714:N3777" si="58">J3714+ROW()/10000000</f>
        <v>120.9603714</v>
      </c>
    </row>
    <row r="3715" spans="1:14">
      <c r="A3715" s="21" t="s">
        <v>3591</v>
      </c>
      <c r="B3715" s="21" t="s">
        <v>920</v>
      </c>
      <c r="C3715" s="21" t="s">
        <v>26</v>
      </c>
      <c r="D3715" s="21" t="s">
        <v>921</v>
      </c>
      <c r="E3715" s="21">
        <v>1</v>
      </c>
      <c r="F3715" s="22">
        <v>46003.4075115741</v>
      </c>
      <c r="G3715" s="22"/>
      <c r="H3715" s="23">
        <v>57</v>
      </c>
      <c r="I3715" s="23">
        <v>57</v>
      </c>
      <c r="J3715" s="24">
        <v>57</v>
      </c>
      <c r="K3715" s="21">
        <v>0</v>
      </c>
      <c r="L3715" s="21">
        <v>0</v>
      </c>
      <c r="M3715" s="21">
        <f>COUNTIF($A$2:$A$5481,A3715)</f>
        <v>1</v>
      </c>
      <c r="N3715" s="24">
        <f t="shared" si="58"/>
        <v>57.0003715</v>
      </c>
    </row>
    <row r="3716" spans="1:14">
      <c r="A3716" s="21" t="s">
        <v>296</v>
      </c>
      <c r="B3716" s="21" t="s">
        <v>920</v>
      </c>
      <c r="C3716" s="21" t="s">
        <v>26</v>
      </c>
      <c r="D3716" s="21" t="s">
        <v>921</v>
      </c>
      <c r="E3716" s="21">
        <v>2</v>
      </c>
      <c r="F3716" s="22">
        <v>46085.6987384259</v>
      </c>
      <c r="G3716" s="22">
        <v>46090.4662152778</v>
      </c>
      <c r="H3716" s="23">
        <v>180</v>
      </c>
      <c r="I3716" s="23">
        <v>92.5</v>
      </c>
      <c r="J3716" s="24">
        <v>185</v>
      </c>
      <c r="K3716" s="21">
        <v>0</v>
      </c>
      <c r="L3716" s="21">
        <v>0</v>
      </c>
      <c r="M3716" s="21">
        <f>COUNTIF($A$2:$A$5481,A3716)</f>
        <v>1</v>
      </c>
      <c r="N3716" s="24">
        <f t="shared" si="58"/>
        <v>185.0003716</v>
      </c>
    </row>
    <row r="3717" spans="1:14">
      <c r="A3717" s="21" t="s">
        <v>3592</v>
      </c>
      <c r="B3717" s="21" t="s">
        <v>920</v>
      </c>
      <c r="C3717" s="21" t="s">
        <v>26</v>
      </c>
      <c r="D3717" s="21" t="s">
        <v>921</v>
      </c>
      <c r="E3717" s="21">
        <v>0</v>
      </c>
      <c r="F3717" s="22">
        <v>45608.3557291667</v>
      </c>
      <c r="G3717" s="22">
        <v>45609.4383796296</v>
      </c>
      <c r="H3717" s="23">
        <v>90</v>
      </c>
      <c r="I3717" s="23">
        <v>0</v>
      </c>
      <c r="J3717" s="24">
        <v>0</v>
      </c>
      <c r="K3717" s="21">
        <v>0</v>
      </c>
      <c r="L3717" s="21">
        <v>0</v>
      </c>
      <c r="M3717" s="21">
        <f>COUNTIF($A$2:$A$5481,A3717)</f>
        <v>1</v>
      </c>
      <c r="N3717" s="24">
        <f t="shared" si="58"/>
        <v>0.0003717</v>
      </c>
    </row>
    <row r="3718" spans="1:14">
      <c r="A3718" s="21" t="s">
        <v>3593</v>
      </c>
      <c r="B3718" s="21" t="s">
        <v>920</v>
      </c>
      <c r="C3718" s="21" t="s">
        <v>26</v>
      </c>
      <c r="D3718" s="21" t="s">
        <v>931</v>
      </c>
      <c r="E3718" s="21">
        <v>1</v>
      </c>
      <c r="F3718" s="22">
        <v>45610.3464583333</v>
      </c>
      <c r="G3718" s="22"/>
      <c r="H3718" s="23">
        <v>120</v>
      </c>
      <c r="I3718" s="23">
        <v>120</v>
      </c>
      <c r="J3718" s="24">
        <v>120</v>
      </c>
      <c r="K3718" s="21">
        <v>0</v>
      </c>
      <c r="L3718" s="21">
        <v>0</v>
      </c>
      <c r="M3718" s="21">
        <f>COUNTIF($A$2:$A$5481,A3718)</f>
        <v>1</v>
      </c>
      <c r="N3718" s="24">
        <f t="shared" si="58"/>
        <v>120.0003718</v>
      </c>
    </row>
    <row r="3719" spans="1:14">
      <c r="A3719" s="21" t="s">
        <v>3594</v>
      </c>
      <c r="B3719" s="21" t="s">
        <v>920</v>
      </c>
      <c r="C3719" s="21" t="s">
        <v>26</v>
      </c>
      <c r="D3719" s="21" t="s">
        <v>921</v>
      </c>
      <c r="E3719" s="21">
        <v>0</v>
      </c>
      <c r="F3719" s="22">
        <v>45698.5843171296</v>
      </c>
      <c r="G3719" s="22">
        <v>45698.6569444445</v>
      </c>
      <c r="H3719" s="23">
        <v>48</v>
      </c>
      <c r="I3719" s="23">
        <v>48</v>
      </c>
      <c r="J3719" s="24">
        <v>0</v>
      </c>
      <c r="K3719" s="21">
        <v>0</v>
      </c>
      <c r="L3719" s="21">
        <v>0</v>
      </c>
      <c r="M3719" s="21">
        <f>COUNTIF($A$2:$A$5481,A3719)</f>
        <v>1</v>
      </c>
      <c r="N3719" s="24">
        <f t="shared" si="58"/>
        <v>0.0003719</v>
      </c>
    </row>
    <row r="3720" spans="1:14">
      <c r="A3720" s="21" t="s">
        <v>3595</v>
      </c>
      <c r="B3720" s="21" t="s">
        <v>920</v>
      </c>
      <c r="C3720" s="21" t="s">
        <v>35</v>
      </c>
      <c r="D3720" s="21" t="s">
        <v>921</v>
      </c>
      <c r="E3720" s="21">
        <v>2</v>
      </c>
      <c r="F3720" s="22">
        <v>45274.5620949074</v>
      </c>
      <c r="G3720" s="22"/>
      <c r="H3720" s="23">
        <v>84</v>
      </c>
      <c r="I3720" s="23">
        <v>42</v>
      </c>
      <c r="J3720" s="24">
        <v>84</v>
      </c>
      <c r="K3720" s="21">
        <v>0</v>
      </c>
      <c r="L3720" s="21">
        <v>0</v>
      </c>
      <c r="M3720" s="21">
        <f>COUNTIF($A$2:$A$5481,A3720)</f>
        <v>1</v>
      </c>
      <c r="N3720" s="24">
        <f t="shared" si="58"/>
        <v>84.000372</v>
      </c>
    </row>
    <row r="3721" spans="1:14">
      <c r="A3721" s="21" t="s">
        <v>3596</v>
      </c>
      <c r="B3721" s="21" t="s">
        <v>920</v>
      </c>
      <c r="C3721" s="21" t="s">
        <v>26</v>
      </c>
      <c r="D3721" s="21" t="s">
        <v>921</v>
      </c>
      <c r="E3721" s="21">
        <v>1</v>
      </c>
      <c r="F3721" s="22">
        <v>45407.7394444444</v>
      </c>
      <c r="G3721" s="22"/>
      <c r="H3721" s="23">
        <v>25</v>
      </c>
      <c r="I3721" s="23">
        <v>25</v>
      </c>
      <c r="J3721" s="24">
        <v>25</v>
      </c>
      <c r="K3721" s="21">
        <v>0</v>
      </c>
      <c r="L3721" s="21">
        <v>0</v>
      </c>
      <c r="M3721" s="21">
        <f>COUNTIF($A$2:$A$5481,A3721)</f>
        <v>1</v>
      </c>
      <c r="N3721" s="24">
        <f t="shared" si="58"/>
        <v>25.0003721</v>
      </c>
    </row>
    <row r="3722" spans="1:14">
      <c r="A3722" s="21" t="s">
        <v>3597</v>
      </c>
      <c r="B3722" s="21" t="s">
        <v>920</v>
      </c>
      <c r="C3722" s="21" t="s">
        <v>26</v>
      </c>
      <c r="D3722" s="21" t="s">
        <v>921</v>
      </c>
      <c r="E3722" s="21">
        <v>1</v>
      </c>
      <c r="F3722" s="22">
        <v>46003.4075115741</v>
      </c>
      <c r="G3722" s="22"/>
      <c r="H3722" s="23">
        <v>67</v>
      </c>
      <c r="I3722" s="23">
        <v>67</v>
      </c>
      <c r="J3722" s="24">
        <v>67</v>
      </c>
      <c r="K3722" s="21">
        <v>0</v>
      </c>
      <c r="L3722" s="21">
        <v>0</v>
      </c>
      <c r="M3722" s="21">
        <f>COUNTIF($A$2:$A$5481,A3722)</f>
        <v>1</v>
      </c>
      <c r="N3722" s="24">
        <f t="shared" si="58"/>
        <v>67.0003722</v>
      </c>
    </row>
    <row r="3723" spans="1:14">
      <c r="A3723" s="21" t="s">
        <v>406</v>
      </c>
      <c r="B3723" s="21" t="s">
        <v>920</v>
      </c>
      <c r="C3723" s="21" t="s">
        <v>26</v>
      </c>
      <c r="D3723" s="21" t="s">
        <v>921</v>
      </c>
      <c r="E3723" s="21">
        <v>0</v>
      </c>
      <c r="F3723" s="22">
        <v>46188.7017361111</v>
      </c>
      <c r="G3723" s="22">
        <v>46190.8053587963</v>
      </c>
      <c r="H3723" s="23">
        <v>102</v>
      </c>
      <c r="I3723" s="23">
        <v>102</v>
      </c>
      <c r="J3723" s="24">
        <v>0</v>
      </c>
      <c r="K3723" s="21">
        <v>0</v>
      </c>
      <c r="L3723" s="21">
        <v>0</v>
      </c>
      <c r="M3723" s="21">
        <f>COUNTIF($A$2:$A$5481,A3723)</f>
        <v>1</v>
      </c>
      <c r="N3723" s="24">
        <f t="shared" si="58"/>
        <v>0.0003723</v>
      </c>
    </row>
    <row r="3724" spans="1:14">
      <c r="A3724" s="21" t="s">
        <v>3598</v>
      </c>
      <c r="B3724" s="21" t="s">
        <v>920</v>
      </c>
      <c r="C3724" s="21" t="s">
        <v>26</v>
      </c>
      <c r="D3724" s="21" t="s">
        <v>921</v>
      </c>
      <c r="E3724" s="21">
        <v>1</v>
      </c>
      <c r="F3724" s="22">
        <v>45715.5714699074</v>
      </c>
      <c r="G3724" s="22"/>
      <c r="H3724" s="23">
        <v>607.08</v>
      </c>
      <c r="I3724" s="23">
        <v>607.08</v>
      </c>
      <c r="J3724" s="24">
        <v>607.08</v>
      </c>
      <c r="K3724" s="21">
        <v>0</v>
      </c>
      <c r="L3724" s="21">
        <v>0</v>
      </c>
      <c r="M3724" s="21">
        <f>COUNTIF($A$2:$A$5481,A3724)</f>
        <v>1</v>
      </c>
      <c r="N3724" s="24">
        <f t="shared" si="58"/>
        <v>607.0803724</v>
      </c>
    </row>
    <row r="3725" spans="1:14">
      <c r="A3725" s="21" t="s">
        <v>3599</v>
      </c>
      <c r="B3725" s="21" t="s">
        <v>920</v>
      </c>
      <c r="C3725" s="21" t="s">
        <v>26</v>
      </c>
      <c r="D3725" s="21" t="s">
        <v>921</v>
      </c>
      <c r="E3725" s="21">
        <v>6</v>
      </c>
      <c r="F3725" s="22">
        <v>45677.7538078704</v>
      </c>
      <c r="G3725" s="22">
        <v>45761.4605787037</v>
      </c>
      <c r="H3725" s="23">
        <v>210</v>
      </c>
      <c r="I3725" s="23">
        <v>69.85714</v>
      </c>
      <c r="J3725" s="24">
        <v>419.16</v>
      </c>
      <c r="K3725" s="21">
        <v>0</v>
      </c>
      <c r="L3725" s="21">
        <v>0</v>
      </c>
      <c r="M3725" s="21">
        <f>COUNTIF($A$2:$A$5481,A3725)</f>
        <v>1</v>
      </c>
      <c r="N3725" s="24">
        <f t="shared" si="58"/>
        <v>419.1603725</v>
      </c>
    </row>
    <row r="3726" spans="1:14">
      <c r="A3726" s="21" t="s">
        <v>3600</v>
      </c>
      <c r="B3726" s="21" t="s">
        <v>929</v>
      </c>
      <c r="C3726" s="21" t="s">
        <v>414</v>
      </c>
      <c r="D3726" s="21" t="s">
        <v>1068</v>
      </c>
      <c r="E3726" s="21">
        <v>100</v>
      </c>
      <c r="F3726" s="22">
        <v>45349.8099884259</v>
      </c>
      <c r="G3726" s="22"/>
      <c r="H3726" s="23">
        <v>1033</v>
      </c>
      <c r="I3726" s="23">
        <v>10.33</v>
      </c>
      <c r="J3726" s="24">
        <v>1033</v>
      </c>
      <c r="K3726" s="21">
        <v>0</v>
      </c>
      <c r="L3726" s="21">
        <v>0</v>
      </c>
      <c r="M3726" s="21">
        <f>COUNTIF($A$2:$A$5481,A3726)</f>
        <v>2</v>
      </c>
      <c r="N3726" s="24">
        <f t="shared" si="58"/>
        <v>1033.0003726</v>
      </c>
    </row>
    <row r="3727" spans="1:14">
      <c r="A3727" s="21" t="s">
        <v>3600</v>
      </c>
      <c r="B3727" s="21" t="s">
        <v>929</v>
      </c>
      <c r="C3727" s="21" t="s">
        <v>26</v>
      </c>
      <c r="D3727" s="21" t="s">
        <v>1068</v>
      </c>
      <c r="E3727" s="21">
        <v>501</v>
      </c>
      <c r="F3727" s="22">
        <v>46238.7116087963</v>
      </c>
      <c r="G3727" s="22"/>
      <c r="H3727" s="23">
        <v>331.02</v>
      </c>
      <c r="I3727" s="23">
        <v>10.0978443114</v>
      </c>
      <c r="J3727" s="24">
        <v>5060.1</v>
      </c>
      <c r="K3727" s="21">
        <v>0</v>
      </c>
      <c r="L3727" s="21">
        <v>0</v>
      </c>
      <c r="M3727" s="21">
        <f>COUNTIF($A$2:$A$5481,A3727)</f>
        <v>2</v>
      </c>
      <c r="N3727" s="24">
        <f t="shared" si="58"/>
        <v>5060.1003727</v>
      </c>
    </row>
    <row r="3728" spans="1:14">
      <c r="A3728" s="21" t="s">
        <v>3601</v>
      </c>
      <c r="B3728" s="21" t="s">
        <v>948</v>
      </c>
      <c r="C3728" s="21" t="s">
        <v>26</v>
      </c>
      <c r="D3728" s="21" t="s">
        <v>931</v>
      </c>
      <c r="E3728" s="21">
        <v>1</v>
      </c>
      <c r="F3728" s="22">
        <v>45832.5245833333</v>
      </c>
      <c r="G3728" s="22"/>
      <c r="H3728" s="23">
        <v>13</v>
      </c>
      <c r="I3728" s="23">
        <v>13</v>
      </c>
      <c r="J3728" s="24">
        <v>13</v>
      </c>
      <c r="K3728" s="21">
        <v>0</v>
      </c>
      <c r="L3728" s="21">
        <v>0</v>
      </c>
      <c r="M3728" s="21">
        <f>COUNTIF($A$2:$A$5481,A3728)</f>
        <v>1</v>
      </c>
      <c r="N3728" s="24">
        <f t="shared" si="58"/>
        <v>13.0003728</v>
      </c>
    </row>
    <row r="3729" spans="1:14">
      <c r="A3729" s="21" t="s">
        <v>3602</v>
      </c>
      <c r="B3729" s="21" t="s">
        <v>1510</v>
      </c>
      <c r="C3729" s="21" t="s">
        <v>26</v>
      </c>
      <c r="D3729" s="21" t="s">
        <v>921</v>
      </c>
      <c r="E3729" s="21">
        <v>58</v>
      </c>
      <c r="F3729" s="22">
        <v>46183.8239930556</v>
      </c>
      <c r="G3729" s="22"/>
      <c r="H3729" s="23">
        <v>68.44</v>
      </c>
      <c r="I3729" s="23">
        <v>1.18</v>
      </c>
      <c r="J3729" s="24">
        <v>68.44</v>
      </c>
      <c r="K3729" s="21">
        <v>0</v>
      </c>
      <c r="L3729" s="21">
        <v>0</v>
      </c>
      <c r="M3729" s="21">
        <f>COUNTIF($A$2:$A$5481,A3729)</f>
        <v>1</v>
      </c>
      <c r="N3729" s="24">
        <f t="shared" si="58"/>
        <v>68.4403729</v>
      </c>
    </row>
    <row r="3730" spans="1:14">
      <c r="A3730" s="21" t="s">
        <v>3603</v>
      </c>
      <c r="B3730" s="21" t="s">
        <v>1510</v>
      </c>
      <c r="C3730" s="21" t="s">
        <v>26</v>
      </c>
      <c r="D3730" s="21" t="s">
        <v>921</v>
      </c>
      <c r="E3730" s="21">
        <v>408</v>
      </c>
      <c r="F3730" s="22">
        <v>46183.8239930556</v>
      </c>
      <c r="G3730" s="22"/>
      <c r="H3730" s="23">
        <v>408</v>
      </c>
      <c r="I3730" s="23">
        <v>1</v>
      </c>
      <c r="J3730" s="24">
        <v>408</v>
      </c>
      <c r="K3730" s="21">
        <v>0</v>
      </c>
      <c r="L3730" s="21">
        <v>0</v>
      </c>
      <c r="M3730" s="21">
        <f>COUNTIF($A$2:$A$5481,A3730)</f>
        <v>1</v>
      </c>
      <c r="N3730" s="24">
        <f t="shared" si="58"/>
        <v>408.000373</v>
      </c>
    </row>
    <row r="3731" spans="1:14">
      <c r="A3731" s="21" t="s">
        <v>3604</v>
      </c>
      <c r="B3731" s="21" t="s">
        <v>1115</v>
      </c>
      <c r="C3731" s="21" t="s">
        <v>182</v>
      </c>
      <c r="D3731" s="21" t="s">
        <v>921</v>
      </c>
      <c r="E3731" s="21">
        <v>0</v>
      </c>
      <c r="F3731" s="22">
        <v>45317.8085763889</v>
      </c>
      <c r="G3731" s="22">
        <v>45447.8450115741</v>
      </c>
      <c r="H3731" s="23">
        <v>171.08</v>
      </c>
      <c r="I3731" s="23">
        <v>0.91</v>
      </c>
      <c r="J3731" s="24">
        <v>0</v>
      </c>
      <c r="K3731" s="21">
        <v>0</v>
      </c>
      <c r="L3731" s="21">
        <v>0</v>
      </c>
      <c r="M3731" s="21">
        <f>COUNTIF($A$2:$A$5481,A3731)</f>
        <v>2</v>
      </c>
      <c r="N3731" s="24">
        <f t="shared" si="58"/>
        <v>0.0003731</v>
      </c>
    </row>
    <row r="3732" spans="1:14">
      <c r="A3732" s="21" t="s">
        <v>3604</v>
      </c>
      <c r="B3732" s="21" t="s">
        <v>1115</v>
      </c>
      <c r="C3732" s="21" t="s">
        <v>26</v>
      </c>
      <c r="D3732" s="21" t="s">
        <v>921</v>
      </c>
      <c r="E3732" s="21">
        <v>3862</v>
      </c>
      <c r="F3732" s="22">
        <v>46142.3361111111</v>
      </c>
      <c r="G3732" s="22">
        <v>45575.3850347222</v>
      </c>
      <c r="H3732" s="23">
        <v>486</v>
      </c>
      <c r="I3732" s="23">
        <v>0.9065452667</v>
      </c>
      <c r="J3732" s="24">
        <v>3514.42</v>
      </c>
      <c r="K3732" s="21">
        <v>0</v>
      </c>
      <c r="L3732" s="21">
        <v>0</v>
      </c>
      <c r="M3732" s="21">
        <f>COUNTIF($A$2:$A$5481,A3732)</f>
        <v>2</v>
      </c>
      <c r="N3732" s="24">
        <f t="shared" si="58"/>
        <v>3514.4203732</v>
      </c>
    </row>
    <row r="3733" spans="1:14">
      <c r="A3733" s="21" t="s">
        <v>3605</v>
      </c>
      <c r="B3733" s="21" t="s">
        <v>1115</v>
      </c>
      <c r="C3733" s="21" t="s">
        <v>26</v>
      </c>
      <c r="D3733" s="21" t="s">
        <v>1068</v>
      </c>
      <c r="E3733" s="21">
        <v>773</v>
      </c>
      <c r="F3733" s="22">
        <v>46142.3361111111</v>
      </c>
      <c r="G3733" s="22"/>
      <c r="H3733" s="23">
        <v>317.5</v>
      </c>
      <c r="I3733" s="23">
        <v>1.6395213454</v>
      </c>
      <c r="J3733" s="24">
        <v>1267.72</v>
      </c>
      <c r="K3733" s="21">
        <v>0</v>
      </c>
      <c r="L3733" s="21">
        <v>0</v>
      </c>
      <c r="M3733" s="21">
        <f>COUNTIF($A$2:$A$5481,A3733)</f>
        <v>1</v>
      </c>
      <c r="N3733" s="24">
        <f t="shared" si="58"/>
        <v>1267.7203733</v>
      </c>
    </row>
    <row r="3734" spans="1:14">
      <c r="A3734" s="21" t="s">
        <v>868</v>
      </c>
      <c r="B3734" s="21" t="s">
        <v>1115</v>
      </c>
      <c r="C3734" s="21" t="s">
        <v>182</v>
      </c>
      <c r="D3734" s="21" t="s">
        <v>921</v>
      </c>
      <c r="E3734" s="21">
        <v>0</v>
      </c>
      <c r="F3734" s="22">
        <v>45317.8079282407</v>
      </c>
      <c r="G3734" s="22">
        <v>45344.4796875</v>
      </c>
      <c r="H3734" s="23">
        <v>76.5</v>
      </c>
      <c r="I3734" s="23">
        <v>0.9</v>
      </c>
      <c r="J3734" s="24">
        <v>0</v>
      </c>
      <c r="K3734" s="21">
        <v>0</v>
      </c>
      <c r="L3734" s="21">
        <v>0</v>
      </c>
      <c r="M3734" s="21">
        <f>COUNTIF($A$2:$A$5481,A3734)</f>
        <v>3</v>
      </c>
      <c r="N3734" s="24">
        <f t="shared" si="58"/>
        <v>0.0003734</v>
      </c>
    </row>
    <row r="3735" spans="1:14">
      <c r="A3735" s="21" t="s">
        <v>868</v>
      </c>
      <c r="B3735" s="21" t="s">
        <v>1115</v>
      </c>
      <c r="C3735" s="21" t="s">
        <v>51</v>
      </c>
      <c r="D3735" s="21" t="s">
        <v>921</v>
      </c>
      <c r="E3735" s="21">
        <v>0</v>
      </c>
      <c r="F3735" s="22">
        <v>45378.8414467593</v>
      </c>
      <c r="G3735" s="22">
        <v>45454.8199305556</v>
      </c>
      <c r="H3735" s="23">
        <v>990</v>
      </c>
      <c r="I3735" s="23">
        <v>0.9</v>
      </c>
      <c r="J3735" s="24">
        <v>0</v>
      </c>
      <c r="K3735" s="21">
        <v>0</v>
      </c>
      <c r="L3735" s="21">
        <v>0</v>
      </c>
      <c r="M3735" s="21">
        <f>COUNTIF($A$2:$A$5481,A3735)</f>
        <v>3</v>
      </c>
      <c r="N3735" s="24">
        <f t="shared" si="58"/>
        <v>0.0003735</v>
      </c>
    </row>
    <row r="3736" spans="1:14">
      <c r="A3736" s="21" t="s">
        <v>868</v>
      </c>
      <c r="B3736" s="21" t="s">
        <v>1115</v>
      </c>
      <c r="C3736" s="21" t="s">
        <v>26</v>
      </c>
      <c r="D3736" s="21" t="s">
        <v>921</v>
      </c>
      <c r="E3736" s="21">
        <v>0</v>
      </c>
      <c r="F3736" s="22">
        <v>46142.3361111111</v>
      </c>
      <c r="G3736" s="22">
        <v>46269.4508912037</v>
      </c>
      <c r="H3736" s="23">
        <v>82.8</v>
      </c>
      <c r="I3736" s="23">
        <v>1.1069519215</v>
      </c>
      <c r="J3736" s="24">
        <v>0</v>
      </c>
      <c r="K3736" s="21">
        <v>0</v>
      </c>
      <c r="L3736" s="21">
        <v>0</v>
      </c>
      <c r="M3736" s="21">
        <f>COUNTIF($A$2:$A$5481,A3736)</f>
        <v>3</v>
      </c>
      <c r="N3736" s="24">
        <f t="shared" si="58"/>
        <v>0.0003736</v>
      </c>
    </row>
    <row r="3737" spans="1:14">
      <c r="A3737" s="21" t="s">
        <v>3606</v>
      </c>
      <c r="B3737" s="21" t="s">
        <v>1115</v>
      </c>
      <c r="C3737" s="21" t="s">
        <v>26</v>
      </c>
      <c r="D3737" s="21" t="s">
        <v>1068</v>
      </c>
      <c r="E3737" s="21">
        <v>15</v>
      </c>
      <c r="F3737" s="22">
        <v>45412.3690162037</v>
      </c>
      <c r="G3737" s="22">
        <v>45757.4674652778</v>
      </c>
      <c r="H3737" s="23">
        <v>267.75</v>
      </c>
      <c r="I3737" s="23">
        <v>0.49561</v>
      </c>
      <c r="J3737" s="24">
        <v>7.5</v>
      </c>
      <c r="K3737" s="21">
        <v>0</v>
      </c>
      <c r="L3737" s="21">
        <v>0</v>
      </c>
      <c r="M3737" s="21">
        <f>COUNTIF($A$2:$A$5481,A3737)</f>
        <v>1</v>
      </c>
      <c r="N3737" s="24">
        <f t="shared" si="58"/>
        <v>7.5003737</v>
      </c>
    </row>
    <row r="3738" spans="1:14">
      <c r="A3738" s="21" t="s">
        <v>3607</v>
      </c>
      <c r="B3738" s="21" t="s">
        <v>920</v>
      </c>
      <c r="C3738" s="21" t="s">
        <v>26</v>
      </c>
      <c r="D3738" s="21" t="s">
        <v>1068</v>
      </c>
      <c r="E3738" s="21">
        <v>10</v>
      </c>
      <c r="F3738" s="22">
        <v>45425.8694444444</v>
      </c>
      <c r="G3738" s="22"/>
      <c r="H3738" s="23">
        <v>48</v>
      </c>
      <c r="I3738" s="23">
        <v>4.8</v>
      </c>
      <c r="J3738" s="24">
        <v>48</v>
      </c>
      <c r="K3738" s="21">
        <v>0</v>
      </c>
      <c r="L3738" s="21">
        <v>0</v>
      </c>
      <c r="M3738" s="21">
        <f>COUNTIF($A$2:$A$5481,A3738)</f>
        <v>1</v>
      </c>
      <c r="N3738" s="24">
        <f t="shared" si="58"/>
        <v>48.0003738</v>
      </c>
    </row>
    <row r="3739" spans="1:14">
      <c r="A3739" s="21" t="s">
        <v>3608</v>
      </c>
      <c r="B3739" s="21" t="s">
        <v>929</v>
      </c>
      <c r="C3739" s="21" t="s">
        <v>26</v>
      </c>
      <c r="D3739" s="21" t="s">
        <v>921</v>
      </c>
      <c r="E3739" s="21">
        <v>29</v>
      </c>
      <c r="F3739" s="22">
        <v>46077.6234837963</v>
      </c>
      <c r="G3739" s="22"/>
      <c r="H3739" s="23">
        <v>2001</v>
      </c>
      <c r="I3739" s="23">
        <v>69</v>
      </c>
      <c r="J3739" s="24">
        <v>2001</v>
      </c>
      <c r="K3739" s="21">
        <v>0</v>
      </c>
      <c r="L3739" s="21">
        <v>0</v>
      </c>
      <c r="M3739" s="21">
        <f>COUNTIF($A$2:$A$5481,A3739)</f>
        <v>1</v>
      </c>
      <c r="N3739" s="24">
        <f t="shared" si="58"/>
        <v>2001.0003739</v>
      </c>
    </row>
    <row r="3740" spans="1:14">
      <c r="A3740" s="21" t="s">
        <v>3609</v>
      </c>
      <c r="B3740" s="21" t="s">
        <v>929</v>
      </c>
      <c r="C3740" s="21" t="s">
        <v>414</v>
      </c>
      <c r="D3740" s="21" t="s">
        <v>921</v>
      </c>
      <c r="E3740" s="21">
        <v>0</v>
      </c>
      <c r="F3740" s="22">
        <v>45327.583275463</v>
      </c>
      <c r="G3740" s="22">
        <v>45337.4093171296</v>
      </c>
      <c r="H3740" s="23">
        <v>13</v>
      </c>
      <c r="I3740" s="23">
        <v>6.5</v>
      </c>
      <c r="J3740" s="24">
        <v>0</v>
      </c>
      <c r="K3740" s="21">
        <v>0</v>
      </c>
      <c r="L3740" s="21">
        <v>0</v>
      </c>
      <c r="M3740" s="21">
        <f>COUNTIF($A$2:$A$5481,A3740)</f>
        <v>2</v>
      </c>
      <c r="N3740" s="24">
        <f t="shared" si="58"/>
        <v>0.000374</v>
      </c>
    </row>
    <row r="3741" spans="1:14">
      <c r="A3741" s="21" t="s">
        <v>3609</v>
      </c>
      <c r="B3741" s="21" t="s">
        <v>929</v>
      </c>
      <c r="C3741" s="21" t="s">
        <v>26</v>
      </c>
      <c r="D3741" s="21" t="s">
        <v>921</v>
      </c>
      <c r="E3741" s="21">
        <v>2</v>
      </c>
      <c r="F3741" s="22">
        <v>45329.6645833333</v>
      </c>
      <c r="G3741" s="22"/>
      <c r="H3741" s="23">
        <v>9.8</v>
      </c>
      <c r="I3741" s="23">
        <v>4.9</v>
      </c>
      <c r="J3741" s="24">
        <v>9.8</v>
      </c>
      <c r="K3741" s="21">
        <v>0</v>
      </c>
      <c r="L3741" s="21">
        <v>0</v>
      </c>
      <c r="M3741" s="21">
        <f>COUNTIF($A$2:$A$5481,A3741)</f>
        <v>2</v>
      </c>
      <c r="N3741" s="24">
        <f t="shared" si="58"/>
        <v>9.8003741</v>
      </c>
    </row>
    <row r="3742" spans="1:14">
      <c r="A3742" s="21" t="s">
        <v>3610</v>
      </c>
      <c r="B3742" s="21" t="s">
        <v>929</v>
      </c>
      <c r="C3742" s="21" t="s">
        <v>414</v>
      </c>
      <c r="D3742" s="21" t="s">
        <v>921</v>
      </c>
      <c r="E3742" s="21">
        <v>0</v>
      </c>
      <c r="F3742" s="22">
        <v>45336.5958333333</v>
      </c>
      <c r="G3742" s="22">
        <v>45337.4093055556</v>
      </c>
      <c r="H3742" s="23">
        <v>6.49</v>
      </c>
      <c r="I3742" s="23">
        <v>6.49</v>
      </c>
      <c r="J3742" s="24">
        <v>0</v>
      </c>
      <c r="K3742" s="21">
        <v>0</v>
      </c>
      <c r="L3742" s="21">
        <v>0</v>
      </c>
      <c r="M3742" s="21">
        <f>COUNTIF($A$2:$A$5481,A3742)</f>
        <v>1</v>
      </c>
      <c r="N3742" s="24">
        <f t="shared" si="58"/>
        <v>0.0003742</v>
      </c>
    </row>
    <row r="3743" spans="1:14">
      <c r="A3743" s="21" t="s">
        <v>3611</v>
      </c>
      <c r="B3743" s="21" t="s">
        <v>949</v>
      </c>
      <c r="C3743" s="21" t="s">
        <v>26</v>
      </c>
      <c r="D3743" s="21" t="s">
        <v>921</v>
      </c>
      <c r="E3743" s="21">
        <v>4</v>
      </c>
      <c r="F3743" s="22">
        <v>46196.708275463</v>
      </c>
      <c r="G3743" s="22"/>
      <c r="H3743" s="23">
        <v>19.6</v>
      </c>
      <c r="I3743" s="23">
        <v>4.9</v>
      </c>
      <c r="J3743" s="24">
        <v>19.6</v>
      </c>
      <c r="K3743" s="21">
        <v>0</v>
      </c>
      <c r="L3743" s="21">
        <v>0</v>
      </c>
      <c r="M3743" s="21">
        <f>COUNTIF($A$2:$A$5481,A3743)</f>
        <v>1</v>
      </c>
      <c r="N3743" s="24">
        <f t="shared" si="58"/>
        <v>19.6003743</v>
      </c>
    </row>
    <row r="3744" spans="1:14">
      <c r="A3744" s="21" t="s">
        <v>3612</v>
      </c>
      <c r="B3744" s="21" t="s">
        <v>920</v>
      </c>
      <c r="C3744" s="21" t="s">
        <v>26</v>
      </c>
      <c r="D3744" s="21" t="s">
        <v>921</v>
      </c>
      <c r="E3744" s="21">
        <v>2</v>
      </c>
      <c r="F3744" s="22">
        <v>45810.3778009259</v>
      </c>
      <c r="G3744" s="22"/>
      <c r="H3744" s="23">
        <v>45</v>
      </c>
      <c r="I3744" s="23">
        <v>43.45</v>
      </c>
      <c r="J3744" s="24">
        <v>86.9</v>
      </c>
      <c r="K3744" s="21">
        <v>0</v>
      </c>
      <c r="L3744" s="21">
        <v>0</v>
      </c>
      <c r="M3744" s="21">
        <f>COUNTIF($A$2:$A$5481,A3744)</f>
        <v>1</v>
      </c>
      <c r="N3744" s="24">
        <f t="shared" si="58"/>
        <v>86.9003744</v>
      </c>
    </row>
    <row r="3745" spans="1:14">
      <c r="A3745" s="21" t="s">
        <v>271</v>
      </c>
      <c r="B3745" s="21" t="s">
        <v>920</v>
      </c>
      <c r="C3745" s="21" t="s">
        <v>26</v>
      </c>
      <c r="D3745" s="21" t="s">
        <v>921</v>
      </c>
      <c r="E3745" s="21">
        <v>0</v>
      </c>
      <c r="F3745" s="22">
        <v>45944.6072337963</v>
      </c>
      <c r="G3745" s="22">
        <v>45944.6083680556</v>
      </c>
      <c r="H3745" s="23">
        <v>205</v>
      </c>
      <c r="I3745" s="23">
        <v>205</v>
      </c>
      <c r="J3745" s="24">
        <v>0</v>
      </c>
      <c r="K3745" s="21">
        <v>0</v>
      </c>
      <c r="L3745" s="21">
        <v>0</v>
      </c>
      <c r="M3745" s="21">
        <f>COUNTIF($A$2:$A$5481,A3745)</f>
        <v>2</v>
      </c>
      <c r="N3745" s="24">
        <f t="shared" si="58"/>
        <v>0.0003745</v>
      </c>
    </row>
    <row r="3746" spans="1:14">
      <c r="A3746" s="21" t="s">
        <v>271</v>
      </c>
      <c r="B3746" s="21" t="s">
        <v>920</v>
      </c>
      <c r="C3746" s="21" t="s">
        <v>35</v>
      </c>
      <c r="D3746" s="21" t="s">
        <v>921</v>
      </c>
      <c r="E3746" s="21">
        <v>5</v>
      </c>
      <c r="F3746" s="22">
        <v>46161.5979166667</v>
      </c>
      <c r="G3746" s="22">
        <v>46266.6588078704</v>
      </c>
      <c r="H3746" s="23">
        <v>1045</v>
      </c>
      <c r="I3746" s="23">
        <v>209</v>
      </c>
      <c r="J3746" s="24">
        <v>1045</v>
      </c>
      <c r="K3746" s="21">
        <v>0</v>
      </c>
      <c r="L3746" s="21">
        <v>0</v>
      </c>
      <c r="M3746" s="21">
        <f>COUNTIF($A$2:$A$5481,A3746)</f>
        <v>2</v>
      </c>
      <c r="N3746" s="24">
        <f t="shared" si="58"/>
        <v>1045.0003746</v>
      </c>
    </row>
    <row r="3747" spans="1:14">
      <c r="A3747" s="21" t="s">
        <v>3613</v>
      </c>
      <c r="B3747" s="21" t="s">
        <v>920</v>
      </c>
      <c r="C3747" s="21" t="s">
        <v>35</v>
      </c>
      <c r="D3747" s="21" t="s">
        <v>921</v>
      </c>
      <c r="E3747" s="21">
        <v>1</v>
      </c>
      <c r="F3747" s="22">
        <v>45370.8068634259</v>
      </c>
      <c r="G3747" s="22"/>
      <c r="H3747" s="23">
        <v>60</v>
      </c>
      <c r="I3747" s="23">
        <v>60</v>
      </c>
      <c r="J3747" s="24">
        <v>60</v>
      </c>
      <c r="K3747" s="21">
        <v>0</v>
      </c>
      <c r="L3747" s="21">
        <v>0</v>
      </c>
      <c r="M3747" s="21">
        <f>COUNTIF($A$2:$A$5481,A3747)</f>
        <v>1</v>
      </c>
      <c r="N3747" s="24">
        <f t="shared" si="58"/>
        <v>60.0003747</v>
      </c>
    </row>
    <row r="3748" spans="1:14">
      <c r="A3748" s="21" t="s">
        <v>181</v>
      </c>
      <c r="B3748" s="21" t="s">
        <v>926</v>
      </c>
      <c r="C3748" s="21" t="s">
        <v>26</v>
      </c>
      <c r="D3748" s="21" t="s">
        <v>921</v>
      </c>
      <c r="E3748" s="21">
        <v>0</v>
      </c>
      <c r="F3748" s="22">
        <v>45491.3569328704</v>
      </c>
      <c r="G3748" s="22">
        <v>45819.4743865741</v>
      </c>
      <c r="H3748" s="23">
        <v>980</v>
      </c>
      <c r="I3748" s="23">
        <v>98</v>
      </c>
      <c r="J3748" s="24">
        <v>0</v>
      </c>
      <c r="K3748" s="21">
        <v>0</v>
      </c>
      <c r="L3748" s="21">
        <v>0</v>
      </c>
      <c r="M3748" s="21">
        <f>COUNTIF($A$2:$A$5481,A3748)</f>
        <v>3</v>
      </c>
      <c r="N3748" s="24">
        <f t="shared" si="58"/>
        <v>0.0003748</v>
      </c>
    </row>
    <row r="3749" spans="1:14">
      <c r="A3749" s="21" t="s">
        <v>181</v>
      </c>
      <c r="B3749" s="21" t="s">
        <v>926</v>
      </c>
      <c r="C3749" s="21" t="s">
        <v>182</v>
      </c>
      <c r="D3749" s="21" t="s">
        <v>921</v>
      </c>
      <c r="E3749" s="21">
        <v>3107</v>
      </c>
      <c r="F3749" s="22">
        <v>46164.5800231482</v>
      </c>
      <c r="G3749" s="22">
        <v>46268.4260763889</v>
      </c>
      <c r="H3749" s="23">
        <v>2925</v>
      </c>
      <c r="I3749" s="23">
        <v>4.0391852576</v>
      </c>
      <c r="J3749" s="24">
        <v>12552.28</v>
      </c>
      <c r="K3749" s="21">
        <v>0</v>
      </c>
      <c r="L3749" s="21">
        <v>0</v>
      </c>
      <c r="M3749" s="21">
        <f>COUNTIF($A$2:$A$5481,A3749)</f>
        <v>3</v>
      </c>
      <c r="N3749" s="24">
        <f t="shared" si="58"/>
        <v>12552.2803749</v>
      </c>
    </row>
    <row r="3750" spans="1:14">
      <c r="A3750" s="21" t="s">
        <v>181</v>
      </c>
      <c r="B3750" s="21" t="s">
        <v>926</v>
      </c>
      <c r="C3750" s="21" t="s">
        <v>38</v>
      </c>
      <c r="D3750" s="21" t="s">
        <v>921</v>
      </c>
      <c r="E3750" s="21">
        <v>1004</v>
      </c>
      <c r="F3750" s="22">
        <v>46233.5472222222</v>
      </c>
      <c r="G3750" s="22">
        <v>46283.7848726852</v>
      </c>
      <c r="H3750" s="23">
        <v>1725</v>
      </c>
      <c r="I3750" s="23">
        <v>6.7514817052</v>
      </c>
      <c r="J3750" s="24">
        <v>6777</v>
      </c>
      <c r="K3750" s="21">
        <v>0</v>
      </c>
      <c r="L3750" s="21">
        <v>0</v>
      </c>
      <c r="M3750" s="21">
        <f>COUNTIF($A$2:$A$5481,A3750)</f>
        <v>3</v>
      </c>
      <c r="N3750" s="24">
        <f t="shared" si="58"/>
        <v>6777.000375</v>
      </c>
    </row>
    <row r="3751" spans="1:14">
      <c r="A3751" s="21" t="s">
        <v>3614</v>
      </c>
      <c r="B3751" s="21" t="s">
        <v>26</v>
      </c>
      <c r="C3751" s="21" t="s">
        <v>26</v>
      </c>
      <c r="D3751" s="21" t="s">
        <v>921</v>
      </c>
      <c r="E3751" s="21">
        <v>8</v>
      </c>
      <c r="F3751" s="22">
        <v>46114.6600578704</v>
      </c>
      <c r="G3751" s="22">
        <v>45918.4249305556</v>
      </c>
      <c r="H3751" s="23">
        <v>88</v>
      </c>
      <c r="I3751" s="23">
        <v>26.5</v>
      </c>
      <c r="J3751" s="24">
        <v>212</v>
      </c>
      <c r="K3751" s="21">
        <v>0</v>
      </c>
      <c r="L3751" s="21">
        <v>0</v>
      </c>
      <c r="M3751" s="21">
        <f>COUNTIF($A$2:$A$5481,A3751)</f>
        <v>1</v>
      </c>
      <c r="N3751" s="24">
        <f t="shared" si="58"/>
        <v>212.0003751</v>
      </c>
    </row>
    <row r="3752" spans="1:14">
      <c r="A3752" s="21" t="s">
        <v>259</v>
      </c>
      <c r="B3752" s="21" t="s">
        <v>949</v>
      </c>
      <c r="C3752" s="21" t="s">
        <v>182</v>
      </c>
      <c r="D3752" s="21" t="s">
        <v>921</v>
      </c>
      <c r="E3752" s="21">
        <v>759</v>
      </c>
      <c r="F3752" s="22">
        <v>46093.35625</v>
      </c>
      <c r="G3752" s="22">
        <v>46072.426875</v>
      </c>
      <c r="H3752" s="23">
        <v>570</v>
      </c>
      <c r="I3752" s="23">
        <v>1.1403102168</v>
      </c>
      <c r="J3752" s="24">
        <v>865.26</v>
      </c>
      <c r="K3752" s="21">
        <v>0</v>
      </c>
      <c r="L3752" s="21">
        <v>0</v>
      </c>
      <c r="M3752" s="21">
        <f>COUNTIF($A$2:$A$5481,A3752)</f>
        <v>2</v>
      </c>
      <c r="N3752" s="24">
        <f t="shared" si="58"/>
        <v>865.2603752</v>
      </c>
    </row>
    <row r="3753" spans="1:14">
      <c r="A3753" s="21" t="s">
        <v>259</v>
      </c>
      <c r="B3753" s="21" t="s">
        <v>949</v>
      </c>
      <c r="C3753" s="21" t="s">
        <v>38</v>
      </c>
      <c r="D3753" s="21" t="s">
        <v>921</v>
      </c>
      <c r="E3753" s="21">
        <v>262</v>
      </c>
      <c r="F3753" s="22">
        <v>46233.5472222222</v>
      </c>
      <c r="G3753" s="22">
        <v>46268.6312847222</v>
      </c>
      <c r="H3753" s="23">
        <v>294</v>
      </c>
      <c r="I3753" s="23">
        <v>1.8704494382</v>
      </c>
      <c r="J3753" s="24">
        <v>489.94</v>
      </c>
      <c r="K3753" s="21">
        <v>0</v>
      </c>
      <c r="L3753" s="21">
        <v>0</v>
      </c>
      <c r="M3753" s="21">
        <f>COUNTIF($A$2:$A$5481,A3753)</f>
        <v>2</v>
      </c>
      <c r="N3753" s="24">
        <f t="shared" si="58"/>
        <v>489.9403753</v>
      </c>
    </row>
    <row r="3754" spans="1:14">
      <c r="A3754" s="21" t="s">
        <v>483</v>
      </c>
      <c r="B3754" s="21" t="s">
        <v>920</v>
      </c>
      <c r="C3754" s="21" t="s">
        <v>26</v>
      </c>
      <c r="D3754" s="21" t="s">
        <v>921</v>
      </c>
      <c r="E3754" s="21">
        <v>47</v>
      </c>
      <c r="F3754" s="22">
        <v>46198.6406481482</v>
      </c>
      <c r="G3754" s="22">
        <v>46223.8751041667</v>
      </c>
      <c r="H3754" s="23">
        <v>1200</v>
      </c>
      <c r="I3754" s="23">
        <v>24</v>
      </c>
      <c r="J3754" s="24">
        <v>1128</v>
      </c>
      <c r="K3754" s="21">
        <v>0</v>
      </c>
      <c r="L3754" s="21">
        <v>0</v>
      </c>
      <c r="M3754" s="21">
        <f>COUNTIF($A$2:$A$5481,A3754)</f>
        <v>1</v>
      </c>
      <c r="N3754" s="24">
        <f t="shared" si="58"/>
        <v>1128.0003754</v>
      </c>
    </row>
    <row r="3755" spans="1:14">
      <c r="A3755" s="21" t="s">
        <v>3615</v>
      </c>
      <c r="B3755" s="21" t="s">
        <v>1394</v>
      </c>
      <c r="C3755" s="21" t="s">
        <v>26</v>
      </c>
      <c r="D3755" s="21" t="s">
        <v>921</v>
      </c>
      <c r="E3755" s="21">
        <v>26</v>
      </c>
      <c r="F3755" s="22">
        <v>46266.6364814815</v>
      </c>
      <c r="G3755" s="22"/>
      <c r="H3755" s="23">
        <v>44</v>
      </c>
      <c r="I3755" s="23">
        <v>10.45</v>
      </c>
      <c r="J3755" s="24">
        <v>271.7</v>
      </c>
      <c r="K3755" s="21">
        <v>0</v>
      </c>
      <c r="L3755" s="21">
        <v>0</v>
      </c>
      <c r="M3755" s="21">
        <f>COUNTIF($A$2:$A$5481,A3755)</f>
        <v>1</v>
      </c>
      <c r="N3755" s="24">
        <f t="shared" si="58"/>
        <v>271.7003755</v>
      </c>
    </row>
    <row r="3756" spans="1:14">
      <c r="A3756" s="21" t="s">
        <v>3616</v>
      </c>
      <c r="B3756" s="21" t="s">
        <v>26</v>
      </c>
      <c r="C3756" s="21" t="s">
        <v>26</v>
      </c>
      <c r="D3756" s="21" t="s">
        <v>921</v>
      </c>
      <c r="E3756" s="21">
        <v>3</v>
      </c>
      <c r="F3756" s="22">
        <v>45491.4923148148</v>
      </c>
      <c r="G3756" s="22"/>
      <c r="H3756" s="23">
        <v>442.5</v>
      </c>
      <c r="I3756" s="23">
        <v>147.5</v>
      </c>
      <c r="J3756" s="24">
        <v>442.5</v>
      </c>
      <c r="K3756" s="21">
        <v>0</v>
      </c>
      <c r="L3756" s="21">
        <v>0</v>
      </c>
      <c r="M3756" s="21">
        <f>COUNTIF($A$2:$A$5481,A3756)</f>
        <v>1</v>
      </c>
      <c r="N3756" s="24">
        <f t="shared" si="58"/>
        <v>442.5003756</v>
      </c>
    </row>
    <row r="3757" spans="1:14">
      <c r="A3757" s="21" t="s">
        <v>3617</v>
      </c>
      <c r="B3757" s="21" t="s">
        <v>26</v>
      </c>
      <c r="C3757" s="21" t="s">
        <v>182</v>
      </c>
      <c r="D3757" s="21" t="s">
        <v>921</v>
      </c>
      <c r="E3757" s="21">
        <v>1</v>
      </c>
      <c r="F3757" s="22">
        <v>45355.5921296296</v>
      </c>
      <c r="G3757" s="22"/>
      <c r="H3757" s="23">
        <v>35</v>
      </c>
      <c r="I3757" s="23">
        <v>35</v>
      </c>
      <c r="J3757" s="24">
        <v>35</v>
      </c>
      <c r="K3757" s="21">
        <v>0</v>
      </c>
      <c r="L3757" s="21">
        <v>0</v>
      </c>
      <c r="M3757" s="21">
        <f>COUNTIF($A$2:$A$5481,A3757)</f>
        <v>1</v>
      </c>
      <c r="N3757" s="24">
        <f t="shared" si="58"/>
        <v>35.0003757</v>
      </c>
    </row>
    <row r="3758" spans="1:14">
      <c r="A3758" s="21" t="s">
        <v>3618</v>
      </c>
      <c r="B3758" s="21" t="s">
        <v>26</v>
      </c>
      <c r="C3758" s="21" t="s">
        <v>35</v>
      </c>
      <c r="D3758" s="21" t="s">
        <v>921</v>
      </c>
      <c r="E3758" s="21">
        <v>1</v>
      </c>
      <c r="F3758" s="22">
        <v>45688.4424305556</v>
      </c>
      <c r="G3758" s="22">
        <v>45691.5461574074</v>
      </c>
      <c r="H3758" s="23">
        <v>1292.98</v>
      </c>
      <c r="I3758" s="23">
        <v>646.49</v>
      </c>
      <c r="J3758" s="24">
        <v>646.49</v>
      </c>
      <c r="K3758" s="21">
        <v>0</v>
      </c>
      <c r="L3758" s="21">
        <v>0</v>
      </c>
      <c r="M3758" s="21">
        <f>COUNTIF($A$2:$A$5481,A3758)</f>
        <v>1</v>
      </c>
      <c r="N3758" s="24">
        <f t="shared" si="58"/>
        <v>646.4903758</v>
      </c>
    </row>
    <row r="3759" spans="1:14">
      <c r="A3759" s="21" t="s">
        <v>3619</v>
      </c>
      <c r="B3759" s="21" t="s">
        <v>929</v>
      </c>
      <c r="C3759" s="21" t="s">
        <v>26</v>
      </c>
      <c r="D3759" s="21" t="s">
        <v>921</v>
      </c>
      <c r="E3759" s="21">
        <v>3</v>
      </c>
      <c r="F3759" s="22">
        <v>45909.6520601852</v>
      </c>
      <c r="G3759" s="22">
        <v>45575.4489583333</v>
      </c>
      <c r="H3759" s="23">
        <v>27.47</v>
      </c>
      <c r="I3759" s="23">
        <v>27.9033333333</v>
      </c>
      <c r="J3759" s="24">
        <v>83.7</v>
      </c>
      <c r="K3759" s="21">
        <v>0</v>
      </c>
      <c r="L3759" s="21">
        <v>0</v>
      </c>
      <c r="M3759" s="21">
        <f>COUNTIF($A$2:$A$5481,A3759)</f>
        <v>1</v>
      </c>
      <c r="N3759" s="24">
        <f t="shared" si="58"/>
        <v>83.7003759</v>
      </c>
    </row>
    <row r="3760" spans="1:14">
      <c r="A3760" s="21" t="s">
        <v>3620</v>
      </c>
      <c r="B3760" s="21" t="s">
        <v>920</v>
      </c>
      <c r="C3760" s="21" t="s">
        <v>26</v>
      </c>
      <c r="D3760" s="21" t="s">
        <v>921</v>
      </c>
      <c r="E3760" s="21">
        <v>1</v>
      </c>
      <c r="F3760" s="22">
        <v>45702.8475462963</v>
      </c>
      <c r="G3760" s="22">
        <v>45807.4163773148</v>
      </c>
      <c r="H3760" s="23">
        <v>195</v>
      </c>
      <c r="I3760" s="23">
        <v>225</v>
      </c>
      <c r="J3760" s="24">
        <v>225</v>
      </c>
      <c r="K3760" s="21">
        <v>0</v>
      </c>
      <c r="L3760" s="21">
        <v>0</v>
      </c>
      <c r="M3760" s="21">
        <f>COUNTIF($A$2:$A$5481,A3760)</f>
        <v>2</v>
      </c>
      <c r="N3760" s="24">
        <f t="shared" si="58"/>
        <v>225.000376</v>
      </c>
    </row>
    <row r="3761" spans="1:14">
      <c r="A3761" s="21" t="s">
        <v>3620</v>
      </c>
      <c r="B3761" s="21" t="s">
        <v>920</v>
      </c>
      <c r="C3761" s="21" t="s">
        <v>35</v>
      </c>
      <c r="D3761" s="21" t="s">
        <v>921</v>
      </c>
      <c r="E3761" s="21">
        <v>2</v>
      </c>
      <c r="F3761" s="22">
        <v>45819.5297106481</v>
      </c>
      <c r="G3761" s="22"/>
      <c r="H3761" s="23">
        <v>879.8</v>
      </c>
      <c r="I3761" s="23">
        <v>439.9</v>
      </c>
      <c r="J3761" s="24">
        <v>879.8</v>
      </c>
      <c r="K3761" s="21">
        <v>0</v>
      </c>
      <c r="L3761" s="21">
        <v>0</v>
      </c>
      <c r="M3761" s="21">
        <f>COUNTIF($A$2:$A$5481,A3761)</f>
        <v>2</v>
      </c>
      <c r="N3761" s="24">
        <f t="shared" si="58"/>
        <v>879.8003761</v>
      </c>
    </row>
    <row r="3762" spans="1:14">
      <c r="A3762" s="21" t="s">
        <v>3621</v>
      </c>
      <c r="B3762" s="21" t="s">
        <v>920</v>
      </c>
      <c r="C3762" s="21" t="s">
        <v>35</v>
      </c>
      <c r="D3762" s="21" t="s">
        <v>931</v>
      </c>
      <c r="E3762" s="21">
        <v>1</v>
      </c>
      <c r="F3762" s="22">
        <v>45729.6268055556</v>
      </c>
      <c r="G3762" s="22"/>
      <c r="H3762" s="23">
        <v>240</v>
      </c>
      <c r="I3762" s="23">
        <v>240</v>
      </c>
      <c r="J3762" s="24">
        <v>240</v>
      </c>
      <c r="K3762" s="21">
        <v>0</v>
      </c>
      <c r="L3762" s="21">
        <v>0</v>
      </c>
      <c r="M3762" s="21">
        <f>COUNTIF($A$2:$A$5481,A3762)</f>
        <v>1</v>
      </c>
      <c r="N3762" s="24">
        <f t="shared" si="58"/>
        <v>240.0003762</v>
      </c>
    </row>
    <row r="3763" spans="1:14">
      <c r="A3763" s="21" t="s">
        <v>3622</v>
      </c>
      <c r="B3763" s="21" t="s">
        <v>920</v>
      </c>
      <c r="C3763" s="21" t="s">
        <v>35</v>
      </c>
      <c r="D3763" s="21" t="s">
        <v>921</v>
      </c>
      <c r="E3763" s="21">
        <v>2</v>
      </c>
      <c r="F3763" s="22">
        <v>45761.7698032407</v>
      </c>
      <c r="G3763" s="22"/>
      <c r="H3763" s="23">
        <v>3</v>
      </c>
      <c r="I3763" s="23">
        <v>1.5</v>
      </c>
      <c r="J3763" s="24">
        <v>3</v>
      </c>
      <c r="K3763" s="21">
        <v>0</v>
      </c>
      <c r="L3763" s="21">
        <v>0</v>
      </c>
      <c r="M3763" s="21">
        <f>COUNTIF($A$2:$A$5481,A3763)</f>
        <v>1</v>
      </c>
      <c r="N3763" s="24">
        <f t="shared" si="58"/>
        <v>3.0003763</v>
      </c>
    </row>
    <row r="3764" spans="1:14">
      <c r="A3764" s="21" t="s">
        <v>3623</v>
      </c>
      <c r="B3764" s="21" t="s">
        <v>26</v>
      </c>
      <c r="C3764" s="21" t="s">
        <v>26</v>
      </c>
      <c r="D3764" s="21" t="s">
        <v>921</v>
      </c>
      <c r="E3764" s="21">
        <v>1</v>
      </c>
      <c r="F3764" s="22">
        <v>45481.4153935185</v>
      </c>
      <c r="G3764" s="22"/>
      <c r="H3764" s="23">
        <v>410</v>
      </c>
      <c r="I3764" s="23">
        <v>410</v>
      </c>
      <c r="J3764" s="24">
        <v>410</v>
      </c>
      <c r="K3764" s="21">
        <v>0</v>
      </c>
      <c r="L3764" s="21">
        <v>0</v>
      </c>
      <c r="M3764" s="21">
        <f>COUNTIF($A$2:$A$5481,A3764)</f>
        <v>1</v>
      </c>
      <c r="N3764" s="24">
        <f t="shared" si="58"/>
        <v>410.0003764</v>
      </c>
    </row>
    <row r="3765" spans="1:14">
      <c r="A3765" s="21" t="s">
        <v>3624</v>
      </c>
      <c r="B3765" s="21" t="s">
        <v>26</v>
      </c>
      <c r="C3765" s="21" t="s">
        <v>26</v>
      </c>
      <c r="D3765" s="21" t="s">
        <v>921</v>
      </c>
      <c r="E3765" s="21">
        <v>2</v>
      </c>
      <c r="F3765" s="22">
        <v>45644.3635416667</v>
      </c>
      <c r="G3765" s="22"/>
      <c r="H3765" s="23">
        <v>222</v>
      </c>
      <c r="I3765" s="23">
        <v>111</v>
      </c>
      <c r="J3765" s="24">
        <v>222</v>
      </c>
      <c r="K3765" s="21">
        <v>0</v>
      </c>
      <c r="L3765" s="21">
        <v>0</v>
      </c>
      <c r="M3765" s="21">
        <f>COUNTIF($A$2:$A$5481,A3765)</f>
        <v>1</v>
      </c>
      <c r="N3765" s="24">
        <f t="shared" si="58"/>
        <v>222.0003765</v>
      </c>
    </row>
    <row r="3766" spans="1:14">
      <c r="A3766" s="21" t="s">
        <v>3625</v>
      </c>
      <c r="B3766" s="21" t="s">
        <v>929</v>
      </c>
      <c r="C3766" s="21" t="s">
        <v>26</v>
      </c>
      <c r="D3766" s="21" t="s">
        <v>931</v>
      </c>
      <c r="E3766" s="21">
        <v>1</v>
      </c>
      <c r="F3766" s="22">
        <v>45406.8099652778</v>
      </c>
      <c r="G3766" s="22"/>
      <c r="H3766" s="23">
        <v>229</v>
      </c>
      <c r="I3766" s="23">
        <v>229</v>
      </c>
      <c r="J3766" s="24">
        <v>229</v>
      </c>
      <c r="K3766" s="21">
        <v>0</v>
      </c>
      <c r="L3766" s="21">
        <v>0</v>
      </c>
      <c r="M3766" s="21">
        <f>COUNTIF($A$2:$A$5481,A3766)</f>
        <v>1</v>
      </c>
      <c r="N3766" s="24">
        <f t="shared" si="58"/>
        <v>229.0003766</v>
      </c>
    </row>
    <row r="3767" spans="1:14">
      <c r="A3767" s="21" t="s">
        <v>3626</v>
      </c>
      <c r="B3767" s="21" t="s">
        <v>920</v>
      </c>
      <c r="C3767" s="21" t="s">
        <v>26</v>
      </c>
      <c r="D3767" s="21" t="s">
        <v>921</v>
      </c>
      <c r="E3767" s="21">
        <v>0</v>
      </c>
      <c r="F3767" s="22">
        <v>45342.3979166667</v>
      </c>
      <c r="G3767" s="22">
        <v>45345.3991203704</v>
      </c>
      <c r="H3767" s="23">
        <v>1099.99</v>
      </c>
      <c r="I3767" s="23">
        <v>1099.99</v>
      </c>
      <c r="J3767" s="24">
        <v>0</v>
      </c>
      <c r="K3767" s="21">
        <v>0</v>
      </c>
      <c r="L3767" s="21">
        <v>0</v>
      </c>
      <c r="M3767" s="21">
        <f>COUNTIF($A$2:$A$5481,A3767)</f>
        <v>1</v>
      </c>
      <c r="N3767" s="24">
        <f t="shared" si="58"/>
        <v>0.0003767</v>
      </c>
    </row>
    <row r="3768" spans="1:14">
      <c r="A3768" s="21" t="s">
        <v>3627</v>
      </c>
      <c r="B3768" s="21" t="s">
        <v>26</v>
      </c>
      <c r="C3768" s="21" t="s">
        <v>26</v>
      </c>
      <c r="D3768" s="21" t="s">
        <v>921</v>
      </c>
      <c r="E3768" s="21">
        <v>1</v>
      </c>
      <c r="F3768" s="22">
        <v>45670.4570023148</v>
      </c>
      <c r="G3768" s="22"/>
      <c r="H3768" s="23">
        <v>467</v>
      </c>
      <c r="I3768" s="23">
        <v>467</v>
      </c>
      <c r="J3768" s="24">
        <v>467</v>
      </c>
      <c r="K3768" s="21">
        <v>0</v>
      </c>
      <c r="L3768" s="21">
        <v>0</v>
      </c>
      <c r="M3768" s="21">
        <f>COUNTIF($A$2:$A$5481,A3768)</f>
        <v>1</v>
      </c>
      <c r="N3768" s="24">
        <f t="shared" si="58"/>
        <v>467.0003768</v>
      </c>
    </row>
    <row r="3769" spans="1:14">
      <c r="A3769" s="21" t="s">
        <v>3628</v>
      </c>
      <c r="B3769" s="21" t="s">
        <v>929</v>
      </c>
      <c r="C3769" s="21" t="s">
        <v>26</v>
      </c>
      <c r="D3769" s="21" t="s">
        <v>921</v>
      </c>
      <c r="E3769" s="21">
        <v>1</v>
      </c>
      <c r="F3769" s="22">
        <v>45975.5826041667</v>
      </c>
      <c r="G3769" s="22"/>
      <c r="H3769" s="23">
        <v>4.75</v>
      </c>
      <c r="I3769" s="23">
        <v>4.75</v>
      </c>
      <c r="J3769" s="24">
        <v>4.75</v>
      </c>
      <c r="K3769" s="21">
        <v>0</v>
      </c>
      <c r="L3769" s="21">
        <v>0</v>
      </c>
      <c r="M3769" s="21">
        <f>COUNTIF($A$2:$A$5481,A3769)</f>
        <v>1</v>
      </c>
      <c r="N3769" s="24">
        <f t="shared" si="58"/>
        <v>4.7503769</v>
      </c>
    </row>
    <row r="3770" spans="1:14">
      <c r="A3770" s="21" t="s">
        <v>3629</v>
      </c>
      <c r="B3770" s="21" t="s">
        <v>1175</v>
      </c>
      <c r="C3770" s="21" t="s">
        <v>26</v>
      </c>
      <c r="D3770" s="21" t="s">
        <v>931</v>
      </c>
      <c r="E3770" s="21">
        <v>1</v>
      </c>
      <c r="F3770" s="22">
        <v>45755.6425</v>
      </c>
      <c r="G3770" s="22"/>
      <c r="H3770" s="23">
        <v>1226.83</v>
      </c>
      <c r="I3770" s="23">
        <v>1226.83</v>
      </c>
      <c r="J3770" s="24">
        <v>1226.83</v>
      </c>
      <c r="K3770" s="21">
        <v>0</v>
      </c>
      <c r="L3770" s="21">
        <v>0</v>
      </c>
      <c r="M3770" s="21">
        <f>COUNTIF($A$2:$A$5481,A3770)</f>
        <v>1</v>
      </c>
      <c r="N3770" s="24">
        <f t="shared" si="58"/>
        <v>1226.830377</v>
      </c>
    </row>
    <row r="3771" spans="1:14">
      <c r="A3771" s="21" t="s">
        <v>3630</v>
      </c>
      <c r="B3771" s="21" t="s">
        <v>920</v>
      </c>
      <c r="C3771" s="21" t="s">
        <v>35</v>
      </c>
      <c r="D3771" s="21" t="s">
        <v>921</v>
      </c>
      <c r="E3771" s="21">
        <v>0</v>
      </c>
      <c r="F3771" s="22">
        <v>45274.3841898148</v>
      </c>
      <c r="G3771" s="22">
        <v>45274.4416666667</v>
      </c>
      <c r="H3771" s="23">
        <v>539.84</v>
      </c>
      <c r="I3771" s="23">
        <v>539.84</v>
      </c>
      <c r="J3771" s="24">
        <v>0</v>
      </c>
      <c r="K3771" s="21">
        <v>0</v>
      </c>
      <c r="L3771" s="21">
        <v>0</v>
      </c>
      <c r="M3771" s="21">
        <f>COUNTIF($A$2:$A$5481,A3771)</f>
        <v>1</v>
      </c>
      <c r="N3771" s="24">
        <f t="shared" si="58"/>
        <v>0.0003771</v>
      </c>
    </row>
    <row r="3772" spans="1:14">
      <c r="A3772" s="21" t="s">
        <v>3631</v>
      </c>
      <c r="B3772" s="21" t="s">
        <v>1115</v>
      </c>
      <c r="C3772" s="21" t="s">
        <v>26</v>
      </c>
      <c r="D3772" s="21" t="s">
        <v>921</v>
      </c>
      <c r="E3772" s="21">
        <v>13</v>
      </c>
      <c r="F3772" s="22">
        <v>46010.5521875</v>
      </c>
      <c r="G3772" s="22"/>
      <c r="H3772" s="23">
        <v>475</v>
      </c>
      <c r="I3772" s="23">
        <v>95</v>
      </c>
      <c r="J3772" s="24">
        <v>1235</v>
      </c>
      <c r="K3772" s="21">
        <v>0</v>
      </c>
      <c r="L3772" s="21">
        <v>0</v>
      </c>
      <c r="M3772" s="21">
        <f>COUNTIF($A$2:$A$5481,A3772)</f>
        <v>1</v>
      </c>
      <c r="N3772" s="24">
        <f t="shared" si="58"/>
        <v>1235.0003772</v>
      </c>
    </row>
    <row r="3773" spans="1:14">
      <c r="A3773" s="21" t="s">
        <v>3632</v>
      </c>
      <c r="B3773" s="21" t="s">
        <v>1115</v>
      </c>
      <c r="C3773" s="21" t="s">
        <v>51</v>
      </c>
      <c r="D3773" s="21" t="s">
        <v>921</v>
      </c>
      <c r="E3773" s="21">
        <v>10</v>
      </c>
      <c r="F3773" s="22">
        <v>45929.4255208333</v>
      </c>
      <c r="G3773" s="22"/>
      <c r="H3773" s="23">
        <v>1200</v>
      </c>
      <c r="I3773" s="23">
        <v>120</v>
      </c>
      <c r="J3773" s="24">
        <v>1200</v>
      </c>
      <c r="K3773" s="21">
        <v>0</v>
      </c>
      <c r="L3773" s="21">
        <v>0</v>
      </c>
      <c r="M3773" s="21">
        <f>COUNTIF($A$2:$A$5481,A3773)</f>
        <v>1</v>
      </c>
      <c r="N3773" s="24">
        <f t="shared" si="58"/>
        <v>1200.0003773</v>
      </c>
    </row>
    <row r="3774" spans="1:14">
      <c r="A3774" s="21" t="s">
        <v>3633</v>
      </c>
      <c r="B3774" s="21" t="s">
        <v>1115</v>
      </c>
      <c r="C3774" s="21" t="s">
        <v>51</v>
      </c>
      <c r="D3774" s="21" t="s">
        <v>921</v>
      </c>
      <c r="E3774" s="21">
        <v>10</v>
      </c>
      <c r="F3774" s="22">
        <v>45929.4255208333</v>
      </c>
      <c r="G3774" s="22"/>
      <c r="H3774" s="23">
        <v>1200</v>
      </c>
      <c r="I3774" s="23">
        <v>120</v>
      </c>
      <c r="J3774" s="24">
        <v>1200</v>
      </c>
      <c r="K3774" s="21">
        <v>0</v>
      </c>
      <c r="L3774" s="21">
        <v>0</v>
      </c>
      <c r="M3774" s="21">
        <f>COUNTIF($A$2:$A$5481,A3774)</f>
        <v>2</v>
      </c>
      <c r="N3774" s="24">
        <f t="shared" si="58"/>
        <v>1200.0003774</v>
      </c>
    </row>
    <row r="3775" spans="1:14">
      <c r="A3775" s="21" t="s">
        <v>3633</v>
      </c>
      <c r="B3775" s="21" t="s">
        <v>1115</v>
      </c>
      <c r="C3775" s="21" t="s">
        <v>26</v>
      </c>
      <c r="D3775" s="21" t="s">
        <v>921</v>
      </c>
      <c r="E3775" s="21">
        <v>26</v>
      </c>
      <c r="F3775" s="22">
        <v>46010.5521875</v>
      </c>
      <c r="G3775" s="22"/>
      <c r="H3775" s="23">
        <v>1900</v>
      </c>
      <c r="I3775" s="23">
        <v>95</v>
      </c>
      <c r="J3775" s="24">
        <v>2470</v>
      </c>
      <c r="K3775" s="21">
        <v>0</v>
      </c>
      <c r="L3775" s="21">
        <v>0</v>
      </c>
      <c r="M3775" s="21">
        <f>COUNTIF($A$2:$A$5481,A3775)</f>
        <v>2</v>
      </c>
      <c r="N3775" s="24">
        <f t="shared" si="58"/>
        <v>2470.0003775</v>
      </c>
    </row>
    <row r="3776" spans="1:14">
      <c r="A3776" s="21" t="s">
        <v>3634</v>
      </c>
      <c r="B3776" s="21" t="s">
        <v>1115</v>
      </c>
      <c r="C3776" s="21" t="s">
        <v>51</v>
      </c>
      <c r="D3776" s="21" t="s">
        <v>921</v>
      </c>
      <c r="E3776" s="21">
        <v>10</v>
      </c>
      <c r="F3776" s="22">
        <v>45929.4255208333</v>
      </c>
      <c r="G3776" s="22"/>
      <c r="H3776" s="23">
        <v>1200</v>
      </c>
      <c r="I3776" s="23">
        <v>120</v>
      </c>
      <c r="J3776" s="24">
        <v>1200</v>
      </c>
      <c r="K3776" s="21">
        <v>0</v>
      </c>
      <c r="L3776" s="21">
        <v>0</v>
      </c>
      <c r="M3776" s="21">
        <f>COUNTIF($A$2:$A$5481,A3776)</f>
        <v>2</v>
      </c>
      <c r="N3776" s="24">
        <f t="shared" si="58"/>
        <v>1200.0003776</v>
      </c>
    </row>
    <row r="3777" spans="1:14">
      <c r="A3777" s="21" t="s">
        <v>3634</v>
      </c>
      <c r="B3777" s="21" t="s">
        <v>1115</v>
      </c>
      <c r="C3777" s="21" t="s">
        <v>26</v>
      </c>
      <c r="D3777" s="21" t="s">
        <v>921</v>
      </c>
      <c r="E3777" s="21">
        <v>22</v>
      </c>
      <c r="F3777" s="22">
        <v>46010.5521875</v>
      </c>
      <c r="G3777" s="22"/>
      <c r="H3777" s="23">
        <v>950</v>
      </c>
      <c r="I3777" s="23">
        <v>95</v>
      </c>
      <c r="J3777" s="24">
        <v>2090</v>
      </c>
      <c r="K3777" s="21">
        <v>0</v>
      </c>
      <c r="L3777" s="21">
        <v>0</v>
      </c>
      <c r="M3777" s="21">
        <f>COUNTIF($A$2:$A$5481,A3777)</f>
        <v>2</v>
      </c>
      <c r="N3777" s="24">
        <f t="shared" si="58"/>
        <v>2090.0003777</v>
      </c>
    </row>
    <row r="3778" spans="1:14">
      <c r="A3778" s="21" t="s">
        <v>3635</v>
      </c>
      <c r="B3778" s="21" t="s">
        <v>1115</v>
      </c>
      <c r="C3778" s="21" t="s">
        <v>51</v>
      </c>
      <c r="D3778" s="21" t="s">
        <v>921</v>
      </c>
      <c r="E3778" s="21">
        <v>10</v>
      </c>
      <c r="F3778" s="22">
        <v>45929.4255208333</v>
      </c>
      <c r="G3778" s="22"/>
      <c r="H3778" s="23">
        <v>1200</v>
      </c>
      <c r="I3778" s="23">
        <v>120</v>
      </c>
      <c r="J3778" s="24">
        <v>1200</v>
      </c>
      <c r="K3778" s="21">
        <v>0</v>
      </c>
      <c r="L3778" s="21">
        <v>0</v>
      </c>
      <c r="M3778" s="21">
        <f>COUNTIF($A$2:$A$5481,A3778)</f>
        <v>2</v>
      </c>
      <c r="N3778" s="24">
        <f t="shared" ref="N3778:N3841" si="59">J3778+ROW()/10000000</f>
        <v>1200.0003778</v>
      </c>
    </row>
    <row r="3779" spans="1:14">
      <c r="A3779" s="21" t="s">
        <v>3635</v>
      </c>
      <c r="B3779" s="21" t="s">
        <v>1115</v>
      </c>
      <c r="C3779" s="21" t="s">
        <v>26</v>
      </c>
      <c r="D3779" s="21" t="s">
        <v>921</v>
      </c>
      <c r="E3779" s="21">
        <v>27</v>
      </c>
      <c r="F3779" s="22">
        <v>46010.5521875</v>
      </c>
      <c r="G3779" s="22"/>
      <c r="H3779" s="23">
        <v>1425</v>
      </c>
      <c r="I3779" s="23">
        <v>95</v>
      </c>
      <c r="J3779" s="24">
        <v>2565</v>
      </c>
      <c r="K3779" s="21">
        <v>0</v>
      </c>
      <c r="L3779" s="21">
        <v>0</v>
      </c>
      <c r="M3779" s="21">
        <f>COUNTIF($A$2:$A$5481,A3779)</f>
        <v>2</v>
      </c>
      <c r="N3779" s="24">
        <f t="shared" si="59"/>
        <v>2565.0003779</v>
      </c>
    </row>
    <row r="3780" spans="1:14">
      <c r="A3780" s="21" t="s">
        <v>3636</v>
      </c>
      <c r="B3780" s="21" t="s">
        <v>1115</v>
      </c>
      <c r="C3780" s="21" t="s">
        <v>26</v>
      </c>
      <c r="D3780" s="21" t="s">
        <v>921</v>
      </c>
      <c r="E3780" s="21">
        <v>10</v>
      </c>
      <c r="F3780" s="22">
        <v>45932.6412152778</v>
      </c>
      <c r="G3780" s="22"/>
      <c r="H3780" s="23">
        <v>1000</v>
      </c>
      <c r="I3780" s="23">
        <v>100</v>
      </c>
      <c r="J3780" s="24">
        <v>1000</v>
      </c>
      <c r="K3780" s="21">
        <v>0</v>
      </c>
      <c r="L3780" s="21">
        <v>0</v>
      </c>
      <c r="M3780" s="21">
        <f>COUNTIF($A$2:$A$5481,A3780)</f>
        <v>1</v>
      </c>
      <c r="N3780" s="24">
        <f t="shared" si="59"/>
        <v>1000.000378</v>
      </c>
    </row>
    <row r="3781" spans="1:14">
      <c r="A3781" s="21" t="s">
        <v>3637</v>
      </c>
      <c r="B3781" s="21" t="s">
        <v>929</v>
      </c>
      <c r="C3781" s="21" t="s">
        <v>26</v>
      </c>
      <c r="D3781" s="21" t="s">
        <v>921</v>
      </c>
      <c r="E3781" s="21">
        <v>2</v>
      </c>
      <c r="F3781" s="22">
        <v>45390.816087963</v>
      </c>
      <c r="G3781" s="22"/>
      <c r="H3781" s="23">
        <v>31.6</v>
      </c>
      <c r="I3781" s="23">
        <v>15.8</v>
      </c>
      <c r="J3781" s="24">
        <v>31.6</v>
      </c>
      <c r="K3781" s="21">
        <v>0</v>
      </c>
      <c r="L3781" s="21">
        <v>0</v>
      </c>
      <c r="M3781" s="21">
        <f>COUNTIF($A$2:$A$5481,A3781)</f>
        <v>1</v>
      </c>
      <c r="N3781" s="24">
        <f t="shared" si="59"/>
        <v>31.6003781</v>
      </c>
    </row>
    <row r="3782" spans="1:14">
      <c r="A3782" s="21" t="s">
        <v>3638</v>
      </c>
      <c r="B3782" s="21" t="s">
        <v>920</v>
      </c>
      <c r="C3782" s="21" t="s">
        <v>26</v>
      </c>
      <c r="D3782" s="21" t="s">
        <v>921</v>
      </c>
      <c r="E3782" s="21">
        <v>2</v>
      </c>
      <c r="F3782" s="22">
        <v>46001.3789236111</v>
      </c>
      <c r="G3782" s="22"/>
      <c r="H3782" s="23">
        <v>1290</v>
      </c>
      <c r="I3782" s="23">
        <v>1290</v>
      </c>
      <c r="J3782" s="24">
        <v>2580</v>
      </c>
      <c r="K3782" s="21">
        <v>0</v>
      </c>
      <c r="L3782" s="21">
        <v>0</v>
      </c>
      <c r="M3782" s="21">
        <f>COUNTIF($A$2:$A$5481,A3782)</f>
        <v>1</v>
      </c>
      <c r="N3782" s="24">
        <f t="shared" si="59"/>
        <v>2580.0003782</v>
      </c>
    </row>
    <row r="3783" spans="1:14">
      <c r="A3783" s="21" t="s">
        <v>3639</v>
      </c>
      <c r="B3783" s="21" t="s">
        <v>26</v>
      </c>
      <c r="C3783" s="21" t="s">
        <v>35</v>
      </c>
      <c r="D3783" s="21" t="s">
        <v>931</v>
      </c>
      <c r="E3783" s="21">
        <v>0</v>
      </c>
      <c r="F3783" s="22">
        <v>45519.7381944444</v>
      </c>
      <c r="G3783" s="22">
        <v>45526.3549305556</v>
      </c>
      <c r="H3783" s="23">
        <v>1075.52</v>
      </c>
      <c r="I3783" s="23">
        <v>1075.52</v>
      </c>
      <c r="J3783" s="24">
        <v>0</v>
      </c>
      <c r="K3783" s="21">
        <v>0</v>
      </c>
      <c r="L3783" s="21">
        <v>0</v>
      </c>
      <c r="M3783" s="21">
        <f>COUNTIF($A$2:$A$5481,A3783)</f>
        <v>1</v>
      </c>
      <c r="N3783" s="24">
        <f t="shared" si="59"/>
        <v>0.0003783</v>
      </c>
    </row>
    <row r="3784" spans="1:14">
      <c r="A3784" s="21" t="s">
        <v>3640</v>
      </c>
      <c r="B3784" s="21" t="s">
        <v>1115</v>
      </c>
      <c r="C3784" s="21" t="s">
        <v>26</v>
      </c>
      <c r="D3784" s="21" t="s">
        <v>921</v>
      </c>
      <c r="E3784" s="21">
        <v>5</v>
      </c>
      <c r="F3784" s="22">
        <v>46010.5521875</v>
      </c>
      <c r="G3784" s="22"/>
      <c r="H3784" s="23">
        <v>475</v>
      </c>
      <c r="I3784" s="23">
        <v>95</v>
      </c>
      <c r="J3784" s="24">
        <v>475</v>
      </c>
      <c r="K3784" s="21">
        <v>0</v>
      </c>
      <c r="L3784" s="21">
        <v>0</v>
      </c>
      <c r="M3784" s="21">
        <f>COUNTIF($A$2:$A$5481,A3784)</f>
        <v>1</v>
      </c>
      <c r="N3784" s="24">
        <f t="shared" si="59"/>
        <v>475.0003784</v>
      </c>
    </row>
    <row r="3785" spans="1:14">
      <c r="A3785" s="21" t="s">
        <v>888</v>
      </c>
      <c r="B3785" s="21" t="s">
        <v>1115</v>
      </c>
      <c r="C3785" s="21" t="s">
        <v>26</v>
      </c>
      <c r="D3785" s="21" t="s">
        <v>921</v>
      </c>
      <c r="E3785" s="21">
        <v>17</v>
      </c>
      <c r="F3785" s="22">
        <v>46010.5521875</v>
      </c>
      <c r="G3785" s="22">
        <v>46273.7098032407</v>
      </c>
      <c r="H3785" s="23">
        <v>1805</v>
      </c>
      <c r="I3785" s="23">
        <v>95</v>
      </c>
      <c r="J3785" s="24">
        <v>1615</v>
      </c>
      <c r="K3785" s="21">
        <v>0</v>
      </c>
      <c r="L3785" s="21">
        <v>0</v>
      </c>
      <c r="M3785" s="21">
        <f>COUNTIF($A$2:$A$5481,A3785)</f>
        <v>1</v>
      </c>
      <c r="N3785" s="24">
        <f t="shared" si="59"/>
        <v>1615.0003785</v>
      </c>
    </row>
    <row r="3786" spans="1:14">
      <c r="A3786" s="21" t="s">
        <v>807</v>
      </c>
      <c r="B3786" s="21" t="s">
        <v>1115</v>
      </c>
      <c r="C3786" s="21" t="s">
        <v>26</v>
      </c>
      <c r="D3786" s="21" t="s">
        <v>921</v>
      </c>
      <c r="E3786" s="21">
        <v>9</v>
      </c>
      <c r="F3786" s="22">
        <v>46010.5521875</v>
      </c>
      <c r="G3786" s="22">
        <v>46259.3667361111</v>
      </c>
      <c r="H3786" s="23">
        <v>950</v>
      </c>
      <c r="I3786" s="23">
        <v>95</v>
      </c>
      <c r="J3786" s="24">
        <v>855</v>
      </c>
      <c r="K3786" s="21">
        <v>0</v>
      </c>
      <c r="L3786" s="21">
        <v>0</v>
      </c>
      <c r="M3786" s="21">
        <f>COUNTIF($A$2:$A$5481,A3786)</f>
        <v>1</v>
      </c>
      <c r="N3786" s="24">
        <f t="shared" si="59"/>
        <v>855.0003786</v>
      </c>
    </row>
    <row r="3787" spans="1:14">
      <c r="A3787" s="21" t="s">
        <v>3641</v>
      </c>
      <c r="B3787" s="21" t="s">
        <v>1115</v>
      </c>
      <c r="C3787" s="21" t="s">
        <v>26</v>
      </c>
      <c r="D3787" s="21" t="s">
        <v>921</v>
      </c>
      <c r="E3787" s="21">
        <v>15</v>
      </c>
      <c r="F3787" s="22">
        <v>46010.5521875</v>
      </c>
      <c r="G3787" s="22"/>
      <c r="H3787" s="23">
        <v>1425</v>
      </c>
      <c r="I3787" s="23">
        <v>95</v>
      </c>
      <c r="J3787" s="24">
        <v>1425</v>
      </c>
      <c r="K3787" s="21">
        <v>0</v>
      </c>
      <c r="L3787" s="21">
        <v>0</v>
      </c>
      <c r="M3787" s="21">
        <f>COUNTIF($A$2:$A$5481,A3787)</f>
        <v>1</v>
      </c>
      <c r="N3787" s="24">
        <f t="shared" si="59"/>
        <v>1425.0003787</v>
      </c>
    </row>
    <row r="3788" spans="1:14">
      <c r="A3788" s="21" t="s">
        <v>3642</v>
      </c>
      <c r="B3788" s="21" t="s">
        <v>1352</v>
      </c>
      <c r="C3788" s="21" t="s">
        <v>51</v>
      </c>
      <c r="D3788" s="21" t="s">
        <v>921</v>
      </c>
      <c r="E3788" s="21">
        <v>1</v>
      </c>
      <c r="F3788" s="22">
        <v>46026.3652777778</v>
      </c>
      <c r="G3788" s="22"/>
      <c r="H3788" s="23">
        <v>650.52</v>
      </c>
      <c r="I3788" s="23">
        <v>650.52</v>
      </c>
      <c r="J3788" s="24">
        <v>650.52</v>
      </c>
      <c r="K3788" s="21">
        <v>0</v>
      </c>
      <c r="L3788" s="21">
        <v>0</v>
      </c>
      <c r="M3788" s="21">
        <f>COUNTIF($A$2:$A$5481,A3788)</f>
        <v>1</v>
      </c>
      <c r="N3788" s="24">
        <f t="shared" si="59"/>
        <v>650.5203788</v>
      </c>
    </row>
    <row r="3789" spans="1:14">
      <c r="A3789" s="21" t="s">
        <v>700</v>
      </c>
      <c r="B3789" s="21" t="s">
        <v>26</v>
      </c>
      <c r="C3789" s="21" t="s">
        <v>26</v>
      </c>
      <c r="D3789" s="21" t="s">
        <v>921</v>
      </c>
      <c r="E3789" s="21">
        <v>0</v>
      </c>
      <c r="F3789" s="22">
        <v>45601.3728009259</v>
      </c>
      <c r="G3789" s="22">
        <v>46252.5689583333</v>
      </c>
      <c r="H3789" s="23">
        <v>245.9</v>
      </c>
      <c r="I3789" s="23">
        <v>151.85</v>
      </c>
      <c r="J3789" s="24">
        <v>0</v>
      </c>
      <c r="K3789" s="21">
        <v>0</v>
      </c>
      <c r="L3789" s="21">
        <v>0</v>
      </c>
      <c r="M3789" s="21">
        <f>COUNTIF($A$2:$A$5481,A3789)</f>
        <v>1</v>
      </c>
      <c r="N3789" s="24">
        <f t="shared" si="59"/>
        <v>0.0003789</v>
      </c>
    </row>
    <row r="3790" spans="1:14">
      <c r="A3790" s="21" t="s">
        <v>3643</v>
      </c>
      <c r="B3790" s="21" t="s">
        <v>1115</v>
      </c>
      <c r="C3790" s="21" t="s">
        <v>51</v>
      </c>
      <c r="D3790" s="21" t="s">
        <v>921</v>
      </c>
      <c r="E3790" s="21">
        <v>0</v>
      </c>
      <c r="F3790" s="22">
        <v>45883.8034953704</v>
      </c>
      <c r="G3790" s="22">
        <v>45884.3791087963</v>
      </c>
      <c r="H3790" s="23">
        <v>420</v>
      </c>
      <c r="I3790" s="23">
        <v>210</v>
      </c>
      <c r="J3790" s="24">
        <v>0</v>
      </c>
      <c r="K3790" s="21">
        <v>0</v>
      </c>
      <c r="L3790" s="21">
        <v>0</v>
      </c>
      <c r="M3790" s="21">
        <f>COUNTIF($A$2:$A$5481,A3790)</f>
        <v>3</v>
      </c>
      <c r="N3790" s="24">
        <f t="shared" si="59"/>
        <v>0.000379</v>
      </c>
    </row>
    <row r="3791" spans="1:14">
      <c r="A3791" s="21" t="s">
        <v>3643</v>
      </c>
      <c r="B3791" s="21" t="s">
        <v>1115</v>
      </c>
      <c r="C3791" s="21" t="s">
        <v>414</v>
      </c>
      <c r="D3791" s="21" t="s">
        <v>921</v>
      </c>
      <c r="E3791" s="21">
        <v>12</v>
      </c>
      <c r="F3791" s="22">
        <v>46084.6016319445</v>
      </c>
      <c r="G3791" s="22"/>
      <c r="H3791" s="23">
        <v>280</v>
      </c>
      <c r="I3791" s="23">
        <v>80.8333333333</v>
      </c>
      <c r="J3791" s="24">
        <v>969.96</v>
      </c>
      <c r="K3791" s="21">
        <v>0</v>
      </c>
      <c r="L3791" s="21">
        <v>0</v>
      </c>
      <c r="M3791" s="21">
        <f>COUNTIF($A$2:$A$5481,A3791)</f>
        <v>3</v>
      </c>
      <c r="N3791" s="24">
        <f t="shared" si="59"/>
        <v>969.9603791</v>
      </c>
    </row>
    <row r="3792" spans="1:14">
      <c r="A3792" s="21" t="s">
        <v>3643</v>
      </c>
      <c r="B3792" s="21" t="s">
        <v>1115</v>
      </c>
      <c r="C3792" s="21" t="s">
        <v>35</v>
      </c>
      <c r="D3792" s="21" t="s">
        <v>921</v>
      </c>
      <c r="E3792" s="21">
        <v>3</v>
      </c>
      <c r="F3792" s="22">
        <v>46220.8146180556</v>
      </c>
      <c r="G3792" s="22"/>
      <c r="H3792" s="23">
        <v>750</v>
      </c>
      <c r="I3792" s="23">
        <v>250</v>
      </c>
      <c r="J3792" s="24">
        <v>750</v>
      </c>
      <c r="K3792" s="21">
        <v>0</v>
      </c>
      <c r="L3792" s="21">
        <v>0</v>
      </c>
      <c r="M3792" s="21">
        <f>COUNTIF($A$2:$A$5481,A3792)</f>
        <v>3</v>
      </c>
      <c r="N3792" s="24">
        <f t="shared" si="59"/>
        <v>750.0003792</v>
      </c>
    </row>
    <row r="3793" spans="1:14">
      <c r="A3793" s="21" t="s">
        <v>699</v>
      </c>
      <c r="B3793" s="21" t="s">
        <v>920</v>
      </c>
      <c r="C3793" s="21" t="s">
        <v>26</v>
      </c>
      <c r="D3793" s="21" t="s">
        <v>921</v>
      </c>
      <c r="E3793" s="21">
        <v>0</v>
      </c>
      <c r="F3793" s="22">
        <v>46121.3951388889</v>
      </c>
      <c r="G3793" s="22">
        <v>46252.5689467593</v>
      </c>
      <c r="H3793" s="23">
        <v>99.89</v>
      </c>
      <c r="I3793" s="23">
        <v>99.89</v>
      </c>
      <c r="J3793" s="24">
        <v>0</v>
      </c>
      <c r="K3793" s="21">
        <v>0</v>
      </c>
      <c r="L3793" s="21">
        <v>0</v>
      </c>
      <c r="M3793" s="21">
        <f>COUNTIF($A$2:$A$5481,A3793)</f>
        <v>1</v>
      </c>
      <c r="N3793" s="24">
        <f t="shared" si="59"/>
        <v>0.0003793</v>
      </c>
    </row>
    <row r="3794" spans="1:14">
      <c r="A3794" s="21" t="s">
        <v>698</v>
      </c>
      <c r="B3794" s="21" t="s">
        <v>920</v>
      </c>
      <c r="C3794" s="21" t="s">
        <v>26</v>
      </c>
      <c r="D3794" s="21" t="s">
        <v>921</v>
      </c>
      <c r="E3794" s="21">
        <v>0</v>
      </c>
      <c r="F3794" s="22">
        <v>46121.3951388889</v>
      </c>
      <c r="G3794" s="22">
        <v>46252.5689351852</v>
      </c>
      <c r="H3794" s="23">
        <v>99.89</v>
      </c>
      <c r="I3794" s="23">
        <v>99.89</v>
      </c>
      <c r="J3794" s="24">
        <v>0</v>
      </c>
      <c r="K3794" s="21">
        <v>0</v>
      </c>
      <c r="L3794" s="21">
        <v>0</v>
      </c>
      <c r="M3794" s="21">
        <f>COUNTIF($A$2:$A$5481,A3794)</f>
        <v>1</v>
      </c>
      <c r="N3794" s="24">
        <f t="shared" si="59"/>
        <v>0.0003794</v>
      </c>
    </row>
    <row r="3795" spans="1:14">
      <c r="A3795" s="21" t="s">
        <v>542</v>
      </c>
      <c r="B3795" s="21" t="s">
        <v>920</v>
      </c>
      <c r="C3795" s="21" t="s">
        <v>26</v>
      </c>
      <c r="D3795" s="21" t="s">
        <v>921</v>
      </c>
      <c r="E3795" s="21">
        <v>0</v>
      </c>
      <c r="F3795" s="22">
        <v>46248.5485416667</v>
      </c>
      <c r="G3795" s="22">
        <v>46248.6352546296</v>
      </c>
      <c r="H3795" s="23">
        <v>558</v>
      </c>
      <c r="I3795" s="23">
        <v>558</v>
      </c>
      <c r="J3795" s="24">
        <v>0</v>
      </c>
      <c r="K3795" s="21">
        <v>0</v>
      </c>
      <c r="L3795" s="21">
        <v>0</v>
      </c>
      <c r="M3795" s="21">
        <f>COUNTIF($A$2:$A$5481,A3795)</f>
        <v>1</v>
      </c>
      <c r="N3795" s="24">
        <f t="shared" si="59"/>
        <v>0.0003795</v>
      </c>
    </row>
    <row r="3796" spans="1:14">
      <c r="A3796" s="21" t="s">
        <v>284</v>
      </c>
      <c r="B3796" s="21" t="s">
        <v>920</v>
      </c>
      <c r="C3796" s="21" t="s">
        <v>26</v>
      </c>
      <c r="D3796" s="21" t="s">
        <v>921</v>
      </c>
      <c r="E3796" s="21">
        <v>0</v>
      </c>
      <c r="F3796" s="22">
        <v>46073.5318171296</v>
      </c>
      <c r="G3796" s="22">
        <v>46078.7269560185</v>
      </c>
      <c r="H3796" s="23">
        <v>558</v>
      </c>
      <c r="I3796" s="23">
        <v>558</v>
      </c>
      <c r="J3796" s="24">
        <v>0</v>
      </c>
      <c r="K3796" s="21">
        <v>0</v>
      </c>
      <c r="L3796" s="21">
        <v>0</v>
      </c>
      <c r="M3796" s="21">
        <f>COUNTIF($A$2:$A$5481,A3796)</f>
        <v>1</v>
      </c>
      <c r="N3796" s="24">
        <f t="shared" si="59"/>
        <v>0.0003796</v>
      </c>
    </row>
    <row r="3797" spans="1:14">
      <c r="A3797" s="21" t="s">
        <v>869</v>
      </c>
      <c r="B3797" s="21" t="s">
        <v>1115</v>
      </c>
      <c r="C3797" s="21" t="s">
        <v>51</v>
      </c>
      <c r="D3797" s="21" t="s">
        <v>921</v>
      </c>
      <c r="E3797" s="21">
        <v>35</v>
      </c>
      <c r="F3797" s="22">
        <v>46213.6402777778</v>
      </c>
      <c r="G3797" s="22">
        <v>46269.6130208333</v>
      </c>
      <c r="H3797" s="23">
        <v>4588</v>
      </c>
      <c r="I3797" s="23">
        <v>124</v>
      </c>
      <c r="J3797" s="24">
        <v>4340</v>
      </c>
      <c r="K3797" s="21">
        <v>0</v>
      </c>
      <c r="L3797" s="21">
        <v>0</v>
      </c>
      <c r="M3797" s="21">
        <f>COUNTIF($A$2:$A$5481,A3797)</f>
        <v>1</v>
      </c>
      <c r="N3797" s="24">
        <f t="shared" si="59"/>
        <v>4340.0003797</v>
      </c>
    </row>
    <row r="3798" spans="1:14">
      <c r="A3798" s="21" t="s">
        <v>34</v>
      </c>
      <c r="B3798" s="21" t="s">
        <v>920</v>
      </c>
      <c r="C3798" s="21" t="s">
        <v>35</v>
      </c>
      <c r="D3798" s="21" t="s">
        <v>921</v>
      </c>
      <c r="E3798" s="21">
        <v>1</v>
      </c>
      <c r="F3798" s="22">
        <v>45987.3845601852</v>
      </c>
      <c r="G3798" s="22"/>
      <c r="H3798" s="23">
        <v>820</v>
      </c>
      <c r="I3798" s="23">
        <v>820</v>
      </c>
      <c r="J3798" s="24">
        <v>820</v>
      </c>
      <c r="K3798" s="21">
        <v>0</v>
      </c>
      <c r="L3798" s="21">
        <v>0</v>
      </c>
      <c r="M3798" s="21">
        <f>COUNTIF($A$2:$A$5481,A3798)</f>
        <v>1</v>
      </c>
      <c r="N3798" s="24">
        <f t="shared" si="59"/>
        <v>820.0003798</v>
      </c>
    </row>
    <row r="3799" spans="1:14">
      <c r="A3799" s="21" t="s">
        <v>3644</v>
      </c>
      <c r="B3799" s="21" t="s">
        <v>26</v>
      </c>
      <c r="C3799" s="21" t="s">
        <v>26</v>
      </c>
      <c r="D3799" s="21" t="s">
        <v>921</v>
      </c>
      <c r="E3799" s="21">
        <v>1</v>
      </c>
      <c r="F3799" s="22">
        <v>45712.3630671296</v>
      </c>
      <c r="G3799" s="22"/>
      <c r="H3799" s="23">
        <v>60</v>
      </c>
      <c r="I3799" s="23">
        <v>60</v>
      </c>
      <c r="J3799" s="24">
        <v>60</v>
      </c>
      <c r="K3799" s="21">
        <v>0</v>
      </c>
      <c r="L3799" s="21">
        <v>0</v>
      </c>
      <c r="M3799" s="21">
        <f>COUNTIF($A$2:$A$5481,A3799)</f>
        <v>1</v>
      </c>
      <c r="N3799" s="24">
        <f t="shared" si="59"/>
        <v>60.0003799</v>
      </c>
    </row>
    <row r="3800" spans="1:14">
      <c r="A3800" s="21" t="s">
        <v>3645</v>
      </c>
      <c r="B3800" s="21" t="s">
        <v>1115</v>
      </c>
      <c r="C3800" s="21" t="s">
        <v>26</v>
      </c>
      <c r="D3800" s="21" t="s">
        <v>921</v>
      </c>
      <c r="E3800" s="21">
        <v>2</v>
      </c>
      <c r="F3800" s="22">
        <v>45742.8311458333</v>
      </c>
      <c r="G3800" s="22"/>
      <c r="H3800" s="23">
        <v>50</v>
      </c>
      <c r="I3800" s="23">
        <v>47.5</v>
      </c>
      <c r="J3800" s="24">
        <v>95</v>
      </c>
      <c r="K3800" s="21">
        <v>0</v>
      </c>
      <c r="L3800" s="21">
        <v>0</v>
      </c>
      <c r="M3800" s="21">
        <f>COUNTIF($A$2:$A$5481,A3800)</f>
        <v>1</v>
      </c>
      <c r="N3800" s="24">
        <f t="shared" si="59"/>
        <v>95.00038</v>
      </c>
    </row>
    <row r="3801" spans="1:14">
      <c r="A3801" s="21" t="s">
        <v>3646</v>
      </c>
      <c r="B3801" s="21" t="s">
        <v>929</v>
      </c>
      <c r="C3801" s="21" t="s">
        <v>414</v>
      </c>
      <c r="D3801" s="21" t="s">
        <v>921</v>
      </c>
      <c r="E3801" s="21">
        <v>6</v>
      </c>
      <c r="F3801" s="22">
        <v>45280.8258912037</v>
      </c>
      <c r="G3801" s="22"/>
      <c r="H3801" s="23">
        <v>73.68</v>
      </c>
      <c r="I3801" s="23">
        <v>12.28</v>
      </c>
      <c r="J3801" s="24">
        <v>73.68</v>
      </c>
      <c r="K3801" s="21">
        <v>2</v>
      </c>
      <c r="L3801" s="21">
        <v>8</v>
      </c>
      <c r="M3801" s="21">
        <f>COUNTIF($A$2:$A$5481,A3801)</f>
        <v>2</v>
      </c>
      <c r="N3801" s="24">
        <f t="shared" si="59"/>
        <v>73.6803801</v>
      </c>
    </row>
    <row r="3802" spans="1:14">
      <c r="A3802" s="21" t="s">
        <v>3646</v>
      </c>
      <c r="B3802" s="21" t="s">
        <v>929</v>
      </c>
      <c r="C3802" s="21" t="s">
        <v>26</v>
      </c>
      <c r="D3802" s="21" t="s">
        <v>921</v>
      </c>
      <c r="E3802" s="21">
        <v>18</v>
      </c>
      <c r="F3802" s="22">
        <v>45684.3652199074</v>
      </c>
      <c r="G3802" s="22"/>
      <c r="H3802" s="23">
        <v>73.68</v>
      </c>
      <c r="I3802" s="23">
        <v>10.42</v>
      </c>
      <c r="J3802" s="24">
        <v>187.56</v>
      </c>
      <c r="K3802" s="21">
        <v>2</v>
      </c>
      <c r="L3802" s="21">
        <v>8</v>
      </c>
      <c r="M3802" s="21">
        <f>COUNTIF($A$2:$A$5481,A3802)</f>
        <v>2</v>
      </c>
      <c r="N3802" s="24">
        <f t="shared" si="59"/>
        <v>187.5603802</v>
      </c>
    </row>
    <row r="3803" spans="1:14">
      <c r="A3803" s="21" t="s">
        <v>3647</v>
      </c>
      <c r="B3803" s="21" t="s">
        <v>920</v>
      </c>
      <c r="C3803" s="21" t="s">
        <v>26</v>
      </c>
      <c r="D3803" s="21" t="s">
        <v>921</v>
      </c>
      <c r="E3803" s="21">
        <v>6</v>
      </c>
      <c r="F3803" s="22">
        <v>46091.5455208333</v>
      </c>
      <c r="G3803" s="22"/>
      <c r="H3803" s="23">
        <v>138</v>
      </c>
      <c r="I3803" s="23">
        <v>23</v>
      </c>
      <c r="J3803" s="24">
        <v>138</v>
      </c>
      <c r="K3803" s="21">
        <v>0</v>
      </c>
      <c r="L3803" s="21">
        <v>0</v>
      </c>
      <c r="M3803" s="21">
        <f>COUNTIF($A$2:$A$5481,A3803)</f>
        <v>1</v>
      </c>
      <c r="N3803" s="24">
        <f t="shared" si="59"/>
        <v>138.0003803</v>
      </c>
    </row>
    <row r="3804" spans="1:14">
      <c r="A3804" s="21" t="s">
        <v>3648</v>
      </c>
      <c r="B3804" s="21" t="s">
        <v>920</v>
      </c>
      <c r="C3804" s="21" t="s">
        <v>26</v>
      </c>
      <c r="D3804" s="21" t="s">
        <v>921</v>
      </c>
      <c r="E3804" s="21">
        <v>17</v>
      </c>
      <c r="F3804" s="22">
        <v>46094.5439236111</v>
      </c>
      <c r="G3804" s="22">
        <v>45638.4354398148</v>
      </c>
      <c r="H3804" s="23">
        <v>108</v>
      </c>
      <c r="I3804" s="23">
        <v>16.5411764706</v>
      </c>
      <c r="J3804" s="24">
        <v>281.18</v>
      </c>
      <c r="K3804" s="21">
        <v>0</v>
      </c>
      <c r="L3804" s="21">
        <v>0</v>
      </c>
      <c r="M3804" s="21">
        <f>COUNTIF($A$2:$A$5481,A3804)</f>
        <v>1</v>
      </c>
      <c r="N3804" s="24">
        <f t="shared" si="59"/>
        <v>281.1803804</v>
      </c>
    </row>
    <row r="3805" spans="1:14">
      <c r="A3805" s="21" t="s">
        <v>3649</v>
      </c>
      <c r="B3805" s="21" t="s">
        <v>920</v>
      </c>
      <c r="C3805" s="21" t="s">
        <v>26</v>
      </c>
      <c r="D3805" s="21" t="s">
        <v>921</v>
      </c>
      <c r="E3805" s="21">
        <v>1</v>
      </c>
      <c r="F3805" s="22">
        <v>46034.5614930556</v>
      </c>
      <c r="G3805" s="22"/>
      <c r="H3805" s="23">
        <v>56.04</v>
      </c>
      <c r="I3805" s="23">
        <v>56.04</v>
      </c>
      <c r="J3805" s="24">
        <v>56.04</v>
      </c>
      <c r="K3805" s="21">
        <v>0</v>
      </c>
      <c r="L3805" s="21">
        <v>0</v>
      </c>
      <c r="M3805" s="21">
        <f>COUNTIF($A$2:$A$5481,A3805)</f>
        <v>1</v>
      </c>
      <c r="N3805" s="24">
        <f t="shared" si="59"/>
        <v>56.0403805</v>
      </c>
    </row>
    <row r="3806" spans="1:14">
      <c r="A3806" s="21" t="s">
        <v>3650</v>
      </c>
      <c r="B3806" s="21" t="s">
        <v>920</v>
      </c>
      <c r="C3806" s="21" t="s">
        <v>26</v>
      </c>
      <c r="D3806" s="21" t="s">
        <v>931</v>
      </c>
      <c r="E3806" s="21">
        <v>1</v>
      </c>
      <c r="F3806" s="22">
        <v>45784.3668171296</v>
      </c>
      <c r="G3806" s="22"/>
      <c r="H3806" s="23">
        <v>50</v>
      </c>
      <c r="I3806" s="23">
        <v>50</v>
      </c>
      <c r="J3806" s="24">
        <v>50</v>
      </c>
      <c r="K3806" s="21">
        <v>0</v>
      </c>
      <c r="L3806" s="21">
        <v>0</v>
      </c>
      <c r="M3806" s="21">
        <f>COUNTIF($A$2:$A$5481,A3806)</f>
        <v>1</v>
      </c>
      <c r="N3806" s="24">
        <f t="shared" si="59"/>
        <v>50.0003806</v>
      </c>
    </row>
    <row r="3807" spans="1:14">
      <c r="A3807" s="21" t="s">
        <v>3651</v>
      </c>
      <c r="B3807" s="21" t="s">
        <v>920</v>
      </c>
      <c r="C3807" s="21" t="s">
        <v>35</v>
      </c>
      <c r="D3807" s="21" t="s">
        <v>921</v>
      </c>
      <c r="E3807" s="21">
        <v>3</v>
      </c>
      <c r="F3807" s="22">
        <v>45362.6871412037</v>
      </c>
      <c r="G3807" s="22"/>
      <c r="H3807" s="23">
        <v>12</v>
      </c>
      <c r="I3807" s="23">
        <v>4</v>
      </c>
      <c r="J3807" s="24">
        <v>12</v>
      </c>
      <c r="K3807" s="21">
        <v>0</v>
      </c>
      <c r="L3807" s="21">
        <v>0</v>
      </c>
      <c r="M3807" s="21">
        <f>COUNTIF($A$2:$A$5481,A3807)</f>
        <v>1</v>
      </c>
      <c r="N3807" s="24">
        <f t="shared" si="59"/>
        <v>12.0003807</v>
      </c>
    </row>
    <row r="3808" spans="1:14">
      <c r="A3808" s="21" t="s">
        <v>3652</v>
      </c>
      <c r="B3808" s="21" t="s">
        <v>920</v>
      </c>
      <c r="C3808" s="21" t="s">
        <v>26</v>
      </c>
      <c r="D3808" s="21" t="s">
        <v>1217</v>
      </c>
      <c r="E3808" s="21">
        <v>1</v>
      </c>
      <c r="F3808" s="22">
        <v>45553.8396412037</v>
      </c>
      <c r="G3808" s="22"/>
      <c r="H3808" s="23">
        <v>4</v>
      </c>
      <c r="I3808" s="23">
        <v>4</v>
      </c>
      <c r="J3808" s="24">
        <v>4</v>
      </c>
      <c r="K3808" s="21">
        <v>0</v>
      </c>
      <c r="L3808" s="21">
        <v>0</v>
      </c>
      <c r="M3808" s="21">
        <f>COUNTIF($A$2:$A$5481,A3808)</f>
        <v>1</v>
      </c>
      <c r="N3808" s="24">
        <f t="shared" si="59"/>
        <v>4.0003808</v>
      </c>
    </row>
    <row r="3809" spans="1:14">
      <c r="A3809" s="21" t="s">
        <v>3653</v>
      </c>
      <c r="B3809" s="21" t="s">
        <v>920</v>
      </c>
      <c r="C3809" s="21" t="s">
        <v>26</v>
      </c>
      <c r="D3809" s="21" t="s">
        <v>921</v>
      </c>
      <c r="E3809" s="21">
        <v>6</v>
      </c>
      <c r="F3809" s="22">
        <v>46220.5863541667</v>
      </c>
      <c r="G3809" s="22"/>
      <c r="H3809" s="23">
        <v>78</v>
      </c>
      <c r="I3809" s="23">
        <v>13</v>
      </c>
      <c r="J3809" s="24">
        <v>78</v>
      </c>
      <c r="K3809" s="21">
        <v>0</v>
      </c>
      <c r="L3809" s="21">
        <v>0</v>
      </c>
      <c r="M3809" s="21">
        <f>COUNTIF($A$2:$A$5481,A3809)</f>
        <v>1</v>
      </c>
      <c r="N3809" s="24">
        <f t="shared" si="59"/>
        <v>78.0003809</v>
      </c>
    </row>
    <row r="3810" spans="1:14">
      <c r="A3810" s="21" t="s">
        <v>3654</v>
      </c>
      <c r="B3810" s="21" t="s">
        <v>1175</v>
      </c>
      <c r="C3810" s="21" t="s">
        <v>182</v>
      </c>
      <c r="D3810" s="21" t="s">
        <v>921</v>
      </c>
      <c r="E3810" s="21">
        <v>0</v>
      </c>
      <c r="F3810" s="22">
        <v>45321.7354166667</v>
      </c>
      <c r="G3810" s="22">
        <v>45330.4620486111</v>
      </c>
      <c r="H3810" s="23">
        <v>803.4</v>
      </c>
      <c r="I3810" s="23">
        <v>40.17</v>
      </c>
      <c r="J3810" s="24">
        <v>0</v>
      </c>
      <c r="K3810" s="21">
        <v>0</v>
      </c>
      <c r="L3810" s="21">
        <v>0</v>
      </c>
      <c r="M3810" s="21">
        <f>COUNTIF($A$2:$A$5481,A3810)</f>
        <v>2</v>
      </c>
      <c r="N3810" s="24">
        <f t="shared" si="59"/>
        <v>0.000381</v>
      </c>
    </row>
    <row r="3811" spans="1:14">
      <c r="A3811" s="21" t="s">
        <v>3654</v>
      </c>
      <c r="B3811" s="21" t="s">
        <v>1175</v>
      </c>
      <c r="C3811" s="21" t="s">
        <v>26</v>
      </c>
      <c r="D3811" s="21" t="s">
        <v>921</v>
      </c>
      <c r="E3811" s="21">
        <v>22</v>
      </c>
      <c r="F3811" s="22">
        <v>45755.6425</v>
      </c>
      <c r="G3811" s="22"/>
      <c r="H3811" s="23">
        <v>99.12</v>
      </c>
      <c r="I3811" s="23">
        <v>16.20545</v>
      </c>
      <c r="J3811" s="24">
        <v>356.62</v>
      </c>
      <c r="K3811" s="21">
        <v>0</v>
      </c>
      <c r="L3811" s="21">
        <v>0</v>
      </c>
      <c r="M3811" s="21">
        <f>COUNTIF($A$2:$A$5481,A3811)</f>
        <v>2</v>
      </c>
      <c r="N3811" s="24">
        <f t="shared" si="59"/>
        <v>356.6203811</v>
      </c>
    </row>
    <row r="3812" spans="1:14">
      <c r="A3812" s="21" t="s">
        <v>3655</v>
      </c>
      <c r="B3812" s="21" t="s">
        <v>929</v>
      </c>
      <c r="C3812" s="21" t="s">
        <v>26</v>
      </c>
      <c r="D3812" s="21" t="s">
        <v>921</v>
      </c>
      <c r="E3812" s="21">
        <v>4</v>
      </c>
      <c r="F3812" s="22">
        <v>45796.823587963</v>
      </c>
      <c r="G3812" s="22"/>
      <c r="H3812" s="23">
        <v>98.4</v>
      </c>
      <c r="I3812" s="23">
        <v>24.6</v>
      </c>
      <c r="J3812" s="24">
        <v>98.4</v>
      </c>
      <c r="K3812" s="21">
        <v>0</v>
      </c>
      <c r="L3812" s="21">
        <v>0</v>
      </c>
      <c r="M3812" s="21">
        <f>COUNTIF($A$2:$A$5481,A3812)</f>
        <v>1</v>
      </c>
      <c r="N3812" s="24">
        <f t="shared" si="59"/>
        <v>98.4003812</v>
      </c>
    </row>
    <row r="3813" spans="1:14">
      <c r="A3813" s="21" t="s">
        <v>3656</v>
      </c>
      <c r="B3813" s="21" t="s">
        <v>929</v>
      </c>
      <c r="C3813" s="21" t="s">
        <v>26</v>
      </c>
      <c r="D3813" s="21" t="s">
        <v>921</v>
      </c>
      <c r="E3813" s="21">
        <v>6</v>
      </c>
      <c r="F3813" s="22">
        <v>45796.819837963</v>
      </c>
      <c r="G3813" s="22"/>
      <c r="H3813" s="23">
        <v>78.9</v>
      </c>
      <c r="I3813" s="23">
        <v>13.15</v>
      </c>
      <c r="J3813" s="24">
        <v>78.9</v>
      </c>
      <c r="K3813" s="21">
        <v>0</v>
      </c>
      <c r="L3813" s="21">
        <v>0</v>
      </c>
      <c r="M3813" s="21">
        <f>COUNTIF($A$2:$A$5481,A3813)</f>
        <v>1</v>
      </c>
      <c r="N3813" s="24">
        <f t="shared" si="59"/>
        <v>78.9003813</v>
      </c>
    </row>
    <row r="3814" spans="1:14">
      <c r="A3814" s="21" t="s">
        <v>3657</v>
      </c>
      <c r="B3814" s="21" t="s">
        <v>26</v>
      </c>
      <c r="C3814" s="21" t="s">
        <v>26</v>
      </c>
      <c r="D3814" s="21" t="s">
        <v>921</v>
      </c>
      <c r="E3814" s="21">
        <v>4</v>
      </c>
      <c r="F3814" s="22">
        <v>45653.3665509259</v>
      </c>
      <c r="G3814" s="22"/>
      <c r="H3814" s="23">
        <v>27.4</v>
      </c>
      <c r="I3814" s="23">
        <v>13.7</v>
      </c>
      <c r="J3814" s="24">
        <v>54.8</v>
      </c>
      <c r="K3814" s="21">
        <v>0</v>
      </c>
      <c r="L3814" s="21">
        <v>0</v>
      </c>
      <c r="M3814" s="21">
        <f>COUNTIF($A$2:$A$5481,A3814)</f>
        <v>1</v>
      </c>
      <c r="N3814" s="24">
        <f t="shared" si="59"/>
        <v>54.8003814</v>
      </c>
    </row>
    <row r="3815" spans="1:14">
      <c r="A3815" s="21" t="s">
        <v>3658</v>
      </c>
      <c r="B3815" s="21" t="s">
        <v>26</v>
      </c>
      <c r="C3815" s="21" t="s">
        <v>26</v>
      </c>
      <c r="D3815" s="21" t="s">
        <v>921</v>
      </c>
      <c r="E3815" s="21">
        <v>6</v>
      </c>
      <c r="F3815" s="22">
        <v>45653.3665509259</v>
      </c>
      <c r="G3815" s="22"/>
      <c r="H3815" s="23">
        <v>38.46</v>
      </c>
      <c r="I3815" s="23">
        <v>12.82</v>
      </c>
      <c r="J3815" s="24">
        <v>76.92</v>
      </c>
      <c r="K3815" s="21">
        <v>0</v>
      </c>
      <c r="L3815" s="21">
        <v>0</v>
      </c>
      <c r="M3815" s="21">
        <f>COUNTIF($A$2:$A$5481,A3815)</f>
        <v>1</v>
      </c>
      <c r="N3815" s="24">
        <f t="shared" si="59"/>
        <v>76.9203815</v>
      </c>
    </row>
    <row r="3816" spans="1:14">
      <c r="A3816" s="21" t="s">
        <v>3659</v>
      </c>
      <c r="B3816" s="21" t="s">
        <v>929</v>
      </c>
      <c r="C3816" s="21" t="s">
        <v>414</v>
      </c>
      <c r="D3816" s="21" t="s">
        <v>921</v>
      </c>
      <c r="E3816" s="21">
        <v>1</v>
      </c>
      <c r="F3816" s="22">
        <v>45308.6041666667</v>
      </c>
      <c r="G3816" s="22"/>
      <c r="H3816" s="23">
        <v>29.05</v>
      </c>
      <c r="I3816" s="23">
        <v>29.05</v>
      </c>
      <c r="J3816" s="24">
        <v>29.05</v>
      </c>
      <c r="K3816" s="21">
        <v>0</v>
      </c>
      <c r="L3816" s="21">
        <v>0</v>
      </c>
      <c r="M3816" s="21">
        <f>COUNTIF($A$2:$A$5481,A3816)</f>
        <v>1</v>
      </c>
      <c r="N3816" s="24">
        <f t="shared" si="59"/>
        <v>29.0503816</v>
      </c>
    </row>
    <row r="3817" spans="1:14">
      <c r="A3817" s="21" t="s">
        <v>3660</v>
      </c>
      <c r="B3817" s="21" t="s">
        <v>929</v>
      </c>
      <c r="C3817" s="21" t="s">
        <v>414</v>
      </c>
      <c r="D3817" s="21" t="s">
        <v>921</v>
      </c>
      <c r="E3817" s="21">
        <v>2</v>
      </c>
      <c r="F3817" s="22">
        <v>45337.8132060185</v>
      </c>
      <c r="G3817" s="22"/>
      <c r="H3817" s="23">
        <v>16.9</v>
      </c>
      <c r="I3817" s="23">
        <v>8.45</v>
      </c>
      <c r="J3817" s="24">
        <v>16.9</v>
      </c>
      <c r="K3817" s="21">
        <v>0</v>
      </c>
      <c r="L3817" s="21">
        <v>0</v>
      </c>
      <c r="M3817" s="21">
        <f>COUNTIF($A$2:$A$5481,A3817)</f>
        <v>1</v>
      </c>
      <c r="N3817" s="24">
        <f t="shared" si="59"/>
        <v>16.9003817</v>
      </c>
    </row>
    <row r="3818" spans="1:14">
      <c r="A3818" s="21" t="s">
        <v>3661</v>
      </c>
      <c r="B3818" s="21" t="s">
        <v>920</v>
      </c>
      <c r="C3818" s="21" t="s">
        <v>26</v>
      </c>
      <c r="D3818" s="21" t="s">
        <v>921</v>
      </c>
      <c r="E3818" s="21">
        <v>4</v>
      </c>
      <c r="F3818" s="22">
        <v>46198.6467013889</v>
      </c>
      <c r="G3818" s="22"/>
      <c r="H3818" s="23">
        <v>18</v>
      </c>
      <c r="I3818" s="23">
        <v>4.5</v>
      </c>
      <c r="J3818" s="24">
        <v>18</v>
      </c>
      <c r="K3818" s="21">
        <v>0</v>
      </c>
      <c r="L3818" s="21">
        <v>0</v>
      </c>
      <c r="M3818" s="21">
        <f>COUNTIF($A$2:$A$5481,A3818)</f>
        <v>1</v>
      </c>
      <c r="N3818" s="24">
        <f t="shared" si="59"/>
        <v>18.0003818</v>
      </c>
    </row>
    <row r="3819" spans="1:14">
      <c r="A3819" s="21" t="s">
        <v>3662</v>
      </c>
      <c r="B3819" s="21" t="s">
        <v>26</v>
      </c>
      <c r="C3819" s="21" t="s">
        <v>26</v>
      </c>
      <c r="D3819" s="21" t="s">
        <v>921</v>
      </c>
      <c r="E3819" s="21">
        <v>6</v>
      </c>
      <c r="F3819" s="22">
        <v>45805.8163425926</v>
      </c>
      <c r="G3819" s="22"/>
      <c r="H3819" s="23">
        <v>30</v>
      </c>
      <c r="I3819" s="23">
        <v>5</v>
      </c>
      <c r="J3819" s="24">
        <v>30</v>
      </c>
      <c r="K3819" s="21">
        <v>0</v>
      </c>
      <c r="L3819" s="21">
        <v>0</v>
      </c>
      <c r="M3819" s="21">
        <f>COUNTIF($A$2:$A$5481,A3819)</f>
        <v>1</v>
      </c>
      <c r="N3819" s="24">
        <f t="shared" si="59"/>
        <v>30.0003819</v>
      </c>
    </row>
    <row r="3820" spans="1:14">
      <c r="A3820" s="21" t="s">
        <v>3663</v>
      </c>
      <c r="B3820" s="21" t="s">
        <v>26</v>
      </c>
      <c r="C3820" s="21" t="s">
        <v>35</v>
      </c>
      <c r="D3820" s="21" t="s">
        <v>921</v>
      </c>
      <c r="E3820" s="21">
        <v>10</v>
      </c>
      <c r="F3820" s="22">
        <v>45422.3680555556</v>
      </c>
      <c r="G3820" s="22"/>
      <c r="H3820" s="23">
        <v>120</v>
      </c>
      <c r="I3820" s="23">
        <v>12</v>
      </c>
      <c r="J3820" s="24">
        <v>120</v>
      </c>
      <c r="K3820" s="21">
        <v>0</v>
      </c>
      <c r="L3820" s="21">
        <v>0</v>
      </c>
      <c r="M3820" s="21">
        <f>COUNTIF($A$2:$A$5481,A3820)</f>
        <v>2</v>
      </c>
      <c r="N3820" s="24">
        <f t="shared" si="59"/>
        <v>120.000382</v>
      </c>
    </row>
    <row r="3821" spans="1:14">
      <c r="A3821" s="21" t="s">
        <v>3663</v>
      </c>
      <c r="B3821" s="21" t="s">
        <v>26</v>
      </c>
      <c r="C3821" s="21" t="s">
        <v>26</v>
      </c>
      <c r="D3821" s="21" t="s">
        <v>921</v>
      </c>
      <c r="E3821" s="21">
        <v>4</v>
      </c>
      <c r="F3821" s="22">
        <v>46197.641412037</v>
      </c>
      <c r="G3821" s="22"/>
      <c r="H3821" s="23">
        <v>98</v>
      </c>
      <c r="I3821" s="23">
        <v>28.38</v>
      </c>
      <c r="J3821" s="24">
        <v>113.52</v>
      </c>
      <c r="K3821" s="21">
        <v>0</v>
      </c>
      <c r="L3821" s="21">
        <v>0</v>
      </c>
      <c r="M3821" s="21">
        <f>COUNTIF($A$2:$A$5481,A3821)</f>
        <v>2</v>
      </c>
      <c r="N3821" s="24">
        <f t="shared" si="59"/>
        <v>113.5203821</v>
      </c>
    </row>
    <row r="3822" spans="1:14">
      <c r="A3822" s="21" t="s">
        <v>3664</v>
      </c>
      <c r="B3822" s="21" t="s">
        <v>1115</v>
      </c>
      <c r="C3822" s="21" t="s">
        <v>51</v>
      </c>
      <c r="D3822" s="21" t="s">
        <v>921</v>
      </c>
      <c r="E3822" s="21">
        <v>8</v>
      </c>
      <c r="F3822" s="22">
        <v>46065.4299884259</v>
      </c>
      <c r="G3822" s="22"/>
      <c r="H3822" s="23">
        <v>720</v>
      </c>
      <c r="I3822" s="23">
        <v>90</v>
      </c>
      <c r="J3822" s="24">
        <v>720</v>
      </c>
      <c r="K3822" s="21">
        <v>0</v>
      </c>
      <c r="L3822" s="21">
        <v>0</v>
      </c>
      <c r="M3822" s="21">
        <f>COUNTIF($A$2:$A$5481,A3822)</f>
        <v>1</v>
      </c>
      <c r="N3822" s="24">
        <f t="shared" si="59"/>
        <v>720.0003822</v>
      </c>
    </row>
    <row r="3823" spans="1:14">
      <c r="A3823" s="21" t="s">
        <v>3665</v>
      </c>
      <c r="B3823" s="21" t="s">
        <v>920</v>
      </c>
      <c r="C3823" s="21" t="s">
        <v>26</v>
      </c>
      <c r="D3823" s="21" t="s">
        <v>921</v>
      </c>
      <c r="E3823" s="21">
        <v>2</v>
      </c>
      <c r="F3823" s="22">
        <v>45623.8437037037</v>
      </c>
      <c r="G3823" s="22"/>
      <c r="H3823" s="23">
        <v>300</v>
      </c>
      <c r="I3823" s="23">
        <v>150</v>
      </c>
      <c r="J3823" s="24">
        <v>300</v>
      </c>
      <c r="K3823" s="21">
        <v>0</v>
      </c>
      <c r="L3823" s="21">
        <v>0</v>
      </c>
      <c r="M3823" s="21">
        <f>COUNTIF($A$2:$A$5481,A3823)</f>
        <v>1</v>
      </c>
      <c r="N3823" s="24">
        <f t="shared" si="59"/>
        <v>300.0003823</v>
      </c>
    </row>
    <row r="3824" spans="1:14">
      <c r="A3824" s="21" t="s">
        <v>3666</v>
      </c>
      <c r="B3824" s="21" t="s">
        <v>1352</v>
      </c>
      <c r="C3824" s="21" t="s">
        <v>35</v>
      </c>
      <c r="D3824" s="21" t="s">
        <v>921</v>
      </c>
      <c r="E3824" s="21">
        <v>6</v>
      </c>
      <c r="F3824" s="22">
        <v>45338.4777777778</v>
      </c>
      <c r="G3824" s="22"/>
      <c r="H3824" s="23">
        <v>1170</v>
      </c>
      <c r="I3824" s="23">
        <v>195</v>
      </c>
      <c r="J3824" s="24">
        <v>1170</v>
      </c>
      <c r="K3824" s="21">
        <v>0</v>
      </c>
      <c r="L3824" s="21">
        <v>0</v>
      </c>
      <c r="M3824" s="21">
        <f>COUNTIF($A$2:$A$5481,A3824)</f>
        <v>2</v>
      </c>
      <c r="N3824" s="24">
        <f t="shared" si="59"/>
        <v>1170.0003824</v>
      </c>
    </row>
    <row r="3825" spans="1:14">
      <c r="A3825" s="21" t="s">
        <v>3666</v>
      </c>
      <c r="B3825" s="21" t="s">
        <v>1352</v>
      </c>
      <c r="C3825" s="21" t="s">
        <v>51</v>
      </c>
      <c r="D3825" s="21" t="s">
        <v>921</v>
      </c>
      <c r="E3825" s="21">
        <v>5</v>
      </c>
      <c r="F3825" s="22">
        <v>46065.4299884259</v>
      </c>
      <c r="G3825" s="22"/>
      <c r="H3825" s="23">
        <v>550</v>
      </c>
      <c r="I3825" s="23">
        <v>110</v>
      </c>
      <c r="J3825" s="24">
        <v>550</v>
      </c>
      <c r="K3825" s="21">
        <v>0</v>
      </c>
      <c r="L3825" s="21">
        <v>0</v>
      </c>
      <c r="M3825" s="21">
        <f>COUNTIF($A$2:$A$5481,A3825)</f>
        <v>2</v>
      </c>
      <c r="N3825" s="24">
        <f t="shared" si="59"/>
        <v>550.0003825</v>
      </c>
    </row>
    <row r="3826" spans="1:14">
      <c r="A3826" s="21" t="s">
        <v>3667</v>
      </c>
      <c r="B3826" s="21" t="s">
        <v>920</v>
      </c>
      <c r="C3826" s="21" t="s">
        <v>26</v>
      </c>
      <c r="D3826" s="21" t="s">
        <v>921</v>
      </c>
      <c r="E3826" s="21">
        <v>4</v>
      </c>
      <c r="F3826" s="22">
        <v>45985.6866203704</v>
      </c>
      <c r="G3826" s="22"/>
      <c r="H3826" s="23">
        <v>356</v>
      </c>
      <c r="I3826" s="23">
        <v>89</v>
      </c>
      <c r="J3826" s="24">
        <v>356</v>
      </c>
      <c r="K3826" s="21">
        <v>0</v>
      </c>
      <c r="L3826" s="21">
        <v>0</v>
      </c>
      <c r="M3826" s="21">
        <f>COUNTIF($A$2:$A$5481,A3826)</f>
        <v>1</v>
      </c>
      <c r="N3826" s="24">
        <f t="shared" si="59"/>
        <v>356.0003826</v>
      </c>
    </row>
    <row r="3827" spans="1:14">
      <c r="A3827" s="21" t="s">
        <v>3668</v>
      </c>
      <c r="B3827" s="21" t="s">
        <v>920</v>
      </c>
      <c r="C3827" s="21" t="s">
        <v>35</v>
      </c>
      <c r="D3827" s="21" t="s">
        <v>931</v>
      </c>
      <c r="E3827" s="21">
        <v>2</v>
      </c>
      <c r="F3827" s="22">
        <v>45791.6103703704</v>
      </c>
      <c r="G3827" s="22"/>
      <c r="H3827" s="23">
        <v>330</v>
      </c>
      <c r="I3827" s="23">
        <v>165</v>
      </c>
      <c r="J3827" s="24">
        <v>330</v>
      </c>
      <c r="K3827" s="21">
        <v>0</v>
      </c>
      <c r="L3827" s="21">
        <v>0</v>
      </c>
      <c r="M3827" s="21">
        <f>COUNTIF($A$2:$A$5481,A3827)</f>
        <v>1</v>
      </c>
      <c r="N3827" s="24">
        <f t="shared" si="59"/>
        <v>330.0003827</v>
      </c>
    </row>
    <row r="3828" spans="1:14">
      <c r="A3828" s="21" t="s">
        <v>3669</v>
      </c>
      <c r="B3828" s="21" t="s">
        <v>920</v>
      </c>
      <c r="C3828" s="21" t="s">
        <v>26</v>
      </c>
      <c r="D3828" s="21" t="s">
        <v>931</v>
      </c>
      <c r="E3828" s="21">
        <v>5</v>
      </c>
      <c r="F3828" s="22">
        <v>45791.3648032407</v>
      </c>
      <c r="G3828" s="22"/>
      <c r="H3828" s="23">
        <v>153.5</v>
      </c>
      <c r="I3828" s="23">
        <v>30.7</v>
      </c>
      <c r="J3828" s="24">
        <v>153.5</v>
      </c>
      <c r="K3828" s="21">
        <v>0</v>
      </c>
      <c r="L3828" s="21">
        <v>0</v>
      </c>
      <c r="M3828" s="21">
        <f>COUNTIF($A$2:$A$5481,A3828)</f>
        <v>1</v>
      </c>
      <c r="N3828" s="24">
        <f t="shared" si="59"/>
        <v>153.5003828</v>
      </c>
    </row>
    <row r="3829" spans="1:14">
      <c r="A3829" s="21" t="s">
        <v>3670</v>
      </c>
      <c r="B3829" s="21" t="s">
        <v>920</v>
      </c>
      <c r="C3829" s="21" t="s">
        <v>26</v>
      </c>
      <c r="D3829" s="21" t="s">
        <v>931</v>
      </c>
      <c r="E3829" s="21">
        <v>5</v>
      </c>
      <c r="F3829" s="22">
        <v>45791.3648032407</v>
      </c>
      <c r="G3829" s="22"/>
      <c r="H3829" s="23">
        <v>63</v>
      </c>
      <c r="I3829" s="23">
        <v>12.6</v>
      </c>
      <c r="J3829" s="24">
        <v>63</v>
      </c>
      <c r="K3829" s="21">
        <v>0</v>
      </c>
      <c r="L3829" s="21">
        <v>0</v>
      </c>
      <c r="M3829" s="21">
        <f>COUNTIF($A$2:$A$5481,A3829)</f>
        <v>1</v>
      </c>
      <c r="N3829" s="24">
        <f t="shared" si="59"/>
        <v>63.0003829</v>
      </c>
    </row>
    <row r="3830" spans="1:14">
      <c r="A3830" s="21" t="s">
        <v>3671</v>
      </c>
      <c r="B3830" s="21" t="s">
        <v>920</v>
      </c>
      <c r="C3830" s="21" t="s">
        <v>26</v>
      </c>
      <c r="D3830" s="21" t="s">
        <v>921</v>
      </c>
      <c r="E3830" s="21">
        <v>3</v>
      </c>
      <c r="F3830" s="22">
        <v>45399.8204398148</v>
      </c>
      <c r="G3830" s="22"/>
      <c r="H3830" s="23">
        <v>104.22</v>
      </c>
      <c r="I3830" s="23">
        <v>34.74</v>
      </c>
      <c r="J3830" s="24">
        <v>104.22</v>
      </c>
      <c r="K3830" s="21">
        <v>0</v>
      </c>
      <c r="L3830" s="21">
        <v>0</v>
      </c>
      <c r="M3830" s="21">
        <f>COUNTIF($A$2:$A$5481,A3830)</f>
        <v>1</v>
      </c>
      <c r="N3830" s="24">
        <f t="shared" si="59"/>
        <v>104.220383</v>
      </c>
    </row>
    <row r="3831" spans="1:14">
      <c r="A3831" s="21" t="s">
        <v>3672</v>
      </c>
      <c r="B3831" s="21" t="s">
        <v>920</v>
      </c>
      <c r="C3831" s="21" t="s">
        <v>26</v>
      </c>
      <c r="D3831" s="21" t="s">
        <v>931</v>
      </c>
      <c r="E3831" s="21">
        <v>0</v>
      </c>
      <c r="F3831" s="22">
        <v>45736.4490046296</v>
      </c>
      <c r="G3831" s="22">
        <v>45747.4620023148</v>
      </c>
      <c r="H3831" s="23">
        <v>204.25</v>
      </c>
      <c r="I3831" s="23">
        <v>204.25</v>
      </c>
      <c r="J3831" s="24">
        <v>0</v>
      </c>
      <c r="K3831" s="21">
        <v>0</v>
      </c>
      <c r="L3831" s="21">
        <v>0</v>
      </c>
      <c r="M3831" s="21">
        <f>COUNTIF($A$2:$A$5481,A3831)</f>
        <v>1</v>
      </c>
      <c r="N3831" s="24">
        <f t="shared" si="59"/>
        <v>0.0003831</v>
      </c>
    </row>
    <row r="3832" spans="1:14">
      <c r="A3832" s="21" t="s">
        <v>3673</v>
      </c>
      <c r="B3832" s="21" t="s">
        <v>920</v>
      </c>
      <c r="C3832" s="21" t="s">
        <v>26</v>
      </c>
      <c r="D3832" s="21" t="s">
        <v>931</v>
      </c>
      <c r="E3832" s="21">
        <v>16</v>
      </c>
      <c r="F3832" s="22">
        <v>46216.7021990741</v>
      </c>
      <c r="G3832" s="22"/>
      <c r="H3832" s="23">
        <v>513.54</v>
      </c>
      <c r="I3832" s="23">
        <v>78.97125</v>
      </c>
      <c r="J3832" s="24">
        <v>1263.52</v>
      </c>
      <c r="K3832" s="21">
        <v>0</v>
      </c>
      <c r="L3832" s="21">
        <v>0</v>
      </c>
      <c r="M3832" s="21">
        <f>COUNTIF($A$2:$A$5481,A3832)</f>
        <v>1</v>
      </c>
      <c r="N3832" s="24">
        <f t="shared" si="59"/>
        <v>1263.5203832</v>
      </c>
    </row>
    <row r="3833" spans="1:14">
      <c r="A3833" s="21" t="s">
        <v>3674</v>
      </c>
      <c r="B3833" s="21" t="s">
        <v>920</v>
      </c>
      <c r="C3833" s="21" t="s">
        <v>26</v>
      </c>
      <c r="D3833" s="21" t="s">
        <v>921</v>
      </c>
      <c r="E3833" s="21">
        <v>11</v>
      </c>
      <c r="F3833" s="22">
        <v>46014.7219328704</v>
      </c>
      <c r="G3833" s="22"/>
      <c r="H3833" s="23">
        <v>405.8</v>
      </c>
      <c r="I3833" s="23">
        <v>87.2290909091</v>
      </c>
      <c r="J3833" s="24">
        <v>959.53</v>
      </c>
      <c r="K3833" s="21">
        <v>0</v>
      </c>
      <c r="L3833" s="21">
        <v>0</v>
      </c>
      <c r="M3833" s="21">
        <f>COUNTIF($A$2:$A$5481,A3833)</f>
        <v>1</v>
      </c>
      <c r="N3833" s="24">
        <f t="shared" si="59"/>
        <v>959.5303833</v>
      </c>
    </row>
    <row r="3834" spans="1:14">
      <c r="A3834" s="21" t="s">
        <v>3675</v>
      </c>
      <c r="B3834" s="21" t="s">
        <v>929</v>
      </c>
      <c r="C3834" s="21" t="s">
        <v>414</v>
      </c>
      <c r="D3834" s="21" t="s">
        <v>921</v>
      </c>
      <c r="E3834" s="21">
        <v>30</v>
      </c>
      <c r="F3834" s="22">
        <v>45349.8062268519</v>
      </c>
      <c r="G3834" s="22">
        <v>45310.4119328704</v>
      </c>
      <c r="H3834" s="23">
        <v>915.2</v>
      </c>
      <c r="I3834" s="23">
        <v>45.76</v>
      </c>
      <c r="J3834" s="24">
        <v>1372.8</v>
      </c>
      <c r="K3834" s="21">
        <v>0</v>
      </c>
      <c r="L3834" s="21">
        <v>0</v>
      </c>
      <c r="M3834" s="21">
        <f>COUNTIF($A$2:$A$5481,A3834)</f>
        <v>2</v>
      </c>
      <c r="N3834" s="24">
        <f t="shared" si="59"/>
        <v>1372.8003834</v>
      </c>
    </row>
    <row r="3835" spans="1:14">
      <c r="A3835" s="21" t="s">
        <v>3675</v>
      </c>
      <c r="B3835" s="21" t="s">
        <v>929</v>
      </c>
      <c r="C3835" s="21" t="s">
        <v>26</v>
      </c>
      <c r="D3835" s="21" t="s">
        <v>921</v>
      </c>
      <c r="E3835" s="21">
        <v>45</v>
      </c>
      <c r="F3835" s="22">
        <v>45439.8183449074</v>
      </c>
      <c r="G3835" s="22"/>
      <c r="H3835" s="23">
        <v>457.6</v>
      </c>
      <c r="I3835" s="23">
        <v>45.76</v>
      </c>
      <c r="J3835" s="24">
        <v>2059.2</v>
      </c>
      <c r="K3835" s="21">
        <v>0</v>
      </c>
      <c r="L3835" s="21">
        <v>0</v>
      </c>
      <c r="M3835" s="21">
        <f>COUNTIF($A$2:$A$5481,A3835)</f>
        <v>2</v>
      </c>
      <c r="N3835" s="24">
        <f t="shared" si="59"/>
        <v>2059.2003835</v>
      </c>
    </row>
    <row r="3836" spans="1:14">
      <c r="A3836" s="21" t="s">
        <v>3676</v>
      </c>
      <c r="B3836" s="21" t="s">
        <v>929</v>
      </c>
      <c r="C3836" s="21" t="s">
        <v>26</v>
      </c>
      <c r="D3836" s="21" t="s">
        <v>921</v>
      </c>
      <c r="E3836" s="21">
        <v>20</v>
      </c>
      <c r="F3836" s="22">
        <v>45428.5726851852</v>
      </c>
      <c r="G3836" s="22"/>
      <c r="H3836" s="23">
        <v>1180.65</v>
      </c>
      <c r="I3836" s="23">
        <v>78.71</v>
      </c>
      <c r="J3836" s="24">
        <v>1574.2</v>
      </c>
      <c r="K3836" s="21">
        <v>0</v>
      </c>
      <c r="L3836" s="21">
        <v>0</v>
      </c>
      <c r="M3836" s="21">
        <f>COUNTIF($A$2:$A$5481,A3836)</f>
        <v>1</v>
      </c>
      <c r="N3836" s="24">
        <f t="shared" si="59"/>
        <v>1574.2003836</v>
      </c>
    </row>
    <row r="3837" spans="1:14">
      <c r="A3837" s="21" t="s">
        <v>3677</v>
      </c>
      <c r="B3837" s="21" t="s">
        <v>929</v>
      </c>
      <c r="C3837" s="21" t="s">
        <v>26</v>
      </c>
      <c r="D3837" s="21" t="s">
        <v>921</v>
      </c>
      <c r="E3837" s="21">
        <v>15</v>
      </c>
      <c r="F3837" s="22">
        <v>46230.3618055556</v>
      </c>
      <c r="G3837" s="22"/>
      <c r="H3837" s="23">
        <v>104.25</v>
      </c>
      <c r="I3837" s="23">
        <v>47.0166666667</v>
      </c>
      <c r="J3837" s="24">
        <v>705.3</v>
      </c>
      <c r="K3837" s="21">
        <v>0</v>
      </c>
      <c r="L3837" s="21">
        <v>0</v>
      </c>
      <c r="M3837" s="21">
        <f>COUNTIF($A$2:$A$5481,A3837)</f>
        <v>1</v>
      </c>
      <c r="N3837" s="24">
        <f t="shared" si="59"/>
        <v>705.3003837</v>
      </c>
    </row>
    <row r="3838" spans="1:14">
      <c r="A3838" s="21" t="s">
        <v>3678</v>
      </c>
      <c r="B3838" s="21" t="s">
        <v>929</v>
      </c>
      <c r="C3838" s="21" t="s">
        <v>26</v>
      </c>
      <c r="D3838" s="21" t="s">
        <v>921</v>
      </c>
      <c r="E3838" s="21">
        <v>15</v>
      </c>
      <c r="F3838" s="22">
        <v>46230.3618055556</v>
      </c>
      <c r="G3838" s="22"/>
      <c r="H3838" s="23">
        <v>74</v>
      </c>
      <c r="I3838" s="23">
        <v>13.7533333333</v>
      </c>
      <c r="J3838" s="24">
        <v>206.25</v>
      </c>
      <c r="K3838" s="21">
        <v>0</v>
      </c>
      <c r="L3838" s="21">
        <v>0</v>
      </c>
      <c r="M3838" s="21">
        <f>COUNTIF($A$2:$A$5481,A3838)</f>
        <v>1</v>
      </c>
      <c r="N3838" s="24">
        <f t="shared" si="59"/>
        <v>206.2503838</v>
      </c>
    </row>
    <row r="3839" spans="1:14">
      <c r="A3839" s="21" t="s">
        <v>3679</v>
      </c>
      <c r="B3839" s="21" t="s">
        <v>929</v>
      </c>
      <c r="C3839" s="21" t="s">
        <v>26</v>
      </c>
      <c r="D3839" s="21" t="s">
        <v>921</v>
      </c>
      <c r="E3839" s="21">
        <v>30</v>
      </c>
      <c r="F3839" s="22">
        <v>46240.6113194445</v>
      </c>
      <c r="G3839" s="22"/>
      <c r="H3839" s="23">
        <v>49.8</v>
      </c>
      <c r="I3839" s="23">
        <v>11.338</v>
      </c>
      <c r="J3839" s="24">
        <v>340.2</v>
      </c>
      <c r="K3839" s="21">
        <v>0</v>
      </c>
      <c r="L3839" s="21">
        <v>0</v>
      </c>
      <c r="M3839" s="21">
        <f>COUNTIF($A$2:$A$5481,A3839)</f>
        <v>1</v>
      </c>
      <c r="N3839" s="24">
        <f t="shared" si="59"/>
        <v>340.2003839</v>
      </c>
    </row>
    <row r="3840" spans="1:14">
      <c r="A3840" s="21" t="s">
        <v>3680</v>
      </c>
      <c r="B3840" s="21" t="s">
        <v>929</v>
      </c>
      <c r="C3840" s="21" t="s">
        <v>26</v>
      </c>
      <c r="D3840" s="21" t="s">
        <v>921</v>
      </c>
      <c r="E3840" s="21">
        <v>20</v>
      </c>
      <c r="F3840" s="22">
        <v>45439.8183449074</v>
      </c>
      <c r="G3840" s="22"/>
      <c r="H3840" s="23">
        <v>244</v>
      </c>
      <c r="I3840" s="23">
        <v>12.2</v>
      </c>
      <c r="J3840" s="24">
        <v>244</v>
      </c>
      <c r="K3840" s="21">
        <v>0</v>
      </c>
      <c r="L3840" s="21">
        <v>0</v>
      </c>
      <c r="M3840" s="21">
        <f>COUNTIF($A$2:$A$5481,A3840)</f>
        <v>1</v>
      </c>
      <c r="N3840" s="24">
        <f t="shared" si="59"/>
        <v>244.000384</v>
      </c>
    </row>
    <row r="3841" spans="1:14">
      <c r="A3841" s="21" t="s">
        <v>592</v>
      </c>
      <c r="B3841" s="21" t="s">
        <v>929</v>
      </c>
      <c r="C3841" s="21" t="s">
        <v>414</v>
      </c>
      <c r="D3841" s="21" t="s">
        <v>921</v>
      </c>
      <c r="E3841" s="21">
        <v>30</v>
      </c>
      <c r="F3841" s="22">
        <v>45349.8038541667</v>
      </c>
      <c r="G3841" s="22">
        <v>45310.4119097222</v>
      </c>
      <c r="H3841" s="23">
        <v>230.8</v>
      </c>
      <c r="I3841" s="23">
        <v>11.54</v>
      </c>
      <c r="J3841" s="24">
        <v>346.2</v>
      </c>
      <c r="K3841" s="21">
        <v>0</v>
      </c>
      <c r="L3841" s="21">
        <v>0</v>
      </c>
      <c r="M3841" s="21">
        <f>COUNTIF($A$2:$A$5481,A3841)</f>
        <v>2</v>
      </c>
      <c r="N3841" s="24">
        <f t="shared" si="59"/>
        <v>346.2003841</v>
      </c>
    </row>
    <row r="3842" spans="1:14">
      <c r="A3842" s="21" t="s">
        <v>592</v>
      </c>
      <c r="B3842" s="21" t="s">
        <v>929</v>
      </c>
      <c r="C3842" s="21" t="s">
        <v>26</v>
      </c>
      <c r="D3842" s="21" t="s">
        <v>921</v>
      </c>
      <c r="E3842" s="21">
        <v>0</v>
      </c>
      <c r="F3842" s="22">
        <v>46230.3618055556</v>
      </c>
      <c r="G3842" s="22">
        <v>46252.3480555556</v>
      </c>
      <c r="H3842" s="23">
        <v>19.65</v>
      </c>
      <c r="I3842" s="23">
        <v>13.2842727273</v>
      </c>
      <c r="J3842" s="24">
        <v>0</v>
      </c>
      <c r="K3842" s="21">
        <v>0</v>
      </c>
      <c r="L3842" s="21">
        <v>0</v>
      </c>
      <c r="M3842" s="21">
        <f>COUNTIF($A$2:$A$5481,A3842)</f>
        <v>2</v>
      </c>
      <c r="N3842" s="24">
        <f t="shared" ref="N3842:N3905" si="60">J3842+ROW()/10000000</f>
        <v>0.0003842</v>
      </c>
    </row>
    <row r="3843" spans="1:14">
      <c r="A3843" s="21" t="s">
        <v>3681</v>
      </c>
      <c r="B3843" s="21" t="s">
        <v>929</v>
      </c>
      <c r="C3843" s="21" t="s">
        <v>26</v>
      </c>
      <c r="D3843" s="21" t="s">
        <v>921</v>
      </c>
      <c r="E3843" s="21">
        <v>20</v>
      </c>
      <c r="F3843" s="22">
        <v>45744.4147685185</v>
      </c>
      <c r="G3843" s="22"/>
      <c r="H3843" s="23">
        <v>245.9</v>
      </c>
      <c r="I3843" s="23">
        <v>22.72</v>
      </c>
      <c r="J3843" s="24">
        <v>454.4</v>
      </c>
      <c r="K3843" s="21">
        <v>0</v>
      </c>
      <c r="L3843" s="21">
        <v>0</v>
      </c>
      <c r="M3843" s="21">
        <f>COUNTIF($A$2:$A$5481,A3843)</f>
        <v>1</v>
      </c>
      <c r="N3843" s="24">
        <f t="shared" si="60"/>
        <v>454.4003843</v>
      </c>
    </row>
    <row r="3844" spans="1:14">
      <c r="A3844" s="21" t="s">
        <v>3682</v>
      </c>
      <c r="B3844" s="21" t="s">
        <v>929</v>
      </c>
      <c r="C3844" s="21" t="s">
        <v>414</v>
      </c>
      <c r="D3844" s="21" t="s">
        <v>921</v>
      </c>
      <c r="E3844" s="21">
        <v>50</v>
      </c>
      <c r="F3844" s="22">
        <v>45349.8086458333</v>
      </c>
      <c r="G3844" s="22"/>
      <c r="H3844" s="23">
        <v>480</v>
      </c>
      <c r="I3844" s="23">
        <v>9.6</v>
      </c>
      <c r="J3844" s="24">
        <v>480</v>
      </c>
      <c r="K3844" s="21">
        <v>0</v>
      </c>
      <c r="L3844" s="21">
        <v>0</v>
      </c>
      <c r="M3844" s="21">
        <f>COUNTIF($A$2:$A$5481,A3844)</f>
        <v>2</v>
      </c>
      <c r="N3844" s="24">
        <f t="shared" si="60"/>
        <v>480.0003844</v>
      </c>
    </row>
    <row r="3845" spans="1:14">
      <c r="A3845" s="21" t="s">
        <v>3682</v>
      </c>
      <c r="B3845" s="21" t="s">
        <v>929</v>
      </c>
      <c r="C3845" s="21" t="s">
        <v>26</v>
      </c>
      <c r="D3845" s="21" t="s">
        <v>921</v>
      </c>
      <c r="E3845" s="21">
        <v>51</v>
      </c>
      <c r="F3845" s="22">
        <v>45735.8520486111</v>
      </c>
      <c r="G3845" s="22"/>
      <c r="H3845" s="23">
        <v>11.55</v>
      </c>
      <c r="I3845" s="23">
        <v>9.63824</v>
      </c>
      <c r="J3845" s="24">
        <v>491.64</v>
      </c>
      <c r="K3845" s="21">
        <v>0</v>
      </c>
      <c r="L3845" s="21">
        <v>0</v>
      </c>
      <c r="M3845" s="21">
        <f>COUNTIF($A$2:$A$5481,A3845)</f>
        <v>2</v>
      </c>
      <c r="N3845" s="24">
        <f t="shared" si="60"/>
        <v>491.6403845</v>
      </c>
    </row>
    <row r="3846" spans="1:14">
      <c r="A3846" s="21" t="s">
        <v>3683</v>
      </c>
      <c r="B3846" s="21" t="s">
        <v>929</v>
      </c>
      <c r="C3846" s="21" t="s">
        <v>26</v>
      </c>
      <c r="D3846" s="21" t="s">
        <v>931</v>
      </c>
      <c r="E3846" s="21">
        <v>10</v>
      </c>
      <c r="F3846" s="22">
        <v>45744.4147685185</v>
      </c>
      <c r="G3846" s="22"/>
      <c r="H3846" s="23">
        <v>140</v>
      </c>
      <c r="I3846" s="23">
        <v>14</v>
      </c>
      <c r="J3846" s="24">
        <v>140</v>
      </c>
      <c r="K3846" s="21">
        <v>0</v>
      </c>
      <c r="L3846" s="21">
        <v>0</v>
      </c>
      <c r="M3846" s="21">
        <f>COUNTIF($A$2:$A$5481,A3846)</f>
        <v>1</v>
      </c>
      <c r="N3846" s="24">
        <f t="shared" si="60"/>
        <v>140.0003846</v>
      </c>
    </row>
    <row r="3847" spans="1:14">
      <c r="A3847" s="21" t="s">
        <v>591</v>
      </c>
      <c r="B3847" s="21" t="s">
        <v>929</v>
      </c>
      <c r="C3847" s="21" t="s">
        <v>414</v>
      </c>
      <c r="D3847" s="21" t="s">
        <v>921</v>
      </c>
      <c r="E3847" s="21">
        <v>0</v>
      </c>
      <c r="F3847" s="22">
        <v>45308.68125</v>
      </c>
      <c r="G3847" s="22">
        <v>45310.4123958333</v>
      </c>
      <c r="H3847" s="23">
        <v>251.2</v>
      </c>
      <c r="I3847" s="23">
        <v>6.28</v>
      </c>
      <c r="J3847" s="24">
        <v>0</v>
      </c>
      <c r="K3847" s="21">
        <v>1</v>
      </c>
      <c r="L3847" s="21">
        <v>20</v>
      </c>
      <c r="M3847" s="21">
        <f>COUNTIF($A$2:$A$5481,A3847)</f>
        <v>2</v>
      </c>
      <c r="N3847" s="24">
        <f t="shared" si="60"/>
        <v>0.0003847</v>
      </c>
    </row>
    <row r="3848" spans="1:14">
      <c r="A3848" s="21" t="s">
        <v>591</v>
      </c>
      <c r="B3848" s="21" t="s">
        <v>929</v>
      </c>
      <c r="C3848" s="21" t="s">
        <v>26</v>
      </c>
      <c r="D3848" s="21" t="s">
        <v>921</v>
      </c>
      <c r="E3848" s="21">
        <v>0</v>
      </c>
      <c r="F3848" s="22">
        <v>46230.3618055556</v>
      </c>
      <c r="G3848" s="22">
        <v>46252.3480439815</v>
      </c>
      <c r="H3848" s="23">
        <v>40.8</v>
      </c>
      <c r="I3848" s="23">
        <v>8.3</v>
      </c>
      <c r="J3848" s="24">
        <v>0</v>
      </c>
      <c r="K3848" s="21">
        <v>1</v>
      </c>
      <c r="L3848" s="21">
        <v>20</v>
      </c>
      <c r="M3848" s="21">
        <f>COUNTIF($A$2:$A$5481,A3848)</f>
        <v>2</v>
      </c>
      <c r="N3848" s="24">
        <f t="shared" si="60"/>
        <v>0.0003848</v>
      </c>
    </row>
    <row r="3849" spans="1:14">
      <c r="A3849" s="21" t="s">
        <v>590</v>
      </c>
      <c r="B3849" s="21" t="s">
        <v>929</v>
      </c>
      <c r="C3849" s="21" t="s">
        <v>414</v>
      </c>
      <c r="D3849" s="21" t="s">
        <v>921</v>
      </c>
      <c r="E3849" s="21">
        <v>10</v>
      </c>
      <c r="F3849" s="22">
        <v>45341.8364814815</v>
      </c>
      <c r="G3849" s="22">
        <v>45310.4119444444</v>
      </c>
      <c r="H3849" s="23">
        <v>128.2</v>
      </c>
      <c r="I3849" s="23">
        <v>12.82</v>
      </c>
      <c r="J3849" s="24">
        <v>128.2</v>
      </c>
      <c r="K3849" s="21">
        <v>0</v>
      </c>
      <c r="L3849" s="21">
        <v>0</v>
      </c>
      <c r="M3849" s="21">
        <f>COUNTIF($A$2:$A$5481,A3849)</f>
        <v>2</v>
      </c>
      <c r="N3849" s="24">
        <f t="shared" si="60"/>
        <v>128.2003849</v>
      </c>
    </row>
    <row r="3850" spans="1:14">
      <c r="A3850" s="21" t="s">
        <v>590</v>
      </c>
      <c r="B3850" s="21" t="s">
        <v>929</v>
      </c>
      <c r="C3850" s="21" t="s">
        <v>26</v>
      </c>
      <c r="D3850" s="21" t="s">
        <v>921</v>
      </c>
      <c r="E3850" s="21">
        <v>0</v>
      </c>
      <c r="F3850" s="22">
        <v>46164.5766550926</v>
      </c>
      <c r="G3850" s="22">
        <v>46252.3480324074</v>
      </c>
      <c r="H3850" s="23">
        <v>245.9</v>
      </c>
      <c r="I3850" s="23">
        <v>14.1112068966</v>
      </c>
      <c r="J3850" s="24">
        <v>0</v>
      </c>
      <c r="K3850" s="21">
        <v>0</v>
      </c>
      <c r="L3850" s="21">
        <v>0</v>
      </c>
      <c r="M3850" s="21">
        <f>COUNTIF($A$2:$A$5481,A3850)</f>
        <v>2</v>
      </c>
      <c r="N3850" s="24">
        <f t="shared" si="60"/>
        <v>0.000385</v>
      </c>
    </row>
    <row r="3851" spans="1:14">
      <c r="A3851" s="21" t="s">
        <v>589</v>
      </c>
      <c r="B3851" s="21" t="s">
        <v>929</v>
      </c>
      <c r="C3851" s="21" t="s">
        <v>414</v>
      </c>
      <c r="D3851" s="21" t="s">
        <v>921</v>
      </c>
      <c r="E3851" s="21">
        <v>50</v>
      </c>
      <c r="F3851" s="22">
        <v>45349.8052199074</v>
      </c>
      <c r="G3851" s="22">
        <v>45310.4119560185</v>
      </c>
      <c r="H3851" s="23">
        <v>288</v>
      </c>
      <c r="I3851" s="23">
        <v>5.76</v>
      </c>
      <c r="J3851" s="24">
        <v>288</v>
      </c>
      <c r="K3851" s="21">
        <v>0</v>
      </c>
      <c r="L3851" s="21">
        <v>0</v>
      </c>
      <c r="M3851" s="21">
        <f>COUNTIF($A$2:$A$5481,A3851)</f>
        <v>2</v>
      </c>
      <c r="N3851" s="24">
        <f t="shared" si="60"/>
        <v>288.0003851</v>
      </c>
    </row>
    <row r="3852" spans="1:14">
      <c r="A3852" s="21" t="s">
        <v>589</v>
      </c>
      <c r="B3852" s="21" t="s">
        <v>929</v>
      </c>
      <c r="C3852" s="21" t="s">
        <v>26</v>
      </c>
      <c r="D3852" s="21" t="s">
        <v>921</v>
      </c>
      <c r="E3852" s="21">
        <v>0</v>
      </c>
      <c r="F3852" s="22">
        <v>45352.6444444444</v>
      </c>
      <c r="G3852" s="22">
        <v>46252.3480208333</v>
      </c>
      <c r="H3852" s="23">
        <v>288</v>
      </c>
      <c r="I3852" s="23">
        <v>5.76</v>
      </c>
      <c r="J3852" s="24">
        <v>0</v>
      </c>
      <c r="K3852" s="21">
        <v>0</v>
      </c>
      <c r="L3852" s="21">
        <v>0</v>
      </c>
      <c r="M3852" s="21">
        <f>COUNTIF($A$2:$A$5481,A3852)</f>
        <v>2</v>
      </c>
      <c r="N3852" s="24">
        <f t="shared" si="60"/>
        <v>0.0003852</v>
      </c>
    </row>
    <row r="3853" spans="1:14">
      <c r="A3853" s="21" t="s">
        <v>3684</v>
      </c>
      <c r="B3853" s="21" t="s">
        <v>929</v>
      </c>
      <c r="C3853" s="21" t="s">
        <v>26</v>
      </c>
      <c r="D3853" s="21" t="s">
        <v>921</v>
      </c>
      <c r="E3853" s="21">
        <v>110</v>
      </c>
      <c r="F3853" s="22">
        <v>46167.4527777778</v>
      </c>
      <c r="G3853" s="22"/>
      <c r="H3853" s="23">
        <v>455.4</v>
      </c>
      <c r="I3853" s="23">
        <v>14.1436363636</v>
      </c>
      <c r="J3853" s="24">
        <v>1555.4</v>
      </c>
      <c r="K3853" s="21">
        <v>0</v>
      </c>
      <c r="L3853" s="21">
        <v>0</v>
      </c>
      <c r="M3853" s="21">
        <f>COUNTIF($A$2:$A$5481,A3853)</f>
        <v>1</v>
      </c>
      <c r="N3853" s="24">
        <f t="shared" si="60"/>
        <v>1555.4003853</v>
      </c>
    </row>
    <row r="3854" spans="1:14">
      <c r="A3854" s="21" t="s">
        <v>588</v>
      </c>
      <c r="B3854" s="21" t="s">
        <v>929</v>
      </c>
      <c r="C3854" s="21" t="s">
        <v>26</v>
      </c>
      <c r="D3854" s="21" t="s">
        <v>921</v>
      </c>
      <c r="E3854" s="21">
        <v>0</v>
      </c>
      <c r="F3854" s="22">
        <v>46230.3618055556</v>
      </c>
      <c r="G3854" s="22">
        <v>46252.3480092593</v>
      </c>
      <c r="H3854" s="23">
        <v>172</v>
      </c>
      <c r="I3854" s="23">
        <v>7.3333333333</v>
      </c>
      <c r="J3854" s="24">
        <v>0</v>
      </c>
      <c r="K3854" s="21">
        <v>0</v>
      </c>
      <c r="L3854" s="21">
        <v>0</v>
      </c>
      <c r="M3854" s="21">
        <f>COUNTIF($A$2:$A$5481,A3854)</f>
        <v>1</v>
      </c>
      <c r="N3854" s="24">
        <f t="shared" si="60"/>
        <v>0.0003854</v>
      </c>
    </row>
    <row r="3855" spans="1:14">
      <c r="A3855" s="21" t="s">
        <v>587</v>
      </c>
      <c r="B3855" s="21" t="s">
        <v>929</v>
      </c>
      <c r="C3855" s="21" t="s">
        <v>414</v>
      </c>
      <c r="D3855" s="21" t="s">
        <v>921</v>
      </c>
      <c r="E3855" s="21">
        <v>30</v>
      </c>
      <c r="F3855" s="22">
        <v>45349.8076273148</v>
      </c>
      <c r="G3855" s="22">
        <v>45310.4119212963</v>
      </c>
      <c r="H3855" s="23">
        <v>28</v>
      </c>
      <c r="I3855" s="23">
        <v>1.4</v>
      </c>
      <c r="J3855" s="24">
        <v>42</v>
      </c>
      <c r="K3855" s="21">
        <v>0</v>
      </c>
      <c r="L3855" s="21">
        <v>0</v>
      </c>
      <c r="M3855" s="21">
        <f>COUNTIF($A$2:$A$5481,A3855)</f>
        <v>2</v>
      </c>
      <c r="N3855" s="24">
        <f t="shared" si="60"/>
        <v>42.0003855</v>
      </c>
    </row>
    <row r="3856" spans="1:14">
      <c r="A3856" s="21" t="s">
        <v>587</v>
      </c>
      <c r="B3856" s="21" t="s">
        <v>929</v>
      </c>
      <c r="C3856" s="21" t="s">
        <v>26</v>
      </c>
      <c r="D3856" s="21" t="s">
        <v>921</v>
      </c>
      <c r="E3856" s="21">
        <v>0</v>
      </c>
      <c r="F3856" s="22">
        <v>46230.3618055556</v>
      </c>
      <c r="G3856" s="22">
        <v>46252.3479976852</v>
      </c>
      <c r="H3856" s="23">
        <v>21</v>
      </c>
      <c r="I3856" s="23">
        <v>3.2861290323</v>
      </c>
      <c r="J3856" s="24">
        <v>0</v>
      </c>
      <c r="K3856" s="21">
        <v>0</v>
      </c>
      <c r="L3856" s="21">
        <v>0</v>
      </c>
      <c r="M3856" s="21">
        <f>COUNTIF($A$2:$A$5481,A3856)</f>
        <v>2</v>
      </c>
      <c r="N3856" s="24">
        <f t="shared" si="60"/>
        <v>0.0003856</v>
      </c>
    </row>
    <row r="3857" spans="1:14">
      <c r="A3857" s="21" t="s">
        <v>586</v>
      </c>
      <c r="B3857" s="21" t="s">
        <v>929</v>
      </c>
      <c r="C3857" s="21" t="s">
        <v>26</v>
      </c>
      <c r="D3857" s="21" t="s">
        <v>921</v>
      </c>
      <c r="E3857" s="21">
        <v>0</v>
      </c>
      <c r="F3857" s="22">
        <v>45744.4147685185</v>
      </c>
      <c r="G3857" s="22">
        <v>46252.3479861111</v>
      </c>
      <c r="H3857" s="23">
        <v>19.6</v>
      </c>
      <c r="I3857" s="23">
        <v>1.96</v>
      </c>
      <c r="J3857" s="24">
        <v>0</v>
      </c>
      <c r="K3857" s="21">
        <v>0</v>
      </c>
      <c r="L3857" s="21">
        <v>0</v>
      </c>
      <c r="M3857" s="21">
        <f>COUNTIF($A$2:$A$5481,A3857)</f>
        <v>1</v>
      </c>
      <c r="N3857" s="24">
        <f t="shared" si="60"/>
        <v>0.0003857</v>
      </c>
    </row>
    <row r="3858" spans="1:14">
      <c r="A3858" s="21" t="s">
        <v>3685</v>
      </c>
      <c r="B3858" s="21" t="s">
        <v>920</v>
      </c>
      <c r="C3858" s="21" t="s">
        <v>35</v>
      </c>
      <c r="D3858" s="21" t="s">
        <v>921</v>
      </c>
      <c r="E3858" s="21">
        <v>1</v>
      </c>
      <c r="F3858" s="22">
        <v>45341.8420023148</v>
      </c>
      <c r="G3858" s="22"/>
      <c r="H3858" s="23">
        <v>119.8</v>
      </c>
      <c r="I3858" s="23">
        <v>119.8</v>
      </c>
      <c r="J3858" s="24">
        <v>119.8</v>
      </c>
      <c r="K3858" s="21">
        <v>0</v>
      </c>
      <c r="L3858" s="21">
        <v>0</v>
      </c>
      <c r="M3858" s="21">
        <f>COUNTIF($A$2:$A$5481,A3858)</f>
        <v>1</v>
      </c>
      <c r="N3858" s="24">
        <f t="shared" si="60"/>
        <v>119.8003858</v>
      </c>
    </row>
    <row r="3859" spans="1:14">
      <c r="A3859" s="21" t="s">
        <v>3686</v>
      </c>
      <c r="B3859" s="21" t="s">
        <v>948</v>
      </c>
      <c r="C3859" s="21" t="s">
        <v>641</v>
      </c>
      <c r="D3859" s="21" t="s">
        <v>921</v>
      </c>
      <c r="E3859" s="21">
        <v>0</v>
      </c>
      <c r="F3859" s="22">
        <v>45315.3590277778</v>
      </c>
      <c r="G3859" s="22">
        <v>45320.3993402778</v>
      </c>
      <c r="H3859" s="23">
        <v>72</v>
      </c>
      <c r="I3859" s="23">
        <v>24</v>
      </c>
      <c r="J3859" s="24">
        <v>0</v>
      </c>
      <c r="K3859" s="21">
        <v>0</v>
      </c>
      <c r="L3859" s="21">
        <v>0</v>
      </c>
      <c r="M3859" s="21">
        <f>COUNTIF($A$2:$A$5481,A3859)</f>
        <v>2</v>
      </c>
      <c r="N3859" s="24">
        <f t="shared" si="60"/>
        <v>0.0003859</v>
      </c>
    </row>
    <row r="3860" spans="1:14">
      <c r="A3860" s="21" t="s">
        <v>3686</v>
      </c>
      <c r="B3860" s="21" t="s">
        <v>948</v>
      </c>
      <c r="C3860" s="21" t="s">
        <v>26</v>
      </c>
      <c r="D3860" s="21" t="s">
        <v>921</v>
      </c>
      <c r="E3860" s="21">
        <v>16</v>
      </c>
      <c r="F3860" s="22">
        <v>46204.7057060185</v>
      </c>
      <c r="G3860" s="22"/>
      <c r="H3860" s="23">
        <v>128</v>
      </c>
      <c r="I3860" s="23">
        <v>28.75</v>
      </c>
      <c r="J3860" s="24">
        <v>460</v>
      </c>
      <c r="K3860" s="21">
        <v>0</v>
      </c>
      <c r="L3860" s="21">
        <v>0</v>
      </c>
      <c r="M3860" s="21">
        <f>COUNTIF($A$2:$A$5481,A3860)</f>
        <v>2</v>
      </c>
      <c r="N3860" s="24">
        <f t="shared" si="60"/>
        <v>460.000386</v>
      </c>
    </row>
    <row r="3861" spans="1:14">
      <c r="A3861" s="21" t="s">
        <v>3687</v>
      </c>
      <c r="B3861" s="21" t="s">
        <v>966</v>
      </c>
      <c r="C3861" s="21" t="s">
        <v>26</v>
      </c>
      <c r="D3861" s="21" t="s">
        <v>921</v>
      </c>
      <c r="E3861" s="21">
        <v>1</v>
      </c>
      <c r="F3861" s="22">
        <v>45993.3465856482</v>
      </c>
      <c r="G3861" s="22"/>
      <c r="H3861" s="23">
        <v>6798</v>
      </c>
      <c r="I3861" s="23">
        <v>6798</v>
      </c>
      <c r="J3861" s="24">
        <v>6798</v>
      </c>
      <c r="K3861" s="21">
        <v>0</v>
      </c>
      <c r="L3861" s="21">
        <v>0</v>
      </c>
      <c r="M3861" s="21">
        <f>COUNTIF($A$2:$A$5481,A3861)</f>
        <v>1</v>
      </c>
      <c r="N3861" s="24">
        <f t="shared" si="60"/>
        <v>6798.0003861</v>
      </c>
    </row>
    <row r="3862" spans="1:14">
      <c r="A3862" s="21" t="s">
        <v>424</v>
      </c>
      <c r="B3862" s="21" t="s">
        <v>920</v>
      </c>
      <c r="C3862" s="21" t="s">
        <v>35</v>
      </c>
      <c r="D3862" s="21" t="s">
        <v>921</v>
      </c>
      <c r="E3862" s="21">
        <v>1</v>
      </c>
      <c r="F3862" s="22">
        <v>46211.6183333333</v>
      </c>
      <c r="G3862" s="22">
        <v>46197.6895833333</v>
      </c>
      <c r="H3862" s="23">
        <v>1510</v>
      </c>
      <c r="I3862" s="23">
        <v>1510</v>
      </c>
      <c r="J3862" s="24">
        <v>1510</v>
      </c>
      <c r="K3862" s="21">
        <v>0</v>
      </c>
      <c r="L3862" s="21">
        <v>0</v>
      </c>
      <c r="M3862" s="21">
        <f>COUNTIF($A$2:$A$5481,A3862)</f>
        <v>1</v>
      </c>
      <c r="N3862" s="24">
        <f t="shared" si="60"/>
        <v>1510.0003862</v>
      </c>
    </row>
    <row r="3863" spans="1:14">
      <c r="A3863" s="21" t="s">
        <v>3688</v>
      </c>
      <c r="B3863" s="21" t="s">
        <v>920</v>
      </c>
      <c r="C3863" s="21" t="s">
        <v>26</v>
      </c>
      <c r="D3863" s="21" t="s">
        <v>921</v>
      </c>
      <c r="E3863" s="21">
        <v>0</v>
      </c>
      <c r="F3863" s="22">
        <v>45870.4482175926</v>
      </c>
      <c r="G3863" s="22">
        <v>45870.4504861111</v>
      </c>
      <c r="H3863" s="23">
        <v>590</v>
      </c>
      <c r="I3863" s="23">
        <v>590</v>
      </c>
      <c r="J3863" s="24">
        <v>0</v>
      </c>
      <c r="K3863" s="21">
        <v>0</v>
      </c>
      <c r="L3863" s="21">
        <v>0</v>
      </c>
      <c r="M3863" s="21">
        <f>COUNTIF($A$2:$A$5481,A3863)</f>
        <v>1</v>
      </c>
      <c r="N3863" s="24">
        <f t="shared" si="60"/>
        <v>0.0003863</v>
      </c>
    </row>
    <row r="3864" spans="1:14">
      <c r="A3864" s="21" t="s">
        <v>3689</v>
      </c>
      <c r="B3864" s="21" t="s">
        <v>920</v>
      </c>
      <c r="C3864" s="21" t="s">
        <v>35</v>
      </c>
      <c r="D3864" s="21" t="s">
        <v>931</v>
      </c>
      <c r="E3864" s="21">
        <v>0</v>
      </c>
      <c r="F3864" s="22">
        <v>45412.5813657407</v>
      </c>
      <c r="G3864" s="22">
        <v>45427.8563194444</v>
      </c>
      <c r="H3864" s="23">
        <v>593</v>
      </c>
      <c r="I3864" s="23">
        <v>593</v>
      </c>
      <c r="J3864" s="24">
        <v>0</v>
      </c>
      <c r="K3864" s="21">
        <v>0</v>
      </c>
      <c r="L3864" s="21">
        <v>0</v>
      </c>
      <c r="M3864" s="21">
        <f>COUNTIF($A$2:$A$5481,A3864)</f>
        <v>1</v>
      </c>
      <c r="N3864" s="24">
        <f t="shared" si="60"/>
        <v>0.0003864</v>
      </c>
    </row>
    <row r="3865" spans="1:14">
      <c r="A3865" s="21" t="s">
        <v>3690</v>
      </c>
      <c r="B3865" s="21" t="s">
        <v>26</v>
      </c>
      <c r="C3865" s="21" t="s">
        <v>35</v>
      </c>
      <c r="D3865" s="21" t="s">
        <v>921</v>
      </c>
      <c r="E3865" s="21">
        <v>0</v>
      </c>
      <c r="F3865" s="22">
        <v>45491.3646759259</v>
      </c>
      <c r="G3865" s="22">
        <v>45502.8041319445</v>
      </c>
      <c r="H3865" s="23">
        <v>990</v>
      </c>
      <c r="I3865" s="23">
        <v>990</v>
      </c>
      <c r="J3865" s="24">
        <v>0</v>
      </c>
      <c r="K3865" s="21">
        <v>0</v>
      </c>
      <c r="L3865" s="21">
        <v>0</v>
      </c>
      <c r="M3865" s="21">
        <f>COUNTIF($A$2:$A$5481,A3865)</f>
        <v>1</v>
      </c>
      <c r="N3865" s="24">
        <f t="shared" si="60"/>
        <v>0.0003865</v>
      </c>
    </row>
    <row r="3866" spans="1:14">
      <c r="A3866" s="21" t="s">
        <v>330</v>
      </c>
      <c r="B3866" s="21" t="s">
        <v>920</v>
      </c>
      <c r="C3866" s="21" t="s">
        <v>26</v>
      </c>
      <c r="D3866" s="21" t="s">
        <v>921</v>
      </c>
      <c r="E3866" s="21">
        <v>0</v>
      </c>
      <c r="F3866" s="22">
        <v>46114.3534722222</v>
      </c>
      <c r="G3866" s="22">
        <v>46119.3407291667</v>
      </c>
      <c r="H3866" s="23">
        <v>650</v>
      </c>
      <c r="I3866" s="23">
        <v>650</v>
      </c>
      <c r="J3866" s="24">
        <v>0</v>
      </c>
      <c r="K3866" s="21">
        <v>0</v>
      </c>
      <c r="L3866" s="21">
        <v>0</v>
      </c>
      <c r="M3866" s="21">
        <f>COUNTIF($A$2:$A$5481,A3866)</f>
        <v>1</v>
      </c>
      <c r="N3866" s="24">
        <f t="shared" si="60"/>
        <v>0.0003866</v>
      </c>
    </row>
    <row r="3867" spans="1:14">
      <c r="A3867" s="21" t="s">
        <v>3691</v>
      </c>
      <c r="B3867" s="21" t="s">
        <v>920</v>
      </c>
      <c r="C3867" s="21" t="s">
        <v>26</v>
      </c>
      <c r="D3867" s="21" t="s">
        <v>921</v>
      </c>
      <c r="E3867" s="21">
        <v>1</v>
      </c>
      <c r="F3867" s="22">
        <v>46196.7428472222</v>
      </c>
      <c r="G3867" s="22"/>
      <c r="H3867" s="23">
        <v>790</v>
      </c>
      <c r="I3867" s="23">
        <v>790</v>
      </c>
      <c r="J3867" s="24">
        <v>790</v>
      </c>
      <c r="K3867" s="21">
        <v>0</v>
      </c>
      <c r="L3867" s="21">
        <v>0</v>
      </c>
      <c r="M3867" s="21">
        <f>COUNTIF($A$2:$A$5481,A3867)</f>
        <v>1</v>
      </c>
      <c r="N3867" s="24">
        <f t="shared" si="60"/>
        <v>790.0003867</v>
      </c>
    </row>
    <row r="3868" spans="1:14">
      <c r="A3868" s="21" t="s">
        <v>3692</v>
      </c>
      <c r="B3868" s="21" t="s">
        <v>929</v>
      </c>
      <c r="C3868" s="21" t="s">
        <v>26</v>
      </c>
      <c r="D3868" s="21" t="s">
        <v>921</v>
      </c>
      <c r="E3868" s="21">
        <v>1</v>
      </c>
      <c r="F3868" s="22">
        <v>45391.84375</v>
      </c>
      <c r="G3868" s="22"/>
      <c r="H3868" s="23">
        <v>3893.94</v>
      </c>
      <c r="I3868" s="23">
        <v>3893.94</v>
      </c>
      <c r="J3868" s="24">
        <v>3893.94</v>
      </c>
      <c r="K3868" s="21">
        <v>0</v>
      </c>
      <c r="L3868" s="21">
        <v>0</v>
      </c>
      <c r="M3868" s="21">
        <f>COUNTIF($A$2:$A$5481,A3868)</f>
        <v>1</v>
      </c>
      <c r="N3868" s="24">
        <f t="shared" si="60"/>
        <v>3893.9403868</v>
      </c>
    </row>
    <row r="3869" spans="1:14">
      <c r="A3869" s="21" t="s">
        <v>3693</v>
      </c>
      <c r="B3869" s="21" t="s">
        <v>929</v>
      </c>
      <c r="C3869" s="21" t="s">
        <v>414</v>
      </c>
      <c r="D3869" s="21" t="s">
        <v>921</v>
      </c>
      <c r="E3869" s="21">
        <v>1</v>
      </c>
      <c r="F3869" s="22">
        <v>45377.5666666667</v>
      </c>
      <c r="G3869" s="22"/>
      <c r="H3869" s="23">
        <v>915.65</v>
      </c>
      <c r="I3869" s="23">
        <v>915.65</v>
      </c>
      <c r="J3869" s="24">
        <v>915.65</v>
      </c>
      <c r="K3869" s="21">
        <v>0</v>
      </c>
      <c r="L3869" s="21">
        <v>0</v>
      </c>
      <c r="M3869" s="21">
        <f>COUNTIF($A$2:$A$5481,A3869)</f>
        <v>1</v>
      </c>
      <c r="N3869" s="24">
        <f t="shared" si="60"/>
        <v>915.6503869</v>
      </c>
    </row>
    <row r="3870" spans="1:14">
      <c r="A3870" s="21" t="s">
        <v>367</v>
      </c>
      <c r="B3870" s="21" t="s">
        <v>920</v>
      </c>
      <c r="C3870" s="21" t="s">
        <v>26</v>
      </c>
      <c r="D3870" s="21" t="s">
        <v>931</v>
      </c>
      <c r="E3870" s="21">
        <v>0</v>
      </c>
      <c r="F3870" s="22">
        <v>46002.3919675926</v>
      </c>
      <c r="G3870" s="22">
        <v>46132.420474537</v>
      </c>
      <c r="H3870" s="23">
        <v>590</v>
      </c>
      <c r="I3870" s="23">
        <v>590</v>
      </c>
      <c r="J3870" s="24">
        <v>0</v>
      </c>
      <c r="K3870" s="21">
        <v>0</v>
      </c>
      <c r="L3870" s="21">
        <v>0</v>
      </c>
      <c r="M3870" s="21">
        <f>COUNTIF($A$2:$A$5481,A3870)</f>
        <v>1</v>
      </c>
      <c r="N3870" s="24">
        <f t="shared" si="60"/>
        <v>0.000387</v>
      </c>
    </row>
    <row r="3871" spans="1:14">
      <c r="A3871" s="21" t="s">
        <v>662</v>
      </c>
      <c r="B3871" s="21" t="s">
        <v>929</v>
      </c>
      <c r="C3871" s="21" t="s">
        <v>414</v>
      </c>
      <c r="D3871" s="21" t="s">
        <v>921</v>
      </c>
      <c r="E3871" s="21">
        <v>1</v>
      </c>
      <c r="F3871" s="22">
        <v>45297.8090277778</v>
      </c>
      <c r="G3871" s="22"/>
      <c r="H3871" s="23">
        <v>2382.89</v>
      </c>
      <c r="I3871" s="23">
        <v>2382.89</v>
      </c>
      <c r="J3871" s="24">
        <v>2382.89</v>
      </c>
      <c r="K3871" s="21">
        <v>0</v>
      </c>
      <c r="L3871" s="21">
        <v>5</v>
      </c>
      <c r="M3871" s="21">
        <f>COUNTIF($A$2:$A$5481,A3871)</f>
        <v>2</v>
      </c>
      <c r="N3871" s="24">
        <f t="shared" si="60"/>
        <v>2382.8903871</v>
      </c>
    </row>
    <row r="3872" spans="1:14">
      <c r="A3872" s="21" t="s">
        <v>662</v>
      </c>
      <c r="B3872" s="21" t="s">
        <v>929</v>
      </c>
      <c r="C3872" s="21" t="s">
        <v>26</v>
      </c>
      <c r="D3872" s="21" t="s">
        <v>921</v>
      </c>
      <c r="E3872" s="21">
        <v>0</v>
      </c>
      <c r="F3872" s="22">
        <v>45733.444212963</v>
      </c>
      <c r="G3872" s="22">
        <v>46252.5529166667</v>
      </c>
      <c r="H3872" s="23">
        <v>2631.85</v>
      </c>
      <c r="I3872" s="23">
        <v>2631.85</v>
      </c>
      <c r="J3872" s="24">
        <v>0</v>
      </c>
      <c r="K3872" s="21">
        <v>0</v>
      </c>
      <c r="L3872" s="21">
        <v>5</v>
      </c>
      <c r="M3872" s="21">
        <f>COUNTIF($A$2:$A$5481,A3872)</f>
        <v>2</v>
      </c>
      <c r="N3872" s="24">
        <f t="shared" si="60"/>
        <v>0.0003872</v>
      </c>
    </row>
    <row r="3873" spans="1:14">
      <c r="A3873" s="21" t="s">
        <v>3694</v>
      </c>
      <c r="B3873" s="21" t="s">
        <v>929</v>
      </c>
      <c r="C3873" s="21" t="s">
        <v>26</v>
      </c>
      <c r="D3873" s="21" t="s">
        <v>931</v>
      </c>
      <c r="E3873" s="21">
        <v>1</v>
      </c>
      <c r="F3873" s="22">
        <v>45743.4072800926</v>
      </c>
      <c r="G3873" s="22"/>
      <c r="H3873" s="23">
        <v>2759.31</v>
      </c>
      <c r="I3873" s="23">
        <v>2759.31</v>
      </c>
      <c r="J3873" s="24">
        <v>2759.31</v>
      </c>
      <c r="K3873" s="21">
        <v>0</v>
      </c>
      <c r="L3873" s="21">
        <v>0</v>
      </c>
      <c r="M3873" s="21">
        <f>COUNTIF($A$2:$A$5481,A3873)</f>
        <v>1</v>
      </c>
      <c r="N3873" s="24">
        <f t="shared" si="60"/>
        <v>2759.3103873</v>
      </c>
    </row>
    <row r="3874" spans="1:14">
      <c r="A3874" s="21" t="s">
        <v>3695</v>
      </c>
      <c r="B3874" s="21" t="s">
        <v>948</v>
      </c>
      <c r="C3874" s="21" t="s">
        <v>26</v>
      </c>
      <c r="D3874" s="21" t="s">
        <v>921</v>
      </c>
      <c r="E3874" s="21">
        <v>1</v>
      </c>
      <c r="F3874" s="22">
        <v>45673.8609606482</v>
      </c>
      <c r="G3874" s="22"/>
      <c r="H3874" s="23">
        <v>25</v>
      </c>
      <c r="I3874" s="23">
        <v>25</v>
      </c>
      <c r="J3874" s="24">
        <v>25</v>
      </c>
      <c r="K3874" s="21">
        <v>0</v>
      </c>
      <c r="L3874" s="21">
        <v>0</v>
      </c>
      <c r="M3874" s="21">
        <f>COUNTIF($A$2:$A$5481,A3874)</f>
        <v>1</v>
      </c>
      <c r="N3874" s="24">
        <f t="shared" si="60"/>
        <v>25.0003874</v>
      </c>
    </row>
    <row r="3875" spans="1:14">
      <c r="A3875" s="21" t="s">
        <v>3696</v>
      </c>
      <c r="B3875" s="21" t="s">
        <v>26</v>
      </c>
      <c r="C3875" s="21" t="s">
        <v>26</v>
      </c>
      <c r="D3875" s="21" t="s">
        <v>921</v>
      </c>
      <c r="E3875" s="21">
        <v>2</v>
      </c>
      <c r="F3875" s="22">
        <v>45972.5693171296</v>
      </c>
      <c r="G3875" s="22"/>
      <c r="H3875" s="23">
        <v>13.98</v>
      </c>
      <c r="I3875" s="23">
        <v>6.99</v>
      </c>
      <c r="J3875" s="24">
        <v>13.98</v>
      </c>
      <c r="K3875" s="21">
        <v>0</v>
      </c>
      <c r="L3875" s="21">
        <v>0</v>
      </c>
      <c r="M3875" s="21">
        <f>COUNTIF($A$2:$A$5481,A3875)</f>
        <v>1</v>
      </c>
      <c r="N3875" s="24">
        <f t="shared" si="60"/>
        <v>13.9803875</v>
      </c>
    </row>
    <row r="3876" spans="1:14">
      <c r="A3876" s="21" t="s">
        <v>297</v>
      </c>
      <c r="B3876" s="21" t="s">
        <v>920</v>
      </c>
      <c r="C3876" s="21" t="s">
        <v>26</v>
      </c>
      <c r="D3876" s="21" t="s">
        <v>921</v>
      </c>
      <c r="E3876" s="21">
        <v>0</v>
      </c>
      <c r="F3876" s="22">
        <v>46086.45</v>
      </c>
      <c r="G3876" s="22">
        <v>46090.4675115741</v>
      </c>
      <c r="H3876" s="23">
        <v>1700</v>
      </c>
      <c r="I3876" s="23">
        <v>1700</v>
      </c>
      <c r="J3876" s="24">
        <v>0</v>
      </c>
      <c r="K3876" s="21">
        <v>0</v>
      </c>
      <c r="L3876" s="21">
        <v>0</v>
      </c>
      <c r="M3876" s="21">
        <f>COUNTIF($A$2:$A$5481,A3876)</f>
        <v>1</v>
      </c>
      <c r="N3876" s="24">
        <f t="shared" si="60"/>
        <v>0.0003876</v>
      </c>
    </row>
    <row r="3877" spans="1:14">
      <c r="A3877" s="21" t="s">
        <v>3697</v>
      </c>
      <c r="B3877" s="21" t="s">
        <v>920</v>
      </c>
      <c r="C3877" s="21" t="s">
        <v>35</v>
      </c>
      <c r="D3877" s="21" t="s">
        <v>921</v>
      </c>
      <c r="E3877" s="21">
        <v>0</v>
      </c>
      <c r="F3877" s="22">
        <v>45279.8483449074</v>
      </c>
      <c r="G3877" s="22">
        <v>45372.4657523148</v>
      </c>
      <c r="H3877" s="23">
        <v>3180</v>
      </c>
      <c r="I3877" s="23">
        <v>1590</v>
      </c>
      <c r="J3877" s="24">
        <v>0</v>
      </c>
      <c r="K3877" s="21">
        <v>1</v>
      </c>
      <c r="L3877" s="21">
        <v>2</v>
      </c>
      <c r="M3877" s="21">
        <f>COUNTIF($A$2:$A$5481,A3877)</f>
        <v>1</v>
      </c>
      <c r="N3877" s="24">
        <f t="shared" si="60"/>
        <v>0.0003877</v>
      </c>
    </row>
    <row r="3878" spans="1:14">
      <c r="A3878" s="21" t="s">
        <v>3698</v>
      </c>
      <c r="B3878" s="21" t="s">
        <v>920</v>
      </c>
      <c r="C3878" s="21" t="s">
        <v>26</v>
      </c>
      <c r="D3878" s="21" t="s">
        <v>921</v>
      </c>
      <c r="E3878" s="21">
        <v>0</v>
      </c>
      <c r="F3878" s="22">
        <v>45869.472650463</v>
      </c>
      <c r="G3878" s="22">
        <v>45870.450474537</v>
      </c>
      <c r="H3878" s="23">
        <v>1390</v>
      </c>
      <c r="I3878" s="23">
        <v>1390</v>
      </c>
      <c r="J3878" s="24">
        <v>0</v>
      </c>
      <c r="K3878" s="21">
        <v>0</v>
      </c>
      <c r="L3878" s="21">
        <v>0</v>
      </c>
      <c r="M3878" s="21">
        <f>COUNTIF($A$2:$A$5481,A3878)</f>
        <v>1</v>
      </c>
      <c r="N3878" s="24">
        <f t="shared" si="60"/>
        <v>0.0003878</v>
      </c>
    </row>
    <row r="3879" spans="1:14">
      <c r="A3879" s="21" t="s">
        <v>3699</v>
      </c>
      <c r="B3879" s="21" t="s">
        <v>920</v>
      </c>
      <c r="C3879" s="21" t="s">
        <v>35</v>
      </c>
      <c r="D3879" s="21" t="s">
        <v>921</v>
      </c>
      <c r="E3879" s="21">
        <v>0</v>
      </c>
      <c r="F3879" s="22">
        <v>45294.8212037037</v>
      </c>
      <c r="G3879" s="22">
        <v>45295.4735763889</v>
      </c>
      <c r="H3879" s="23">
        <v>1980</v>
      </c>
      <c r="I3879" s="23">
        <v>1980</v>
      </c>
      <c r="J3879" s="24">
        <v>0</v>
      </c>
      <c r="K3879" s="21">
        <v>0</v>
      </c>
      <c r="L3879" s="21">
        <v>5</v>
      </c>
      <c r="M3879" s="21">
        <f>COUNTIF($A$2:$A$5481,A3879)</f>
        <v>2</v>
      </c>
      <c r="N3879" s="24">
        <f t="shared" si="60"/>
        <v>0.0003879</v>
      </c>
    </row>
    <row r="3880" spans="1:14">
      <c r="A3880" s="21" t="s">
        <v>3699</v>
      </c>
      <c r="B3880" s="21" t="s">
        <v>920</v>
      </c>
      <c r="C3880" s="21" t="s">
        <v>26</v>
      </c>
      <c r="D3880" s="21" t="s">
        <v>921</v>
      </c>
      <c r="E3880" s="21">
        <v>0</v>
      </c>
      <c r="F3880" s="22">
        <v>45936.7064814815</v>
      </c>
      <c r="G3880" s="22">
        <v>45936.7184837963</v>
      </c>
      <c r="H3880" s="23">
        <v>1980</v>
      </c>
      <c r="I3880" s="23">
        <v>1980</v>
      </c>
      <c r="J3880" s="24">
        <v>0</v>
      </c>
      <c r="K3880" s="21">
        <v>0</v>
      </c>
      <c r="L3880" s="21">
        <v>5</v>
      </c>
      <c r="M3880" s="21">
        <f>COUNTIF($A$2:$A$5481,A3880)</f>
        <v>2</v>
      </c>
      <c r="N3880" s="24">
        <f t="shared" si="60"/>
        <v>0.000388</v>
      </c>
    </row>
    <row r="3881" spans="1:14">
      <c r="A3881" s="21" t="s">
        <v>3700</v>
      </c>
      <c r="B3881" s="21" t="s">
        <v>920</v>
      </c>
      <c r="C3881" s="21" t="s">
        <v>35</v>
      </c>
      <c r="D3881" s="21" t="s">
        <v>921</v>
      </c>
      <c r="E3881" s="21">
        <v>0</v>
      </c>
      <c r="F3881" s="22">
        <v>45362.7002546296</v>
      </c>
      <c r="G3881" s="22">
        <v>45420.7182060185</v>
      </c>
      <c r="H3881" s="23">
        <v>1800</v>
      </c>
      <c r="I3881" s="23">
        <v>1800</v>
      </c>
      <c r="J3881" s="24">
        <v>0</v>
      </c>
      <c r="K3881" s="21">
        <v>0</v>
      </c>
      <c r="L3881" s="21">
        <v>0</v>
      </c>
      <c r="M3881" s="21">
        <f>COUNTIF($A$2:$A$5481,A3881)</f>
        <v>1</v>
      </c>
      <c r="N3881" s="24">
        <f t="shared" si="60"/>
        <v>0.0003881</v>
      </c>
    </row>
    <row r="3882" spans="1:14">
      <c r="A3882" s="21" t="s">
        <v>3701</v>
      </c>
      <c r="B3882" s="21" t="s">
        <v>1346</v>
      </c>
      <c r="C3882" s="21" t="s">
        <v>390</v>
      </c>
      <c r="D3882" s="21" t="s">
        <v>921</v>
      </c>
      <c r="E3882" s="21">
        <v>1</v>
      </c>
      <c r="F3882" s="22">
        <v>45289.4929976852</v>
      </c>
      <c r="G3882" s="22"/>
      <c r="H3882" s="23">
        <v>6443.33</v>
      </c>
      <c r="I3882" s="23">
        <v>6443.33</v>
      </c>
      <c r="J3882" s="24">
        <v>6443.33</v>
      </c>
      <c r="K3882" s="21">
        <v>0</v>
      </c>
      <c r="L3882" s="21">
        <v>0</v>
      </c>
      <c r="M3882" s="21">
        <f>COUNTIF($A$2:$A$5481,A3882)</f>
        <v>1</v>
      </c>
      <c r="N3882" s="24">
        <f t="shared" si="60"/>
        <v>6443.3303882</v>
      </c>
    </row>
    <row r="3883" spans="1:14">
      <c r="A3883" s="21" t="s">
        <v>3702</v>
      </c>
      <c r="B3883" s="21" t="s">
        <v>920</v>
      </c>
      <c r="C3883" s="21" t="s">
        <v>26</v>
      </c>
      <c r="D3883" s="21" t="s">
        <v>921</v>
      </c>
      <c r="E3883" s="21">
        <v>0</v>
      </c>
      <c r="F3883" s="22">
        <v>45454.85</v>
      </c>
      <c r="G3883" s="22">
        <v>45572.8143055556</v>
      </c>
      <c r="H3883" s="23">
        <v>1322.1</v>
      </c>
      <c r="I3883" s="23">
        <v>1322.1</v>
      </c>
      <c r="J3883" s="24">
        <v>0</v>
      </c>
      <c r="K3883" s="21">
        <v>0</v>
      </c>
      <c r="L3883" s="21">
        <v>0</v>
      </c>
      <c r="M3883" s="21">
        <f>COUNTIF($A$2:$A$5481,A3883)</f>
        <v>1</v>
      </c>
      <c r="N3883" s="24">
        <f t="shared" si="60"/>
        <v>0.0003883</v>
      </c>
    </row>
    <row r="3884" spans="1:14">
      <c r="A3884" s="21" t="s">
        <v>3703</v>
      </c>
      <c r="B3884" s="21" t="s">
        <v>26</v>
      </c>
      <c r="C3884" s="21" t="s">
        <v>182</v>
      </c>
      <c r="D3884" s="21" t="s">
        <v>921</v>
      </c>
      <c r="E3884" s="21">
        <v>6</v>
      </c>
      <c r="F3884" s="22">
        <v>45307.4647106482</v>
      </c>
      <c r="G3884" s="22"/>
      <c r="H3884" s="23">
        <v>12.6</v>
      </c>
      <c r="I3884" s="23">
        <v>2.1</v>
      </c>
      <c r="J3884" s="24">
        <v>12.6</v>
      </c>
      <c r="K3884" s="21">
        <v>0</v>
      </c>
      <c r="L3884" s="21">
        <v>0</v>
      </c>
      <c r="M3884" s="21">
        <f>COUNTIF($A$2:$A$5481,A3884)</f>
        <v>2</v>
      </c>
      <c r="N3884" s="24">
        <f t="shared" si="60"/>
        <v>12.6003884</v>
      </c>
    </row>
    <row r="3885" spans="1:14">
      <c r="A3885" s="21" t="s">
        <v>3703</v>
      </c>
      <c r="B3885" s="21" t="s">
        <v>26</v>
      </c>
      <c r="C3885" s="21" t="s">
        <v>26</v>
      </c>
      <c r="D3885" s="21" t="s">
        <v>921</v>
      </c>
      <c r="E3885" s="21">
        <v>34</v>
      </c>
      <c r="F3885" s="22">
        <v>46120.3576388889</v>
      </c>
      <c r="G3885" s="22"/>
      <c r="H3885" s="23">
        <v>5.98</v>
      </c>
      <c r="I3885" s="23">
        <v>1.9652941176</v>
      </c>
      <c r="J3885" s="24">
        <v>66.98</v>
      </c>
      <c r="K3885" s="21">
        <v>0</v>
      </c>
      <c r="L3885" s="21">
        <v>0</v>
      </c>
      <c r="M3885" s="21">
        <f>COUNTIF($A$2:$A$5481,A3885)</f>
        <v>2</v>
      </c>
      <c r="N3885" s="24">
        <f t="shared" si="60"/>
        <v>66.9803885</v>
      </c>
    </row>
    <row r="3886" spans="1:14">
      <c r="A3886" s="21" t="s">
        <v>646</v>
      </c>
      <c r="B3886" s="21" t="s">
        <v>948</v>
      </c>
      <c r="C3886" s="21" t="s">
        <v>641</v>
      </c>
      <c r="D3886" s="21" t="s">
        <v>921</v>
      </c>
      <c r="E3886" s="21">
        <v>6</v>
      </c>
      <c r="F3886" s="22">
        <v>45441.4573611111</v>
      </c>
      <c r="G3886" s="22"/>
      <c r="H3886" s="23">
        <v>132</v>
      </c>
      <c r="I3886" s="23">
        <v>22</v>
      </c>
      <c r="J3886" s="24">
        <v>132</v>
      </c>
      <c r="K3886" s="21">
        <v>0</v>
      </c>
      <c r="L3886" s="21">
        <v>0</v>
      </c>
      <c r="M3886" s="21">
        <f>COUNTIF($A$2:$A$5481,A3886)</f>
        <v>2</v>
      </c>
      <c r="N3886" s="24">
        <f t="shared" si="60"/>
        <v>132.0003886</v>
      </c>
    </row>
    <row r="3887" spans="1:14">
      <c r="A3887" s="21" t="s">
        <v>646</v>
      </c>
      <c r="B3887" s="21" t="s">
        <v>948</v>
      </c>
      <c r="C3887" s="21" t="s">
        <v>26</v>
      </c>
      <c r="D3887" s="21" t="s">
        <v>921</v>
      </c>
      <c r="E3887" s="21">
        <v>0</v>
      </c>
      <c r="F3887" s="22">
        <v>46175.5815162037</v>
      </c>
      <c r="G3887" s="22">
        <v>46252.4962268519</v>
      </c>
      <c r="H3887" s="23">
        <v>23</v>
      </c>
      <c r="I3887" s="23">
        <v>22.1666666667</v>
      </c>
      <c r="J3887" s="24">
        <v>0</v>
      </c>
      <c r="K3887" s="21">
        <v>0</v>
      </c>
      <c r="L3887" s="21">
        <v>0</v>
      </c>
      <c r="M3887" s="21">
        <f>COUNTIF($A$2:$A$5481,A3887)</f>
        <v>2</v>
      </c>
      <c r="N3887" s="24">
        <f t="shared" si="60"/>
        <v>0.0003887</v>
      </c>
    </row>
    <row r="3888" spans="1:14">
      <c r="A3888" s="21" t="s">
        <v>3704</v>
      </c>
      <c r="B3888" s="21" t="s">
        <v>920</v>
      </c>
      <c r="C3888" s="21" t="s">
        <v>26</v>
      </c>
      <c r="D3888" s="21" t="s">
        <v>921</v>
      </c>
      <c r="E3888" s="21">
        <v>0</v>
      </c>
      <c r="F3888" s="22">
        <v>45982.5480671296</v>
      </c>
      <c r="G3888" s="22">
        <v>45982.5494097222</v>
      </c>
      <c r="H3888" s="23">
        <v>398.54</v>
      </c>
      <c r="I3888" s="23">
        <v>398.54</v>
      </c>
      <c r="J3888" s="24">
        <v>0</v>
      </c>
      <c r="K3888" s="21">
        <v>0</v>
      </c>
      <c r="L3888" s="21">
        <v>0</v>
      </c>
      <c r="M3888" s="21">
        <f>COUNTIF($A$2:$A$5481,A3888)</f>
        <v>1</v>
      </c>
      <c r="N3888" s="24">
        <f t="shared" si="60"/>
        <v>0.0003888</v>
      </c>
    </row>
    <row r="3889" spans="1:14">
      <c r="A3889" s="21" t="s">
        <v>3705</v>
      </c>
      <c r="B3889" s="21" t="s">
        <v>26</v>
      </c>
      <c r="C3889" s="21" t="s">
        <v>390</v>
      </c>
      <c r="D3889" s="21" t="s">
        <v>921</v>
      </c>
      <c r="E3889" s="21">
        <v>1</v>
      </c>
      <c r="F3889" s="22">
        <v>45632.3999074074</v>
      </c>
      <c r="G3889" s="22"/>
      <c r="H3889" s="23">
        <v>5047.22</v>
      </c>
      <c r="I3889" s="23">
        <v>5047.22</v>
      </c>
      <c r="J3889" s="24">
        <v>5047.22</v>
      </c>
      <c r="K3889" s="21">
        <v>0</v>
      </c>
      <c r="L3889" s="21">
        <v>0</v>
      </c>
      <c r="M3889" s="21">
        <f>COUNTIF($A$2:$A$5481,A3889)</f>
        <v>1</v>
      </c>
      <c r="N3889" s="24">
        <f t="shared" si="60"/>
        <v>5047.2203889</v>
      </c>
    </row>
    <row r="3890" spans="1:14">
      <c r="A3890" s="21" t="s">
        <v>380</v>
      </c>
      <c r="B3890" s="21" t="s">
        <v>920</v>
      </c>
      <c r="C3890" s="21" t="s">
        <v>35</v>
      </c>
      <c r="D3890" s="21" t="s">
        <v>921</v>
      </c>
      <c r="E3890" s="21">
        <v>0</v>
      </c>
      <c r="F3890" s="22">
        <v>45344.8575925926</v>
      </c>
      <c r="G3890" s="22">
        <v>45544.7178240741</v>
      </c>
      <c r="H3890" s="23">
        <v>2200</v>
      </c>
      <c r="I3890" s="23">
        <v>550</v>
      </c>
      <c r="J3890" s="24">
        <v>0</v>
      </c>
      <c r="K3890" s="21">
        <v>1</v>
      </c>
      <c r="L3890" s="21">
        <v>20</v>
      </c>
      <c r="M3890" s="21">
        <f>COUNTIF($A$2:$A$5481,A3890)</f>
        <v>2</v>
      </c>
      <c r="N3890" s="24">
        <f t="shared" si="60"/>
        <v>0.000389</v>
      </c>
    </row>
    <row r="3891" spans="1:14">
      <c r="A3891" s="21" t="s">
        <v>380</v>
      </c>
      <c r="B3891" s="21" t="s">
        <v>920</v>
      </c>
      <c r="C3891" s="21" t="s">
        <v>26</v>
      </c>
      <c r="D3891" s="21" t="s">
        <v>921</v>
      </c>
      <c r="E3891" s="21">
        <v>0</v>
      </c>
      <c r="F3891" s="22">
        <v>45764.4004976852</v>
      </c>
      <c r="G3891" s="22">
        <v>46277.6611111111</v>
      </c>
      <c r="H3891" s="23">
        <v>2392</v>
      </c>
      <c r="I3891" s="23">
        <v>998.5</v>
      </c>
      <c r="J3891" s="24">
        <v>0</v>
      </c>
      <c r="K3891" s="21">
        <v>1</v>
      </c>
      <c r="L3891" s="21">
        <v>20</v>
      </c>
      <c r="M3891" s="21">
        <f>COUNTIF($A$2:$A$5481,A3891)</f>
        <v>2</v>
      </c>
      <c r="N3891" s="24">
        <f t="shared" si="60"/>
        <v>0.0003891</v>
      </c>
    </row>
    <row r="3892" spans="1:14">
      <c r="A3892" s="21" t="s">
        <v>3706</v>
      </c>
      <c r="B3892" s="21" t="s">
        <v>920</v>
      </c>
      <c r="C3892" s="21" t="s">
        <v>35</v>
      </c>
      <c r="D3892" s="21" t="s">
        <v>921</v>
      </c>
      <c r="E3892" s="21">
        <v>0</v>
      </c>
      <c r="F3892" s="22">
        <v>45327.73125</v>
      </c>
      <c r="G3892" s="22">
        <v>45330.4318865741</v>
      </c>
      <c r="H3892" s="23">
        <v>760</v>
      </c>
      <c r="I3892" s="23">
        <v>760</v>
      </c>
      <c r="J3892" s="24">
        <v>0</v>
      </c>
      <c r="K3892" s="21">
        <v>0</v>
      </c>
      <c r="L3892" s="21">
        <v>0</v>
      </c>
      <c r="M3892" s="21">
        <f>COUNTIF($A$2:$A$5481,A3892)</f>
        <v>1</v>
      </c>
      <c r="N3892" s="24">
        <f t="shared" si="60"/>
        <v>0.0003892</v>
      </c>
    </row>
    <row r="3893" spans="1:14">
      <c r="A3893" s="21" t="s">
        <v>245</v>
      </c>
      <c r="B3893" s="21" t="s">
        <v>920</v>
      </c>
      <c r="C3893" s="21" t="s">
        <v>26</v>
      </c>
      <c r="D3893" s="21" t="s">
        <v>921</v>
      </c>
      <c r="E3893" s="21">
        <v>0</v>
      </c>
      <c r="F3893" s="22">
        <v>46062.3520601852</v>
      </c>
      <c r="G3893" s="22">
        <v>46064.6621296296</v>
      </c>
      <c r="H3893" s="23">
        <v>4900</v>
      </c>
      <c r="I3893" s="23">
        <v>4900</v>
      </c>
      <c r="J3893" s="24">
        <v>0</v>
      </c>
      <c r="K3893" s="21">
        <v>0</v>
      </c>
      <c r="L3893" s="21">
        <v>0</v>
      </c>
      <c r="M3893" s="21">
        <f>COUNTIF($A$2:$A$5481,A3893)</f>
        <v>1</v>
      </c>
      <c r="N3893" s="24">
        <f t="shared" si="60"/>
        <v>0.0003893</v>
      </c>
    </row>
    <row r="3894" spans="1:14">
      <c r="A3894" s="21" t="s">
        <v>3707</v>
      </c>
      <c r="B3894" s="21" t="s">
        <v>920</v>
      </c>
      <c r="C3894" s="21" t="s">
        <v>26</v>
      </c>
      <c r="D3894" s="21" t="s">
        <v>931</v>
      </c>
      <c r="E3894" s="21">
        <v>0</v>
      </c>
      <c r="F3894" s="22">
        <v>45737.4272685185</v>
      </c>
      <c r="G3894" s="22">
        <v>45756.5769675926</v>
      </c>
      <c r="H3894" s="23">
        <v>1560</v>
      </c>
      <c r="I3894" s="23">
        <v>1560</v>
      </c>
      <c r="J3894" s="24">
        <v>0</v>
      </c>
      <c r="K3894" s="21">
        <v>0</v>
      </c>
      <c r="L3894" s="21">
        <v>0</v>
      </c>
      <c r="M3894" s="21">
        <f>COUNTIF($A$2:$A$5481,A3894)</f>
        <v>1</v>
      </c>
      <c r="N3894" s="24">
        <f t="shared" si="60"/>
        <v>0.0003894</v>
      </c>
    </row>
    <row r="3895" spans="1:14">
      <c r="A3895" s="21" t="s">
        <v>3708</v>
      </c>
      <c r="B3895" s="21" t="s">
        <v>26</v>
      </c>
      <c r="C3895" s="21" t="s">
        <v>26</v>
      </c>
      <c r="D3895" s="21" t="s">
        <v>921</v>
      </c>
      <c r="E3895" s="21">
        <v>2</v>
      </c>
      <c r="F3895" s="22">
        <v>45467.8197569445</v>
      </c>
      <c r="G3895" s="22"/>
      <c r="H3895" s="23">
        <v>18</v>
      </c>
      <c r="I3895" s="23">
        <v>9</v>
      </c>
      <c r="J3895" s="24">
        <v>18</v>
      </c>
      <c r="K3895" s="21">
        <v>0</v>
      </c>
      <c r="L3895" s="21">
        <v>0</v>
      </c>
      <c r="M3895" s="21">
        <f>COUNTIF($A$2:$A$5481,A3895)</f>
        <v>1</v>
      </c>
      <c r="N3895" s="24">
        <f t="shared" si="60"/>
        <v>18.0003895</v>
      </c>
    </row>
    <row r="3896" spans="1:14">
      <c r="A3896" s="21" t="s">
        <v>3709</v>
      </c>
      <c r="B3896" s="21" t="s">
        <v>920</v>
      </c>
      <c r="C3896" s="21" t="s">
        <v>26</v>
      </c>
      <c r="D3896" s="21" t="s">
        <v>921</v>
      </c>
      <c r="E3896" s="21">
        <v>15</v>
      </c>
      <c r="F3896" s="22">
        <v>45755.3908217593</v>
      </c>
      <c r="G3896" s="22">
        <v>45861.3915856482</v>
      </c>
      <c r="H3896" s="23">
        <v>185.4</v>
      </c>
      <c r="I3896" s="23">
        <v>30.9</v>
      </c>
      <c r="J3896" s="24">
        <v>463.5</v>
      </c>
      <c r="K3896" s="21">
        <v>0</v>
      </c>
      <c r="L3896" s="21">
        <v>0</v>
      </c>
      <c r="M3896" s="21">
        <f>COUNTIF($A$2:$A$5481,A3896)</f>
        <v>1</v>
      </c>
      <c r="N3896" s="24">
        <f t="shared" si="60"/>
        <v>463.5003896</v>
      </c>
    </row>
    <row r="3897" spans="1:14">
      <c r="A3897" s="21" t="s">
        <v>3710</v>
      </c>
      <c r="B3897" s="21" t="s">
        <v>920</v>
      </c>
      <c r="C3897" s="21" t="s">
        <v>26</v>
      </c>
      <c r="D3897" s="21" t="s">
        <v>921</v>
      </c>
      <c r="E3897" s="21">
        <v>6</v>
      </c>
      <c r="F3897" s="22">
        <v>45617.8369444445</v>
      </c>
      <c r="G3897" s="22"/>
      <c r="H3897" s="23">
        <v>185.4</v>
      </c>
      <c r="I3897" s="23">
        <v>30.9</v>
      </c>
      <c r="J3897" s="24">
        <v>185.4</v>
      </c>
      <c r="K3897" s="21">
        <v>0</v>
      </c>
      <c r="L3897" s="21">
        <v>0</v>
      </c>
      <c r="M3897" s="21">
        <f>COUNTIF($A$2:$A$5481,A3897)</f>
        <v>1</v>
      </c>
      <c r="N3897" s="24">
        <f t="shared" si="60"/>
        <v>185.4003897</v>
      </c>
    </row>
    <row r="3898" spans="1:14">
      <c r="A3898" s="21" t="s">
        <v>3711</v>
      </c>
      <c r="B3898" s="21" t="s">
        <v>929</v>
      </c>
      <c r="C3898" s="21" t="s">
        <v>26</v>
      </c>
      <c r="D3898" s="21" t="s">
        <v>921</v>
      </c>
      <c r="E3898" s="21">
        <v>5</v>
      </c>
      <c r="F3898" s="22">
        <v>45512.8454282407</v>
      </c>
      <c r="G3898" s="22"/>
      <c r="H3898" s="23">
        <v>92.7</v>
      </c>
      <c r="I3898" s="23">
        <v>30.9</v>
      </c>
      <c r="J3898" s="24">
        <v>154.5</v>
      </c>
      <c r="K3898" s="21">
        <v>0</v>
      </c>
      <c r="L3898" s="21">
        <v>0</v>
      </c>
      <c r="M3898" s="21">
        <f>COUNTIF($A$2:$A$5481,A3898)</f>
        <v>1</v>
      </c>
      <c r="N3898" s="24">
        <f t="shared" si="60"/>
        <v>154.5003898</v>
      </c>
    </row>
    <row r="3899" spans="1:14">
      <c r="A3899" s="21" t="s">
        <v>477</v>
      </c>
      <c r="B3899" s="21" t="s">
        <v>26</v>
      </c>
      <c r="C3899" s="21" t="s">
        <v>26</v>
      </c>
      <c r="D3899" s="21" t="s">
        <v>921</v>
      </c>
      <c r="E3899" s="21">
        <v>63</v>
      </c>
      <c r="F3899" s="22">
        <v>46192.5584606482</v>
      </c>
      <c r="G3899" s="22">
        <v>46220.6084143519</v>
      </c>
      <c r="H3899" s="23">
        <v>514.92</v>
      </c>
      <c r="I3899" s="23">
        <v>33.1286567164</v>
      </c>
      <c r="J3899" s="24">
        <v>2087.19</v>
      </c>
      <c r="K3899" s="21">
        <v>0</v>
      </c>
      <c r="L3899" s="21">
        <v>0</v>
      </c>
      <c r="M3899" s="21">
        <f>COUNTIF($A$2:$A$5481,A3899)</f>
        <v>1</v>
      </c>
      <c r="N3899" s="24">
        <f t="shared" si="60"/>
        <v>2087.1903899</v>
      </c>
    </row>
    <row r="3900" spans="1:14">
      <c r="A3900" s="21" t="s">
        <v>454</v>
      </c>
      <c r="B3900" s="21" t="s">
        <v>26</v>
      </c>
      <c r="C3900" s="21" t="s">
        <v>26</v>
      </c>
      <c r="D3900" s="21" t="s">
        <v>921</v>
      </c>
      <c r="E3900" s="21">
        <v>23</v>
      </c>
      <c r="F3900" s="22">
        <v>45847.6849537037</v>
      </c>
      <c r="G3900" s="22">
        <v>46209.4145833333</v>
      </c>
      <c r="H3900" s="23">
        <v>370.8</v>
      </c>
      <c r="I3900" s="23">
        <v>28.92</v>
      </c>
      <c r="J3900" s="24">
        <v>665.16</v>
      </c>
      <c r="K3900" s="21">
        <v>0</v>
      </c>
      <c r="L3900" s="21">
        <v>0</v>
      </c>
      <c r="M3900" s="21">
        <f>COUNTIF($A$2:$A$5481,A3900)</f>
        <v>1</v>
      </c>
      <c r="N3900" s="24">
        <f t="shared" si="60"/>
        <v>665.16039</v>
      </c>
    </row>
    <row r="3901" spans="1:14">
      <c r="A3901" s="21" t="s">
        <v>3712</v>
      </c>
      <c r="B3901" s="21" t="s">
        <v>26</v>
      </c>
      <c r="C3901" s="21" t="s">
        <v>26</v>
      </c>
      <c r="D3901" s="21" t="s">
        <v>921</v>
      </c>
      <c r="E3901" s="21">
        <v>33</v>
      </c>
      <c r="F3901" s="22">
        <v>45940.5603703704</v>
      </c>
      <c r="G3901" s="22">
        <v>45834.4990162037</v>
      </c>
      <c r="H3901" s="23">
        <v>123.6</v>
      </c>
      <c r="I3901" s="23">
        <v>31.0617551515</v>
      </c>
      <c r="J3901" s="24">
        <v>1024.98</v>
      </c>
      <c r="K3901" s="21">
        <v>0</v>
      </c>
      <c r="L3901" s="21">
        <v>0</v>
      </c>
      <c r="M3901" s="21">
        <f>COUNTIF($A$2:$A$5481,A3901)</f>
        <v>1</v>
      </c>
      <c r="N3901" s="24">
        <f t="shared" si="60"/>
        <v>1024.9803901</v>
      </c>
    </row>
    <row r="3902" spans="1:14">
      <c r="A3902" s="21" t="s">
        <v>3713</v>
      </c>
      <c r="B3902" s="21" t="s">
        <v>920</v>
      </c>
      <c r="C3902" s="21" t="s">
        <v>26</v>
      </c>
      <c r="D3902" s="21" t="s">
        <v>921</v>
      </c>
      <c r="E3902" s="21">
        <v>11</v>
      </c>
      <c r="F3902" s="22">
        <v>45540.4645717593</v>
      </c>
      <c r="G3902" s="22">
        <v>45820.4243287037</v>
      </c>
      <c r="H3902" s="23">
        <v>185.4</v>
      </c>
      <c r="I3902" s="23">
        <v>30.9</v>
      </c>
      <c r="J3902" s="24">
        <v>339.9</v>
      </c>
      <c r="K3902" s="21">
        <v>0</v>
      </c>
      <c r="L3902" s="21">
        <v>0</v>
      </c>
      <c r="M3902" s="21">
        <f>COUNTIF($A$2:$A$5481,A3902)</f>
        <v>1</v>
      </c>
      <c r="N3902" s="24">
        <f t="shared" si="60"/>
        <v>339.9003902</v>
      </c>
    </row>
    <row r="3903" spans="1:14">
      <c r="A3903" s="21" t="s">
        <v>3714</v>
      </c>
      <c r="B3903" s="21" t="s">
        <v>920</v>
      </c>
      <c r="C3903" s="21" t="s">
        <v>26</v>
      </c>
      <c r="D3903" s="21" t="s">
        <v>921</v>
      </c>
      <c r="E3903" s="21">
        <v>6</v>
      </c>
      <c r="F3903" s="22">
        <v>46223.7346990741</v>
      </c>
      <c r="G3903" s="22"/>
      <c r="H3903" s="23">
        <v>249.12</v>
      </c>
      <c r="I3903" s="23">
        <v>41.52</v>
      </c>
      <c r="J3903" s="24">
        <v>249.12</v>
      </c>
      <c r="K3903" s="21">
        <v>0</v>
      </c>
      <c r="L3903" s="21">
        <v>0</v>
      </c>
      <c r="M3903" s="21">
        <f>COUNTIF($A$2:$A$5481,A3903)</f>
        <v>1</v>
      </c>
      <c r="N3903" s="24">
        <f t="shared" si="60"/>
        <v>249.1203903</v>
      </c>
    </row>
    <row r="3904" spans="1:14">
      <c r="A3904" s="21" t="s">
        <v>3715</v>
      </c>
      <c r="B3904" s="21" t="s">
        <v>949</v>
      </c>
      <c r="C3904" s="21" t="s">
        <v>26</v>
      </c>
      <c r="D3904" s="21" t="s">
        <v>1217</v>
      </c>
      <c r="E3904" s="21">
        <v>14</v>
      </c>
      <c r="F3904" s="22">
        <v>46058.5860648148</v>
      </c>
      <c r="G3904" s="22">
        <v>45331.4257175926</v>
      </c>
      <c r="H3904" s="23">
        <v>21.5</v>
      </c>
      <c r="I3904" s="23">
        <v>8.7242857143</v>
      </c>
      <c r="J3904" s="24">
        <v>122.08</v>
      </c>
      <c r="K3904" s="21">
        <v>0</v>
      </c>
      <c r="L3904" s="21">
        <v>0</v>
      </c>
      <c r="M3904" s="21">
        <f>COUNTIF($A$2:$A$5481,A3904)</f>
        <v>1</v>
      </c>
      <c r="N3904" s="24">
        <f t="shared" si="60"/>
        <v>122.0803904</v>
      </c>
    </row>
    <row r="3905" spans="1:14">
      <c r="A3905" s="21" t="s">
        <v>3716</v>
      </c>
      <c r="B3905" s="21" t="s">
        <v>929</v>
      </c>
      <c r="C3905" s="21" t="s">
        <v>26</v>
      </c>
      <c r="D3905" s="21" t="s">
        <v>921</v>
      </c>
      <c r="E3905" s="21">
        <v>1</v>
      </c>
      <c r="F3905" s="22">
        <v>45994.5823611111</v>
      </c>
      <c r="G3905" s="22"/>
      <c r="H3905" s="23">
        <v>29.9</v>
      </c>
      <c r="I3905" s="23">
        <v>29.9</v>
      </c>
      <c r="J3905" s="24">
        <v>29.9</v>
      </c>
      <c r="K3905" s="21">
        <v>0</v>
      </c>
      <c r="L3905" s="21">
        <v>0</v>
      </c>
      <c r="M3905" s="21">
        <f>COUNTIF($A$2:$A$5481,A3905)</f>
        <v>1</v>
      </c>
      <c r="N3905" s="24">
        <f t="shared" si="60"/>
        <v>29.9003905</v>
      </c>
    </row>
    <row r="3906" spans="1:14">
      <c r="A3906" s="21" t="s">
        <v>3717</v>
      </c>
      <c r="B3906" s="21" t="s">
        <v>929</v>
      </c>
      <c r="C3906" s="21" t="s">
        <v>26</v>
      </c>
      <c r="D3906" s="21" t="s">
        <v>921</v>
      </c>
      <c r="E3906" s="21">
        <v>1</v>
      </c>
      <c r="F3906" s="22">
        <v>45436.3963078704</v>
      </c>
      <c r="G3906" s="22"/>
      <c r="H3906" s="23">
        <v>30.47</v>
      </c>
      <c r="I3906" s="23">
        <v>30.47</v>
      </c>
      <c r="J3906" s="24">
        <v>30.47</v>
      </c>
      <c r="K3906" s="21">
        <v>0</v>
      </c>
      <c r="L3906" s="21">
        <v>0</v>
      </c>
      <c r="M3906" s="21">
        <f>COUNTIF($A$2:$A$5481,A3906)</f>
        <v>1</v>
      </c>
      <c r="N3906" s="24">
        <f t="shared" ref="N3906:N3969" si="61">J3906+ROW()/10000000</f>
        <v>30.4703906</v>
      </c>
    </row>
    <row r="3907" spans="1:14">
      <c r="A3907" s="21" t="s">
        <v>3718</v>
      </c>
      <c r="B3907" s="21" t="s">
        <v>1115</v>
      </c>
      <c r="C3907" s="21" t="s">
        <v>51</v>
      </c>
      <c r="D3907" s="21" t="s">
        <v>921</v>
      </c>
      <c r="E3907" s="21">
        <v>2</v>
      </c>
      <c r="F3907" s="22">
        <v>46099.6033333333</v>
      </c>
      <c r="G3907" s="22"/>
      <c r="H3907" s="23">
        <v>1248</v>
      </c>
      <c r="I3907" s="23">
        <v>624</v>
      </c>
      <c r="J3907" s="24">
        <v>1248</v>
      </c>
      <c r="K3907" s="21">
        <v>0</v>
      </c>
      <c r="L3907" s="21">
        <v>0</v>
      </c>
      <c r="M3907" s="21">
        <f>COUNTIF($A$2:$A$5481,A3907)</f>
        <v>1</v>
      </c>
      <c r="N3907" s="24">
        <f t="shared" si="61"/>
        <v>1248.0003907</v>
      </c>
    </row>
    <row r="3908" spans="1:14">
      <c r="A3908" s="21" t="s">
        <v>3719</v>
      </c>
      <c r="B3908" s="21" t="s">
        <v>920</v>
      </c>
      <c r="C3908" s="21" t="s">
        <v>35</v>
      </c>
      <c r="D3908" s="21" t="s">
        <v>921</v>
      </c>
      <c r="E3908" s="21">
        <v>1</v>
      </c>
      <c r="F3908" s="22">
        <v>45370.8197337963</v>
      </c>
      <c r="G3908" s="22"/>
      <c r="H3908" s="23">
        <v>52.5</v>
      </c>
      <c r="I3908" s="23">
        <v>52.5</v>
      </c>
      <c r="J3908" s="24">
        <v>52.5</v>
      </c>
      <c r="K3908" s="21">
        <v>0</v>
      </c>
      <c r="L3908" s="21">
        <v>0</v>
      </c>
      <c r="M3908" s="21">
        <f>COUNTIF($A$2:$A$5481,A3908)</f>
        <v>2</v>
      </c>
      <c r="N3908" s="24">
        <f t="shared" si="61"/>
        <v>52.5003908</v>
      </c>
    </row>
    <row r="3909" spans="1:14">
      <c r="A3909" s="21" t="s">
        <v>3719</v>
      </c>
      <c r="B3909" s="21" t="s">
        <v>920</v>
      </c>
      <c r="C3909" s="21" t="s">
        <v>26</v>
      </c>
      <c r="D3909" s="21" t="s">
        <v>921</v>
      </c>
      <c r="E3909" s="21">
        <v>3</v>
      </c>
      <c r="F3909" s="22">
        <v>46057.795462963</v>
      </c>
      <c r="G3909" s="22"/>
      <c r="H3909" s="23">
        <v>48.5</v>
      </c>
      <c r="I3909" s="23">
        <v>49.1666666667</v>
      </c>
      <c r="J3909" s="24">
        <v>147.51</v>
      </c>
      <c r="K3909" s="21">
        <v>0</v>
      </c>
      <c r="L3909" s="21">
        <v>0</v>
      </c>
      <c r="M3909" s="21">
        <f>COUNTIF($A$2:$A$5481,A3909)</f>
        <v>2</v>
      </c>
      <c r="N3909" s="24">
        <f t="shared" si="61"/>
        <v>147.5103909</v>
      </c>
    </row>
    <row r="3910" spans="1:14">
      <c r="A3910" s="21" t="s">
        <v>604</v>
      </c>
      <c r="B3910" s="21" t="s">
        <v>920</v>
      </c>
      <c r="C3910" s="21" t="s">
        <v>35</v>
      </c>
      <c r="D3910" s="21" t="s">
        <v>921</v>
      </c>
      <c r="E3910" s="21">
        <v>2</v>
      </c>
      <c r="F3910" s="22">
        <v>45372.8344444444</v>
      </c>
      <c r="G3910" s="22"/>
      <c r="H3910" s="23">
        <v>96</v>
      </c>
      <c r="I3910" s="23">
        <v>48</v>
      </c>
      <c r="J3910" s="24">
        <v>96</v>
      </c>
      <c r="K3910" s="21">
        <v>0</v>
      </c>
      <c r="L3910" s="21">
        <v>0</v>
      </c>
      <c r="M3910" s="21">
        <f>COUNTIF($A$2:$A$5481,A3910)</f>
        <v>2</v>
      </c>
      <c r="N3910" s="24">
        <f t="shared" si="61"/>
        <v>96.000391</v>
      </c>
    </row>
    <row r="3911" spans="1:14">
      <c r="A3911" s="21" t="s">
        <v>604</v>
      </c>
      <c r="B3911" s="21" t="s">
        <v>920</v>
      </c>
      <c r="C3911" s="21" t="s">
        <v>26</v>
      </c>
      <c r="D3911" s="21" t="s">
        <v>921</v>
      </c>
      <c r="E3911" s="21">
        <v>0</v>
      </c>
      <c r="F3911" s="22">
        <v>45475.3444444445</v>
      </c>
      <c r="G3911" s="22">
        <v>46252.3675925926</v>
      </c>
      <c r="H3911" s="23">
        <v>96</v>
      </c>
      <c r="I3911" s="23">
        <v>48</v>
      </c>
      <c r="J3911" s="24">
        <v>0</v>
      </c>
      <c r="K3911" s="21">
        <v>0</v>
      </c>
      <c r="L3911" s="21">
        <v>0</v>
      </c>
      <c r="M3911" s="21">
        <f>COUNTIF($A$2:$A$5481,A3911)</f>
        <v>2</v>
      </c>
      <c r="N3911" s="24">
        <f t="shared" si="61"/>
        <v>0.0003911</v>
      </c>
    </row>
    <row r="3912" spans="1:14">
      <c r="A3912" s="21" t="s">
        <v>3720</v>
      </c>
      <c r="B3912" s="21" t="s">
        <v>920</v>
      </c>
      <c r="C3912" s="21" t="s">
        <v>35</v>
      </c>
      <c r="D3912" s="21" t="s">
        <v>921</v>
      </c>
      <c r="E3912" s="21">
        <v>1</v>
      </c>
      <c r="F3912" s="22">
        <v>45278.8084722222</v>
      </c>
      <c r="G3912" s="22">
        <v>45392.6701388889</v>
      </c>
      <c r="H3912" s="23">
        <v>131.2</v>
      </c>
      <c r="I3912" s="23">
        <v>32.8</v>
      </c>
      <c r="J3912" s="24">
        <v>32.8</v>
      </c>
      <c r="K3912" s="21">
        <v>0</v>
      </c>
      <c r="L3912" s="21">
        <v>0</v>
      </c>
      <c r="M3912" s="21">
        <f>COUNTIF($A$2:$A$5481,A3912)</f>
        <v>2</v>
      </c>
      <c r="N3912" s="24">
        <f t="shared" si="61"/>
        <v>32.8003912</v>
      </c>
    </row>
    <row r="3913" spans="1:14">
      <c r="A3913" s="21" t="s">
        <v>3720</v>
      </c>
      <c r="B3913" s="21" t="s">
        <v>920</v>
      </c>
      <c r="C3913" s="21" t="s">
        <v>26</v>
      </c>
      <c r="D3913" s="21" t="s">
        <v>921</v>
      </c>
      <c r="E3913" s="21">
        <v>40</v>
      </c>
      <c r="F3913" s="22">
        <v>46073.5318171296</v>
      </c>
      <c r="G3913" s="22">
        <v>45876.3521990741</v>
      </c>
      <c r="H3913" s="23">
        <v>209.4</v>
      </c>
      <c r="I3913" s="23">
        <v>35.837097</v>
      </c>
      <c r="J3913" s="24">
        <v>1433.6</v>
      </c>
      <c r="K3913" s="21">
        <v>0</v>
      </c>
      <c r="L3913" s="21">
        <v>0</v>
      </c>
      <c r="M3913" s="21">
        <f>COUNTIF($A$2:$A$5481,A3913)</f>
        <v>2</v>
      </c>
      <c r="N3913" s="24">
        <f t="shared" si="61"/>
        <v>1433.6003913</v>
      </c>
    </row>
    <row r="3914" spans="1:14">
      <c r="A3914" s="21" t="s">
        <v>3721</v>
      </c>
      <c r="B3914" s="21" t="s">
        <v>920</v>
      </c>
      <c r="C3914" s="21" t="s">
        <v>26</v>
      </c>
      <c r="D3914" s="21" t="s">
        <v>921</v>
      </c>
      <c r="E3914" s="21">
        <v>6</v>
      </c>
      <c r="F3914" s="22">
        <v>46065.7141319444</v>
      </c>
      <c r="G3914" s="22"/>
      <c r="H3914" s="23">
        <v>210</v>
      </c>
      <c r="I3914" s="23">
        <v>35</v>
      </c>
      <c r="J3914" s="24">
        <v>210</v>
      </c>
      <c r="K3914" s="21">
        <v>0</v>
      </c>
      <c r="L3914" s="21">
        <v>0</v>
      </c>
      <c r="M3914" s="21">
        <f>COUNTIF($A$2:$A$5481,A3914)</f>
        <v>1</v>
      </c>
      <c r="N3914" s="24">
        <f t="shared" si="61"/>
        <v>210.0003914</v>
      </c>
    </row>
    <row r="3915" spans="1:14">
      <c r="A3915" s="21" t="s">
        <v>602</v>
      </c>
      <c r="B3915" s="21" t="s">
        <v>920</v>
      </c>
      <c r="C3915" s="21" t="s">
        <v>26</v>
      </c>
      <c r="D3915" s="21" t="s">
        <v>921</v>
      </c>
      <c r="E3915" s="21">
        <v>10</v>
      </c>
      <c r="F3915" s="22">
        <v>45916.709375</v>
      </c>
      <c r="G3915" s="22">
        <v>46252.3675694445</v>
      </c>
      <c r="H3915" s="23">
        <v>263.92</v>
      </c>
      <c r="I3915" s="23">
        <v>86.4828571429</v>
      </c>
      <c r="J3915" s="24">
        <v>864.8</v>
      </c>
      <c r="K3915" s="21">
        <v>0</v>
      </c>
      <c r="L3915" s="21">
        <v>0</v>
      </c>
      <c r="M3915" s="21">
        <f>COUNTIF($A$2:$A$5481,A3915)</f>
        <v>1</v>
      </c>
      <c r="N3915" s="24">
        <f t="shared" si="61"/>
        <v>864.8003915</v>
      </c>
    </row>
    <row r="3916" spans="1:14">
      <c r="A3916" s="21" t="s">
        <v>3722</v>
      </c>
      <c r="B3916" s="21" t="s">
        <v>920</v>
      </c>
      <c r="C3916" s="21" t="s">
        <v>26</v>
      </c>
      <c r="D3916" s="21" t="s">
        <v>921</v>
      </c>
      <c r="E3916" s="21">
        <v>1</v>
      </c>
      <c r="F3916" s="22">
        <v>46079.5701041667</v>
      </c>
      <c r="G3916" s="22"/>
      <c r="H3916" s="23">
        <v>24.24</v>
      </c>
      <c r="I3916" s="23">
        <v>24.24</v>
      </c>
      <c r="J3916" s="24">
        <v>24.24</v>
      </c>
      <c r="K3916" s="21">
        <v>0</v>
      </c>
      <c r="L3916" s="21">
        <v>0</v>
      </c>
      <c r="M3916" s="21">
        <f>COUNTIF($A$2:$A$5481,A3916)</f>
        <v>1</v>
      </c>
      <c r="N3916" s="24">
        <f t="shared" si="61"/>
        <v>24.2403916</v>
      </c>
    </row>
    <row r="3917" spans="1:14">
      <c r="A3917" s="21" t="s">
        <v>3723</v>
      </c>
      <c r="B3917" s="21" t="s">
        <v>920</v>
      </c>
      <c r="C3917" s="21" t="s">
        <v>26</v>
      </c>
      <c r="D3917" s="21" t="s">
        <v>931</v>
      </c>
      <c r="E3917" s="21">
        <v>4</v>
      </c>
      <c r="F3917" s="22">
        <v>45909.6520601852</v>
      </c>
      <c r="G3917" s="22"/>
      <c r="H3917" s="23">
        <v>91.52</v>
      </c>
      <c r="I3917" s="23">
        <v>45.76</v>
      </c>
      <c r="J3917" s="24">
        <v>183.04</v>
      </c>
      <c r="K3917" s="21">
        <v>0</v>
      </c>
      <c r="L3917" s="21">
        <v>0</v>
      </c>
      <c r="M3917" s="21">
        <f>COUNTIF($A$2:$A$5481,A3917)</f>
        <v>1</v>
      </c>
      <c r="N3917" s="24">
        <f t="shared" si="61"/>
        <v>183.0403917</v>
      </c>
    </row>
    <row r="3918" spans="1:14">
      <c r="A3918" s="21" t="s">
        <v>3724</v>
      </c>
      <c r="B3918" s="21" t="s">
        <v>26</v>
      </c>
      <c r="C3918" s="21" t="s">
        <v>51</v>
      </c>
      <c r="D3918" s="21" t="s">
        <v>921</v>
      </c>
      <c r="E3918" s="21">
        <v>4</v>
      </c>
      <c r="F3918" s="22">
        <v>45791.3891782407</v>
      </c>
      <c r="G3918" s="22"/>
      <c r="H3918" s="23">
        <v>10.76</v>
      </c>
      <c r="I3918" s="23">
        <v>2.69</v>
      </c>
      <c r="J3918" s="24">
        <v>10.76</v>
      </c>
      <c r="K3918" s="21">
        <v>0</v>
      </c>
      <c r="L3918" s="21">
        <v>0</v>
      </c>
      <c r="M3918" s="21">
        <f>COUNTIF($A$2:$A$5481,A3918)</f>
        <v>1</v>
      </c>
      <c r="N3918" s="24">
        <f t="shared" si="61"/>
        <v>10.7603918</v>
      </c>
    </row>
    <row r="3919" spans="1:14">
      <c r="A3919" s="21" t="s">
        <v>3725</v>
      </c>
      <c r="B3919" s="21" t="s">
        <v>26</v>
      </c>
      <c r="C3919" s="21" t="s">
        <v>51</v>
      </c>
      <c r="D3919" s="21" t="s">
        <v>921</v>
      </c>
      <c r="E3919" s="21">
        <v>8</v>
      </c>
      <c r="F3919" s="22">
        <v>45791.3891782407</v>
      </c>
      <c r="G3919" s="22"/>
      <c r="H3919" s="23">
        <v>9.84</v>
      </c>
      <c r="I3919" s="23">
        <v>1.23</v>
      </c>
      <c r="J3919" s="24">
        <v>9.84</v>
      </c>
      <c r="K3919" s="21">
        <v>0</v>
      </c>
      <c r="L3919" s="21">
        <v>0</v>
      </c>
      <c r="M3919" s="21">
        <f>COUNTIF($A$2:$A$5481,A3919)</f>
        <v>1</v>
      </c>
      <c r="N3919" s="24">
        <f t="shared" si="61"/>
        <v>9.8403919</v>
      </c>
    </row>
    <row r="3920" spans="1:14">
      <c r="A3920" s="21" t="s">
        <v>3726</v>
      </c>
      <c r="B3920" s="21" t="s">
        <v>920</v>
      </c>
      <c r="C3920" s="21" t="s">
        <v>26</v>
      </c>
      <c r="D3920" s="21" t="s">
        <v>921</v>
      </c>
      <c r="E3920" s="21">
        <v>1</v>
      </c>
      <c r="F3920" s="22">
        <v>46251.7095138889</v>
      </c>
      <c r="G3920" s="22"/>
      <c r="H3920" s="23">
        <v>7</v>
      </c>
      <c r="I3920" s="23">
        <v>7</v>
      </c>
      <c r="J3920" s="24">
        <v>7</v>
      </c>
      <c r="K3920" s="21">
        <v>0</v>
      </c>
      <c r="L3920" s="21">
        <v>0</v>
      </c>
      <c r="M3920" s="21">
        <f>COUNTIF($A$2:$A$5481,A3920)</f>
        <v>1</v>
      </c>
      <c r="N3920" s="24">
        <f t="shared" si="61"/>
        <v>7.000392</v>
      </c>
    </row>
    <row r="3921" spans="1:14">
      <c r="A3921" s="21" t="s">
        <v>3727</v>
      </c>
      <c r="B3921" s="21" t="s">
        <v>920</v>
      </c>
      <c r="C3921" s="21" t="s">
        <v>26</v>
      </c>
      <c r="D3921" s="21" t="s">
        <v>921</v>
      </c>
      <c r="E3921" s="21">
        <v>2</v>
      </c>
      <c r="F3921" s="22">
        <v>45407.7394444444</v>
      </c>
      <c r="G3921" s="22"/>
      <c r="H3921" s="23">
        <v>56</v>
      </c>
      <c r="I3921" s="23">
        <v>28</v>
      </c>
      <c r="J3921" s="24">
        <v>56</v>
      </c>
      <c r="K3921" s="21">
        <v>0</v>
      </c>
      <c r="L3921" s="21">
        <v>0</v>
      </c>
      <c r="M3921" s="21">
        <f>COUNTIF($A$2:$A$5481,A3921)</f>
        <v>1</v>
      </c>
      <c r="N3921" s="24">
        <f t="shared" si="61"/>
        <v>56.0003921</v>
      </c>
    </row>
    <row r="3922" spans="1:14">
      <c r="A3922" s="21" t="s">
        <v>3728</v>
      </c>
      <c r="B3922" s="21" t="s">
        <v>920</v>
      </c>
      <c r="C3922" s="21" t="s">
        <v>26</v>
      </c>
      <c r="D3922" s="21" t="s">
        <v>921</v>
      </c>
      <c r="E3922" s="21">
        <v>1</v>
      </c>
      <c r="F3922" s="22">
        <v>46106.6605787037</v>
      </c>
      <c r="G3922" s="22"/>
      <c r="H3922" s="23">
        <v>47</v>
      </c>
      <c r="I3922" s="23">
        <v>47</v>
      </c>
      <c r="J3922" s="24">
        <v>47</v>
      </c>
      <c r="K3922" s="21">
        <v>0</v>
      </c>
      <c r="L3922" s="21">
        <v>0</v>
      </c>
      <c r="M3922" s="21">
        <f>COUNTIF($A$2:$A$5481,A3922)</f>
        <v>1</v>
      </c>
      <c r="N3922" s="24">
        <f t="shared" si="61"/>
        <v>47.0003922</v>
      </c>
    </row>
    <row r="3923" spans="1:14">
      <c r="A3923" s="21" t="s">
        <v>3729</v>
      </c>
      <c r="B3923" s="21" t="s">
        <v>920</v>
      </c>
      <c r="C3923" s="21" t="s">
        <v>26</v>
      </c>
      <c r="D3923" s="21" t="s">
        <v>921</v>
      </c>
      <c r="E3923" s="21">
        <v>0</v>
      </c>
      <c r="F3923" s="22">
        <v>45449.8077199074</v>
      </c>
      <c r="G3923" s="22">
        <v>45449.8187962963</v>
      </c>
      <c r="H3923" s="23">
        <v>80</v>
      </c>
      <c r="I3923" s="23">
        <v>40</v>
      </c>
      <c r="J3923" s="24">
        <v>0</v>
      </c>
      <c r="K3923" s="21">
        <v>0</v>
      </c>
      <c r="L3923" s="21">
        <v>0</v>
      </c>
      <c r="M3923" s="21">
        <f>COUNTIF($A$2:$A$5481,A3923)</f>
        <v>1</v>
      </c>
      <c r="N3923" s="24">
        <f t="shared" si="61"/>
        <v>0.0003923</v>
      </c>
    </row>
    <row r="3924" spans="1:14">
      <c r="A3924" s="21" t="s">
        <v>3730</v>
      </c>
      <c r="B3924" s="21" t="s">
        <v>920</v>
      </c>
      <c r="C3924" s="21" t="s">
        <v>26</v>
      </c>
      <c r="D3924" s="21" t="s">
        <v>921</v>
      </c>
      <c r="E3924" s="21">
        <v>1</v>
      </c>
      <c r="F3924" s="22">
        <v>46008.5460416667</v>
      </c>
      <c r="G3924" s="22"/>
      <c r="H3924" s="23">
        <v>51.5</v>
      </c>
      <c r="I3924" s="23">
        <v>51.5</v>
      </c>
      <c r="J3924" s="24">
        <v>51.5</v>
      </c>
      <c r="K3924" s="21">
        <v>0</v>
      </c>
      <c r="L3924" s="21">
        <v>0</v>
      </c>
      <c r="M3924" s="21">
        <f>COUNTIF($A$2:$A$5481,A3924)</f>
        <v>1</v>
      </c>
      <c r="N3924" s="24">
        <f t="shared" si="61"/>
        <v>51.5003924</v>
      </c>
    </row>
    <row r="3925" spans="1:14">
      <c r="A3925" s="21" t="s">
        <v>3731</v>
      </c>
      <c r="B3925" s="21" t="s">
        <v>949</v>
      </c>
      <c r="C3925" s="21" t="s">
        <v>182</v>
      </c>
      <c r="D3925" s="21" t="s">
        <v>921</v>
      </c>
      <c r="E3925" s="21">
        <v>0</v>
      </c>
      <c r="F3925" s="22">
        <v>45307.3745601852</v>
      </c>
      <c r="G3925" s="22">
        <v>45310.4237037037</v>
      </c>
      <c r="H3925" s="23">
        <v>18.32</v>
      </c>
      <c r="I3925" s="23">
        <v>2.29</v>
      </c>
      <c r="J3925" s="24">
        <v>0</v>
      </c>
      <c r="K3925" s="21">
        <v>0</v>
      </c>
      <c r="L3925" s="21">
        <v>0</v>
      </c>
      <c r="M3925" s="21">
        <f>COUNTIF($A$2:$A$5481,A3925)</f>
        <v>2</v>
      </c>
      <c r="N3925" s="24">
        <f t="shared" si="61"/>
        <v>0.0003925</v>
      </c>
    </row>
    <row r="3926" spans="1:14">
      <c r="A3926" s="21" t="s">
        <v>3731</v>
      </c>
      <c r="B3926" s="21" t="s">
        <v>949</v>
      </c>
      <c r="C3926" s="21" t="s">
        <v>26</v>
      </c>
      <c r="D3926" s="21" t="s">
        <v>921</v>
      </c>
      <c r="E3926" s="21">
        <v>13</v>
      </c>
      <c r="F3926" s="22">
        <v>45491.4498611111</v>
      </c>
      <c r="G3926" s="22">
        <v>45324.4903587963</v>
      </c>
      <c r="H3926" s="23">
        <v>10.47</v>
      </c>
      <c r="I3926" s="23">
        <v>3.49</v>
      </c>
      <c r="J3926" s="24">
        <v>45.37</v>
      </c>
      <c r="K3926" s="21">
        <v>0</v>
      </c>
      <c r="L3926" s="21">
        <v>0</v>
      </c>
      <c r="M3926" s="21">
        <f>COUNTIF($A$2:$A$5481,A3926)</f>
        <v>2</v>
      </c>
      <c r="N3926" s="24">
        <f t="shared" si="61"/>
        <v>45.3703926</v>
      </c>
    </row>
    <row r="3927" spans="1:14">
      <c r="A3927" s="21" t="s">
        <v>3732</v>
      </c>
      <c r="B3927" s="21" t="s">
        <v>26</v>
      </c>
      <c r="C3927" s="21" t="s">
        <v>26</v>
      </c>
      <c r="D3927" s="21" t="s">
        <v>921</v>
      </c>
      <c r="E3927" s="21">
        <v>1</v>
      </c>
      <c r="F3927" s="22">
        <v>45604.3785300926</v>
      </c>
      <c r="G3927" s="22"/>
      <c r="H3927" s="23">
        <v>99.98</v>
      </c>
      <c r="I3927" s="23">
        <v>99.98</v>
      </c>
      <c r="J3927" s="24">
        <v>99.98</v>
      </c>
      <c r="K3927" s="21">
        <v>0</v>
      </c>
      <c r="L3927" s="21">
        <v>0</v>
      </c>
      <c r="M3927" s="21">
        <f>COUNTIF($A$2:$A$5481,A3927)</f>
        <v>1</v>
      </c>
      <c r="N3927" s="24">
        <f t="shared" si="61"/>
        <v>99.9803927</v>
      </c>
    </row>
    <row r="3928" spans="1:14">
      <c r="A3928" s="21" t="s">
        <v>362</v>
      </c>
      <c r="B3928" s="21" t="s">
        <v>920</v>
      </c>
      <c r="C3928" s="21" t="s">
        <v>26</v>
      </c>
      <c r="D3928" s="21" t="s">
        <v>921</v>
      </c>
      <c r="E3928" s="21">
        <v>4</v>
      </c>
      <c r="F3928" s="22">
        <v>46122.404375</v>
      </c>
      <c r="G3928" s="22">
        <v>46122.4063310185</v>
      </c>
      <c r="H3928" s="23">
        <v>160</v>
      </c>
      <c r="I3928" s="23">
        <v>32</v>
      </c>
      <c r="J3928" s="24">
        <v>128</v>
      </c>
      <c r="K3928" s="21">
        <v>0</v>
      </c>
      <c r="L3928" s="21">
        <v>0</v>
      </c>
      <c r="M3928" s="21">
        <f>COUNTIF($A$2:$A$5481,A3928)</f>
        <v>1</v>
      </c>
      <c r="N3928" s="24">
        <f t="shared" si="61"/>
        <v>128.0003928</v>
      </c>
    </row>
    <row r="3929" spans="1:14">
      <c r="A3929" s="21" t="s">
        <v>3733</v>
      </c>
      <c r="B3929" s="21" t="s">
        <v>920</v>
      </c>
      <c r="C3929" s="21" t="s">
        <v>35</v>
      </c>
      <c r="D3929" s="21" t="s">
        <v>921</v>
      </c>
      <c r="E3929" s="21">
        <v>2</v>
      </c>
      <c r="F3929" s="22">
        <v>46092.5605671296</v>
      </c>
      <c r="G3929" s="22"/>
      <c r="H3929" s="23">
        <v>920</v>
      </c>
      <c r="I3929" s="23">
        <v>460</v>
      </c>
      <c r="J3929" s="24">
        <v>920</v>
      </c>
      <c r="K3929" s="21">
        <v>0</v>
      </c>
      <c r="L3929" s="21">
        <v>0</v>
      </c>
      <c r="M3929" s="21">
        <f>COUNTIF($A$2:$A$5481,A3929)</f>
        <v>1</v>
      </c>
      <c r="N3929" s="24">
        <f t="shared" si="61"/>
        <v>920.0003929</v>
      </c>
    </row>
    <row r="3930" spans="1:14">
      <c r="A3930" s="21" t="s">
        <v>386</v>
      </c>
      <c r="B3930" s="21" t="s">
        <v>920</v>
      </c>
      <c r="C3930" s="21" t="s">
        <v>35</v>
      </c>
      <c r="D3930" s="21" t="s">
        <v>921</v>
      </c>
      <c r="E3930" s="21">
        <v>2</v>
      </c>
      <c r="F3930" s="22">
        <v>46141.3805555556</v>
      </c>
      <c r="G3930" s="22">
        <v>46162.6372106482</v>
      </c>
      <c r="H3930" s="23">
        <v>440</v>
      </c>
      <c r="I3930" s="23">
        <v>453.3333333333</v>
      </c>
      <c r="J3930" s="24">
        <v>906.66</v>
      </c>
      <c r="K3930" s="21">
        <v>0</v>
      </c>
      <c r="L3930" s="21">
        <v>0</v>
      </c>
      <c r="M3930" s="21">
        <f>COUNTIF($A$2:$A$5481,A3930)</f>
        <v>1</v>
      </c>
      <c r="N3930" s="24">
        <f t="shared" si="61"/>
        <v>906.660393</v>
      </c>
    </row>
    <row r="3931" spans="1:14">
      <c r="A3931" s="21" t="s">
        <v>3734</v>
      </c>
      <c r="B3931" s="21" t="s">
        <v>920</v>
      </c>
      <c r="C3931" s="21" t="s">
        <v>26</v>
      </c>
      <c r="D3931" s="21" t="s">
        <v>921</v>
      </c>
      <c r="E3931" s="21">
        <v>2</v>
      </c>
      <c r="F3931" s="22">
        <v>46034.5514467593</v>
      </c>
      <c r="G3931" s="22"/>
      <c r="H3931" s="23">
        <v>749.98</v>
      </c>
      <c r="I3931" s="23">
        <v>374.99</v>
      </c>
      <c r="J3931" s="24">
        <v>749.98</v>
      </c>
      <c r="K3931" s="21">
        <v>0</v>
      </c>
      <c r="L3931" s="21">
        <v>0</v>
      </c>
      <c r="M3931" s="21">
        <f>COUNTIF($A$2:$A$5481,A3931)</f>
        <v>1</v>
      </c>
      <c r="N3931" s="24">
        <f t="shared" si="61"/>
        <v>749.9803931</v>
      </c>
    </row>
    <row r="3932" spans="1:14">
      <c r="A3932" s="21" t="s">
        <v>348</v>
      </c>
      <c r="B3932" s="21" t="s">
        <v>920</v>
      </c>
      <c r="C3932" s="21" t="s">
        <v>35</v>
      </c>
      <c r="D3932" s="21" t="s">
        <v>921</v>
      </c>
      <c r="E3932" s="21">
        <v>0</v>
      </c>
      <c r="F3932" s="22">
        <v>46013.5532986111</v>
      </c>
      <c r="G3932" s="22">
        <v>46121.5357523148</v>
      </c>
      <c r="H3932" s="23">
        <v>32</v>
      </c>
      <c r="I3932" s="23">
        <v>32</v>
      </c>
      <c r="J3932" s="24">
        <v>0</v>
      </c>
      <c r="K3932" s="21">
        <v>0</v>
      </c>
      <c r="L3932" s="21">
        <v>0</v>
      </c>
      <c r="M3932" s="21">
        <f>COUNTIF($A$2:$A$5481,A3932)</f>
        <v>1</v>
      </c>
      <c r="N3932" s="24">
        <f t="shared" si="61"/>
        <v>0.0003932</v>
      </c>
    </row>
    <row r="3933" spans="1:14">
      <c r="A3933" s="21" t="s">
        <v>3735</v>
      </c>
      <c r="B3933" s="21" t="s">
        <v>920</v>
      </c>
      <c r="C3933" s="21" t="s">
        <v>35</v>
      </c>
      <c r="D3933" s="21" t="s">
        <v>931</v>
      </c>
      <c r="E3933" s="21">
        <v>1</v>
      </c>
      <c r="F3933" s="22">
        <v>45527.6071412037</v>
      </c>
      <c r="G3933" s="22"/>
      <c r="H3933" s="23">
        <v>90</v>
      </c>
      <c r="I3933" s="23">
        <v>90</v>
      </c>
      <c r="J3933" s="24">
        <v>90</v>
      </c>
      <c r="K3933" s="21">
        <v>0</v>
      </c>
      <c r="L3933" s="21">
        <v>0</v>
      </c>
      <c r="M3933" s="21">
        <f>COUNTIF($A$2:$A$5481,A3933)</f>
        <v>1</v>
      </c>
      <c r="N3933" s="24">
        <f t="shared" si="61"/>
        <v>90.0003933</v>
      </c>
    </row>
    <row r="3934" spans="1:14">
      <c r="A3934" s="21" t="s">
        <v>3736</v>
      </c>
      <c r="B3934" s="21" t="s">
        <v>26</v>
      </c>
      <c r="C3934" s="21" t="s">
        <v>26</v>
      </c>
      <c r="D3934" s="21" t="s">
        <v>921</v>
      </c>
      <c r="E3934" s="21">
        <v>1</v>
      </c>
      <c r="F3934" s="22">
        <v>45967.5713194445</v>
      </c>
      <c r="G3934" s="22"/>
      <c r="H3934" s="23">
        <v>29.9</v>
      </c>
      <c r="I3934" s="23">
        <v>29.9</v>
      </c>
      <c r="J3934" s="24">
        <v>29.9</v>
      </c>
      <c r="K3934" s="21">
        <v>0</v>
      </c>
      <c r="L3934" s="21">
        <v>0</v>
      </c>
      <c r="M3934" s="21">
        <f>COUNTIF($A$2:$A$5481,A3934)</f>
        <v>1</v>
      </c>
      <c r="N3934" s="24">
        <f t="shared" si="61"/>
        <v>29.9003934</v>
      </c>
    </row>
    <row r="3935" spans="1:14">
      <c r="A3935" s="21" t="s">
        <v>3737</v>
      </c>
      <c r="B3935" s="21" t="s">
        <v>920</v>
      </c>
      <c r="C3935" s="21" t="s">
        <v>26</v>
      </c>
      <c r="D3935" s="21" t="s">
        <v>921</v>
      </c>
      <c r="E3935" s="21">
        <v>40</v>
      </c>
      <c r="F3935" s="22">
        <v>46178.7129513889</v>
      </c>
      <c r="G3935" s="22"/>
      <c r="H3935" s="23">
        <v>51.2</v>
      </c>
      <c r="I3935" s="23">
        <v>1.28</v>
      </c>
      <c r="J3935" s="24">
        <v>51.2</v>
      </c>
      <c r="K3935" s="21">
        <v>0</v>
      </c>
      <c r="L3935" s="21">
        <v>0</v>
      </c>
      <c r="M3935" s="21">
        <f>COUNTIF($A$2:$A$5481,A3935)</f>
        <v>1</v>
      </c>
      <c r="N3935" s="24">
        <f t="shared" si="61"/>
        <v>51.2003935</v>
      </c>
    </row>
    <row r="3936" spans="1:14">
      <c r="A3936" s="21" t="s">
        <v>3738</v>
      </c>
      <c r="B3936" s="21" t="s">
        <v>949</v>
      </c>
      <c r="C3936" s="21" t="s">
        <v>26</v>
      </c>
      <c r="D3936" s="21" t="s">
        <v>921</v>
      </c>
      <c r="E3936" s="21">
        <v>4</v>
      </c>
      <c r="F3936" s="22">
        <v>46044.3669791667</v>
      </c>
      <c r="G3936" s="22"/>
      <c r="H3936" s="23">
        <v>24</v>
      </c>
      <c r="I3936" s="23">
        <v>11</v>
      </c>
      <c r="J3936" s="24">
        <v>44</v>
      </c>
      <c r="K3936" s="21">
        <v>0</v>
      </c>
      <c r="L3936" s="21">
        <v>0</v>
      </c>
      <c r="M3936" s="21">
        <f>COUNTIF($A$2:$A$5481,A3936)</f>
        <v>1</v>
      </c>
      <c r="N3936" s="24">
        <f t="shared" si="61"/>
        <v>44.0003936</v>
      </c>
    </row>
    <row r="3937" spans="1:14">
      <c r="A3937" s="21" t="s">
        <v>3739</v>
      </c>
      <c r="B3937" s="21" t="s">
        <v>920</v>
      </c>
      <c r="C3937" s="21" t="s">
        <v>26</v>
      </c>
      <c r="D3937" s="21" t="s">
        <v>921</v>
      </c>
      <c r="E3937" s="21">
        <v>2</v>
      </c>
      <c r="F3937" s="22">
        <v>45428.8201388889</v>
      </c>
      <c r="G3937" s="22"/>
      <c r="H3937" s="23">
        <v>19</v>
      </c>
      <c r="I3937" s="23">
        <v>9.5</v>
      </c>
      <c r="J3937" s="24">
        <v>19</v>
      </c>
      <c r="K3937" s="21">
        <v>0</v>
      </c>
      <c r="L3937" s="21">
        <v>0</v>
      </c>
      <c r="M3937" s="21">
        <f>COUNTIF($A$2:$A$5481,A3937)</f>
        <v>1</v>
      </c>
      <c r="N3937" s="24">
        <f t="shared" si="61"/>
        <v>19.0003937</v>
      </c>
    </row>
    <row r="3938" spans="1:14">
      <c r="A3938" s="21" t="s">
        <v>3740</v>
      </c>
      <c r="B3938" s="21" t="s">
        <v>920</v>
      </c>
      <c r="C3938" s="21" t="s">
        <v>26</v>
      </c>
      <c r="D3938" s="21" t="s">
        <v>921</v>
      </c>
      <c r="E3938" s="21">
        <v>2</v>
      </c>
      <c r="F3938" s="22">
        <v>45428.8201388889</v>
      </c>
      <c r="G3938" s="22"/>
      <c r="H3938" s="23">
        <v>17.9</v>
      </c>
      <c r="I3938" s="23">
        <v>8.95</v>
      </c>
      <c r="J3938" s="24">
        <v>17.9</v>
      </c>
      <c r="K3938" s="21">
        <v>0</v>
      </c>
      <c r="L3938" s="21">
        <v>0</v>
      </c>
      <c r="M3938" s="21">
        <f>COUNTIF($A$2:$A$5481,A3938)</f>
        <v>1</v>
      </c>
      <c r="N3938" s="24">
        <f t="shared" si="61"/>
        <v>17.9003938</v>
      </c>
    </row>
    <row r="3939" spans="1:14">
      <c r="A3939" s="21" t="s">
        <v>3741</v>
      </c>
      <c r="B3939" s="21" t="s">
        <v>920</v>
      </c>
      <c r="C3939" s="21" t="s">
        <v>26</v>
      </c>
      <c r="D3939" s="21" t="s">
        <v>921</v>
      </c>
      <c r="E3939" s="21">
        <v>2</v>
      </c>
      <c r="F3939" s="22">
        <v>45428.8201388889</v>
      </c>
      <c r="G3939" s="22"/>
      <c r="H3939" s="23">
        <v>15.8</v>
      </c>
      <c r="I3939" s="23">
        <v>7.9</v>
      </c>
      <c r="J3939" s="24">
        <v>15.8</v>
      </c>
      <c r="K3939" s="21">
        <v>0</v>
      </c>
      <c r="L3939" s="21">
        <v>0</v>
      </c>
      <c r="M3939" s="21">
        <f>COUNTIF($A$2:$A$5481,A3939)</f>
        <v>1</v>
      </c>
      <c r="N3939" s="24">
        <f t="shared" si="61"/>
        <v>15.8003939</v>
      </c>
    </row>
    <row r="3940" spans="1:14">
      <c r="A3940" s="21" t="s">
        <v>3742</v>
      </c>
      <c r="B3940" s="21" t="s">
        <v>920</v>
      </c>
      <c r="C3940" s="21" t="s">
        <v>26</v>
      </c>
      <c r="D3940" s="21" t="s">
        <v>921</v>
      </c>
      <c r="E3940" s="21">
        <v>2</v>
      </c>
      <c r="F3940" s="22">
        <v>45428.8201388889</v>
      </c>
      <c r="G3940" s="22"/>
      <c r="H3940" s="23">
        <v>31</v>
      </c>
      <c r="I3940" s="23">
        <v>15.5</v>
      </c>
      <c r="J3940" s="24">
        <v>31</v>
      </c>
      <c r="K3940" s="21">
        <v>0</v>
      </c>
      <c r="L3940" s="21">
        <v>0</v>
      </c>
      <c r="M3940" s="21">
        <f>COUNTIF($A$2:$A$5481,A3940)</f>
        <v>1</v>
      </c>
      <c r="N3940" s="24">
        <f t="shared" si="61"/>
        <v>31.000394</v>
      </c>
    </row>
    <row r="3941" spans="1:14">
      <c r="A3941" s="21" t="s">
        <v>3743</v>
      </c>
      <c r="B3941" s="21" t="s">
        <v>920</v>
      </c>
      <c r="C3941" s="21" t="s">
        <v>26</v>
      </c>
      <c r="D3941" s="21" t="s">
        <v>921</v>
      </c>
      <c r="E3941" s="21">
        <v>2</v>
      </c>
      <c r="F3941" s="22">
        <v>45428.8201388889</v>
      </c>
      <c r="G3941" s="22"/>
      <c r="H3941" s="23">
        <v>21</v>
      </c>
      <c r="I3941" s="23">
        <v>10.5</v>
      </c>
      <c r="J3941" s="24">
        <v>21</v>
      </c>
      <c r="K3941" s="21">
        <v>0</v>
      </c>
      <c r="L3941" s="21">
        <v>0</v>
      </c>
      <c r="M3941" s="21">
        <f>COUNTIF($A$2:$A$5481,A3941)</f>
        <v>1</v>
      </c>
      <c r="N3941" s="24">
        <f t="shared" si="61"/>
        <v>21.0003941</v>
      </c>
    </row>
    <row r="3942" spans="1:14">
      <c r="A3942" s="21" t="s">
        <v>3744</v>
      </c>
      <c r="B3942" s="21" t="s">
        <v>920</v>
      </c>
      <c r="C3942" s="21" t="s">
        <v>26</v>
      </c>
      <c r="D3942" s="21" t="s">
        <v>921</v>
      </c>
      <c r="E3942" s="21">
        <v>2</v>
      </c>
      <c r="F3942" s="22">
        <v>45428.8201388889</v>
      </c>
      <c r="G3942" s="22"/>
      <c r="H3942" s="23">
        <v>17.9</v>
      </c>
      <c r="I3942" s="23">
        <v>8.95</v>
      </c>
      <c r="J3942" s="24">
        <v>17.9</v>
      </c>
      <c r="K3942" s="21">
        <v>0</v>
      </c>
      <c r="L3942" s="21">
        <v>0</v>
      </c>
      <c r="M3942" s="21">
        <f>COUNTIF($A$2:$A$5481,A3942)</f>
        <v>1</v>
      </c>
      <c r="N3942" s="24">
        <f t="shared" si="61"/>
        <v>17.9003942</v>
      </c>
    </row>
    <row r="3943" spans="1:14">
      <c r="A3943" s="21" t="s">
        <v>3745</v>
      </c>
      <c r="B3943" s="21" t="s">
        <v>920</v>
      </c>
      <c r="C3943" s="21" t="s">
        <v>26</v>
      </c>
      <c r="D3943" s="21" t="s">
        <v>921</v>
      </c>
      <c r="E3943" s="21">
        <v>2</v>
      </c>
      <c r="F3943" s="22">
        <v>45428.8201388889</v>
      </c>
      <c r="G3943" s="22"/>
      <c r="H3943" s="23">
        <v>15.9</v>
      </c>
      <c r="I3943" s="23">
        <v>7.95</v>
      </c>
      <c r="J3943" s="24">
        <v>15.9</v>
      </c>
      <c r="K3943" s="21">
        <v>0</v>
      </c>
      <c r="L3943" s="21">
        <v>0</v>
      </c>
      <c r="M3943" s="21">
        <f>COUNTIF($A$2:$A$5481,A3943)</f>
        <v>1</v>
      </c>
      <c r="N3943" s="24">
        <f t="shared" si="61"/>
        <v>15.9003943</v>
      </c>
    </row>
    <row r="3944" spans="1:14">
      <c r="A3944" s="21" t="s">
        <v>3746</v>
      </c>
      <c r="B3944" s="21" t="s">
        <v>920</v>
      </c>
      <c r="C3944" s="21" t="s">
        <v>26</v>
      </c>
      <c r="D3944" s="21" t="s">
        <v>921</v>
      </c>
      <c r="E3944" s="21">
        <v>1</v>
      </c>
      <c r="F3944" s="22">
        <v>46196.7428472222</v>
      </c>
      <c r="G3944" s="22"/>
      <c r="H3944" s="23">
        <v>1700</v>
      </c>
      <c r="I3944" s="23">
        <v>1700</v>
      </c>
      <c r="J3944" s="24">
        <v>1700</v>
      </c>
      <c r="K3944" s="21">
        <v>0</v>
      </c>
      <c r="L3944" s="21">
        <v>0</v>
      </c>
      <c r="M3944" s="21">
        <f>COUNTIF($A$2:$A$5481,A3944)</f>
        <v>1</v>
      </c>
      <c r="N3944" s="24">
        <f t="shared" si="61"/>
        <v>1700.0003944</v>
      </c>
    </row>
    <row r="3945" spans="1:14">
      <c r="A3945" s="21" t="s">
        <v>3747</v>
      </c>
      <c r="B3945" s="21" t="s">
        <v>920</v>
      </c>
      <c r="C3945" s="21" t="s">
        <v>26</v>
      </c>
      <c r="D3945" s="21" t="s">
        <v>921</v>
      </c>
      <c r="E3945" s="21">
        <v>0</v>
      </c>
      <c r="F3945" s="22">
        <v>45597.8316550926</v>
      </c>
      <c r="G3945" s="22">
        <v>45610.391712963</v>
      </c>
      <c r="H3945" s="23">
        <v>750</v>
      </c>
      <c r="I3945" s="23">
        <v>750</v>
      </c>
      <c r="J3945" s="24">
        <v>0</v>
      </c>
      <c r="K3945" s="21">
        <v>0</v>
      </c>
      <c r="L3945" s="21">
        <v>0</v>
      </c>
      <c r="M3945" s="21">
        <f>COUNTIF($A$2:$A$5481,A3945)</f>
        <v>1</v>
      </c>
      <c r="N3945" s="24">
        <f t="shared" si="61"/>
        <v>0.0003945</v>
      </c>
    </row>
    <row r="3946" spans="1:14">
      <c r="A3946" s="21" t="s">
        <v>3748</v>
      </c>
      <c r="B3946" s="21" t="s">
        <v>920</v>
      </c>
      <c r="C3946" s="21" t="s">
        <v>35</v>
      </c>
      <c r="D3946" s="21" t="s">
        <v>921</v>
      </c>
      <c r="E3946" s="21">
        <v>0</v>
      </c>
      <c r="F3946" s="22">
        <v>45317.7966203704</v>
      </c>
      <c r="G3946" s="22">
        <v>45323.4762037037</v>
      </c>
      <c r="H3946" s="23">
        <v>1980</v>
      </c>
      <c r="I3946" s="23">
        <v>1980</v>
      </c>
      <c r="J3946" s="24">
        <v>0</v>
      </c>
      <c r="K3946" s="21">
        <v>0</v>
      </c>
      <c r="L3946" s="21">
        <v>5</v>
      </c>
      <c r="M3946" s="21">
        <f>COUNTIF($A$2:$A$5481,A3946)</f>
        <v>2</v>
      </c>
      <c r="N3946" s="24">
        <f t="shared" si="61"/>
        <v>0.0003946</v>
      </c>
    </row>
    <row r="3947" spans="1:14">
      <c r="A3947" s="21" t="s">
        <v>3748</v>
      </c>
      <c r="B3947" s="21" t="s">
        <v>920</v>
      </c>
      <c r="C3947" s="21" t="s">
        <v>26</v>
      </c>
      <c r="D3947" s="21" t="s">
        <v>921</v>
      </c>
      <c r="E3947" s="21">
        <v>0</v>
      </c>
      <c r="F3947" s="22">
        <v>45573.4832291667</v>
      </c>
      <c r="G3947" s="22">
        <v>45573.8368981482</v>
      </c>
      <c r="H3947" s="23">
        <v>1870</v>
      </c>
      <c r="I3947" s="23">
        <v>1870</v>
      </c>
      <c r="J3947" s="24">
        <v>0</v>
      </c>
      <c r="K3947" s="21">
        <v>0</v>
      </c>
      <c r="L3947" s="21">
        <v>5</v>
      </c>
      <c r="M3947" s="21">
        <f>COUNTIF($A$2:$A$5481,A3947)</f>
        <v>2</v>
      </c>
      <c r="N3947" s="24">
        <f t="shared" si="61"/>
        <v>0.0003947</v>
      </c>
    </row>
    <row r="3948" spans="1:14">
      <c r="A3948" s="21" t="s">
        <v>3749</v>
      </c>
      <c r="B3948" s="21" t="s">
        <v>920</v>
      </c>
      <c r="C3948" s="21" t="s">
        <v>26</v>
      </c>
      <c r="D3948" s="21" t="s">
        <v>921</v>
      </c>
      <c r="E3948" s="21">
        <v>1</v>
      </c>
      <c r="F3948" s="22">
        <v>46147.6705787037</v>
      </c>
      <c r="G3948" s="22">
        <v>45973.3622916667</v>
      </c>
      <c r="H3948" s="23">
        <v>1750</v>
      </c>
      <c r="I3948" s="23">
        <v>1750</v>
      </c>
      <c r="J3948" s="24">
        <v>1750</v>
      </c>
      <c r="K3948" s="21">
        <v>0</v>
      </c>
      <c r="L3948" s="21">
        <v>0</v>
      </c>
      <c r="M3948" s="21">
        <f>COUNTIF($A$2:$A$5481,A3948)</f>
        <v>1</v>
      </c>
      <c r="N3948" s="24">
        <f t="shared" si="61"/>
        <v>1750.0003948</v>
      </c>
    </row>
    <row r="3949" spans="1:14">
      <c r="A3949" s="21" t="s">
        <v>3750</v>
      </c>
      <c r="B3949" s="21" t="s">
        <v>920</v>
      </c>
      <c r="C3949" s="21" t="s">
        <v>26</v>
      </c>
      <c r="D3949" s="21" t="s">
        <v>921</v>
      </c>
      <c r="E3949" s="21">
        <v>0</v>
      </c>
      <c r="F3949" s="22">
        <v>45979.5941319445</v>
      </c>
      <c r="G3949" s="22">
        <v>46000.4164583333</v>
      </c>
      <c r="H3949" s="23">
        <v>1990</v>
      </c>
      <c r="I3949" s="23">
        <v>1990</v>
      </c>
      <c r="J3949" s="24">
        <v>0</v>
      </c>
      <c r="K3949" s="21">
        <v>0</v>
      </c>
      <c r="L3949" s="21">
        <v>0</v>
      </c>
      <c r="M3949" s="21">
        <f>COUNTIF($A$2:$A$5481,A3949)</f>
        <v>1</v>
      </c>
      <c r="N3949" s="24">
        <f t="shared" si="61"/>
        <v>0.0003949</v>
      </c>
    </row>
    <row r="3950" spans="1:14">
      <c r="A3950" s="21" t="s">
        <v>3751</v>
      </c>
      <c r="B3950" s="21" t="s">
        <v>26</v>
      </c>
      <c r="C3950" s="21" t="s">
        <v>26</v>
      </c>
      <c r="D3950" s="21" t="s">
        <v>921</v>
      </c>
      <c r="E3950" s="21">
        <v>30</v>
      </c>
      <c r="F3950" s="22">
        <v>45958.3377777778</v>
      </c>
      <c r="G3950" s="22"/>
      <c r="H3950" s="23">
        <v>183</v>
      </c>
      <c r="I3950" s="23">
        <v>6.1</v>
      </c>
      <c r="J3950" s="24">
        <v>183</v>
      </c>
      <c r="K3950" s="21">
        <v>0</v>
      </c>
      <c r="L3950" s="21">
        <v>0</v>
      </c>
      <c r="M3950" s="21">
        <f>COUNTIF($A$2:$A$5481,A3950)</f>
        <v>1</v>
      </c>
      <c r="N3950" s="24">
        <f t="shared" si="61"/>
        <v>183.000395</v>
      </c>
    </row>
    <row r="3951" spans="1:14">
      <c r="A3951" s="21" t="s">
        <v>3752</v>
      </c>
      <c r="B3951" s="21" t="s">
        <v>1342</v>
      </c>
      <c r="C3951" s="21" t="s">
        <v>182</v>
      </c>
      <c r="D3951" s="21" t="s">
        <v>921</v>
      </c>
      <c r="E3951" s="21">
        <v>0</v>
      </c>
      <c r="F3951" s="22">
        <v>45348.8736111111</v>
      </c>
      <c r="G3951" s="22">
        <v>45350.4310416667</v>
      </c>
      <c r="H3951" s="23">
        <v>265.9</v>
      </c>
      <c r="I3951" s="23">
        <v>265.9</v>
      </c>
      <c r="J3951" s="24">
        <v>0</v>
      </c>
      <c r="K3951" s="21">
        <v>0</v>
      </c>
      <c r="L3951" s="21">
        <v>0</v>
      </c>
      <c r="M3951" s="21">
        <f>COUNTIF($A$2:$A$5481,A3951)</f>
        <v>1</v>
      </c>
      <c r="N3951" s="24">
        <f t="shared" si="61"/>
        <v>0.0003951</v>
      </c>
    </row>
    <row r="3952" spans="1:14">
      <c r="A3952" s="21" t="s">
        <v>3753</v>
      </c>
      <c r="B3952" s="21" t="s">
        <v>948</v>
      </c>
      <c r="C3952" s="21" t="s">
        <v>414</v>
      </c>
      <c r="D3952" s="21" t="s">
        <v>921</v>
      </c>
      <c r="E3952" s="21">
        <v>10</v>
      </c>
      <c r="F3952" s="22">
        <v>45412.7995833333</v>
      </c>
      <c r="G3952" s="22"/>
      <c r="H3952" s="23">
        <v>53.3</v>
      </c>
      <c r="I3952" s="23">
        <v>5.33</v>
      </c>
      <c r="J3952" s="24">
        <v>53.3</v>
      </c>
      <c r="K3952" s="21">
        <v>0</v>
      </c>
      <c r="L3952" s="21">
        <v>0</v>
      </c>
      <c r="M3952" s="21">
        <f>COUNTIF($A$2:$A$5481,A3952)</f>
        <v>2</v>
      </c>
      <c r="N3952" s="24">
        <f t="shared" si="61"/>
        <v>53.3003952</v>
      </c>
    </row>
    <row r="3953" spans="1:14">
      <c r="A3953" s="21" t="s">
        <v>3753</v>
      </c>
      <c r="B3953" s="21" t="s">
        <v>948</v>
      </c>
      <c r="C3953" s="21" t="s">
        <v>26</v>
      </c>
      <c r="D3953" s="21" t="s">
        <v>921</v>
      </c>
      <c r="E3953" s="21">
        <v>22</v>
      </c>
      <c r="F3953" s="22">
        <v>45524.3914814815</v>
      </c>
      <c r="G3953" s="22"/>
      <c r="H3953" s="23">
        <v>54</v>
      </c>
      <c r="I3953" s="23">
        <v>4.87727</v>
      </c>
      <c r="J3953" s="24">
        <v>107.36</v>
      </c>
      <c r="K3953" s="21">
        <v>0</v>
      </c>
      <c r="L3953" s="21">
        <v>0</v>
      </c>
      <c r="M3953" s="21">
        <f>COUNTIF($A$2:$A$5481,A3953)</f>
        <v>2</v>
      </c>
      <c r="N3953" s="24">
        <f t="shared" si="61"/>
        <v>107.3603953</v>
      </c>
    </row>
    <row r="3954" spans="1:14">
      <c r="A3954" s="21" t="s">
        <v>3754</v>
      </c>
      <c r="B3954" s="21" t="s">
        <v>926</v>
      </c>
      <c r="C3954" s="21" t="s">
        <v>38</v>
      </c>
      <c r="D3954" s="21" t="s">
        <v>921</v>
      </c>
      <c r="E3954" s="21">
        <v>41</v>
      </c>
      <c r="F3954" s="22">
        <v>45771.3660763889</v>
      </c>
      <c r="G3954" s="22">
        <v>45805.4079050926</v>
      </c>
      <c r="H3954" s="23">
        <v>1090.56</v>
      </c>
      <c r="I3954" s="23">
        <v>129.58476</v>
      </c>
      <c r="J3954" s="24">
        <v>5312.78</v>
      </c>
      <c r="K3954" s="21">
        <v>0</v>
      </c>
      <c r="L3954" s="21">
        <v>0</v>
      </c>
      <c r="M3954" s="21">
        <f>COUNTIF($A$2:$A$5481,A3954)</f>
        <v>1</v>
      </c>
      <c r="N3954" s="24">
        <f t="shared" si="61"/>
        <v>5312.7803954</v>
      </c>
    </row>
    <row r="3955" spans="1:14">
      <c r="A3955" s="21" t="s">
        <v>3755</v>
      </c>
      <c r="B3955" s="21" t="s">
        <v>26</v>
      </c>
      <c r="C3955" s="21" t="s">
        <v>26</v>
      </c>
      <c r="D3955" s="21" t="s">
        <v>1584</v>
      </c>
      <c r="E3955" s="21">
        <v>4</v>
      </c>
      <c r="F3955" s="22">
        <v>45909.552662037</v>
      </c>
      <c r="G3955" s="22"/>
      <c r="H3955" s="23">
        <v>51.96</v>
      </c>
      <c r="I3955" s="23">
        <v>12.99</v>
      </c>
      <c r="J3955" s="24">
        <v>51.96</v>
      </c>
      <c r="K3955" s="21">
        <v>0</v>
      </c>
      <c r="L3955" s="21">
        <v>0</v>
      </c>
      <c r="M3955" s="21">
        <f>COUNTIF($A$2:$A$5481,A3955)</f>
        <v>1</v>
      </c>
      <c r="N3955" s="24">
        <f t="shared" si="61"/>
        <v>51.9603955</v>
      </c>
    </row>
    <row r="3956" spans="1:14">
      <c r="A3956" s="21" t="s">
        <v>881</v>
      </c>
      <c r="B3956" s="21" t="s">
        <v>929</v>
      </c>
      <c r="C3956" s="21" t="s">
        <v>26</v>
      </c>
      <c r="D3956" s="21" t="s">
        <v>921</v>
      </c>
      <c r="E3956" s="21">
        <v>0</v>
      </c>
      <c r="F3956" s="22">
        <v>46268.6430555556</v>
      </c>
      <c r="G3956" s="22">
        <v>46273.6909722222</v>
      </c>
      <c r="H3956" s="23">
        <v>5.4</v>
      </c>
      <c r="I3956" s="23">
        <v>3.6153846154</v>
      </c>
      <c r="J3956" s="24">
        <v>0</v>
      </c>
      <c r="K3956" s="21">
        <v>0</v>
      </c>
      <c r="L3956" s="21">
        <v>0</v>
      </c>
      <c r="M3956" s="21">
        <f>COUNTIF($A$2:$A$5481,A3956)</f>
        <v>1</v>
      </c>
      <c r="N3956" s="24">
        <f t="shared" si="61"/>
        <v>0.0003956</v>
      </c>
    </row>
    <row r="3957" spans="1:14">
      <c r="A3957" s="21" t="s">
        <v>3756</v>
      </c>
      <c r="B3957" s="21" t="s">
        <v>920</v>
      </c>
      <c r="C3957" s="21" t="s">
        <v>26</v>
      </c>
      <c r="D3957" s="21" t="s">
        <v>921</v>
      </c>
      <c r="E3957" s="21">
        <v>2</v>
      </c>
      <c r="F3957" s="22">
        <v>46251.7298842593</v>
      </c>
      <c r="G3957" s="22"/>
      <c r="H3957" s="23">
        <v>3.6</v>
      </c>
      <c r="I3957" s="23">
        <v>1.8</v>
      </c>
      <c r="J3957" s="24">
        <v>3.6</v>
      </c>
      <c r="K3957" s="21">
        <v>0</v>
      </c>
      <c r="L3957" s="21">
        <v>0</v>
      </c>
      <c r="M3957" s="21">
        <f>COUNTIF($A$2:$A$5481,A3957)</f>
        <v>1</v>
      </c>
      <c r="N3957" s="24">
        <f t="shared" si="61"/>
        <v>3.6003957</v>
      </c>
    </row>
    <row r="3958" spans="1:14">
      <c r="A3958" s="21" t="s">
        <v>634</v>
      </c>
      <c r="B3958" s="21" t="s">
        <v>26</v>
      </c>
      <c r="C3958" s="21" t="s">
        <v>182</v>
      </c>
      <c r="D3958" s="21" t="s">
        <v>921</v>
      </c>
      <c r="E3958" s="21">
        <v>5</v>
      </c>
      <c r="F3958" s="22">
        <v>46064.4147453704</v>
      </c>
      <c r="G3958" s="22">
        <v>46253.351099537</v>
      </c>
      <c r="H3958" s="23">
        <v>33.4</v>
      </c>
      <c r="I3958" s="23">
        <v>3.34</v>
      </c>
      <c r="J3958" s="24">
        <v>16.7</v>
      </c>
      <c r="K3958" s="21">
        <v>0</v>
      </c>
      <c r="L3958" s="21">
        <v>0</v>
      </c>
      <c r="M3958" s="21">
        <f>COUNTIF($A$2:$A$5481,A3958)</f>
        <v>1</v>
      </c>
      <c r="N3958" s="24">
        <f t="shared" si="61"/>
        <v>16.7003958</v>
      </c>
    </row>
    <row r="3959" spans="1:14">
      <c r="A3959" s="21" t="s">
        <v>3757</v>
      </c>
      <c r="B3959" s="21" t="s">
        <v>929</v>
      </c>
      <c r="C3959" s="21" t="s">
        <v>182</v>
      </c>
      <c r="D3959" s="21" t="s">
        <v>921</v>
      </c>
      <c r="E3959" s="21">
        <v>28</v>
      </c>
      <c r="F3959" s="22">
        <v>46260.4125</v>
      </c>
      <c r="G3959" s="22">
        <v>45908.354525463</v>
      </c>
      <c r="H3959" s="23">
        <v>22.6</v>
      </c>
      <c r="I3959" s="23">
        <v>2.665</v>
      </c>
      <c r="J3959" s="24">
        <v>74.76</v>
      </c>
      <c r="K3959" s="21">
        <v>0</v>
      </c>
      <c r="L3959" s="21">
        <v>0</v>
      </c>
      <c r="M3959" s="21">
        <f>COUNTIF($A$2:$A$5481,A3959)</f>
        <v>1</v>
      </c>
      <c r="N3959" s="24">
        <f t="shared" si="61"/>
        <v>74.7603959</v>
      </c>
    </row>
    <row r="3960" spans="1:14">
      <c r="A3960" s="21" t="s">
        <v>832</v>
      </c>
      <c r="B3960" s="21" t="s">
        <v>26</v>
      </c>
      <c r="C3960" s="21" t="s">
        <v>182</v>
      </c>
      <c r="D3960" s="21" t="s">
        <v>921</v>
      </c>
      <c r="E3960" s="21">
        <v>26</v>
      </c>
      <c r="F3960" s="22">
        <v>46260.4125</v>
      </c>
      <c r="G3960" s="22">
        <v>46268.426087963</v>
      </c>
      <c r="H3960" s="23">
        <v>22.6</v>
      </c>
      <c r="I3960" s="23">
        <v>2.2133333333</v>
      </c>
      <c r="J3960" s="24">
        <v>57.46</v>
      </c>
      <c r="K3960" s="21">
        <v>0</v>
      </c>
      <c r="L3960" s="21">
        <v>0</v>
      </c>
      <c r="M3960" s="21">
        <f>COUNTIF($A$2:$A$5481,A3960)</f>
        <v>1</v>
      </c>
      <c r="N3960" s="24">
        <f t="shared" si="61"/>
        <v>57.460396</v>
      </c>
    </row>
    <row r="3961" spans="1:14">
      <c r="A3961" s="21" t="s">
        <v>778</v>
      </c>
      <c r="B3961" s="21" t="s">
        <v>929</v>
      </c>
      <c r="C3961" s="21" t="s">
        <v>414</v>
      </c>
      <c r="D3961" s="21" t="s">
        <v>921</v>
      </c>
      <c r="E3961" s="21">
        <v>19</v>
      </c>
      <c r="F3961" s="22">
        <v>45411.3269328704</v>
      </c>
      <c r="G3961" s="22">
        <v>45520.5500347222</v>
      </c>
      <c r="H3961" s="23">
        <v>62.6</v>
      </c>
      <c r="I3961" s="23">
        <v>3.13</v>
      </c>
      <c r="J3961" s="24">
        <v>59.47</v>
      </c>
      <c r="K3961" s="21">
        <v>0</v>
      </c>
      <c r="L3961" s="21">
        <v>0</v>
      </c>
      <c r="M3961" s="21">
        <f>COUNTIF($A$2:$A$5481,A3961)</f>
        <v>3</v>
      </c>
      <c r="N3961" s="24">
        <f t="shared" si="61"/>
        <v>59.4703961</v>
      </c>
    </row>
    <row r="3962" spans="1:14">
      <c r="A3962" s="21" t="s">
        <v>778</v>
      </c>
      <c r="B3962" s="21" t="s">
        <v>929</v>
      </c>
      <c r="C3962" s="21" t="s">
        <v>51</v>
      </c>
      <c r="D3962" s="21" t="s">
        <v>921</v>
      </c>
      <c r="E3962" s="21">
        <v>14</v>
      </c>
      <c r="F3962" s="22">
        <v>45791.3891782407</v>
      </c>
      <c r="G3962" s="22">
        <v>45887.3702199074</v>
      </c>
      <c r="H3962" s="23">
        <v>42</v>
      </c>
      <c r="I3962" s="23">
        <v>2.1</v>
      </c>
      <c r="J3962" s="24">
        <v>29.4</v>
      </c>
      <c r="K3962" s="21">
        <v>0</v>
      </c>
      <c r="L3962" s="21">
        <v>0</v>
      </c>
      <c r="M3962" s="21">
        <f>COUNTIF($A$2:$A$5481,A3962)</f>
        <v>3</v>
      </c>
      <c r="N3962" s="24">
        <f t="shared" si="61"/>
        <v>29.4003962</v>
      </c>
    </row>
    <row r="3963" spans="1:14">
      <c r="A3963" s="21" t="s">
        <v>778</v>
      </c>
      <c r="B3963" s="21" t="s">
        <v>929</v>
      </c>
      <c r="C3963" s="21" t="s">
        <v>182</v>
      </c>
      <c r="D3963" s="21" t="s">
        <v>921</v>
      </c>
      <c r="E3963" s="21">
        <v>0</v>
      </c>
      <c r="F3963" s="22">
        <v>45953.4017708333</v>
      </c>
      <c r="G3963" s="22">
        <v>46253.351087963</v>
      </c>
      <c r="H3963" s="23">
        <v>18.13</v>
      </c>
      <c r="I3963" s="23">
        <v>18.13</v>
      </c>
      <c r="J3963" s="24">
        <v>0</v>
      </c>
      <c r="K3963" s="21">
        <v>0</v>
      </c>
      <c r="L3963" s="21">
        <v>0</v>
      </c>
      <c r="M3963" s="21">
        <f>COUNTIF($A$2:$A$5481,A3963)</f>
        <v>3</v>
      </c>
      <c r="N3963" s="24">
        <f t="shared" si="61"/>
        <v>0.0003963</v>
      </c>
    </row>
    <row r="3964" spans="1:14">
      <c r="A3964" s="21" t="s">
        <v>3758</v>
      </c>
      <c r="B3964" s="21" t="s">
        <v>920</v>
      </c>
      <c r="C3964" s="21" t="s">
        <v>35</v>
      </c>
      <c r="D3964" s="21" t="s">
        <v>921</v>
      </c>
      <c r="E3964" s="21">
        <v>1</v>
      </c>
      <c r="F3964" s="22">
        <v>46021.5372685185</v>
      </c>
      <c r="G3964" s="22"/>
      <c r="H3964" s="23">
        <v>84.2</v>
      </c>
      <c r="I3964" s="23">
        <v>84.2</v>
      </c>
      <c r="J3964" s="24">
        <v>84.2</v>
      </c>
      <c r="K3964" s="21">
        <v>0</v>
      </c>
      <c r="L3964" s="21">
        <v>0</v>
      </c>
      <c r="M3964" s="21">
        <f>COUNTIF($A$2:$A$5481,A3964)</f>
        <v>1</v>
      </c>
      <c r="N3964" s="24">
        <f t="shared" si="61"/>
        <v>84.2003964</v>
      </c>
    </row>
    <row r="3965" spans="1:14">
      <c r="A3965" s="21" t="s">
        <v>768</v>
      </c>
      <c r="B3965" s="21" t="s">
        <v>920</v>
      </c>
      <c r="C3965" s="21" t="s">
        <v>26</v>
      </c>
      <c r="D3965" s="21" t="s">
        <v>2753</v>
      </c>
      <c r="E3965" s="21">
        <v>0</v>
      </c>
      <c r="F3965" s="22">
        <v>45428.5902199074</v>
      </c>
      <c r="G3965" s="22">
        <v>46252.6096875</v>
      </c>
      <c r="H3965" s="23">
        <v>1215.99</v>
      </c>
      <c r="I3965" s="23">
        <v>1215.99</v>
      </c>
      <c r="J3965" s="24">
        <v>0</v>
      </c>
      <c r="K3965" s="21">
        <v>0</v>
      </c>
      <c r="L3965" s="21">
        <v>0</v>
      </c>
      <c r="M3965" s="21">
        <f>COUNTIF($A$2:$A$5481,A3965)</f>
        <v>1</v>
      </c>
      <c r="N3965" s="24">
        <f t="shared" si="61"/>
        <v>0.0003965</v>
      </c>
    </row>
    <row r="3966" spans="1:14">
      <c r="A3966" s="21" t="s">
        <v>3759</v>
      </c>
      <c r="B3966" s="21" t="s">
        <v>26</v>
      </c>
      <c r="C3966" s="21" t="s">
        <v>26</v>
      </c>
      <c r="D3966" s="21" t="s">
        <v>931</v>
      </c>
      <c r="E3966" s="21">
        <v>1</v>
      </c>
      <c r="F3966" s="22">
        <v>45414.4819444444</v>
      </c>
      <c r="G3966" s="22"/>
      <c r="H3966" s="23">
        <v>310</v>
      </c>
      <c r="I3966" s="23">
        <v>310</v>
      </c>
      <c r="J3966" s="24">
        <v>310</v>
      </c>
      <c r="K3966" s="21">
        <v>0</v>
      </c>
      <c r="L3966" s="21">
        <v>0</v>
      </c>
      <c r="M3966" s="21">
        <f>COUNTIF($A$2:$A$5481,A3966)</f>
        <v>1</v>
      </c>
      <c r="N3966" s="24">
        <f t="shared" si="61"/>
        <v>310.0003966</v>
      </c>
    </row>
    <row r="3967" spans="1:14">
      <c r="A3967" s="21" t="s">
        <v>3760</v>
      </c>
      <c r="B3967" s="21" t="s">
        <v>920</v>
      </c>
      <c r="C3967" s="21" t="s">
        <v>35</v>
      </c>
      <c r="D3967" s="21" t="s">
        <v>921</v>
      </c>
      <c r="E3967" s="21">
        <v>0</v>
      </c>
      <c r="F3967" s="22">
        <v>45915.5961458333</v>
      </c>
      <c r="G3967" s="22">
        <v>45923.4677314815</v>
      </c>
      <c r="H3967" s="23">
        <v>4480</v>
      </c>
      <c r="I3967" s="23">
        <v>1120</v>
      </c>
      <c r="J3967" s="24">
        <v>0</v>
      </c>
      <c r="K3967" s="21">
        <v>0</v>
      </c>
      <c r="L3967" s="21">
        <v>0</v>
      </c>
      <c r="M3967" s="21">
        <f>COUNTIF($A$2:$A$5481,A3967)</f>
        <v>1</v>
      </c>
      <c r="N3967" s="24">
        <f t="shared" si="61"/>
        <v>0.0003967</v>
      </c>
    </row>
    <row r="3968" spans="1:14">
      <c r="A3968" s="21" t="s">
        <v>842</v>
      </c>
      <c r="B3968" s="21" t="s">
        <v>920</v>
      </c>
      <c r="C3968" s="21" t="s">
        <v>35</v>
      </c>
      <c r="D3968" s="21" t="s">
        <v>931</v>
      </c>
      <c r="E3968" s="21">
        <v>0</v>
      </c>
      <c r="F3968" s="22">
        <v>46254.5826388889</v>
      </c>
      <c r="G3968" s="22">
        <v>46266.7182407407</v>
      </c>
      <c r="H3968" s="23">
        <v>985</v>
      </c>
      <c r="I3968" s="23">
        <v>985</v>
      </c>
      <c r="J3968" s="24">
        <v>0</v>
      </c>
      <c r="K3968" s="21">
        <v>0</v>
      </c>
      <c r="L3968" s="21">
        <v>0</v>
      </c>
      <c r="M3968" s="21">
        <f>COUNTIF($A$2:$A$5481,A3968)</f>
        <v>1</v>
      </c>
      <c r="N3968" s="24">
        <f t="shared" si="61"/>
        <v>0.0003968</v>
      </c>
    </row>
    <row r="3969" spans="1:14">
      <c r="A3969" s="21" t="s">
        <v>3761</v>
      </c>
      <c r="B3969" s="21" t="s">
        <v>26</v>
      </c>
      <c r="C3969" s="21" t="s">
        <v>26</v>
      </c>
      <c r="D3969" s="21" t="s">
        <v>921</v>
      </c>
      <c r="E3969" s="21">
        <v>4</v>
      </c>
      <c r="F3969" s="22">
        <v>45631.7955208333</v>
      </c>
      <c r="G3969" s="22"/>
      <c r="H3969" s="23">
        <v>547.46</v>
      </c>
      <c r="I3969" s="23">
        <v>223.4925</v>
      </c>
      <c r="J3969" s="24">
        <v>893.96</v>
      </c>
      <c r="K3969" s="21">
        <v>0</v>
      </c>
      <c r="L3969" s="21">
        <v>0</v>
      </c>
      <c r="M3969" s="21">
        <f>COUNTIF($A$2:$A$5481,A3969)</f>
        <v>1</v>
      </c>
      <c r="N3969" s="24">
        <f t="shared" si="61"/>
        <v>893.9603969</v>
      </c>
    </row>
    <row r="3970" spans="1:14">
      <c r="A3970" s="21" t="s">
        <v>3762</v>
      </c>
      <c r="B3970" s="21" t="s">
        <v>929</v>
      </c>
      <c r="C3970" s="21" t="s">
        <v>414</v>
      </c>
      <c r="D3970" s="21" t="s">
        <v>921</v>
      </c>
      <c r="E3970" s="21">
        <v>3</v>
      </c>
      <c r="F3970" s="22">
        <v>45355.5810648148</v>
      </c>
      <c r="G3970" s="22"/>
      <c r="H3970" s="23">
        <v>1405.71</v>
      </c>
      <c r="I3970" s="23">
        <v>468.57</v>
      </c>
      <c r="J3970" s="24">
        <v>1405.71</v>
      </c>
      <c r="K3970" s="21">
        <v>0</v>
      </c>
      <c r="L3970" s="21">
        <v>0</v>
      </c>
      <c r="M3970" s="21">
        <f>COUNTIF($A$2:$A$5481,A3970)</f>
        <v>1</v>
      </c>
      <c r="N3970" s="24">
        <f t="shared" ref="N3970:N4033" si="62">J3970+ROW()/10000000</f>
        <v>1405.710397</v>
      </c>
    </row>
    <row r="3971" spans="1:14">
      <c r="A3971" s="21" t="s">
        <v>3763</v>
      </c>
      <c r="B3971" s="21" t="s">
        <v>26</v>
      </c>
      <c r="C3971" s="21" t="s">
        <v>26</v>
      </c>
      <c r="D3971" s="21" t="s">
        <v>921</v>
      </c>
      <c r="E3971" s="21">
        <v>5</v>
      </c>
      <c r="F3971" s="22">
        <v>46175.5841782407</v>
      </c>
      <c r="G3971" s="22"/>
      <c r="H3971" s="23">
        <v>214.95</v>
      </c>
      <c r="I3971" s="23">
        <v>42.99</v>
      </c>
      <c r="J3971" s="24">
        <v>214.95</v>
      </c>
      <c r="K3971" s="21">
        <v>0</v>
      </c>
      <c r="L3971" s="21">
        <v>0</v>
      </c>
      <c r="M3971" s="21">
        <f>COUNTIF($A$2:$A$5481,A3971)</f>
        <v>1</v>
      </c>
      <c r="N3971" s="24">
        <f t="shared" si="62"/>
        <v>214.9503971</v>
      </c>
    </row>
    <row r="3972" spans="1:14">
      <c r="A3972" s="21" t="s">
        <v>3764</v>
      </c>
      <c r="B3972" s="21" t="s">
        <v>948</v>
      </c>
      <c r="C3972" s="21" t="s">
        <v>26</v>
      </c>
      <c r="D3972" s="21" t="s">
        <v>921</v>
      </c>
      <c r="E3972" s="21">
        <v>2</v>
      </c>
      <c r="F3972" s="22">
        <v>46156.5526967593</v>
      </c>
      <c r="G3972" s="22"/>
      <c r="H3972" s="23">
        <v>196</v>
      </c>
      <c r="I3972" s="23">
        <v>98</v>
      </c>
      <c r="J3972" s="24">
        <v>196</v>
      </c>
      <c r="K3972" s="21">
        <v>0</v>
      </c>
      <c r="L3972" s="21">
        <v>0</v>
      </c>
      <c r="M3972" s="21">
        <f>COUNTIF($A$2:$A$5481,A3972)</f>
        <v>1</v>
      </c>
      <c r="N3972" s="24">
        <f t="shared" si="62"/>
        <v>196.0003972</v>
      </c>
    </row>
    <row r="3973" spans="1:14">
      <c r="A3973" s="21" t="s">
        <v>3765</v>
      </c>
      <c r="B3973" s="21" t="s">
        <v>26</v>
      </c>
      <c r="C3973" s="21" t="s">
        <v>26</v>
      </c>
      <c r="D3973" s="21" t="s">
        <v>921</v>
      </c>
      <c r="E3973" s="21">
        <v>1</v>
      </c>
      <c r="F3973" s="22">
        <v>45579.4364467593</v>
      </c>
      <c r="G3973" s="22"/>
      <c r="H3973" s="23">
        <v>167</v>
      </c>
      <c r="I3973" s="23">
        <v>167</v>
      </c>
      <c r="J3973" s="24">
        <v>167</v>
      </c>
      <c r="K3973" s="21">
        <v>0</v>
      </c>
      <c r="L3973" s="21">
        <v>0</v>
      </c>
      <c r="M3973" s="21">
        <f>COUNTIF($A$2:$A$5481,A3973)</f>
        <v>1</v>
      </c>
      <c r="N3973" s="24">
        <f t="shared" si="62"/>
        <v>167.0003973</v>
      </c>
    </row>
    <row r="3974" spans="1:14">
      <c r="A3974" s="21" t="s">
        <v>3766</v>
      </c>
      <c r="B3974" s="21" t="s">
        <v>1115</v>
      </c>
      <c r="C3974" s="21" t="s">
        <v>26</v>
      </c>
      <c r="D3974" s="21" t="s">
        <v>921</v>
      </c>
      <c r="E3974" s="21">
        <v>10</v>
      </c>
      <c r="F3974" s="22">
        <v>46142.4298611111</v>
      </c>
      <c r="G3974" s="22"/>
      <c r="H3974" s="23">
        <v>429.9</v>
      </c>
      <c r="I3974" s="23">
        <v>42.99</v>
      </c>
      <c r="J3974" s="24">
        <v>429.9</v>
      </c>
      <c r="K3974" s="21">
        <v>0</v>
      </c>
      <c r="L3974" s="21">
        <v>0</v>
      </c>
      <c r="M3974" s="21">
        <f>COUNTIF($A$2:$A$5481,A3974)</f>
        <v>1</v>
      </c>
      <c r="N3974" s="24">
        <f t="shared" si="62"/>
        <v>429.9003974</v>
      </c>
    </row>
    <row r="3975" spans="1:14">
      <c r="A3975" s="21" t="s">
        <v>814</v>
      </c>
      <c r="B3975" s="21" t="s">
        <v>1115</v>
      </c>
      <c r="C3975" s="21" t="s">
        <v>26</v>
      </c>
      <c r="D3975" s="21" t="s">
        <v>921</v>
      </c>
      <c r="E3975" s="21">
        <v>9</v>
      </c>
      <c r="F3975" s="22">
        <v>46142.4298611111</v>
      </c>
      <c r="G3975" s="22">
        <v>46260.4337962963</v>
      </c>
      <c r="H3975" s="23">
        <v>429.9</v>
      </c>
      <c r="I3975" s="23">
        <v>42.99</v>
      </c>
      <c r="J3975" s="24">
        <v>386.91</v>
      </c>
      <c r="K3975" s="21">
        <v>0</v>
      </c>
      <c r="L3975" s="21">
        <v>0</v>
      </c>
      <c r="M3975" s="21">
        <f>COUNTIF($A$2:$A$5481,A3975)</f>
        <v>1</v>
      </c>
      <c r="N3975" s="24">
        <f t="shared" si="62"/>
        <v>386.9103975</v>
      </c>
    </row>
    <row r="3976" spans="1:14">
      <c r="A3976" s="21" t="s">
        <v>3767</v>
      </c>
      <c r="B3976" s="21" t="s">
        <v>1115</v>
      </c>
      <c r="C3976" s="21" t="s">
        <v>26</v>
      </c>
      <c r="D3976" s="21" t="s">
        <v>921</v>
      </c>
      <c r="E3976" s="21">
        <v>15</v>
      </c>
      <c r="F3976" s="22">
        <v>46148.6493055556</v>
      </c>
      <c r="G3976" s="22"/>
      <c r="H3976" s="23">
        <v>214.95</v>
      </c>
      <c r="I3976" s="23">
        <v>42.99</v>
      </c>
      <c r="J3976" s="24">
        <v>644.85</v>
      </c>
      <c r="K3976" s="21">
        <v>0</v>
      </c>
      <c r="L3976" s="21">
        <v>0</v>
      </c>
      <c r="M3976" s="21">
        <f>COUNTIF($A$2:$A$5481,A3976)</f>
        <v>1</v>
      </c>
      <c r="N3976" s="24">
        <f t="shared" si="62"/>
        <v>644.8503976</v>
      </c>
    </row>
    <row r="3977" spans="1:14">
      <c r="A3977" s="21" t="s">
        <v>791</v>
      </c>
      <c r="B3977" s="21" t="s">
        <v>1115</v>
      </c>
      <c r="C3977" s="21" t="s">
        <v>26</v>
      </c>
      <c r="D3977" s="21" t="s">
        <v>921</v>
      </c>
      <c r="E3977" s="21">
        <v>0</v>
      </c>
      <c r="F3977" s="22">
        <v>46142.4298611111</v>
      </c>
      <c r="G3977" s="22">
        <v>46254.4588310185</v>
      </c>
      <c r="H3977" s="23">
        <v>42.99</v>
      </c>
      <c r="I3977" s="23">
        <v>42.99</v>
      </c>
      <c r="J3977" s="24">
        <v>0</v>
      </c>
      <c r="K3977" s="21">
        <v>0</v>
      </c>
      <c r="L3977" s="21">
        <v>0</v>
      </c>
      <c r="M3977" s="21">
        <f>COUNTIF($A$2:$A$5481,A3977)</f>
        <v>1</v>
      </c>
      <c r="N3977" s="24">
        <f t="shared" si="62"/>
        <v>0.0003977</v>
      </c>
    </row>
    <row r="3978" spans="1:14">
      <c r="A3978" s="21" t="s">
        <v>3768</v>
      </c>
      <c r="B3978" s="21" t="s">
        <v>26</v>
      </c>
      <c r="C3978" s="21" t="s">
        <v>26</v>
      </c>
      <c r="D3978" s="21" t="s">
        <v>921</v>
      </c>
      <c r="E3978" s="21">
        <v>1</v>
      </c>
      <c r="F3978" s="22">
        <v>45856.4520601852</v>
      </c>
      <c r="G3978" s="22">
        <v>45862.4750694444</v>
      </c>
      <c r="H3978" s="23">
        <v>95</v>
      </c>
      <c r="I3978" s="23">
        <v>122</v>
      </c>
      <c r="J3978" s="24">
        <v>122</v>
      </c>
      <c r="K3978" s="21">
        <v>0</v>
      </c>
      <c r="L3978" s="21">
        <v>0</v>
      </c>
      <c r="M3978" s="21">
        <f>COUNTIF($A$2:$A$5481,A3978)</f>
        <v>1</v>
      </c>
      <c r="N3978" s="24">
        <f t="shared" si="62"/>
        <v>122.0003978</v>
      </c>
    </row>
    <row r="3979" spans="1:14">
      <c r="A3979" s="21" t="s">
        <v>3769</v>
      </c>
      <c r="B3979" s="21" t="s">
        <v>1115</v>
      </c>
      <c r="C3979" s="21" t="s">
        <v>51</v>
      </c>
      <c r="D3979" s="21" t="s">
        <v>931</v>
      </c>
      <c r="E3979" s="21">
        <v>100</v>
      </c>
      <c r="F3979" s="22">
        <v>45740.4453009259</v>
      </c>
      <c r="G3979" s="22"/>
      <c r="H3979" s="23">
        <v>2556</v>
      </c>
      <c r="I3979" s="23">
        <v>25.56</v>
      </c>
      <c r="J3979" s="24">
        <v>2556</v>
      </c>
      <c r="K3979" s="21">
        <v>0</v>
      </c>
      <c r="L3979" s="21">
        <v>0</v>
      </c>
      <c r="M3979" s="21">
        <f>COUNTIF($A$2:$A$5481,A3979)</f>
        <v>1</v>
      </c>
      <c r="N3979" s="24">
        <f t="shared" si="62"/>
        <v>2556.0003979</v>
      </c>
    </row>
    <row r="3980" spans="1:14">
      <c r="A3980" s="21" t="s">
        <v>803</v>
      </c>
      <c r="B3980" s="21" t="s">
        <v>1115</v>
      </c>
      <c r="C3980" s="21" t="s">
        <v>26</v>
      </c>
      <c r="D3980" s="21" t="s">
        <v>921</v>
      </c>
      <c r="E3980" s="21">
        <v>6</v>
      </c>
      <c r="F3980" s="22">
        <v>45495.3808333333</v>
      </c>
      <c r="G3980" s="22">
        <v>46258.6195717593</v>
      </c>
      <c r="H3980" s="23">
        <v>214.5</v>
      </c>
      <c r="I3980" s="23">
        <v>40.19778</v>
      </c>
      <c r="J3980" s="24">
        <v>241.2</v>
      </c>
      <c r="K3980" s="21">
        <v>1</v>
      </c>
      <c r="L3980" s="21">
        <v>100</v>
      </c>
      <c r="M3980" s="21">
        <f>COUNTIF($A$2:$A$5481,A3980)</f>
        <v>1</v>
      </c>
      <c r="N3980" s="24">
        <f t="shared" si="62"/>
        <v>241.200398</v>
      </c>
    </row>
    <row r="3981" spans="1:14">
      <c r="A3981" s="21" t="s">
        <v>3770</v>
      </c>
      <c r="B3981" s="21" t="s">
        <v>1115</v>
      </c>
      <c r="C3981" s="21" t="s">
        <v>26</v>
      </c>
      <c r="D3981" s="21" t="s">
        <v>921</v>
      </c>
      <c r="E3981" s="21">
        <v>11</v>
      </c>
      <c r="F3981" s="22">
        <v>45882.817662037</v>
      </c>
      <c r="G3981" s="22">
        <v>45888.4110763889</v>
      </c>
      <c r="H3981" s="23">
        <v>429</v>
      </c>
      <c r="I3981" s="23">
        <v>42.9</v>
      </c>
      <c r="J3981" s="24">
        <v>471.9</v>
      </c>
      <c r="K3981" s="21">
        <v>1</v>
      </c>
      <c r="L3981" s="21">
        <v>100</v>
      </c>
      <c r="M3981" s="21">
        <f>COUNTIF($A$2:$A$5481,A3981)</f>
        <v>1</v>
      </c>
      <c r="N3981" s="24">
        <f t="shared" si="62"/>
        <v>471.9003981</v>
      </c>
    </row>
    <row r="3982" spans="1:14">
      <c r="A3982" s="21" t="s">
        <v>3771</v>
      </c>
      <c r="B3982" s="21" t="s">
        <v>1115</v>
      </c>
      <c r="C3982" s="21" t="s">
        <v>26</v>
      </c>
      <c r="D3982" s="21" t="s">
        <v>921</v>
      </c>
      <c r="E3982" s="21">
        <v>12</v>
      </c>
      <c r="F3982" s="22">
        <v>45882.817662037</v>
      </c>
      <c r="G3982" s="22">
        <v>45590.3994328704</v>
      </c>
      <c r="H3982" s="23">
        <v>429</v>
      </c>
      <c r="I3982" s="23">
        <v>41.8866666667</v>
      </c>
      <c r="J3982" s="24">
        <v>502.68</v>
      </c>
      <c r="K3982" s="21">
        <v>1</v>
      </c>
      <c r="L3982" s="21">
        <v>100</v>
      </c>
      <c r="M3982" s="21">
        <f>COUNTIF($A$2:$A$5481,A3982)</f>
        <v>1</v>
      </c>
      <c r="N3982" s="24">
        <f t="shared" si="62"/>
        <v>502.6803982</v>
      </c>
    </row>
    <row r="3983" spans="1:14">
      <c r="A3983" s="21" t="s">
        <v>870</v>
      </c>
      <c r="B3983" s="21" t="s">
        <v>26</v>
      </c>
      <c r="C3983" s="21" t="s">
        <v>26</v>
      </c>
      <c r="D3983" s="21" t="s">
        <v>921</v>
      </c>
      <c r="E3983" s="21">
        <v>29</v>
      </c>
      <c r="F3983" s="22">
        <v>45882.817662037</v>
      </c>
      <c r="G3983" s="22">
        <v>46269.6130324074</v>
      </c>
      <c r="H3983" s="23">
        <v>429</v>
      </c>
      <c r="I3983" s="23">
        <v>42.9</v>
      </c>
      <c r="J3983" s="24">
        <v>1244.1</v>
      </c>
      <c r="K3983" s="21">
        <v>0</v>
      </c>
      <c r="L3983" s="21">
        <v>0</v>
      </c>
      <c r="M3983" s="21">
        <f>COUNTIF($A$2:$A$5481,A3983)</f>
        <v>1</v>
      </c>
      <c r="N3983" s="24">
        <f t="shared" si="62"/>
        <v>1244.1003983</v>
      </c>
    </row>
    <row r="3984" spans="1:14">
      <c r="A3984" s="21" t="s">
        <v>185</v>
      </c>
      <c r="B3984" s="21" t="s">
        <v>920</v>
      </c>
      <c r="C3984" s="21" t="s">
        <v>26</v>
      </c>
      <c r="D3984" s="21" t="s">
        <v>921</v>
      </c>
      <c r="E3984" s="21">
        <v>8</v>
      </c>
      <c r="F3984" s="22">
        <v>46028.5578356482</v>
      </c>
      <c r="G3984" s="22">
        <v>46044.4277083333</v>
      </c>
      <c r="H3984" s="23">
        <v>294</v>
      </c>
      <c r="I3984" s="23">
        <v>90.4444444444</v>
      </c>
      <c r="J3984" s="24">
        <v>723.52</v>
      </c>
      <c r="K3984" s="21">
        <v>0</v>
      </c>
      <c r="L3984" s="21">
        <v>0</v>
      </c>
      <c r="M3984" s="21">
        <f>COUNTIF($A$2:$A$5481,A3984)</f>
        <v>1</v>
      </c>
      <c r="N3984" s="24">
        <f t="shared" si="62"/>
        <v>723.5203984</v>
      </c>
    </row>
    <row r="3985" spans="1:14">
      <c r="A3985" s="21" t="s">
        <v>3772</v>
      </c>
      <c r="B3985" s="21" t="s">
        <v>929</v>
      </c>
      <c r="C3985" s="21" t="s">
        <v>26</v>
      </c>
      <c r="D3985" s="21" t="s">
        <v>921</v>
      </c>
      <c r="E3985" s="21">
        <v>1</v>
      </c>
      <c r="F3985" s="22">
        <v>46185.5869675926</v>
      </c>
      <c r="G3985" s="22"/>
      <c r="H3985" s="23">
        <v>36.35</v>
      </c>
      <c r="I3985" s="23">
        <v>36.35</v>
      </c>
      <c r="J3985" s="24">
        <v>36.35</v>
      </c>
      <c r="K3985" s="21">
        <v>0</v>
      </c>
      <c r="L3985" s="21">
        <v>0</v>
      </c>
      <c r="M3985" s="21">
        <f>COUNTIF($A$2:$A$5481,A3985)</f>
        <v>1</v>
      </c>
      <c r="N3985" s="24">
        <f t="shared" si="62"/>
        <v>36.3503985</v>
      </c>
    </row>
    <row r="3986" spans="1:14">
      <c r="A3986" s="21" t="s">
        <v>3773</v>
      </c>
      <c r="B3986" s="21" t="s">
        <v>929</v>
      </c>
      <c r="C3986" s="21" t="s">
        <v>26</v>
      </c>
      <c r="D3986" s="21" t="s">
        <v>921</v>
      </c>
      <c r="E3986" s="21">
        <v>0</v>
      </c>
      <c r="F3986" s="22">
        <v>45846.3493981482</v>
      </c>
      <c r="G3986" s="22">
        <v>45848.4580208333</v>
      </c>
      <c r="H3986" s="23">
        <v>5.77</v>
      </c>
      <c r="I3986" s="23">
        <v>5.77</v>
      </c>
      <c r="J3986" s="24">
        <v>0</v>
      </c>
      <c r="K3986" s="21">
        <v>0</v>
      </c>
      <c r="L3986" s="21">
        <v>0</v>
      </c>
      <c r="M3986" s="21">
        <f>COUNTIF($A$2:$A$5481,A3986)</f>
        <v>1</v>
      </c>
      <c r="N3986" s="24">
        <f t="shared" si="62"/>
        <v>0.0003986</v>
      </c>
    </row>
    <row r="3987" spans="1:14">
      <c r="A3987" s="21" t="s">
        <v>3774</v>
      </c>
      <c r="B3987" s="21" t="s">
        <v>929</v>
      </c>
      <c r="C3987" s="21" t="s">
        <v>414</v>
      </c>
      <c r="D3987" s="21" t="s">
        <v>921</v>
      </c>
      <c r="E3987" s="21">
        <v>0</v>
      </c>
      <c r="F3987" s="22">
        <v>45336.5958333333</v>
      </c>
      <c r="G3987" s="22">
        <v>45337.4093287037</v>
      </c>
      <c r="H3987" s="23">
        <v>31.65</v>
      </c>
      <c r="I3987" s="23">
        <v>31.65</v>
      </c>
      <c r="J3987" s="24">
        <v>0</v>
      </c>
      <c r="K3987" s="21">
        <v>0</v>
      </c>
      <c r="L3987" s="21">
        <v>0</v>
      </c>
      <c r="M3987" s="21">
        <f>COUNTIF($A$2:$A$5481,A3987)</f>
        <v>2</v>
      </c>
      <c r="N3987" s="24">
        <f t="shared" si="62"/>
        <v>0.0003987</v>
      </c>
    </row>
    <row r="3988" spans="1:14">
      <c r="A3988" s="21" t="s">
        <v>3774</v>
      </c>
      <c r="B3988" s="21" t="s">
        <v>929</v>
      </c>
      <c r="C3988" s="21" t="s">
        <v>26</v>
      </c>
      <c r="D3988" s="21" t="s">
        <v>921</v>
      </c>
      <c r="E3988" s="21">
        <v>5</v>
      </c>
      <c r="F3988" s="22">
        <v>45449.5989351852</v>
      </c>
      <c r="G3988" s="22"/>
      <c r="H3988" s="23">
        <v>150</v>
      </c>
      <c r="I3988" s="23">
        <v>30</v>
      </c>
      <c r="J3988" s="24">
        <v>150</v>
      </c>
      <c r="K3988" s="21">
        <v>0</v>
      </c>
      <c r="L3988" s="21">
        <v>0</v>
      </c>
      <c r="M3988" s="21">
        <f>COUNTIF($A$2:$A$5481,A3988)</f>
        <v>2</v>
      </c>
      <c r="N3988" s="24">
        <f t="shared" si="62"/>
        <v>150.0003988</v>
      </c>
    </row>
    <row r="3989" spans="1:14">
      <c r="A3989" s="21" t="s">
        <v>3775</v>
      </c>
      <c r="B3989" s="21" t="s">
        <v>26</v>
      </c>
      <c r="C3989" s="21" t="s">
        <v>26</v>
      </c>
      <c r="D3989" s="21" t="s">
        <v>921</v>
      </c>
      <c r="E3989" s="21">
        <v>3</v>
      </c>
      <c r="F3989" s="22">
        <v>45853.5774884259</v>
      </c>
      <c r="G3989" s="22"/>
      <c r="H3989" s="23">
        <v>81.18</v>
      </c>
      <c r="I3989" s="23">
        <v>37.06</v>
      </c>
      <c r="J3989" s="24">
        <v>111.18</v>
      </c>
      <c r="K3989" s="21">
        <v>0</v>
      </c>
      <c r="L3989" s="21">
        <v>0</v>
      </c>
      <c r="M3989" s="21">
        <f>COUNTIF($A$2:$A$5481,A3989)</f>
        <v>1</v>
      </c>
      <c r="N3989" s="24">
        <f t="shared" si="62"/>
        <v>111.1803989</v>
      </c>
    </row>
    <row r="3990" spans="1:14">
      <c r="A3990" s="21" t="s">
        <v>3776</v>
      </c>
      <c r="B3990" s="21" t="s">
        <v>929</v>
      </c>
      <c r="C3990" s="21" t="s">
        <v>414</v>
      </c>
      <c r="D3990" s="21" t="s">
        <v>921</v>
      </c>
      <c r="E3990" s="21">
        <v>4</v>
      </c>
      <c r="F3990" s="22">
        <v>45313.5776851852</v>
      </c>
      <c r="G3990" s="22"/>
      <c r="H3990" s="23">
        <v>154.84</v>
      </c>
      <c r="I3990" s="23">
        <v>38.71</v>
      </c>
      <c r="J3990" s="24">
        <v>154.84</v>
      </c>
      <c r="K3990" s="21">
        <v>0</v>
      </c>
      <c r="L3990" s="21">
        <v>0</v>
      </c>
      <c r="M3990" s="21">
        <f>COUNTIF($A$2:$A$5481,A3990)</f>
        <v>2</v>
      </c>
      <c r="N3990" s="24">
        <f t="shared" si="62"/>
        <v>154.840399</v>
      </c>
    </row>
    <row r="3991" spans="1:14">
      <c r="A3991" s="21" t="s">
        <v>3776</v>
      </c>
      <c r="B3991" s="21" t="s">
        <v>929</v>
      </c>
      <c r="C3991" s="21" t="s">
        <v>26</v>
      </c>
      <c r="D3991" s="21" t="s">
        <v>921</v>
      </c>
      <c r="E3991" s="21">
        <v>1</v>
      </c>
      <c r="F3991" s="22">
        <v>45875.3868287037</v>
      </c>
      <c r="G3991" s="22">
        <v>45344.4363310185</v>
      </c>
      <c r="H3991" s="23">
        <v>45.56</v>
      </c>
      <c r="I3991" s="23">
        <v>45.56</v>
      </c>
      <c r="J3991" s="24">
        <v>45.56</v>
      </c>
      <c r="K3991" s="21">
        <v>0</v>
      </c>
      <c r="L3991" s="21">
        <v>0</v>
      </c>
      <c r="M3991" s="21">
        <f>COUNTIF($A$2:$A$5481,A3991)</f>
        <v>2</v>
      </c>
      <c r="N3991" s="24">
        <f t="shared" si="62"/>
        <v>45.5603991</v>
      </c>
    </row>
    <row r="3992" spans="1:14">
      <c r="A3992" s="21" t="s">
        <v>3777</v>
      </c>
      <c r="B3992" s="21" t="s">
        <v>26</v>
      </c>
      <c r="C3992" s="21" t="s">
        <v>35</v>
      </c>
      <c r="D3992" s="21" t="s">
        <v>921</v>
      </c>
      <c r="E3992" s="21">
        <v>1</v>
      </c>
      <c r="F3992" s="22">
        <v>45667.4464930556</v>
      </c>
      <c r="G3992" s="22"/>
      <c r="H3992" s="23">
        <v>115</v>
      </c>
      <c r="I3992" s="23">
        <v>115</v>
      </c>
      <c r="J3992" s="24">
        <v>115</v>
      </c>
      <c r="K3992" s="21">
        <v>0</v>
      </c>
      <c r="L3992" s="21">
        <v>0</v>
      </c>
      <c r="M3992" s="21">
        <f>COUNTIF($A$2:$A$5481,A3992)</f>
        <v>1</v>
      </c>
      <c r="N3992" s="24">
        <f t="shared" si="62"/>
        <v>115.0003992</v>
      </c>
    </row>
    <row r="3993" spans="1:14">
      <c r="A3993" s="21" t="s">
        <v>3778</v>
      </c>
      <c r="B3993" s="21" t="s">
        <v>929</v>
      </c>
      <c r="C3993" s="21" t="s">
        <v>26</v>
      </c>
      <c r="D3993" s="21" t="s">
        <v>921</v>
      </c>
      <c r="E3993" s="21">
        <v>2</v>
      </c>
      <c r="F3993" s="22">
        <v>46238.5709953704</v>
      </c>
      <c r="G3993" s="22"/>
      <c r="H3993" s="23">
        <v>22.01</v>
      </c>
      <c r="I3993" s="23">
        <v>27.55</v>
      </c>
      <c r="J3993" s="24">
        <v>55.1</v>
      </c>
      <c r="K3993" s="21">
        <v>0</v>
      </c>
      <c r="L3993" s="21">
        <v>0</v>
      </c>
      <c r="M3993" s="21">
        <f>COUNTIF($A$2:$A$5481,A3993)</f>
        <v>1</v>
      </c>
      <c r="N3993" s="24">
        <f t="shared" si="62"/>
        <v>55.1003993</v>
      </c>
    </row>
    <row r="3994" spans="1:14">
      <c r="A3994" s="21" t="s">
        <v>3779</v>
      </c>
      <c r="B3994" s="21" t="s">
        <v>1346</v>
      </c>
      <c r="C3994" s="21" t="s">
        <v>35</v>
      </c>
      <c r="D3994" s="21" t="s">
        <v>921</v>
      </c>
      <c r="E3994" s="21">
        <v>2</v>
      </c>
      <c r="F3994" s="22">
        <v>45637.4530902778</v>
      </c>
      <c r="G3994" s="22"/>
      <c r="H3994" s="23">
        <v>75</v>
      </c>
      <c r="I3994" s="23">
        <v>112.5</v>
      </c>
      <c r="J3994" s="24">
        <v>225</v>
      </c>
      <c r="K3994" s="21">
        <v>0</v>
      </c>
      <c r="L3994" s="21">
        <v>0</v>
      </c>
      <c r="M3994" s="21">
        <f>COUNTIF($A$2:$A$5481,A3994)</f>
        <v>2</v>
      </c>
      <c r="N3994" s="24">
        <f t="shared" si="62"/>
        <v>225.0003994</v>
      </c>
    </row>
    <row r="3995" spans="1:14">
      <c r="A3995" s="21" t="s">
        <v>3779</v>
      </c>
      <c r="B3995" s="21" t="s">
        <v>1346</v>
      </c>
      <c r="C3995" s="21" t="s">
        <v>26</v>
      </c>
      <c r="D3995" s="21" t="s">
        <v>921</v>
      </c>
      <c r="E3995" s="21">
        <v>2</v>
      </c>
      <c r="F3995" s="22">
        <v>45637.4548611111</v>
      </c>
      <c r="G3995" s="22"/>
      <c r="H3995" s="23">
        <v>75</v>
      </c>
      <c r="I3995" s="23">
        <v>212.5</v>
      </c>
      <c r="J3995" s="24">
        <v>425</v>
      </c>
      <c r="K3995" s="21">
        <v>0</v>
      </c>
      <c r="L3995" s="21">
        <v>0</v>
      </c>
      <c r="M3995" s="21">
        <f>COUNTIF($A$2:$A$5481,A3995)</f>
        <v>2</v>
      </c>
      <c r="N3995" s="24">
        <f t="shared" si="62"/>
        <v>425.0003995</v>
      </c>
    </row>
    <row r="3996" spans="1:14">
      <c r="A3996" s="21" t="s">
        <v>3780</v>
      </c>
      <c r="B3996" s="21" t="s">
        <v>920</v>
      </c>
      <c r="C3996" s="21" t="s">
        <v>182</v>
      </c>
      <c r="D3996" s="21" t="s">
        <v>921</v>
      </c>
      <c r="E3996" s="21">
        <v>2</v>
      </c>
      <c r="F3996" s="22">
        <v>45324.3781481482</v>
      </c>
      <c r="G3996" s="22"/>
      <c r="H3996" s="23">
        <v>560</v>
      </c>
      <c r="I3996" s="23">
        <v>280</v>
      </c>
      <c r="J3996" s="24">
        <v>560</v>
      </c>
      <c r="K3996" s="21">
        <v>0</v>
      </c>
      <c r="L3996" s="21">
        <v>0</v>
      </c>
      <c r="M3996" s="21">
        <f>COUNTIF($A$2:$A$5481,A3996)</f>
        <v>3</v>
      </c>
      <c r="N3996" s="24">
        <f t="shared" si="62"/>
        <v>560.0003996</v>
      </c>
    </row>
    <row r="3997" spans="1:14">
      <c r="A3997" s="21" t="s">
        <v>3780</v>
      </c>
      <c r="B3997" s="21" t="s">
        <v>920</v>
      </c>
      <c r="C3997" s="21" t="s">
        <v>35</v>
      </c>
      <c r="D3997" s="21" t="s">
        <v>921</v>
      </c>
      <c r="E3997" s="21">
        <v>5</v>
      </c>
      <c r="F3997" s="22">
        <v>45490.3650925926</v>
      </c>
      <c r="G3997" s="22"/>
      <c r="H3997" s="23">
        <v>280</v>
      </c>
      <c r="I3997" s="23">
        <v>280</v>
      </c>
      <c r="J3997" s="24">
        <v>1400</v>
      </c>
      <c r="K3997" s="21">
        <v>0</v>
      </c>
      <c r="L3997" s="21">
        <v>0</v>
      </c>
      <c r="M3997" s="21">
        <f>COUNTIF($A$2:$A$5481,A3997)</f>
        <v>3</v>
      </c>
      <c r="N3997" s="24">
        <f t="shared" si="62"/>
        <v>1400.0003997</v>
      </c>
    </row>
    <row r="3998" spans="1:14">
      <c r="A3998" s="21" t="s">
        <v>3780</v>
      </c>
      <c r="B3998" s="21" t="s">
        <v>920</v>
      </c>
      <c r="C3998" s="21" t="s">
        <v>26</v>
      </c>
      <c r="D3998" s="21" t="s">
        <v>921</v>
      </c>
      <c r="E3998" s="21">
        <v>6</v>
      </c>
      <c r="F3998" s="22">
        <v>46067.5433449074</v>
      </c>
      <c r="G3998" s="22"/>
      <c r="H3998" s="23">
        <v>350</v>
      </c>
      <c r="I3998" s="23">
        <v>343.3333333333</v>
      </c>
      <c r="J3998" s="24">
        <v>2059.98</v>
      </c>
      <c r="K3998" s="21">
        <v>0</v>
      </c>
      <c r="L3998" s="21">
        <v>0</v>
      </c>
      <c r="M3998" s="21">
        <f>COUNTIF($A$2:$A$5481,A3998)</f>
        <v>3</v>
      </c>
      <c r="N3998" s="24">
        <f t="shared" si="62"/>
        <v>2059.9803998</v>
      </c>
    </row>
    <row r="3999" spans="1:14">
      <c r="A3999" s="21" t="s">
        <v>3781</v>
      </c>
      <c r="B3999" s="21" t="s">
        <v>920</v>
      </c>
      <c r="C3999" s="21" t="s">
        <v>35</v>
      </c>
      <c r="D3999" s="21" t="s">
        <v>921</v>
      </c>
      <c r="E3999" s="21">
        <v>0</v>
      </c>
      <c r="F3999" s="22">
        <v>45303.7973726852</v>
      </c>
      <c r="G3999" s="22">
        <v>45306.374849537</v>
      </c>
      <c r="H3999" s="23">
        <v>178</v>
      </c>
      <c r="I3999" s="23">
        <v>178</v>
      </c>
      <c r="J3999" s="24">
        <v>0</v>
      </c>
      <c r="K3999" s="21">
        <v>0</v>
      </c>
      <c r="L3999" s="21">
        <v>0</v>
      </c>
      <c r="M3999" s="21">
        <f>COUNTIF($A$2:$A$5481,A3999)</f>
        <v>1</v>
      </c>
      <c r="N3999" s="24">
        <f t="shared" si="62"/>
        <v>0.0003999</v>
      </c>
    </row>
    <row r="4000" spans="1:14">
      <c r="A4000" s="21" t="s">
        <v>3782</v>
      </c>
      <c r="B4000" s="21" t="s">
        <v>920</v>
      </c>
      <c r="C4000" s="21" t="s">
        <v>26</v>
      </c>
      <c r="D4000" s="21" t="s">
        <v>921</v>
      </c>
      <c r="E4000" s="21">
        <v>1</v>
      </c>
      <c r="F4000" s="22">
        <v>46135.6746180556</v>
      </c>
      <c r="G4000" s="22"/>
      <c r="H4000" s="23">
        <v>220</v>
      </c>
      <c r="I4000" s="23">
        <v>220</v>
      </c>
      <c r="J4000" s="24">
        <v>220</v>
      </c>
      <c r="K4000" s="21">
        <v>0</v>
      </c>
      <c r="L4000" s="21">
        <v>0</v>
      </c>
      <c r="M4000" s="21">
        <f>COUNTIF($A$2:$A$5481,A4000)</f>
        <v>1</v>
      </c>
      <c r="N4000" s="24">
        <f t="shared" si="62"/>
        <v>220.0004</v>
      </c>
    </row>
    <row r="4001" spans="1:14">
      <c r="A4001" s="21" t="s">
        <v>217</v>
      </c>
      <c r="B4001" s="21" t="s">
        <v>920</v>
      </c>
      <c r="C4001" s="21" t="s">
        <v>26</v>
      </c>
      <c r="D4001" s="21" t="s">
        <v>921</v>
      </c>
      <c r="E4001" s="21">
        <v>4</v>
      </c>
      <c r="F4001" s="22">
        <v>46001.3789236111</v>
      </c>
      <c r="G4001" s="22">
        <v>46051.5772685185</v>
      </c>
      <c r="H4001" s="23">
        <v>1472</v>
      </c>
      <c r="I4001" s="23">
        <v>371.3311111111</v>
      </c>
      <c r="J4001" s="24">
        <v>1485.32</v>
      </c>
      <c r="K4001" s="21">
        <v>0</v>
      </c>
      <c r="L4001" s="21">
        <v>0</v>
      </c>
      <c r="M4001" s="21">
        <f>COUNTIF($A$2:$A$5481,A4001)</f>
        <v>1</v>
      </c>
      <c r="N4001" s="24">
        <f t="shared" si="62"/>
        <v>1485.3204001</v>
      </c>
    </row>
    <row r="4002" spans="1:14">
      <c r="A4002" s="21" t="s">
        <v>3783</v>
      </c>
      <c r="B4002" s="21" t="s">
        <v>920</v>
      </c>
      <c r="C4002" s="21" t="s">
        <v>26</v>
      </c>
      <c r="D4002" s="21" t="s">
        <v>921</v>
      </c>
      <c r="E4002" s="21">
        <v>1</v>
      </c>
      <c r="F4002" s="22">
        <v>45842.3720023148</v>
      </c>
      <c r="G4002" s="22">
        <v>45875.3593518519</v>
      </c>
      <c r="H4002" s="23">
        <v>850</v>
      </c>
      <c r="I4002" s="23">
        <v>344.6666666667</v>
      </c>
      <c r="J4002" s="24">
        <v>344.67</v>
      </c>
      <c r="K4002" s="21">
        <v>0</v>
      </c>
      <c r="L4002" s="21">
        <v>0</v>
      </c>
      <c r="M4002" s="21">
        <f>COUNTIF($A$2:$A$5481,A4002)</f>
        <v>1</v>
      </c>
      <c r="N4002" s="24">
        <f t="shared" si="62"/>
        <v>344.6704002</v>
      </c>
    </row>
    <row r="4003" spans="1:14">
      <c r="A4003" s="21" t="s">
        <v>3784</v>
      </c>
      <c r="B4003" s="21" t="s">
        <v>26</v>
      </c>
      <c r="C4003" s="21" t="s">
        <v>35</v>
      </c>
      <c r="D4003" s="21" t="s">
        <v>921</v>
      </c>
      <c r="E4003" s="21">
        <v>1</v>
      </c>
      <c r="F4003" s="22">
        <v>45659.4444675926</v>
      </c>
      <c r="G4003" s="22"/>
      <c r="H4003" s="23">
        <v>590</v>
      </c>
      <c r="I4003" s="23">
        <v>590</v>
      </c>
      <c r="J4003" s="24">
        <v>590</v>
      </c>
      <c r="K4003" s="21">
        <v>0</v>
      </c>
      <c r="L4003" s="21">
        <v>0</v>
      </c>
      <c r="M4003" s="21">
        <f>COUNTIF($A$2:$A$5481,A4003)</f>
        <v>1</v>
      </c>
      <c r="N4003" s="24">
        <f t="shared" si="62"/>
        <v>590.0004003</v>
      </c>
    </row>
    <row r="4004" spans="1:14">
      <c r="A4004" s="21" t="s">
        <v>3785</v>
      </c>
      <c r="B4004" s="21" t="s">
        <v>920</v>
      </c>
      <c r="C4004" s="21" t="s">
        <v>26</v>
      </c>
      <c r="D4004" s="21" t="s">
        <v>931</v>
      </c>
      <c r="E4004" s="21">
        <v>0</v>
      </c>
      <c r="F4004" s="22">
        <v>45454.8080208333</v>
      </c>
      <c r="G4004" s="22">
        <v>45666.4434606481</v>
      </c>
      <c r="H4004" s="23">
        <v>599</v>
      </c>
      <c r="I4004" s="23">
        <v>683.5</v>
      </c>
      <c r="J4004" s="24">
        <v>0</v>
      </c>
      <c r="K4004" s="21">
        <v>0</v>
      </c>
      <c r="L4004" s="21">
        <v>0</v>
      </c>
      <c r="M4004" s="21">
        <f>COUNTIF($A$2:$A$5481,A4004)</f>
        <v>1</v>
      </c>
      <c r="N4004" s="24">
        <f t="shared" si="62"/>
        <v>0.0004004</v>
      </c>
    </row>
    <row r="4005" spans="1:14">
      <c r="A4005" s="21" t="s">
        <v>3786</v>
      </c>
      <c r="B4005" s="21" t="s">
        <v>920</v>
      </c>
      <c r="C4005" s="21" t="s">
        <v>26</v>
      </c>
      <c r="D4005" s="21" t="s">
        <v>921</v>
      </c>
      <c r="E4005" s="21">
        <v>0</v>
      </c>
      <c r="F4005" s="22">
        <v>45946.4202662037</v>
      </c>
      <c r="G4005" s="22">
        <v>45958.4479398148</v>
      </c>
      <c r="H4005" s="23">
        <v>44.34</v>
      </c>
      <c r="I4005" s="23">
        <v>44.34</v>
      </c>
      <c r="J4005" s="24">
        <v>0</v>
      </c>
      <c r="K4005" s="21">
        <v>0</v>
      </c>
      <c r="L4005" s="21">
        <v>0</v>
      </c>
      <c r="M4005" s="21">
        <f>COUNTIF($A$2:$A$5481,A4005)</f>
        <v>1</v>
      </c>
      <c r="N4005" s="24">
        <f t="shared" si="62"/>
        <v>0.0004005</v>
      </c>
    </row>
    <row r="4006" spans="1:14">
      <c r="A4006" s="21" t="s">
        <v>3787</v>
      </c>
      <c r="B4006" s="21" t="s">
        <v>26</v>
      </c>
      <c r="C4006" s="21" t="s">
        <v>26</v>
      </c>
      <c r="D4006" s="21" t="s">
        <v>921</v>
      </c>
      <c r="E4006" s="21">
        <v>2</v>
      </c>
      <c r="F4006" s="22">
        <v>45531.4328935185</v>
      </c>
      <c r="G4006" s="22"/>
      <c r="H4006" s="23">
        <v>137.8</v>
      </c>
      <c r="I4006" s="23">
        <v>68.9</v>
      </c>
      <c r="J4006" s="24">
        <v>137.8</v>
      </c>
      <c r="K4006" s="21">
        <v>0</v>
      </c>
      <c r="L4006" s="21">
        <v>0</v>
      </c>
      <c r="M4006" s="21">
        <f>COUNTIF($A$2:$A$5481,A4006)</f>
        <v>1</v>
      </c>
      <c r="N4006" s="24">
        <f t="shared" si="62"/>
        <v>137.8004006</v>
      </c>
    </row>
    <row r="4007" spans="1:14">
      <c r="A4007" s="21" t="s">
        <v>3788</v>
      </c>
      <c r="B4007" s="21" t="s">
        <v>920</v>
      </c>
      <c r="C4007" s="21" t="s">
        <v>26</v>
      </c>
      <c r="D4007" s="21" t="s">
        <v>921</v>
      </c>
      <c r="E4007" s="21">
        <v>1</v>
      </c>
      <c r="F4007" s="22">
        <v>45454.8246643519</v>
      </c>
      <c r="G4007" s="22">
        <v>45454.8255208333</v>
      </c>
      <c r="H4007" s="23">
        <v>312</v>
      </c>
      <c r="I4007" s="23">
        <v>156</v>
      </c>
      <c r="J4007" s="24">
        <v>156</v>
      </c>
      <c r="K4007" s="21">
        <v>0</v>
      </c>
      <c r="L4007" s="21">
        <v>0</v>
      </c>
      <c r="M4007" s="21">
        <f>COUNTIF($A$2:$A$5481,A4007)</f>
        <v>1</v>
      </c>
      <c r="N4007" s="24">
        <f t="shared" si="62"/>
        <v>156.0004007</v>
      </c>
    </row>
    <row r="4008" spans="1:14">
      <c r="A4008" s="21" t="s">
        <v>3789</v>
      </c>
      <c r="B4008" s="21" t="s">
        <v>920</v>
      </c>
      <c r="C4008" s="21" t="s">
        <v>26</v>
      </c>
      <c r="D4008" s="21" t="s">
        <v>921</v>
      </c>
      <c r="E4008" s="21">
        <v>0</v>
      </c>
      <c r="F4008" s="22">
        <v>45967.75375</v>
      </c>
      <c r="G4008" s="22">
        <v>45973.3662847222</v>
      </c>
      <c r="H4008" s="23">
        <v>800</v>
      </c>
      <c r="I4008" s="23">
        <v>800</v>
      </c>
      <c r="J4008" s="24">
        <v>0</v>
      </c>
      <c r="K4008" s="21">
        <v>0</v>
      </c>
      <c r="L4008" s="21">
        <v>0</v>
      </c>
      <c r="M4008" s="21">
        <f>COUNTIF($A$2:$A$5481,A4008)</f>
        <v>1</v>
      </c>
      <c r="N4008" s="24">
        <f t="shared" si="62"/>
        <v>0.0004008</v>
      </c>
    </row>
    <row r="4009" spans="1:14">
      <c r="A4009" s="21" t="s">
        <v>3790</v>
      </c>
      <c r="B4009" s="21" t="s">
        <v>1115</v>
      </c>
      <c r="C4009" s="21" t="s">
        <v>51</v>
      </c>
      <c r="D4009" s="21" t="s">
        <v>931</v>
      </c>
      <c r="E4009" s="21">
        <v>1</v>
      </c>
      <c r="F4009" s="22">
        <v>45929.5534953704</v>
      </c>
      <c r="G4009" s="22"/>
      <c r="H4009" s="23">
        <v>2250</v>
      </c>
      <c r="I4009" s="23">
        <v>2250</v>
      </c>
      <c r="J4009" s="24">
        <v>2250</v>
      </c>
      <c r="K4009" s="21">
        <v>0</v>
      </c>
      <c r="L4009" s="21">
        <v>0</v>
      </c>
      <c r="M4009" s="21">
        <f>COUNTIF($A$2:$A$5481,A4009)</f>
        <v>1</v>
      </c>
      <c r="N4009" s="24">
        <f t="shared" si="62"/>
        <v>2250.0004009</v>
      </c>
    </row>
    <row r="4010" spans="1:14">
      <c r="A4010" s="21" t="s">
        <v>3791</v>
      </c>
      <c r="B4010" s="21" t="s">
        <v>920</v>
      </c>
      <c r="C4010" s="21" t="s">
        <v>26</v>
      </c>
      <c r="D4010" s="21" t="s">
        <v>921</v>
      </c>
      <c r="E4010" s="21">
        <v>1</v>
      </c>
      <c r="F4010" s="22">
        <v>46034.6263194445</v>
      </c>
      <c r="G4010" s="22"/>
      <c r="H4010" s="23">
        <v>113.79</v>
      </c>
      <c r="I4010" s="23">
        <v>113.79</v>
      </c>
      <c r="J4010" s="24">
        <v>113.79</v>
      </c>
      <c r="K4010" s="21">
        <v>0</v>
      </c>
      <c r="L4010" s="21">
        <v>0</v>
      </c>
      <c r="M4010" s="21">
        <f>COUNTIF($A$2:$A$5481,A4010)</f>
        <v>1</v>
      </c>
      <c r="N4010" s="24">
        <f t="shared" si="62"/>
        <v>113.790401</v>
      </c>
    </row>
    <row r="4011" spans="1:14">
      <c r="A4011" s="21" t="s">
        <v>3792</v>
      </c>
      <c r="B4011" s="21" t="s">
        <v>920</v>
      </c>
      <c r="C4011" s="21" t="s">
        <v>26</v>
      </c>
      <c r="D4011" s="21" t="s">
        <v>931</v>
      </c>
      <c r="E4011" s="21">
        <v>0</v>
      </c>
      <c r="F4011" s="22">
        <v>45824.4087037037</v>
      </c>
      <c r="G4011" s="22">
        <v>45824.4234606482</v>
      </c>
      <c r="H4011" s="23">
        <v>210</v>
      </c>
      <c r="I4011" s="23">
        <v>210</v>
      </c>
      <c r="J4011" s="24">
        <v>0</v>
      </c>
      <c r="K4011" s="21">
        <v>0</v>
      </c>
      <c r="L4011" s="21">
        <v>0</v>
      </c>
      <c r="M4011" s="21">
        <f>COUNTIF($A$2:$A$5481,A4011)</f>
        <v>1</v>
      </c>
      <c r="N4011" s="24">
        <f t="shared" si="62"/>
        <v>0.0004011</v>
      </c>
    </row>
    <row r="4012" spans="1:14">
      <c r="A4012" s="21" t="s">
        <v>225</v>
      </c>
      <c r="B4012" s="21" t="s">
        <v>920</v>
      </c>
      <c r="C4012" s="21" t="s">
        <v>35</v>
      </c>
      <c r="D4012" s="21" t="s">
        <v>921</v>
      </c>
      <c r="E4012" s="21">
        <v>0</v>
      </c>
      <c r="F4012" s="22">
        <v>45364.8375925926</v>
      </c>
      <c r="G4012" s="22">
        <v>45428.822349537</v>
      </c>
      <c r="H4012" s="23">
        <v>716</v>
      </c>
      <c r="I4012" s="23">
        <v>358</v>
      </c>
      <c r="J4012" s="24">
        <v>0</v>
      </c>
      <c r="K4012" s="21">
        <v>0</v>
      </c>
      <c r="L4012" s="21">
        <v>0</v>
      </c>
      <c r="M4012" s="21">
        <f>COUNTIF($A$2:$A$5481,A4012)</f>
        <v>2</v>
      </c>
      <c r="N4012" s="24">
        <f t="shared" si="62"/>
        <v>0.0004012</v>
      </c>
    </row>
    <row r="4013" spans="1:14">
      <c r="A4013" s="21" t="s">
        <v>225</v>
      </c>
      <c r="B4013" s="21" t="s">
        <v>920</v>
      </c>
      <c r="C4013" s="21" t="s">
        <v>26</v>
      </c>
      <c r="D4013" s="21" t="s">
        <v>921</v>
      </c>
      <c r="E4013" s="21">
        <v>2</v>
      </c>
      <c r="F4013" s="22">
        <v>46135.6804861111</v>
      </c>
      <c r="G4013" s="22">
        <v>46128.5381365741</v>
      </c>
      <c r="H4013" s="23">
        <v>368</v>
      </c>
      <c r="I4013" s="23">
        <v>373</v>
      </c>
      <c r="J4013" s="24">
        <v>746</v>
      </c>
      <c r="K4013" s="21">
        <v>0</v>
      </c>
      <c r="L4013" s="21">
        <v>0</v>
      </c>
      <c r="M4013" s="21">
        <f>COUNTIF($A$2:$A$5481,A4013)</f>
        <v>2</v>
      </c>
      <c r="N4013" s="24">
        <f t="shared" si="62"/>
        <v>746.0004013</v>
      </c>
    </row>
    <row r="4014" spans="1:14">
      <c r="A4014" s="21" t="s">
        <v>3793</v>
      </c>
      <c r="B4014" s="21" t="s">
        <v>920</v>
      </c>
      <c r="C4014" s="21" t="s">
        <v>26</v>
      </c>
      <c r="D4014" s="21" t="s">
        <v>921</v>
      </c>
      <c r="E4014" s="21">
        <v>1</v>
      </c>
      <c r="F4014" s="22">
        <v>46135.6804861111</v>
      </c>
      <c r="G4014" s="22"/>
      <c r="H4014" s="23">
        <v>638</v>
      </c>
      <c r="I4014" s="23">
        <v>638</v>
      </c>
      <c r="J4014" s="24">
        <v>638</v>
      </c>
      <c r="K4014" s="21">
        <v>0</v>
      </c>
      <c r="L4014" s="21">
        <v>0</v>
      </c>
      <c r="M4014" s="21">
        <f>COUNTIF($A$2:$A$5481,A4014)</f>
        <v>1</v>
      </c>
      <c r="N4014" s="24">
        <f t="shared" si="62"/>
        <v>638.0004014</v>
      </c>
    </row>
    <row r="4015" spans="1:14">
      <c r="A4015" s="21" t="s">
        <v>3794</v>
      </c>
      <c r="B4015" s="21" t="s">
        <v>920</v>
      </c>
      <c r="C4015" s="21" t="s">
        <v>35</v>
      </c>
      <c r="D4015" s="21" t="s">
        <v>921</v>
      </c>
      <c r="E4015" s="21">
        <v>2</v>
      </c>
      <c r="F4015" s="22">
        <v>45490.3650925926</v>
      </c>
      <c r="G4015" s="22"/>
      <c r="H4015" s="23">
        <v>350</v>
      </c>
      <c r="I4015" s="23">
        <v>350</v>
      </c>
      <c r="J4015" s="24">
        <v>700</v>
      </c>
      <c r="K4015" s="21">
        <v>0</v>
      </c>
      <c r="L4015" s="21">
        <v>0</v>
      </c>
      <c r="M4015" s="21">
        <f>COUNTIF($A$2:$A$5481,A4015)</f>
        <v>2</v>
      </c>
      <c r="N4015" s="24">
        <f t="shared" si="62"/>
        <v>700.0004015</v>
      </c>
    </row>
    <row r="4016" spans="1:14">
      <c r="A4016" s="21" t="s">
        <v>3794</v>
      </c>
      <c r="B4016" s="21" t="s">
        <v>920</v>
      </c>
      <c r="C4016" s="21" t="s">
        <v>26</v>
      </c>
      <c r="D4016" s="21" t="s">
        <v>921</v>
      </c>
      <c r="E4016" s="21">
        <v>1</v>
      </c>
      <c r="F4016" s="22">
        <v>45748.5350925926</v>
      </c>
      <c r="G4016" s="22"/>
      <c r="H4016" s="23">
        <v>330</v>
      </c>
      <c r="I4016" s="23">
        <v>330</v>
      </c>
      <c r="J4016" s="24">
        <v>330</v>
      </c>
      <c r="K4016" s="21">
        <v>0</v>
      </c>
      <c r="L4016" s="21">
        <v>0</v>
      </c>
      <c r="M4016" s="21">
        <f>COUNTIF($A$2:$A$5481,A4016)</f>
        <v>2</v>
      </c>
      <c r="N4016" s="24">
        <f t="shared" si="62"/>
        <v>330.0004016</v>
      </c>
    </row>
    <row r="4017" spans="1:14">
      <c r="A4017" s="21" t="s">
        <v>3795</v>
      </c>
      <c r="B4017" s="21" t="s">
        <v>26</v>
      </c>
      <c r="C4017" s="21" t="s">
        <v>35</v>
      </c>
      <c r="D4017" s="21" t="s">
        <v>921</v>
      </c>
      <c r="E4017" s="21">
        <v>1</v>
      </c>
      <c r="F4017" s="22">
        <v>45637.4530902778</v>
      </c>
      <c r="G4017" s="22"/>
      <c r="H4017" s="23">
        <v>220</v>
      </c>
      <c r="I4017" s="23">
        <v>220</v>
      </c>
      <c r="J4017" s="24">
        <v>220</v>
      </c>
      <c r="K4017" s="21">
        <v>0</v>
      </c>
      <c r="L4017" s="21">
        <v>0</v>
      </c>
      <c r="M4017" s="21">
        <f>COUNTIF($A$2:$A$5481,A4017)</f>
        <v>2</v>
      </c>
      <c r="N4017" s="24">
        <f t="shared" si="62"/>
        <v>220.0004017</v>
      </c>
    </row>
    <row r="4018" spans="1:14">
      <c r="A4018" s="21" t="s">
        <v>3795</v>
      </c>
      <c r="B4018" s="21" t="s">
        <v>26</v>
      </c>
      <c r="C4018" s="21" t="s">
        <v>26</v>
      </c>
      <c r="D4018" s="21" t="s">
        <v>921</v>
      </c>
      <c r="E4018" s="21">
        <v>1</v>
      </c>
      <c r="F4018" s="22">
        <v>45637.4548611111</v>
      </c>
      <c r="G4018" s="22"/>
      <c r="H4018" s="23">
        <v>220</v>
      </c>
      <c r="I4018" s="23">
        <v>220</v>
      </c>
      <c r="J4018" s="24">
        <v>220</v>
      </c>
      <c r="K4018" s="21">
        <v>0</v>
      </c>
      <c r="L4018" s="21">
        <v>0</v>
      </c>
      <c r="M4018" s="21">
        <f>COUNTIF($A$2:$A$5481,A4018)</f>
        <v>2</v>
      </c>
      <c r="N4018" s="24">
        <f t="shared" si="62"/>
        <v>220.0004018</v>
      </c>
    </row>
    <row r="4019" spans="1:14">
      <c r="A4019" s="21" t="s">
        <v>310</v>
      </c>
      <c r="B4019" s="21" t="s">
        <v>26</v>
      </c>
      <c r="C4019" s="21" t="s">
        <v>35</v>
      </c>
      <c r="D4019" s="21" t="s">
        <v>921</v>
      </c>
      <c r="E4019" s="21">
        <v>0</v>
      </c>
      <c r="F4019" s="22">
        <v>46092.5605671296</v>
      </c>
      <c r="G4019" s="22">
        <v>46097.4582175926</v>
      </c>
      <c r="H4019" s="23">
        <v>1250</v>
      </c>
      <c r="I4019" s="23">
        <v>2300</v>
      </c>
      <c r="J4019" s="24">
        <v>0</v>
      </c>
      <c r="K4019" s="21">
        <v>0</v>
      </c>
      <c r="L4019" s="21">
        <v>0</v>
      </c>
      <c r="M4019" s="21">
        <f>COUNTIF($A$2:$A$5481,A4019)</f>
        <v>1</v>
      </c>
      <c r="N4019" s="24">
        <f t="shared" si="62"/>
        <v>0.0004019</v>
      </c>
    </row>
    <row r="4020" spans="1:14">
      <c r="A4020" s="21" t="s">
        <v>3796</v>
      </c>
      <c r="B4020" s="21" t="s">
        <v>929</v>
      </c>
      <c r="C4020" s="21" t="s">
        <v>26</v>
      </c>
      <c r="D4020" s="21" t="s">
        <v>921</v>
      </c>
      <c r="E4020" s="21">
        <v>2</v>
      </c>
      <c r="F4020" s="22">
        <v>45924.5608101852</v>
      </c>
      <c r="G4020" s="22"/>
      <c r="H4020" s="23">
        <v>249.18</v>
      </c>
      <c r="I4020" s="23">
        <v>124.59</v>
      </c>
      <c r="J4020" s="24">
        <v>249.18</v>
      </c>
      <c r="K4020" s="21">
        <v>0</v>
      </c>
      <c r="L4020" s="21">
        <v>0</v>
      </c>
      <c r="M4020" s="21">
        <f>COUNTIF($A$2:$A$5481,A4020)</f>
        <v>1</v>
      </c>
      <c r="N4020" s="24">
        <f t="shared" si="62"/>
        <v>249.180402</v>
      </c>
    </row>
    <row r="4021" spans="1:14">
      <c r="A4021" s="21" t="s">
        <v>3797</v>
      </c>
      <c r="B4021" s="21" t="s">
        <v>26</v>
      </c>
      <c r="C4021" s="21" t="s">
        <v>26</v>
      </c>
      <c r="D4021" s="21" t="s">
        <v>921</v>
      </c>
      <c r="E4021" s="21">
        <v>5</v>
      </c>
      <c r="F4021" s="22">
        <v>45798.4529861111</v>
      </c>
      <c r="G4021" s="22"/>
      <c r="H4021" s="23">
        <v>409.6</v>
      </c>
      <c r="I4021" s="23">
        <v>95.72</v>
      </c>
      <c r="J4021" s="24">
        <v>478.6</v>
      </c>
      <c r="K4021" s="21">
        <v>0</v>
      </c>
      <c r="L4021" s="21">
        <v>0</v>
      </c>
      <c r="M4021" s="21">
        <f>COUNTIF($A$2:$A$5481,A4021)</f>
        <v>1</v>
      </c>
      <c r="N4021" s="24">
        <f t="shared" si="62"/>
        <v>478.6004021</v>
      </c>
    </row>
    <row r="4022" spans="1:14">
      <c r="A4022" s="21" t="s">
        <v>3798</v>
      </c>
      <c r="B4022" s="21" t="s">
        <v>26</v>
      </c>
      <c r="C4022" s="21" t="s">
        <v>26</v>
      </c>
      <c r="D4022" s="21" t="s">
        <v>921</v>
      </c>
      <c r="E4022" s="21">
        <v>4</v>
      </c>
      <c r="F4022" s="22">
        <v>45596.3600810185</v>
      </c>
      <c r="G4022" s="22"/>
      <c r="H4022" s="23">
        <v>216</v>
      </c>
      <c r="I4022" s="23">
        <v>54</v>
      </c>
      <c r="J4022" s="24">
        <v>216</v>
      </c>
      <c r="K4022" s="21">
        <v>0</v>
      </c>
      <c r="L4022" s="21">
        <v>0</v>
      </c>
      <c r="M4022" s="21">
        <f>COUNTIF($A$2:$A$5481,A4022)</f>
        <v>1</v>
      </c>
      <c r="N4022" s="24">
        <f t="shared" si="62"/>
        <v>216.0004022</v>
      </c>
    </row>
    <row r="4023" spans="1:14">
      <c r="A4023" s="21" t="s">
        <v>3799</v>
      </c>
      <c r="B4023" s="21" t="s">
        <v>920</v>
      </c>
      <c r="C4023" s="21" t="s">
        <v>26</v>
      </c>
      <c r="D4023" s="21" t="s">
        <v>931</v>
      </c>
      <c r="E4023" s="21">
        <v>1</v>
      </c>
      <c r="F4023" s="22">
        <v>45748.3800810185</v>
      </c>
      <c r="G4023" s="22"/>
      <c r="H4023" s="23">
        <v>33</v>
      </c>
      <c r="I4023" s="23">
        <v>33</v>
      </c>
      <c r="J4023" s="24">
        <v>33</v>
      </c>
      <c r="K4023" s="21">
        <v>0</v>
      </c>
      <c r="L4023" s="21">
        <v>0</v>
      </c>
      <c r="M4023" s="21">
        <f>COUNTIF($A$2:$A$5481,A4023)</f>
        <v>1</v>
      </c>
      <c r="N4023" s="24">
        <f t="shared" si="62"/>
        <v>33.0004023</v>
      </c>
    </row>
    <row r="4024" spans="1:14">
      <c r="A4024" s="21" t="s">
        <v>3800</v>
      </c>
      <c r="B4024" s="21" t="s">
        <v>929</v>
      </c>
      <c r="C4024" s="21" t="s">
        <v>26</v>
      </c>
      <c r="D4024" s="21" t="s">
        <v>921</v>
      </c>
      <c r="E4024" s="21">
        <v>10</v>
      </c>
      <c r="F4024" s="22">
        <v>45743.8585416667</v>
      </c>
      <c r="G4024" s="22"/>
      <c r="H4024" s="23">
        <v>98.3</v>
      </c>
      <c r="I4024" s="23">
        <v>9.83</v>
      </c>
      <c r="J4024" s="24">
        <v>98.3</v>
      </c>
      <c r="K4024" s="21">
        <v>0</v>
      </c>
      <c r="L4024" s="21">
        <v>0</v>
      </c>
      <c r="M4024" s="21">
        <f>COUNTIF($A$2:$A$5481,A4024)</f>
        <v>1</v>
      </c>
      <c r="N4024" s="24">
        <f t="shared" si="62"/>
        <v>98.3004024</v>
      </c>
    </row>
    <row r="4025" spans="1:14">
      <c r="A4025" s="21" t="s">
        <v>3801</v>
      </c>
      <c r="B4025" s="21" t="s">
        <v>949</v>
      </c>
      <c r="C4025" s="21" t="s">
        <v>26</v>
      </c>
      <c r="D4025" s="21" t="s">
        <v>921</v>
      </c>
      <c r="E4025" s="21">
        <v>0</v>
      </c>
      <c r="F4025" s="22">
        <v>45323.3923611111</v>
      </c>
      <c r="G4025" s="22">
        <v>45324.4906365741</v>
      </c>
      <c r="H4025" s="23">
        <v>13.021</v>
      </c>
      <c r="I4025" s="23">
        <v>4.49</v>
      </c>
      <c r="J4025" s="24">
        <v>0</v>
      </c>
      <c r="K4025" s="21">
        <v>0</v>
      </c>
      <c r="L4025" s="21">
        <v>0</v>
      </c>
      <c r="M4025" s="21">
        <f>COUNTIF($A$2:$A$5481,A4025)</f>
        <v>1</v>
      </c>
      <c r="N4025" s="24">
        <f t="shared" si="62"/>
        <v>0.0004025</v>
      </c>
    </row>
    <row r="4026" spans="1:14">
      <c r="A4026" s="21" t="s">
        <v>3802</v>
      </c>
      <c r="B4026" s="21" t="s">
        <v>26</v>
      </c>
      <c r="C4026" s="21" t="s">
        <v>35</v>
      </c>
      <c r="D4026" s="21" t="s">
        <v>921</v>
      </c>
      <c r="E4026" s="21">
        <v>2</v>
      </c>
      <c r="F4026" s="22">
        <v>45688.4424305556</v>
      </c>
      <c r="G4026" s="22">
        <v>45691.5476273148</v>
      </c>
      <c r="H4026" s="23">
        <v>563.79</v>
      </c>
      <c r="I4026" s="23">
        <v>187.93</v>
      </c>
      <c r="J4026" s="24">
        <v>375.86</v>
      </c>
      <c r="K4026" s="21">
        <v>0</v>
      </c>
      <c r="L4026" s="21">
        <v>0</v>
      </c>
      <c r="M4026" s="21">
        <f>COUNTIF($A$2:$A$5481,A4026)</f>
        <v>1</v>
      </c>
      <c r="N4026" s="24">
        <f t="shared" si="62"/>
        <v>375.8604026</v>
      </c>
    </row>
    <row r="4027" spans="1:14">
      <c r="A4027" s="21" t="s">
        <v>408</v>
      </c>
      <c r="B4027" s="21" t="s">
        <v>920</v>
      </c>
      <c r="C4027" s="21" t="s">
        <v>26</v>
      </c>
      <c r="D4027" s="21" t="s">
        <v>921</v>
      </c>
      <c r="E4027" s="21">
        <v>0</v>
      </c>
      <c r="F4027" s="22">
        <v>45730.5597222222</v>
      </c>
      <c r="G4027" s="22">
        <v>46191.7009837963</v>
      </c>
      <c r="H4027" s="23">
        <v>399.99</v>
      </c>
      <c r="I4027" s="23">
        <v>399.99</v>
      </c>
      <c r="J4027" s="24">
        <v>0</v>
      </c>
      <c r="K4027" s="21">
        <v>0</v>
      </c>
      <c r="L4027" s="21">
        <v>0</v>
      </c>
      <c r="M4027" s="21">
        <f>COUNTIF($A$2:$A$5481,A4027)</f>
        <v>1</v>
      </c>
      <c r="N4027" s="24">
        <f t="shared" si="62"/>
        <v>0.0004027</v>
      </c>
    </row>
    <row r="4028" spans="1:14">
      <c r="A4028" s="21" t="s">
        <v>905</v>
      </c>
      <c r="B4028" s="21" t="s">
        <v>920</v>
      </c>
      <c r="C4028" s="21" t="s">
        <v>35</v>
      </c>
      <c r="D4028" s="21" t="s">
        <v>921</v>
      </c>
      <c r="E4028" s="21">
        <v>1</v>
      </c>
      <c r="F4028" s="22">
        <v>46219.3743055556</v>
      </c>
      <c r="G4028" s="22">
        <v>46282.7153587963</v>
      </c>
      <c r="H4028" s="23">
        <v>460</v>
      </c>
      <c r="I4028" s="23">
        <v>230</v>
      </c>
      <c r="J4028" s="24">
        <v>230</v>
      </c>
      <c r="K4028" s="21">
        <v>0</v>
      </c>
      <c r="L4028" s="21">
        <v>0</v>
      </c>
      <c r="M4028" s="21">
        <f>COUNTIF($A$2:$A$5481,A4028)</f>
        <v>1</v>
      </c>
      <c r="N4028" s="24">
        <f t="shared" si="62"/>
        <v>230.0004028</v>
      </c>
    </row>
    <row r="4029" spans="1:14">
      <c r="A4029" s="21" t="s">
        <v>3803</v>
      </c>
      <c r="B4029" s="21" t="s">
        <v>949</v>
      </c>
      <c r="C4029" s="21" t="s">
        <v>182</v>
      </c>
      <c r="D4029" s="21" t="s">
        <v>921</v>
      </c>
      <c r="E4029" s="21">
        <v>0</v>
      </c>
      <c r="F4029" s="22">
        <v>45307.3745601852</v>
      </c>
      <c r="G4029" s="22">
        <v>45310.4237847222</v>
      </c>
      <c r="H4029" s="23">
        <v>15.92</v>
      </c>
      <c r="I4029" s="23">
        <v>1.99</v>
      </c>
      <c r="J4029" s="24">
        <v>0</v>
      </c>
      <c r="K4029" s="21">
        <v>0</v>
      </c>
      <c r="L4029" s="21">
        <v>0</v>
      </c>
      <c r="M4029" s="21">
        <f>COUNTIF($A$2:$A$5481,A4029)</f>
        <v>2</v>
      </c>
      <c r="N4029" s="24">
        <f t="shared" si="62"/>
        <v>0.0004029</v>
      </c>
    </row>
    <row r="4030" spans="1:14">
      <c r="A4030" s="21" t="s">
        <v>3803</v>
      </c>
      <c r="B4030" s="21" t="s">
        <v>949</v>
      </c>
      <c r="C4030" s="21" t="s">
        <v>26</v>
      </c>
      <c r="D4030" s="21" t="s">
        <v>921</v>
      </c>
      <c r="E4030" s="21">
        <v>13</v>
      </c>
      <c r="F4030" s="22">
        <v>45338.3729166667</v>
      </c>
      <c r="G4030" s="22">
        <v>45324.4903472222</v>
      </c>
      <c r="H4030" s="23">
        <v>38.87</v>
      </c>
      <c r="I4030" s="23">
        <v>2.99</v>
      </c>
      <c r="J4030" s="24">
        <v>38.87</v>
      </c>
      <c r="K4030" s="21">
        <v>0</v>
      </c>
      <c r="L4030" s="21">
        <v>0</v>
      </c>
      <c r="M4030" s="21">
        <f>COUNTIF($A$2:$A$5481,A4030)</f>
        <v>2</v>
      </c>
      <c r="N4030" s="24">
        <f t="shared" si="62"/>
        <v>38.870403</v>
      </c>
    </row>
    <row r="4031" spans="1:14">
      <c r="A4031" s="21" t="s">
        <v>762</v>
      </c>
      <c r="B4031" s="21" t="s">
        <v>26</v>
      </c>
      <c r="C4031" s="21" t="s">
        <v>26</v>
      </c>
      <c r="D4031" s="21" t="s">
        <v>921</v>
      </c>
      <c r="E4031" s="21">
        <v>0</v>
      </c>
      <c r="F4031" s="22">
        <v>45485.4593171296</v>
      </c>
      <c r="G4031" s="22">
        <v>46252.6096180556</v>
      </c>
      <c r="H4031" s="23">
        <v>58</v>
      </c>
      <c r="I4031" s="23">
        <v>58</v>
      </c>
      <c r="J4031" s="24">
        <v>0</v>
      </c>
      <c r="K4031" s="21">
        <v>0</v>
      </c>
      <c r="L4031" s="21">
        <v>0</v>
      </c>
      <c r="M4031" s="21">
        <f>COUNTIF($A$2:$A$5481,A4031)</f>
        <v>1</v>
      </c>
      <c r="N4031" s="24">
        <f t="shared" si="62"/>
        <v>0.0004031</v>
      </c>
    </row>
    <row r="4032" spans="1:14">
      <c r="A4032" s="21" t="s">
        <v>3804</v>
      </c>
      <c r="B4032" s="21" t="s">
        <v>920</v>
      </c>
      <c r="C4032" s="21" t="s">
        <v>26</v>
      </c>
      <c r="D4032" s="21" t="s">
        <v>921</v>
      </c>
      <c r="E4032" s="21">
        <v>1</v>
      </c>
      <c r="F4032" s="22">
        <v>45513.6444444444</v>
      </c>
      <c r="G4032" s="22"/>
      <c r="H4032" s="23">
        <v>19.59</v>
      </c>
      <c r="I4032" s="23">
        <v>19.59</v>
      </c>
      <c r="J4032" s="24">
        <v>19.59</v>
      </c>
      <c r="K4032" s="21">
        <v>0</v>
      </c>
      <c r="L4032" s="21">
        <v>0</v>
      </c>
      <c r="M4032" s="21">
        <f>COUNTIF($A$2:$A$5481,A4032)</f>
        <v>1</v>
      </c>
      <c r="N4032" s="24">
        <f t="shared" si="62"/>
        <v>19.5904032</v>
      </c>
    </row>
    <row r="4033" spans="1:14">
      <c r="A4033" s="21" t="s">
        <v>3805</v>
      </c>
      <c r="B4033" s="21" t="s">
        <v>26</v>
      </c>
      <c r="C4033" s="21" t="s">
        <v>26</v>
      </c>
      <c r="D4033" s="21" t="s">
        <v>921</v>
      </c>
      <c r="E4033" s="21">
        <v>1</v>
      </c>
      <c r="F4033" s="22">
        <v>45482.4497800926</v>
      </c>
      <c r="G4033" s="22"/>
      <c r="H4033" s="23">
        <v>42.27</v>
      </c>
      <c r="I4033" s="23">
        <v>42.27</v>
      </c>
      <c r="J4033" s="24">
        <v>42.27</v>
      </c>
      <c r="K4033" s="21">
        <v>0</v>
      </c>
      <c r="L4033" s="21">
        <v>0</v>
      </c>
      <c r="M4033" s="21">
        <f>COUNTIF($A$2:$A$5481,A4033)</f>
        <v>1</v>
      </c>
      <c r="N4033" s="24">
        <f t="shared" si="62"/>
        <v>42.2704033</v>
      </c>
    </row>
    <row r="4034" spans="1:14">
      <c r="A4034" s="21" t="s">
        <v>3806</v>
      </c>
      <c r="B4034" s="21" t="s">
        <v>26</v>
      </c>
      <c r="C4034" s="21" t="s">
        <v>26</v>
      </c>
      <c r="D4034" s="21" t="s">
        <v>921</v>
      </c>
      <c r="E4034" s="21">
        <v>1</v>
      </c>
      <c r="F4034" s="22">
        <v>45643.4437847222</v>
      </c>
      <c r="G4034" s="22"/>
      <c r="H4034" s="23">
        <v>737</v>
      </c>
      <c r="I4034" s="23">
        <v>737</v>
      </c>
      <c r="J4034" s="24">
        <v>737</v>
      </c>
      <c r="K4034" s="21">
        <v>0</v>
      </c>
      <c r="L4034" s="21">
        <v>0</v>
      </c>
      <c r="M4034" s="21">
        <f>COUNTIF($A$2:$A$5481,A4034)</f>
        <v>1</v>
      </c>
      <c r="N4034" s="24">
        <f t="shared" ref="N4034:N4097" si="63">J4034+ROW()/10000000</f>
        <v>737.0004034</v>
      </c>
    </row>
    <row r="4035" spans="1:14">
      <c r="A4035" s="21" t="s">
        <v>3807</v>
      </c>
      <c r="B4035" s="21" t="s">
        <v>920</v>
      </c>
      <c r="C4035" s="21" t="s">
        <v>26</v>
      </c>
      <c r="D4035" s="21" t="s">
        <v>931</v>
      </c>
      <c r="E4035" s="21">
        <v>3</v>
      </c>
      <c r="F4035" s="22">
        <v>45447.3659722222</v>
      </c>
      <c r="G4035" s="22"/>
      <c r="H4035" s="23">
        <v>1587</v>
      </c>
      <c r="I4035" s="23">
        <v>529</v>
      </c>
      <c r="J4035" s="24">
        <v>1587</v>
      </c>
      <c r="K4035" s="21">
        <v>0</v>
      </c>
      <c r="L4035" s="21">
        <v>0</v>
      </c>
      <c r="M4035" s="21">
        <f>COUNTIF($A$2:$A$5481,A4035)</f>
        <v>1</v>
      </c>
      <c r="N4035" s="24">
        <f t="shared" si="63"/>
        <v>1587.0004035</v>
      </c>
    </row>
    <row r="4036" spans="1:14">
      <c r="A4036" s="21" t="s">
        <v>3808</v>
      </c>
      <c r="B4036" s="21" t="s">
        <v>920</v>
      </c>
      <c r="C4036" s="21" t="s">
        <v>26</v>
      </c>
      <c r="D4036" s="21" t="s">
        <v>931</v>
      </c>
      <c r="E4036" s="21">
        <v>3</v>
      </c>
      <c r="F4036" s="22">
        <v>46067.6191782407</v>
      </c>
      <c r="G4036" s="22"/>
      <c r="H4036" s="23">
        <v>34.11</v>
      </c>
      <c r="I4036" s="23">
        <v>67.1866666667</v>
      </c>
      <c r="J4036" s="24">
        <v>201.57</v>
      </c>
      <c r="K4036" s="21">
        <v>0</v>
      </c>
      <c r="L4036" s="21">
        <v>0</v>
      </c>
      <c r="M4036" s="21">
        <f>COUNTIF($A$2:$A$5481,A4036)</f>
        <v>1</v>
      </c>
      <c r="N4036" s="24">
        <f t="shared" si="63"/>
        <v>201.5704036</v>
      </c>
    </row>
    <row r="4037" spans="1:14">
      <c r="A4037" s="21" t="s">
        <v>3809</v>
      </c>
      <c r="B4037" s="21" t="s">
        <v>26</v>
      </c>
      <c r="C4037" s="21" t="s">
        <v>26</v>
      </c>
      <c r="D4037" s="21" t="s">
        <v>921</v>
      </c>
      <c r="E4037" s="21">
        <v>1</v>
      </c>
      <c r="F4037" s="22">
        <v>45593.3624768519</v>
      </c>
      <c r="G4037" s="22"/>
      <c r="H4037" s="23">
        <v>13</v>
      </c>
      <c r="I4037" s="23">
        <v>13</v>
      </c>
      <c r="J4037" s="24">
        <v>13</v>
      </c>
      <c r="K4037" s="21">
        <v>0</v>
      </c>
      <c r="L4037" s="21">
        <v>0</v>
      </c>
      <c r="M4037" s="21">
        <f>COUNTIF($A$2:$A$5481,A4037)</f>
        <v>1</v>
      </c>
      <c r="N4037" s="24">
        <f t="shared" si="63"/>
        <v>13.0004037</v>
      </c>
    </row>
    <row r="4038" spans="1:14">
      <c r="A4038" s="21" t="s">
        <v>3810</v>
      </c>
      <c r="B4038" s="21" t="s">
        <v>920</v>
      </c>
      <c r="C4038" s="21" t="s">
        <v>26</v>
      </c>
      <c r="D4038" s="21" t="s">
        <v>921</v>
      </c>
      <c r="E4038" s="21">
        <v>1</v>
      </c>
      <c r="F4038" s="22">
        <v>45477.5711458333</v>
      </c>
      <c r="G4038" s="22"/>
      <c r="H4038" s="23">
        <v>14</v>
      </c>
      <c r="I4038" s="23">
        <v>14</v>
      </c>
      <c r="J4038" s="24">
        <v>14</v>
      </c>
      <c r="K4038" s="21">
        <v>0</v>
      </c>
      <c r="L4038" s="21">
        <v>0</v>
      </c>
      <c r="M4038" s="21">
        <f>COUNTIF($A$2:$A$5481,A4038)</f>
        <v>1</v>
      </c>
      <c r="N4038" s="24">
        <f t="shared" si="63"/>
        <v>14.0004038</v>
      </c>
    </row>
    <row r="4039" spans="1:14">
      <c r="A4039" s="21" t="s">
        <v>3811</v>
      </c>
      <c r="B4039" s="21" t="s">
        <v>26</v>
      </c>
      <c r="C4039" s="21" t="s">
        <v>35</v>
      </c>
      <c r="D4039" s="21" t="s">
        <v>921</v>
      </c>
      <c r="E4039" s="21">
        <v>2</v>
      </c>
      <c r="F4039" s="22">
        <v>45495.355474537</v>
      </c>
      <c r="G4039" s="22"/>
      <c r="H4039" s="23">
        <v>29.8</v>
      </c>
      <c r="I4039" s="23">
        <v>14.9</v>
      </c>
      <c r="J4039" s="24">
        <v>29.8</v>
      </c>
      <c r="K4039" s="21">
        <v>0</v>
      </c>
      <c r="L4039" s="21">
        <v>0</v>
      </c>
      <c r="M4039" s="21">
        <f>COUNTIF($A$2:$A$5481,A4039)</f>
        <v>1</v>
      </c>
      <c r="N4039" s="24">
        <f t="shared" si="63"/>
        <v>29.8004039</v>
      </c>
    </row>
    <row r="4040" spans="1:14">
      <c r="A4040" s="21" t="s">
        <v>3812</v>
      </c>
      <c r="B4040" s="21" t="s">
        <v>26</v>
      </c>
      <c r="C4040" s="21" t="s">
        <v>26</v>
      </c>
      <c r="D4040" s="21" t="s">
        <v>921</v>
      </c>
      <c r="E4040" s="21">
        <v>1</v>
      </c>
      <c r="F4040" s="22">
        <v>45556.3818865741</v>
      </c>
      <c r="G4040" s="22"/>
      <c r="H4040" s="23">
        <v>279.69</v>
      </c>
      <c r="I4040" s="23">
        <v>279.69</v>
      </c>
      <c r="J4040" s="24">
        <v>279.69</v>
      </c>
      <c r="K4040" s="21">
        <v>0</v>
      </c>
      <c r="L4040" s="21">
        <v>0</v>
      </c>
      <c r="M4040" s="21">
        <f>COUNTIF($A$2:$A$5481,A4040)</f>
        <v>1</v>
      </c>
      <c r="N4040" s="24">
        <f t="shared" si="63"/>
        <v>279.690404</v>
      </c>
    </row>
    <row r="4041" spans="1:14">
      <c r="A4041" s="21" t="s">
        <v>3813</v>
      </c>
      <c r="B4041" s="21" t="s">
        <v>1175</v>
      </c>
      <c r="C4041" s="21" t="s">
        <v>26</v>
      </c>
      <c r="D4041" s="21" t="s">
        <v>921</v>
      </c>
      <c r="E4041" s="21">
        <v>1</v>
      </c>
      <c r="F4041" s="22">
        <v>45474.8170486111</v>
      </c>
      <c r="G4041" s="22"/>
      <c r="H4041" s="23">
        <v>18.9</v>
      </c>
      <c r="I4041" s="23">
        <v>18.9</v>
      </c>
      <c r="J4041" s="24">
        <v>18.9</v>
      </c>
      <c r="K4041" s="21">
        <v>0</v>
      </c>
      <c r="L4041" s="21">
        <v>0</v>
      </c>
      <c r="M4041" s="21">
        <f>COUNTIF($A$2:$A$5481,A4041)</f>
        <v>1</v>
      </c>
      <c r="N4041" s="24">
        <f t="shared" si="63"/>
        <v>18.9004041</v>
      </c>
    </row>
    <row r="4042" spans="1:14">
      <c r="A4042" s="21" t="s">
        <v>3814</v>
      </c>
      <c r="B4042" s="21" t="s">
        <v>1175</v>
      </c>
      <c r="C4042" s="21" t="s">
        <v>26</v>
      </c>
      <c r="D4042" s="21" t="s">
        <v>921</v>
      </c>
      <c r="E4042" s="21">
        <v>1</v>
      </c>
      <c r="F4042" s="22">
        <v>45474.8170486111</v>
      </c>
      <c r="G4042" s="22"/>
      <c r="H4042" s="23">
        <v>32.9</v>
      </c>
      <c r="I4042" s="23">
        <v>32.9</v>
      </c>
      <c r="J4042" s="24">
        <v>32.9</v>
      </c>
      <c r="K4042" s="21">
        <v>0</v>
      </c>
      <c r="L4042" s="21">
        <v>0</v>
      </c>
      <c r="M4042" s="21">
        <f>COUNTIF($A$2:$A$5481,A4042)</f>
        <v>1</v>
      </c>
      <c r="N4042" s="24">
        <f t="shared" si="63"/>
        <v>32.9004042</v>
      </c>
    </row>
    <row r="4043" spans="1:14">
      <c r="A4043" s="21" t="s">
        <v>3815</v>
      </c>
      <c r="B4043" s="21" t="s">
        <v>1175</v>
      </c>
      <c r="C4043" s="21" t="s">
        <v>26</v>
      </c>
      <c r="D4043" s="21" t="s">
        <v>921</v>
      </c>
      <c r="E4043" s="21">
        <v>1</v>
      </c>
      <c r="F4043" s="22">
        <v>45474.8170486111</v>
      </c>
      <c r="G4043" s="22"/>
      <c r="H4043" s="23">
        <v>35</v>
      </c>
      <c r="I4043" s="23">
        <v>35</v>
      </c>
      <c r="J4043" s="24">
        <v>35</v>
      </c>
      <c r="K4043" s="21">
        <v>0</v>
      </c>
      <c r="L4043" s="21">
        <v>0</v>
      </c>
      <c r="M4043" s="21">
        <f>COUNTIF($A$2:$A$5481,A4043)</f>
        <v>1</v>
      </c>
      <c r="N4043" s="24">
        <f t="shared" si="63"/>
        <v>35.0004043</v>
      </c>
    </row>
    <row r="4044" spans="1:14">
      <c r="A4044" s="21" t="s">
        <v>3816</v>
      </c>
      <c r="B4044" s="21" t="s">
        <v>1175</v>
      </c>
      <c r="C4044" s="21" t="s">
        <v>26</v>
      </c>
      <c r="D4044" s="21" t="s">
        <v>921</v>
      </c>
      <c r="E4044" s="21">
        <v>1</v>
      </c>
      <c r="F4044" s="22">
        <v>45474.8170486111</v>
      </c>
      <c r="G4044" s="22"/>
      <c r="H4044" s="23">
        <v>22</v>
      </c>
      <c r="I4044" s="23">
        <v>22</v>
      </c>
      <c r="J4044" s="24">
        <v>22</v>
      </c>
      <c r="K4044" s="21">
        <v>0</v>
      </c>
      <c r="L4044" s="21">
        <v>0</v>
      </c>
      <c r="M4044" s="21">
        <f>COUNTIF($A$2:$A$5481,A4044)</f>
        <v>1</v>
      </c>
      <c r="N4044" s="24">
        <f t="shared" si="63"/>
        <v>22.0004044</v>
      </c>
    </row>
    <row r="4045" spans="1:14">
      <c r="A4045" s="21" t="s">
        <v>3817</v>
      </c>
      <c r="B4045" s="21" t="s">
        <v>1175</v>
      </c>
      <c r="C4045" s="21" t="s">
        <v>26</v>
      </c>
      <c r="D4045" s="21" t="s">
        <v>921</v>
      </c>
      <c r="E4045" s="21">
        <v>1</v>
      </c>
      <c r="F4045" s="22">
        <v>45474.8170486111</v>
      </c>
      <c r="G4045" s="22"/>
      <c r="H4045" s="23">
        <v>15.9</v>
      </c>
      <c r="I4045" s="23">
        <v>15.9</v>
      </c>
      <c r="J4045" s="24">
        <v>15.9</v>
      </c>
      <c r="K4045" s="21">
        <v>0</v>
      </c>
      <c r="L4045" s="21">
        <v>0</v>
      </c>
      <c r="M4045" s="21">
        <f>COUNTIF($A$2:$A$5481,A4045)</f>
        <v>1</v>
      </c>
      <c r="N4045" s="24">
        <f t="shared" si="63"/>
        <v>15.9004045</v>
      </c>
    </row>
    <row r="4046" spans="1:14">
      <c r="A4046" s="21" t="s">
        <v>3818</v>
      </c>
      <c r="B4046" s="21" t="s">
        <v>929</v>
      </c>
      <c r="C4046" s="21" t="s">
        <v>26</v>
      </c>
      <c r="D4046" s="21" t="s">
        <v>921</v>
      </c>
      <c r="E4046" s="21">
        <v>4</v>
      </c>
      <c r="F4046" s="22">
        <v>46219.5635648148</v>
      </c>
      <c r="G4046" s="22"/>
      <c r="H4046" s="23">
        <v>40</v>
      </c>
      <c r="I4046" s="23">
        <v>10</v>
      </c>
      <c r="J4046" s="24">
        <v>40</v>
      </c>
      <c r="K4046" s="21">
        <v>0</v>
      </c>
      <c r="L4046" s="21">
        <v>0</v>
      </c>
      <c r="M4046" s="21">
        <f>COUNTIF($A$2:$A$5481,A4046)</f>
        <v>1</v>
      </c>
      <c r="N4046" s="24">
        <f t="shared" si="63"/>
        <v>40.0004046</v>
      </c>
    </row>
    <row r="4047" spans="1:14">
      <c r="A4047" s="21" t="s">
        <v>3819</v>
      </c>
      <c r="B4047" s="21" t="s">
        <v>929</v>
      </c>
      <c r="C4047" s="21" t="s">
        <v>414</v>
      </c>
      <c r="D4047" s="21" t="s">
        <v>921</v>
      </c>
      <c r="E4047" s="21">
        <v>1</v>
      </c>
      <c r="F4047" s="22">
        <v>45328.559224537</v>
      </c>
      <c r="G4047" s="22"/>
      <c r="H4047" s="23">
        <v>9.29</v>
      </c>
      <c r="I4047" s="23">
        <v>9.29</v>
      </c>
      <c r="J4047" s="24">
        <v>9.29</v>
      </c>
      <c r="K4047" s="21">
        <v>0</v>
      </c>
      <c r="L4047" s="21">
        <v>0</v>
      </c>
      <c r="M4047" s="21">
        <f>COUNTIF($A$2:$A$5481,A4047)</f>
        <v>1</v>
      </c>
      <c r="N4047" s="24">
        <f t="shared" si="63"/>
        <v>9.2904047</v>
      </c>
    </row>
    <row r="4048" spans="1:14">
      <c r="A4048" s="21" t="s">
        <v>3820</v>
      </c>
      <c r="B4048" s="21" t="s">
        <v>920</v>
      </c>
      <c r="C4048" s="21" t="s">
        <v>26</v>
      </c>
      <c r="D4048" s="21" t="s">
        <v>921</v>
      </c>
      <c r="E4048" s="21">
        <v>1</v>
      </c>
      <c r="F4048" s="22">
        <v>45350.49375</v>
      </c>
      <c r="G4048" s="22"/>
      <c r="H4048" s="23">
        <v>12.43</v>
      </c>
      <c r="I4048" s="23">
        <v>12.43</v>
      </c>
      <c r="J4048" s="24">
        <v>12.43</v>
      </c>
      <c r="K4048" s="21">
        <v>0</v>
      </c>
      <c r="L4048" s="21">
        <v>0</v>
      </c>
      <c r="M4048" s="21">
        <f>COUNTIF($A$2:$A$5481,A4048)</f>
        <v>1</v>
      </c>
      <c r="N4048" s="24">
        <f t="shared" si="63"/>
        <v>12.4304048</v>
      </c>
    </row>
    <row r="4049" spans="1:14">
      <c r="A4049" s="21" t="s">
        <v>3821</v>
      </c>
      <c r="B4049" s="21" t="s">
        <v>929</v>
      </c>
      <c r="C4049" s="21" t="s">
        <v>182</v>
      </c>
      <c r="D4049" s="21" t="s">
        <v>921</v>
      </c>
      <c r="E4049" s="21">
        <v>1</v>
      </c>
      <c r="F4049" s="22">
        <v>45317.8017361111</v>
      </c>
      <c r="G4049" s="22"/>
      <c r="H4049" s="23">
        <v>307.9</v>
      </c>
      <c r="I4049" s="23">
        <v>307.9</v>
      </c>
      <c r="J4049" s="24">
        <v>307.9</v>
      </c>
      <c r="K4049" s="21">
        <v>0</v>
      </c>
      <c r="L4049" s="21">
        <v>0</v>
      </c>
      <c r="M4049" s="21">
        <f>COUNTIF($A$2:$A$5481,A4049)</f>
        <v>1</v>
      </c>
      <c r="N4049" s="24">
        <f t="shared" si="63"/>
        <v>307.9004049</v>
      </c>
    </row>
    <row r="4050" spans="1:14">
      <c r="A4050" s="21" t="s">
        <v>3822</v>
      </c>
      <c r="B4050" s="21" t="s">
        <v>920</v>
      </c>
      <c r="C4050" s="21" t="s">
        <v>26</v>
      </c>
      <c r="D4050" s="21" t="s">
        <v>921</v>
      </c>
      <c r="E4050" s="21">
        <v>2</v>
      </c>
      <c r="F4050" s="22">
        <v>45519.4346643519</v>
      </c>
      <c r="G4050" s="22"/>
      <c r="H4050" s="23">
        <v>73.44</v>
      </c>
      <c r="I4050" s="23">
        <v>73.44</v>
      </c>
      <c r="J4050" s="24">
        <v>146.88</v>
      </c>
      <c r="K4050" s="21">
        <v>0</v>
      </c>
      <c r="L4050" s="21">
        <v>0</v>
      </c>
      <c r="M4050" s="21">
        <f>COUNTIF($A$2:$A$5481,A4050)</f>
        <v>1</v>
      </c>
      <c r="N4050" s="24">
        <f t="shared" si="63"/>
        <v>146.880405</v>
      </c>
    </row>
    <row r="4051" spans="1:14">
      <c r="A4051" s="21" t="s">
        <v>3823</v>
      </c>
      <c r="B4051" s="21" t="s">
        <v>26</v>
      </c>
      <c r="C4051" s="21" t="s">
        <v>26</v>
      </c>
      <c r="D4051" s="21" t="s">
        <v>921</v>
      </c>
      <c r="E4051" s="21">
        <v>4</v>
      </c>
      <c r="F4051" s="22">
        <v>45520.3909953704</v>
      </c>
      <c r="G4051" s="22"/>
      <c r="H4051" s="23">
        <v>58.11</v>
      </c>
      <c r="I4051" s="23">
        <v>58.11</v>
      </c>
      <c r="J4051" s="24">
        <v>232.44</v>
      </c>
      <c r="K4051" s="21">
        <v>0</v>
      </c>
      <c r="L4051" s="21">
        <v>0</v>
      </c>
      <c r="M4051" s="21">
        <f>COUNTIF($A$2:$A$5481,A4051)</f>
        <v>1</v>
      </c>
      <c r="N4051" s="24">
        <f t="shared" si="63"/>
        <v>232.4404051</v>
      </c>
    </row>
    <row r="4052" spans="1:14">
      <c r="A4052" s="21" t="s">
        <v>3824</v>
      </c>
      <c r="B4052" s="21" t="s">
        <v>920</v>
      </c>
      <c r="C4052" s="21" t="s">
        <v>26</v>
      </c>
      <c r="D4052" s="21" t="s">
        <v>921</v>
      </c>
      <c r="E4052" s="21">
        <v>1</v>
      </c>
      <c r="F4052" s="22">
        <v>45513.6444444444</v>
      </c>
      <c r="G4052" s="22"/>
      <c r="H4052" s="23">
        <v>19.64</v>
      </c>
      <c r="I4052" s="23">
        <v>19.64</v>
      </c>
      <c r="J4052" s="24">
        <v>19.64</v>
      </c>
      <c r="K4052" s="21">
        <v>0</v>
      </c>
      <c r="L4052" s="21">
        <v>0</v>
      </c>
      <c r="M4052" s="21">
        <f>COUNTIF($A$2:$A$5481,A4052)</f>
        <v>1</v>
      </c>
      <c r="N4052" s="24">
        <f t="shared" si="63"/>
        <v>19.6404052</v>
      </c>
    </row>
    <row r="4053" spans="1:14">
      <c r="A4053" s="21" t="s">
        <v>3825</v>
      </c>
      <c r="B4053" s="21" t="s">
        <v>920</v>
      </c>
      <c r="C4053" s="21" t="s">
        <v>26</v>
      </c>
      <c r="D4053" s="21" t="s">
        <v>921</v>
      </c>
      <c r="E4053" s="21">
        <v>1</v>
      </c>
      <c r="F4053" s="22">
        <v>45512.6583333333</v>
      </c>
      <c r="G4053" s="22"/>
      <c r="H4053" s="23">
        <v>35.5</v>
      </c>
      <c r="I4053" s="23">
        <v>35.5</v>
      </c>
      <c r="J4053" s="24">
        <v>35.5</v>
      </c>
      <c r="K4053" s="21">
        <v>0</v>
      </c>
      <c r="L4053" s="21">
        <v>0</v>
      </c>
      <c r="M4053" s="21">
        <f>COUNTIF($A$2:$A$5481,A4053)</f>
        <v>1</v>
      </c>
      <c r="N4053" s="24">
        <f t="shared" si="63"/>
        <v>35.5004053</v>
      </c>
    </row>
    <row r="4054" spans="1:14">
      <c r="A4054" s="21" t="s">
        <v>3826</v>
      </c>
      <c r="B4054" s="21" t="s">
        <v>920</v>
      </c>
      <c r="C4054" s="21" t="s">
        <v>26</v>
      </c>
      <c r="D4054" s="21" t="s">
        <v>921</v>
      </c>
      <c r="E4054" s="21">
        <v>1</v>
      </c>
      <c r="F4054" s="22">
        <v>45512.6583333333</v>
      </c>
      <c r="G4054" s="22"/>
      <c r="H4054" s="23">
        <v>33</v>
      </c>
      <c r="I4054" s="23">
        <v>33</v>
      </c>
      <c r="J4054" s="24">
        <v>33</v>
      </c>
      <c r="K4054" s="21">
        <v>0</v>
      </c>
      <c r="L4054" s="21">
        <v>0</v>
      </c>
      <c r="M4054" s="21">
        <f>COUNTIF($A$2:$A$5481,A4054)</f>
        <v>1</v>
      </c>
      <c r="N4054" s="24">
        <f t="shared" si="63"/>
        <v>33.0004054</v>
      </c>
    </row>
    <row r="4055" spans="1:14">
      <c r="A4055" s="21" t="s">
        <v>3827</v>
      </c>
      <c r="B4055" s="21" t="s">
        <v>920</v>
      </c>
      <c r="C4055" s="21" t="s">
        <v>26</v>
      </c>
      <c r="D4055" s="21" t="s">
        <v>921</v>
      </c>
      <c r="E4055" s="21">
        <v>1</v>
      </c>
      <c r="F4055" s="22">
        <v>45513.6444444444</v>
      </c>
      <c r="G4055" s="22"/>
      <c r="H4055" s="23">
        <v>72.97</v>
      </c>
      <c r="I4055" s="23">
        <v>72.97</v>
      </c>
      <c r="J4055" s="24">
        <v>72.97</v>
      </c>
      <c r="K4055" s="21">
        <v>0</v>
      </c>
      <c r="L4055" s="21">
        <v>0</v>
      </c>
      <c r="M4055" s="21">
        <f>COUNTIF($A$2:$A$5481,A4055)</f>
        <v>1</v>
      </c>
      <c r="N4055" s="24">
        <f t="shared" si="63"/>
        <v>72.9704055</v>
      </c>
    </row>
    <row r="4056" spans="1:14">
      <c r="A4056" s="21" t="s">
        <v>3828</v>
      </c>
      <c r="B4056" s="21" t="s">
        <v>920</v>
      </c>
      <c r="C4056" s="21" t="s">
        <v>26</v>
      </c>
      <c r="D4056" s="21" t="s">
        <v>921</v>
      </c>
      <c r="E4056" s="21">
        <v>1</v>
      </c>
      <c r="F4056" s="22">
        <v>45513.6444444444</v>
      </c>
      <c r="G4056" s="22"/>
      <c r="H4056" s="23">
        <v>64.62</v>
      </c>
      <c r="I4056" s="23">
        <v>64.62</v>
      </c>
      <c r="J4056" s="24">
        <v>64.62</v>
      </c>
      <c r="K4056" s="21">
        <v>0</v>
      </c>
      <c r="L4056" s="21">
        <v>0</v>
      </c>
      <c r="M4056" s="21">
        <f>COUNTIF($A$2:$A$5481,A4056)</f>
        <v>1</v>
      </c>
      <c r="N4056" s="24">
        <f t="shared" si="63"/>
        <v>64.6204056</v>
      </c>
    </row>
    <row r="4057" spans="1:14">
      <c r="A4057" s="21" t="s">
        <v>3829</v>
      </c>
      <c r="B4057" s="21" t="s">
        <v>920</v>
      </c>
      <c r="C4057" s="21" t="s">
        <v>26</v>
      </c>
      <c r="D4057" s="21" t="s">
        <v>921</v>
      </c>
      <c r="E4057" s="21">
        <v>1</v>
      </c>
      <c r="F4057" s="22">
        <v>45513.6444444444</v>
      </c>
      <c r="G4057" s="22"/>
      <c r="H4057" s="23">
        <v>50.84</v>
      </c>
      <c r="I4057" s="23">
        <v>50.84</v>
      </c>
      <c r="J4057" s="24">
        <v>50.84</v>
      </c>
      <c r="K4057" s="21">
        <v>0</v>
      </c>
      <c r="L4057" s="21">
        <v>0</v>
      </c>
      <c r="M4057" s="21">
        <f>COUNTIF($A$2:$A$5481,A4057)</f>
        <v>1</v>
      </c>
      <c r="N4057" s="24">
        <f t="shared" si="63"/>
        <v>50.8404057</v>
      </c>
    </row>
    <row r="4058" spans="1:14">
      <c r="A4058" s="21" t="s">
        <v>3830</v>
      </c>
      <c r="B4058" s="21" t="s">
        <v>1492</v>
      </c>
      <c r="C4058" s="21" t="s">
        <v>51</v>
      </c>
      <c r="D4058" s="21" t="s">
        <v>931</v>
      </c>
      <c r="E4058" s="21">
        <v>1</v>
      </c>
      <c r="F4058" s="22">
        <v>45870.560162037</v>
      </c>
      <c r="G4058" s="22"/>
      <c r="H4058" s="23">
        <v>198</v>
      </c>
      <c r="I4058" s="23">
        <v>198</v>
      </c>
      <c r="J4058" s="24">
        <v>198</v>
      </c>
      <c r="K4058" s="21">
        <v>0</v>
      </c>
      <c r="L4058" s="21">
        <v>0</v>
      </c>
      <c r="M4058" s="21">
        <f>COUNTIF($A$2:$A$5481,A4058)</f>
        <v>1</v>
      </c>
      <c r="N4058" s="24">
        <f t="shared" si="63"/>
        <v>198.0004058</v>
      </c>
    </row>
    <row r="4059" spans="1:14">
      <c r="A4059" s="21" t="s">
        <v>3831</v>
      </c>
      <c r="B4059" s="21" t="s">
        <v>920</v>
      </c>
      <c r="C4059" s="21" t="s">
        <v>26</v>
      </c>
      <c r="D4059" s="21" t="s">
        <v>921</v>
      </c>
      <c r="E4059" s="21">
        <v>1</v>
      </c>
      <c r="F4059" s="22">
        <v>46234.6006944445</v>
      </c>
      <c r="G4059" s="22"/>
      <c r="H4059" s="23">
        <v>2209.44</v>
      </c>
      <c r="I4059" s="23">
        <v>2209.44</v>
      </c>
      <c r="J4059" s="24">
        <v>2209.44</v>
      </c>
      <c r="K4059" s="21">
        <v>0</v>
      </c>
      <c r="L4059" s="21">
        <v>0</v>
      </c>
      <c r="M4059" s="21">
        <f>COUNTIF($A$2:$A$5481,A4059)</f>
        <v>1</v>
      </c>
      <c r="N4059" s="24">
        <f t="shared" si="63"/>
        <v>2209.4404059</v>
      </c>
    </row>
    <row r="4060" spans="1:14">
      <c r="A4060" s="21" t="s">
        <v>3832</v>
      </c>
      <c r="B4060" s="21" t="s">
        <v>26</v>
      </c>
      <c r="C4060" s="21" t="s">
        <v>26</v>
      </c>
      <c r="D4060" s="21" t="s">
        <v>921</v>
      </c>
      <c r="E4060" s="21">
        <v>1</v>
      </c>
      <c r="F4060" s="22">
        <v>45631.7971412037</v>
      </c>
      <c r="G4060" s="22"/>
      <c r="H4060" s="23">
        <v>222.02</v>
      </c>
      <c r="I4060" s="23">
        <v>222.02</v>
      </c>
      <c r="J4060" s="24">
        <v>222.02</v>
      </c>
      <c r="K4060" s="21">
        <v>0</v>
      </c>
      <c r="L4060" s="21">
        <v>0</v>
      </c>
      <c r="M4060" s="21">
        <f>COUNTIF($A$2:$A$5481,A4060)</f>
        <v>1</v>
      </c>
      <c r="N4060" s="24">
        <f t="shared" si="63"/>
        <v>222.020406</v>
      </c>
    </row>
    <row r="4061" spans="1:14">
      <c r="A4061" s="21" t="s">
        <v>524</v>
      </c>
      <c r="B4061" s="21" t="s">
        <v>920</v>
      </c>
      <c r="C4061" s="21" t="s">
        <v>35</v>
      </c>
      <c r="D4061" s="21" t="s">
        <v>921</v>
      </c>
      <c r="E4061" s="21">
        <v>0</v>
      </c>
      <c r="F4061" s="22">
        <v>46245.5465162037</v>
      </c>
      <c r="G4061" s="22">
        <v>46245.6522106482</v>
      </c>
      <c r="H4061" s="23">
        <v>80</v>
      </c>
      <c r="I4061" s="23">
        <v>80</v>
      </c>
      <c r="J4061" s="24">
        <v>0</v>
      </c>
      <c r="K4061" s="21">
        <v>0</v>
      </c>
      <c r="L4061" s="21">
        <v>0</v>
      </c>
      <c r="M4061" s="21">
        <f>COUNTIF($A$2:$A$5481,A4061)</f>
        <v>1</v>
      </c>
      <c r="N4061" s="24">
        <f t="shared" si="63"/>
        <v>0.0004061</v>
      </c>
    </row>
    <row r="4062" spans="1:14">
      <c r="A4062" s="21" t="s">
        <v>3833</v>
      </c>
      <c r="B4062" s="21" t="s">
        <v>26</v>
      </c>
      <c r="C4062" s="21" t="s">
        <v>390</v>
      </c>
      <c r="D4062" s="21" t="s">
        <v>931</v>
      </c>
      <c r="E4062" s="21">
        <v>1</v>
      </c>
      <c r="F4062" s="22">
        <v>45468.3998032407</v>
      </c>
      <c r="G4062" s="22"/>
      <c r="H4062" s="23">
        <v>244.9</v>
      </c>
      <c r="I4062" s="23">
        <v>244.9</v>
      </c>
      <c r="J4062" s="24">
        <v>244.9</v>
      </c>
      <c r="K4062" s="21">
        <v>0</v>
      </c>
      <c r="L4062" s="21">
        <v>0</v>
      </c>
      <c r="M4062" s="21">
        <f>COUNTIF($A$2:$A$5481,A4062)</f>
        <v>1</v>
      </c>
      <c r="N4062" s="24">
        <f t="shared" si="63"/>
        <v>244.9004062</v>
      </c>
    </row>
    <row r="4063" spans="1:14">
      <c r="A4063" s="21" t="s">
        <v>3834</v>
      </c>
      <c r="B4063" s="21" t="s">
        <v>26</v>
      </c>
      <c r="C4063" s="21" t="s">
        <v>35</v>
      </c>
      <c r="D4063" s="21" t="s">
        <v>921</v>
      </c>
      <c r="E4063" s="21">
        <v>1</v>
      </c>
      <c r="F4063" s="22">
        <v>45495.355474537</v>
      </c>
      <c r="G4063" s="22"/>
      <c r="H4063" s="23">
        <v>22.9</v>
      </c>
      <c r="I4063" s="23">
        <v>22.9</v>
      </c>
      <c r="J4063" s="24">
        <v>22.9</v>
      </c>
      <c r="K4063" s="21">
        <v>0</v>
      </c>
      <c r="L4063" s="21">
        <v>0</v>
      </c>
      <c r="M4063" s="21">
        <f>COUNTIF($A$2:$A$5481,A4063)</f>
        <v>1</v>
      </c>
      <c r="N4063" s="24">
        <f t="shared" si="63"/>
        <v>22.9004063</v>
      </c>
    </row>
    <row r="4064" spans="1:14">
      <c r="A4064" s="21" t="s">
        <v>3835</v>
      </c>
      <c r="B4064" s="21" t="s">
        <v>26</v>
      </c>
      <c r="C4064" s="21" t="s">
        <v>26</v>
      </c>
      <c r="D4064" s="21" t="s">
        <v>921</v>
      </c>
      <c r="E4064" s="21">
        <v>1</v>
      </c>
      <c r="F4064" s="22">
        <v>45664.3809375</v>
      </c>
      <c r="G4064" s="22"/>
      <c r="H4064" s="23">
        <v>11.65</v>
      </c>
      <c r="I4064" s="23">
        <v>11.65</v>
      </c>
      <c r="J4064" s="24">
        <v>11.65</v>
      </c>
      <c r="K4064" s="21">
        <v>0</v>
      </c>
      <c r="L4064" s="21">
        <v>0</v>
      </c>
      <c r="M4064" s="21">
        <f>COUNTIF($A$2:$A$5481,A4064)</f>
        <v>1</v>
      </c>
      <c r="N4064" s="24">
        <f t="shared" si="63"/>
        <v>11.6504064</v>
      </c>
    </row>
    <row r="4065" spans="1:14">
      <c r="A4065" s="21" t="s">
        <v>3836</v>
      </c>
      <c r="B4065" s="21" t="s">
        <v>26</v>
      </c>
      <c r="C4065" s="21" t="s">
        <v>26</v>
      </c>
      <c r="D4065" s="21" t="s">
        <v>921</v>
      </c>
      <c r="E4065" s="21">
        <v>1</v>
      </c>
      <c r="F4065" s="22">
        <v>45664.3809375</v>
      </c>
      <c r="G4065" s="22"/>
      <c r="H4065" s="23">
        <v>11.65</v>
      </c>
      <c r="I4065" s="23">
        <v>11.65</v>
      </c>
      <c r="J4065" s="24">
        <v>11.65</v>
      </c>
      <c r="K4065" s="21">
        <v>0</v>
      </c>
      <c r="L4065" s="21">
        <v>0</v>
      </c>
      <c r="M4065" s="21">
        <f>COUNTIF($A$2:$A$5481,A4065)</f>
        <v>1</v>
      </c>
      <c r="N4065" s="24">
        <f t="shared" si="63"/>
        <v>11.6504065</v>
      </c>
    </row>
    <row r="4066" spans="1:14">
      <c r="A4066" s="21" t="s">
        <v>3837</v>
      </c>
      <c r="B4066" s="21" t="s">
        <v>26</v>
      </c>
      <c r="C4066" s="21" t="s">
        <v>26</v>
      </c>
      <c r="D4066" s="21" t="s">
        <v>921</v>
      </c>
      <c r="E4066" s="21">
        <v>2</v>
      </c>
      <c r="F4066" s="22">
        <v>45664.3809375</v>
      </c>
      <c r="G4066" s="22"/>
      <c r="H4066" s="23">
        <v>20.25</v>
      </c>
      <c r="I4066" s="23">
        <v>16.625</v>
      </c>
      <c r="J4066" s="24">
        <v>33.26</v>
      </c>
      <c r="K4066" s="21">
        <v>0</v>
      </c>
      <c r="L4066" s="21">
        <v>0</v>
      </c>
      <c r="M4066" s="21">
        <f>COUNTIF($A$2:$A$5481,A4066)</f>
        <v>1</v>
      </c>
      <c r="N4066" s="24">
        <f t="shared" si="63"/>
        <v>33.2604066</v>
      </c>
    </row>
    <row r="4067" spans="1:14">
      <c r="A4067" s="21" t="s">
        <v>3838</v>
      </c>
      <c r="B4067" s="21" t="s">
        <v>920</v>
      </c>
      <c r="C4067" s="21" t="s">
        <v>26</v>
      </c>
      <c r="D4067" s="21" t="s">
        <v>921</v>
      </c>
      <c r="E4067" s="21">
        <v>2</v>
      </c>
      <c r="F4067" s="22">
        <v>45763.8101157407</v>
      </c>
      <c r="G4067" s="22"/>
      <c r="H4067" s="23">
        <v>37.9</v>
      </c>
      <c r="I4067" s="23">
        <v>35.45</v>
      </c>
      <c r="J4067" s="24">
        <v>70.9</v>
      </c>
      <c r="K4067" s="21">
        <v>0</v>
      </c>
      <c r="L4067" s="21">
        <v>0</v>
      </c>
      <c r="M4067" s="21">
        <f>COUNTIF($A$2:$A$5481,A4067)</f>
        <v>1</v>
      </c>
      <c r="N4067" s="24">
        <f t="shared" si="63"/>
        <v>70.9004067</v>
      </c>
    </row>
    <row r="4068" spans="1:14">
      <c r="A4068" s="21" t="s">
        <v>3839</v>
      </c>
      <c r="B4068" s="21" t="s">
        <v>920</v>
      </c>
      <c r="C4068" s="21" t="s">
        <v>35</v>
      </c>
      <c r="D4068" s="21" t="s">
        <v>921</v>
      </c>
      <c r="E4068" s="21">
        <v>1</v>
      </c>
      <c r="F4068" s="22">
        <v>45317.7994328704</v>
      </c>
      <c r="G4068" s="22"/>
      <c r="H4068" s="23">
        <v>27</v>
      </c>
      <c r="I4068" s="23">
        <v>27</v>
      </c>
      <c r="J4068" s="24">
        <v>27</v>
      </c>
      <c r="K4068" s="21">
        <v>0</v>
      </c>
      <c r="L4068" s="21">
        <v>0</v>
      </c>
      <c r="M4068" s="21">
        <f>COUNTIF($A$2:$A$5481,A4068)</f>
        <v>2</v>
      </c>
      <c r="N4068" s="24">
        <f t="shared" si="63"/>
        <v>27.0004068</v>
      </c>
    </row>
    <row r="4069" spans="1:14">
      <c r="A4069" s="21" t="s">
        <v>3839</v>
      </c>
      <c r="B4069" s="21" t="s">
        <v>920</v>
      </c>
      <c r="C4069" s="21" t="s">
        <v>26</v>
      </c>
      <c r="D4069" s="21" t="s">
        <v>921</v>
      </c>
      <c r="E4069" s="21">
        <v>2.01</v>
      </c>
      <c r="F4069" s="22">
        <v>46135.6794444445</v>
      </c>
      <c r="G4069" s="22"/>
      <c r="H4069" s="23">
        <v>36</v>
      </c>
      <c r="I4069" s="23">
        <v>34.960199005</v>
      </c>
      <c r="J4069" s="24">
        <v>70.2696</v>
      </c>
      <c r="K4069" s="21">
        <v>0</v>
      </c>
      <c r="L4069" s="21">
        <v>0</v>
      </c>
      <c r="M4069" s="21">
        <f>COUNTIF($A$2:$A$5481,A4069)</f>
        <v>2</v>
      </c>
      <c r="N4069" s="24">
        <f t="shared" si="63"/>
        <v>70.2700069</v>
      </c>
    </row>
    <row r="4070" spans="1:14">
      <c r="A4070" s="21" t="s">
        <v>3840</v>
      </c>
      <c r="B4070" s="21" t="s">
        <v>929</v>
      </c>
      <c r="C4070" s="21" t="s">
        <v>26</v>
      </c>
      <c r="D4070" s="21" t="s">
        <v>921</v>
      </c>
      <c r="E4070" s="21">
        <v>2</v>
      </c>
      <c r="F4070" s="22">
        <v>46128.5312847222</v>
      </c>
      <c r="G4070" s="22"/>
      <c r="H4070" s="23">
        <v>30</v>
      </c>
      <c r="I4070" s="23">
        <v>30</v>
      </c>
      <c r="J4070" s="24">
        <v>60</v>
      </c>
      <c r="K4070" s="21">
        <v>0</v>
      </c>
      <c r="L4070" s="21">
        <v>0</v>
      </c>
      <c r="M4070" s="21">
        <f>COUNTIF($A$2:$A$5481,A4070)</f>
        <v>1</v>
      </c>
      <c r="N4070" s="24">
        <f t="shared" si="63"/>
        <v>60.000407</v>
      </c>
    </row>
    <row r="4071" spans="1:14">
      <c r="A4071" s="21" t="s">
        <v>3841</v>
      </c>
      <c r="B4071" s="21" t="s">
        <v>920</v>
      </c>
      <c r="C4071" s="21" t="s">
        <v>26</v>
      </c>
      <c r="D4071" s="21" t="s">
        <v>931</v>
      </c>
      <c r="E4071" s="21">
        <v>0</v>
      </c>
      <c r="F4071" s="22">
        <v>45532.539849537</v>
      </c>
      <c r="G4071" s="22">
        <v>45532.5468287037</v>
      </c>
      <c r="H4071" s="23">
        <v>64</v>
      </c>
      <c r="I4071" s="23">
        <v>64</v>
      </c>
      <c r="J4071" s="24">
        <v>0</v>
      </c>
      <c r="K4071" s="21">
        <v>0</v>
      </c>
      <c r="L4071" s="21">
        <v>0</v>
      </c>
      <c r="M4071" s="21">
        <f>COUNTIF($A$2:$A$5481,A4071)</f>
        <v>1</v>
      </c>
      <c r="N4071" s="24">
        <f t="shared" si="63"/>
        <v>0.0004071</v>
      </c>
    </row>
    <row r="4072" spans="1:14">
      <c r="A4072" s="21" t="s">
        <v>3842</v>
      </c>
      <c r="B4072" s="21" t="s">
        <v>26</v>
      </c>
      <c r="C4072" s="21" t="s">
        <v>35</v>
      </c>
      <c r="D4072" s="21" t="s">
        <v>921</v>
      </c>
      <c r="E4072" s="21">
        <v>2</v>
      </c>
      <c r="F4072" s="22">
        <v>45495.355474537</v>
      </c>
      <c r="G4072" s="22"/>
      <c r="H4072" s="23">
        <v>29.8</v>
      </c>
      <c r="I4072" s="23">
        <v>14.9</v>
      </c>
      <c r="J4072" s="24">
        <v>29.8</v>
      </c>
      <c r="K4072" s="21">
        <v>0</v>
      </c>
      <c r="L4072" s="21">
        <v>0</v>
      </c>
      <c r="M4072" s="21">
        <f>COUNTIF($A$2:$A$5481,A4072)</f>
        <v>1</v>
      </c>
      <c r="N4072" s="24">
        <f t="shared" si="63"/>
        <v>29.8004072</v>
      </c>
    </row>
    <row r="4073" spans="1:14">
      <c r="A4073" s="21" t="s">
        <v>3843</v>
      </c>
      <c r="B4073" s="21" t="s">
        <v>26</v>
      </c>
      <c r="C4073" s="21" t="s">
        <v>35</v>
      </c>
      <c r="D4073" s="21" t="s">
        <v>921</v>
      </c>
      <c r="E4073" s="21">
        <v>1</v>
      </c>
      <c r="F4073" s="22">
        <v>45495.355474537</v>
      </c>
      <c r="G4073" s="22"/>
      <c r="H4073" s="23">
        <v>11.9</v>
      </c>
      <c r="I4073" s="23">
        <v>11.9</v>
      </c>
      <c r="J4073" s="24">
        <v>11.9</v>
      </c>
      <c r="K4073" s="21">
        <v>0</v>
      </c>
      <c r="L4073" s="21">
        <v>0</v>
      </c>
      <c r="M4073" s="21">
        <f>COUNTIF($A$2:$A$5481,A4073)</f>
        <v>1</v>
      </c>
      <c r="N4073" s="24">
        <f t="shared" si="63"/>
        <v>11.9004073</v>
      </c>
    </row>
    <row r="4074" spans="1:14">
      <c r="A4074" s="21" t="s">
        <v>3844</v>
      </c>
      <c r="B4074" s="21" t="s">
        <v>26</v>
      </c>
      <c r="C4074" s="21" t="s">
        <v>35</v>
      </c>
      <c r="D4074" s="21" t="s">
        <v>921</v>
      </c>
      <c r="E4074" s="21">
        <v>1</v>
      </c>
      <c r="F4074" s="22">
        <v>45495.355474537</v>
      </c>
      <c r="G4074" s="22"/>
      <c r="H4074" s="23">
        <v>31.9</v>
      </c>
      <c r="I4074" s="23">
        <v>31.9</v>
      </c>
      <c r="J4074" s="24">
        <v>31.9</v>
      </c>
      <c r="K4074" s="21">
        <v>0</v>
      </c>
      <c r="L4074" s="21">
        <v>0</v>
      </c>
      <c r="M4074" s="21">
        <f>COUNTIF($A$2:$A$5481,A4074)</f>
        <v>1</v>
      </c>
      <c r="N4074" s="24">
        <f t="shared" si="63"/>
        <v>31.9004074</v>
      </c>
    </row>
    <row r="4075" spans="1:14">
      <c r="A4075" s="21" t="s">
        <v>3845</v>
      </c>
      <c r="B4075" s="21" t="s">
        <v>26</v>
      </c>
      <c r="C4075" s="21" t="s">
        <v>26</v>
      </c>
      <c r="D4075" s="21" t="s">
        <v>921</v>
      </c>
      <c r="E4075" s="21">
        <v>1</v>
      </c>
      <c r="F4075" s="22">
        <v>45593.3624768519</v>
      </c>
      <c r="G4075" s="22"/>
      <c r="H4075" s="23">
        <v>79</v>
      </c>
      <c r="I4075" s="23">
        <v>79</v>
      </c>
      <c r="J4075" s="24">
        <v>79</v>
      </c>
      <c r="K4075" s="21">
        <v>0</v>
      </c>
      <c r="L4075" s="21">
        <v>0</v>
      </c>
      <c r="M4075" s="21">
        <f>COUNTIF($A$2:$A$5481,A4075)</f>
        <v>1</v>
      </c>
      <c r="N4075" s="24">
        <f t="shared" si="63"/>
        <v>79.0004075</v>
      </c>
    </row>
    <row r="4076" spans="1:14">
      <c r="A4076" s="21" t="s">
        <v>3846</v>
      </c>
      <c r="B4076" s="21" t="s">
        <v>920</v>
      </c>
      <c r="C4076" s="21" t="s">
        <v>26</v>
      </c>
      <c r="D4076" s="21" t="s">
        <v>921</v>
      </c>
      <c r="E4076" s="21">
        <v>1</v>
      </c>
      <c r="F4076" s="22">
        <v>45520.7395833333</v>
      </c>
      <c r="G4076" s="22"/>
      <c r="H4076" s="23">
        <v>51</v>
      </c>
      <c r="I4076" s="23">
        <v>51</v>
      </c>
      <c r="J4076" s="24">
        <v>51</v>
      </c>
      <c r="K4076" s="21">
        <v>0</v>
      </c>
      <c r="L4076" s="21">
        <v>0</v>
      </c>
      <c r="M4076" s="21">
        <f>COUNTIF($A$2:$A$5481,A4076)</f>
        <v>1</v>
      </c>
      <c r="N4076" s="24">
        <f t="shared" si="63"/>
        <v>51.0004076</v>
      </c>
    </row>
    <row r="4077" spans="1:14">
      <c r="A4077" s="21" t="s">
        <v>3847</v>
      </c>
      <c r="B4077" s="21" t="s">
        <v>920</v>
      </c>
      <c r="C4077" s="21" t="s">
        <v>26</v>
      </c>
      <c r="D4077" s="21" t="s">
        <v>921</v>
      </c>
      <c r="E4077" s="21">
        <v>2</v>
      </c>
      <c r="F4077" s="22">
        <v>45579.8312037037</v>
      </c>
      <c r="G4077" s="22"/>
      <c r="H4077" s="23">
        <v>35.8</v>
      </c>
      <c r="I4077" s="23">
        <v>17.9</v>
      </c>
      <c r="J4077" s="24">
        <v>35.8</v>
      </c>
      <c r="K4077" s="21">
        <v>0</v>
      </c>
      <c r="L4077" s="21">
        <v>0</v>
      </c>
      <c r="M4077" s="21">
        <f>COUNTIF($A$2:$A$5481,A4077)</f>
        <v>1</v>
      </c>
      <c r="N4077" s="24">
        <f t="shared" si="63"/>
        <v>35.8004077</v>
      </c>
    </row>
    <row r="4078" spans="1:14">
      <c r="A4078" s="21" t="s">
        <v>3848</v>
      </c>
      <c r="B4078" s="21" t="s">
        <v>920</v>
      </c>
      <c r="C4078" s="21" t="s">
        <v>26</v>
      </c>
      <c r="D4078" s="21" t="s">
        <v>921</v>
      </c>
      <c r="E4078" s="21">
        <v>1</v>
      </c>
      <c r="F4078" s="22">
        <v>45400.3475462963</v>
      </c>
      <c r="G4078" s="22"/>
      <c r="H4078" s="23">
        <v>88</v>
      </c>
      <c r="I4078" s="23">
        <v>88</v>
      </c>
      <c r="J4078" s="24">
        <v>88</v>
      </c>
      <c r="K4078" s="21">
        <v>0</v>
      </c>
      <c r="L4078" s="21">
        <v>0</v>
      </c>
      <c r="M4078" s="21">
        <f>COUNTIF($A$2:$A$5481,A4078)</f>
        <v>1</v>
      </c>
      <c r="N4078" s="24">
        <f t="shared" si="63"/>
        <v>88.0004078</v>
      </c>
    </row>
    <row r="4079" spans="1:14">
      <c r="A4079" s="21" t="s">
        <v>3849</v>
      </c>
      <c r="B4079" s="21" t="s">
        <v>920</v>
      </c>
      <c r="C4079" s="21" t="s">
        <v>35</v>
      </c>
      <c r="D4079" s="21" t="s">
        <v>921</v>
      </c>
      <c r="E4079" s="21">
        <v>1</v>
      </c>
      <c r="F4079" s="22">
        <v>45303.7618171296</v>
      </c>
      <c r="G4079" s="22"/>
      <c r="H4079" s="23">
        <v>116.01</v>
      </c>
      <c r="I4079" s="23">
        <v>116.01</v>
      </c>
      <c r="J4079" s="24">
        <v>116.01</v>
      </c>
      <c r="K4079" s="21">
        <v>0</v>
      </c>
      <c r="L4079" s="21">
        <v>5</v>
      </c>
      <c r="M4079" s="21">
        <f>COUNTIF($A$2:$A$5481,A4079)</f>
        <v>2</v>
      </c>
      <c r="N4079" s="24">
        <f t="shared" si="63"/>
        <v>116.0104079</v>
      </c>
    </row>
    <row r="4080" spans="1:14">
      <c r="A4080" s="21" t="s">
        <v>3849</v>
      </c>
      <c r="B4080" s="21" t="s">
        <v>920</v>
      </c>
      <c r="C4080" s="21" t="s">
        <v>26</v>
      </c>
      <c r="D4080" s="21" t="s">
        <v>921</v>
      </c>
      <c r="E4080" s="21">
        <v>1</v>
      </c>
      <c r="F4080" s="22">
        <v>45700.6670601852</v>
      </c>
      <c r="G4080" s="22"/>
      <c r="H4080" s="23">
        <v>21</v>
      </c>
      <c r="I4080" s="23">
        <v>21</v>
      </c>
      <c r="J4080" s="24">
        <v>21</v>
      </c>
      <c r="K4080" s="21">
        <v>0</v>
      </c>
      <c r="L4080" s="21">
        <v>5</v>
      </c>
      <c r="M4080" s="21">
        <f>COUNTIF($A$2:$A$5481,A4080)</f>
        <v>2</v>
      </c>
      <c r="N4080" s="24">
        <f t="shared" si="63"/>
        <v>21.000408</v>
      </c>
    </row>
    <row r="4081" spans="1:14">
      <c r="A4081" s="21" t="s">
        <v>3850</v>
      </c>
      <c r="B4081" s="21" t="s">
        <v>920</v>
      </c>
      <c r="C4081" s="21" t="s">
        <v>26</v>
      </c>
      <c r="D4081" s="21" t="s">
        <v>921</v>
      </c>
      <c r="E4081" s="21">
        <v>2</v>
      </c>
      <c r="F4081" s="22">
        <v>45579.8312037037</v>
      </c>
      <c r="G4081" s="22"/>
      <c r="H4081" s="23">
        <v>153.8</v>
      </c>
      <c r="I4081" s="23">
        <v>76.9</v>
      </c>
      <c r="J4081" s="24">
        <v>153.8</v>
      </c>
      <c r="K4081" s="21">
        <v>0</v>
      </c>
      <c r="L4081" s="21">
        <v>0</v>
      </c>
      <c r="M4081" s="21">
        <f>COUNTIF($A$2:$A$5481,A4081)</f>
        <v>1</v>
      </c>
      <c r="N4081" s="24">
        <f t="shared" si="63"/>
        <v>153.8004081</v>
      </c>
    </row>
    <row r="4082" spans="1:14">
      <c r="A4082" s="21" t="s">
        <v>3851</v>
      </c>
      <c r="B4082" s="21" t="s">
        <v>920</v>
      </c>
      <c r="C4082" s="21" t="s">
        <v>35</v>
      </c>
      <c r="D4082" s="21" t="s">
        <v>921</v>
      </c>
      <c r="E4082" s="21">
        <v>1</v>
      </c>
      <c r="F4082" s="22">
        <v>45327.555625</v>
      </c>
      <c r="G4082" s="22"/>
      <c r="H4082" s="23">
        <v>59.54</v>
      </c>
      <c r="I4082" s="23">
        <v>59.54</v>
      </c>
      <c r="J4082" s="24">
        <v>59.54</v>
      </c>
      <c r="K4082" s="21">
        <v>0</v>
      </c>
      <c r="L4082" s="21">
        <v>0</v>
      </c>
      <c r="M4082" s="21">
        <f>COUNTIF($A$2:$A$5481,A4082)</f>
        <v>1</v>
      </c>
      <c r="N4082" s="24">
        <f t="shared" si="63"/>
        <v>59.5404082</v>
      </c>
    </row>
    <row r="4083" spans="1:14">
      <c r="A4083" s="21" t="s">
        <v>3852</v>
      </c>
      <c r="B4083" s="21" t="s">
        <v>26</v>
      </c>
      <c r="C4083" s="21" t="s">
        <v>26</v>
      </c>
      <c r="D4083" s="21" t="s">
        <v>921</v>
      </c>
      <c r="E4083" s="21">
        <v>2</v>
      </c>
      <c r="F4083" s="22">
        <v>45604.7488310185</v>
      </c>
      <c r="G4083" s="22"/>
      <c r="H4083" s="23">
        <v>53.9</v>
      </c>
      <c r="I4083" s="23">
        <v>54.95</v>
      </c>
      <c r="J4083" s="24">
        <v>109.9</v>
      </c>
      <c r="K4083" s="21">
        <v>0</v>
      </c>
      <c r="L4083" s="21">
        <v>0</v>
      </c>
      <c r="M4083" s="21">
        <f>COUNTIF($A$2:$A$5481,A4083)</f>
        <v>1</v>
      </c>
      <c r="N4083" s="24">
        <f t="shared" si="63"/>
        <v>109.9004083</v>
      </c>
    </row>
    <row r="4084" spans="1:14">
      <c r="A4084" s="21" t="s">
        <v>3853</v>
      </c>
      <c r="B4084" s="21" t="s">
        <v>26</v>
      </c>
      <c r="C4084" s="21" t="s">
        <v>26</v>
      </c>
      <c r="D4084" s="21" t="s">
        <v>921</v>
      </c>
      <c r="E4084" s="21">
        <v>1</v>
      </c>
      <c r="F4084" s="22">
        <v>45482.3593865741</v>
      </c>
      <c r="G4084" s="22"/>
      <c r="H4084" s="23">
        <v>47</v>
      </c>
      <c r="I4084" s="23">
        <v>47</v>
      </c>
      <c r="J4084" s="24">
        <v>47</v>
      </c>
      <c r="K4084" s="21">
        <v>0</v>
      </c>
      <c r="L4084" s="21">
        <v>0</v>
      </c>
      <c r="M4084" s="21">
        <f>COUNTIF($A$2:$A$5481,A4084)</f>
        <v>1</v>
      </c>
      <c r="N4084" s="24">
        <f t="shared" si="63"/>
        <v>47.0004084</v>
      </c>
    </row>
    <row r="4085" spans="1:14">
      <c r="A4085" s="21" t="s">
        <v>3854</v>
      </c>
      <c r="B4085" s="21" t="s">
        <v>920</v>
      </c>
      <c r="C4085" s="21" t="s">
        <v>26</v>
      </c>
      <c r="D4085" s="21" t="s">
        <v>921</v>
      </c>
      <c r="E4085" s="21">
        <v>2</v>
      </c>
      <c r="F4085" s="22">
        <v>45579.7256712963</v>
      </c>
      <c r="G4085" s="22"/>
      <c r="H4085" s="23">
        <v>58</v>
      </c>
      <c r="I4085" s="23">
        <v>29</v>
      </c>
      <c r="J4085" s="24">
        <v>58</v>
      </c>
      <c r="K4085" s="21">
        <v>0</v>
      </c>
      <c r="L4085" s="21">
        <v>0</v>
      </c>
      <c r="M4085" s="21">
        <f>COUNTIF($A$2:$A$5481,A4085)</f>
        <v>1</v>
      </c>
      <c r="N4085" s="24">
        <f t="shared" si="63"/>
        <v>58.0004085</v>
      </c>
    </row>
    <row r="4086" spans="1:14">
      <c r="A4086" s="21" t="s">
        <v>3855</v>
      </c>
      <c r="B4086" s="21" t="s">
        <v>26</v>
      </c>
      <c r="C4086" s="21" t="s">
        <v>26</v>
      </c>
      <c r="D4086" s="21" t="s">
        <v>921</v>
      </c>
      <c r="E4086" s="21">
        <v>3</v>
      </c>
      <c r="F4086" s="22">
        <v>45579.8312037037</v>
      </c>
      <c r="G4086" s="22"/>
      <c r="H4086" s="23">
        <v>97.8</v>
      </c>
      <c r="I4086" s="23">
        <v>48.6</v>
      </c>
      <c r="J4086" s="24">
        <v>145.8</v>
      </c>
      <c r="K4086" s="21">
        <v>0</v>
      </c>
      <c r="L4086" s="21">
        <v>0</v>
      </c>
      <c r="M4086" s="21">
        <f>COUNTIF($A$2:$A$5481,A4086)</f>
        <v>1</v>
      </c>
      <c r="N4086" s="24">
        <f t="shared" si="63"/>
        <v>145.8004086</v>
      </c>
    </row>
    <row r="4087" spans="1:14">
      <c r="A4087" s="21" t="s">
        <v>3856</v>
      </c>
      <c r="B4087" s="21" t="s">
        <v>26</v>
      </c>
      <c r="C4087" s="21" t="s">
        <v>26</v>
      </c>
      <c r="D4087" s="21" t="s">
        <v>921</v>
      </c>
      <c r="E4087" s="21">
        <v>1</v>
      </c>
      <c r="F4087" s="22">
        <v>45482.3593865741</v>
      </c>
      <c r="G4087" s="22"/>
      <c r="H4087" s="23">
        <v>39.9</v>
      </c>
      <c r="I4087" s="23">
        <v>39.9</v>
      </c>
      <c r="J4087" s="24">
        <v>39.9</v>
      </c>
      <c r="K4087" s="21">
        <v>0</v>
      </c>
      <c r="L4087" s="21">
        <v>0</v>
      </c>
      <c r="M4087" s="21">
        <f>COUNTIF($A$2:$A$5481,A4087)</f>
        <v>1</v>
      </c>
      <c r="N4087" s="24">
        <f t="shared" si="63"/>
        <v>39.9004087</v>
      </c>
    </row>
    <row r="4088" spans="1:14">
      <c r="A4088" s="21" t="s">
        <v>3857</v>
      </c>
      <c r="B4088" s="21" t="s">
        <v>26</v>
      </c>
      <c r="C4088" s="21" t="s">
        <v>26</v>
      </c>
      <c r="D4088" s="21" t="s">
        <v>921</v>
      </c>
      <c r="E4088" s="21">
        <v>1</v>
      </c>
      <c r="F4088" s="22">
        <v>45421.3590277778</v>
      </c>
      <c r="G4088" s="22"/>
      <c r="H4088" s="23">
        <v>34.9</v>
      </c>
      <c r="I4088" s="23">
        <v>34.9</v>
      </c>
      <c r="J4088" s="24">
        <v>34.9</v>
      </c>
      <c r="K4088" s="21">
        <v>0</v>
      </c>
      <c r="L4088" s="21">
        <v>0</v>
      </c>
      <c r="M4088" s="21">
        <f>COUNTIF($A$2:$A$5481,A4088)</f>
        <v>1</v>
      </c>
      <c r="N4088" s="24">
        <f t="shared" si="63"/>
        <v>34.9004088</v>
      </c>
    </row>
    <row r="4089" spans="1:14">
      <c r="A4089" s="21" t="s">
        <v>3858</v>
      </c>
      <c r="B4089" s="21" t="s">
        <v>26</v>
      </c>
      <c r="C4089" s="21" t="s">
        <v>26</v>
      </c>
      <c r="D4089" s="21" t="s">
        <v>921</v>
      </c>
      <c r="E4089" s="21">
        <v>1</v>
      </c>
      <c r="F4089" s="22">
        <v>45482.3593865741</v>
      </c>
      <c r="G4089" s="22"/>
      <c r="H4089" s="23">
        <v>71</v>
      </c>
      <c r="I4089" s="23">
        <v>71</v>
      </c>
      <c r="J4089" s="24">
        <v>71</v>
      </c>
      <c r="K4089" s="21">
        <v>0</v>
      </c>
      <c r="L4089" s="21">
        <v>0</v>
      </c>
      <c r="M4089" s="21">
        <f>COUNTIF($A$2:$A$5481,A4089)</f>
        <v>1</v>
      </c>
      <c r="N4089" s="24">
        <f t="shared" si="63"/>
        <v>71.0004089</v>
      </c>
    </row>
    <row r="4090" spans="1:14">
      <c r="A4090" s="21" t="s">
        <v>3859</v>
      </c>
      <c r="B4090" s="21" t="s">
        <v>26</v>
      </c>
      <c r="C4090" s="21" t="s">
        <v>26</v>
      </c>
      <c r="D4090" s="21" t="s">
        <v>921</v>
      </c>
      <c r="E4090" s="21">
        <v>1</v>
      </c>
      <c r="F4090" s="22">
        <v>45421.3590277778</v>
      </c>
      <c r="G4090" s="22"/>
      <c r="H4090" s="23">
        <v>27.9</v>
      </c>
      <c r="I4090" s="23">
        <v>27.9</v>
      </c>
      <c r="J4090" s="24">
        <v>27.9</v>
      </c>
      <c r="K4090" s="21">
        <v>0</v>
      </c>
      <c r="L4090" s="21">
        <v>0</v>
      </c>
      <c r="M4090" s="21">
        <f>COUNTIF($A$2:$A$5481,A4090)</f>
        <v>1</v>
      </c>
      <c r="N4090" s="24">
        <f t="shared" si="63"/>
        <v>27.900409</v>
      </c>
    </row>
    <row r="4091" spans="1:14">
      <c r="A4091" s="21" t="s">
        <v>3860</v>
      </c>
      <c r="B4091" s="21" t="s">
        <v>26</v>
      </c>
      <c r="C4091" s="21" t="s">
        <v>26</v>
      </c>
      <c r="D4091" s="21" t="s">
        <v>921</v>
      </c>
      <c r="E4091" s="21">
        <v>1</v>
      </c>
      <c r="F4091" s="22">
        <v>45421.3590277778</v>
      </c>
      <c r="G4091" s="22"/>
      <c r="H4091" s="23">
        <v>30.9</v>
      </c>
      <c r="I4091" s="23">
        <v>30.9</v>
      </c>
      <c r="J4091" s="24">
        <v>30.9</v>
      </c>
      <c r="K4091" s="21">
        <v>0</v>
      </c>
      <c r="L4091" s="21">
        <v>0</v>
      </c>
      <c r="M4091" s="21">
        <f>COUNTIF($A$2:$A$5481,A4091)</f>
        <v>1</v>
      </c>
      <c r="N4091" s="24">
        <f t="shared" si="63"/>
        <v>30.9004091</v>
      </c>
    </row>
    <row r="4092" spans="1:14">
      <c r="A4092" s="21" t="s">
        <v>3861</v>
      </c>
      <c r="B4092" s="21" t="s">
        <v>920</v>
      </c>
      <c r="C4092" s="21" t="s">
        <v>26</v>
      </c>
      <c r="D4092" s="21" t="s">
        <v>921</v>
      </c>
      <c r="E4092" s="21">
        <v>2</v>
      </c>
      <c r="F4092" s="22">
        <v>45579.7256712963</v>
      </c>
      <c r="G4092" s="22"/>
      <c r="H4092" s="23">
        <v>34</v>
      </c>
      <c r="I4092" s="23">
        <v>17</v>
      </c>
      <c r="J4092" s="24">
        <v>34</v>
      </c>
      <c r="K4092" s="21">
        <v>0</v>
      </c>
      <c r="L4092" s="21">
        <v>0</v>
      </c>
      <c r="M4092" s="21">
        <f>COUNTIF($A$2:$A$5481,A4092)</f>
        <v>1</v>
      </c>
      <c r="N4092" s="24">
        <f t="shared" si="63"/>
        <v>34.0004092</v>
      </c>
    </row>
    <row r="4093" spans="1:14">
      <c r="A4093" s="21" t="s">
        <v>3862</v>
      </c>
      <c r="B4093" s="21" t="s">
        <v>26</v>
      </c>
      <c r="C4093" s="21" t="s">
        <v>26</v>
      </c>
      <c r="D4093" s="21" t="s">
        <v>921</v>
      </c>
      <c r="E4093" s="21">
        <v>3</v>
      </c>
      <c r="F4093" s="22">
        <v>45579.8312037037</v>
      </c>
      <c r="G4093" s="22"/>
      <c r="H4093" s="23">
        <v>53.8</v>
      </c>
      <c r="I4093" s="23">
        <v>26.9</v>
      </c>
      <c r="J4093" s="24">
        <v>80.7</v>
      </c>
      <c r="K4093" s="21">
        <v>0</v>
      </c>
      <c r="L4093" s="21">
        <v>0</v>
      </c>
      <c r="M4093" s="21">
        <f>COUNTIF($A$2:$A$5481,A4093)</f>
        <v>1</v>
      </c>
      <c r="N4093" s="24">
        <f t="shared" si="63"/>
        <v>80.7004093</v>
      </c>
    </row>
    <row r="4094" spans="1:14">
      <c r="A4094" s="21" t="s">
        <v>3863</v>
      </c>
      <c r="B4094" s="21" t="s">
        <v>26</v>
      </c>
      <c r="C4094" s="21" t="s">
        <v>26</v>
      </c>
      <c r="D4094" s="21" t="s">
        <v>921</v>
      </c>
      <c r="E4094" s="21">
        <v>2</v>
      </c>
      <c r="F4094" s="22">
        <v>45593.3624768519</v>
      </c>
      <c r="G4094" s="22"/>
      <c r="H4094" s="23">
        <v>26.9</v>
      </c>
      <c r="I4094" s="23">
        <v>26.4</v>
      </c>
      <c r="J4094" s="24">
        <v>52.8</v>
      </c>
      <c r="K4094" s="21">
        <v>0</v>
      </c>
      <c r="L4094" s="21">
        <v>0</v>
      </c>
      <c r="M4094" s="21">
        <f>COUNTIF($A$2:$A$5481,A4094)</f>
        <v>1</v>
      </c>
      <c r="N4094" s="24">
        <f t="shared" si="63"/>
        <v>52.8004094</v>
      </c>
    </row>
    <row r="4095" spans="1:14">
      <c r="A4095" s="21" t="s">
        <v>3864</v>
      </c>
      <c r="B4095" s="21" t="s">
        <v>26</v>
      </c>
      <c r="C4095" s="21" t="s">
        <v>26</v>
      </c>
      <c r="D4095" s="21" t="s">
        <v>921</v>
      </c>
      <c r="E4095" s="21">
        <v>3</v>
      </c>
      <c r="F4095" s="22">
        <v>46258.6</v>
      </c>
      <c r="G4095" s="22"/>
      <c r="H4095" s="23">
        <v>23.87</v>
      </c>
      <c r="I4095" s="23">
        <v>23.2233333333</v>
      </c>
      <c r="J4095" s="24">
        <v>69.66</v>
      </c>
      <c r="K4095" s="21">
        <v>0</v>
      </c>
      <c r="L4095" s="21">
        <v>0</v>
      </c>
      <c r="M4095" s="21">
        <f>COUNTIF($A$2:$A$5481,A4095)</f>
        <v>1</v>
      </c>
      <c r="N4095" s="24">
        <f t="shared" si="63"/>
        <v>69.6604095</v>
      </c>
    </row>
    <row r="4096" spans="1:14">
      <c r="A4096" s="21" t="s">
        <v>3865</v>
      </c>
      <c r="B4096" s="21" t="s">
        <v>920</v>
      </c>
      <c r="C4096" s="21" t="s">
        <v>26</v>
      </c>
      <c r="D4096" s="21" t="s">
        <v>921</v>
      </c>
      <c r="E4096" s="21">
        <v>3</v>
      </c>
      <c r="F4096" s="22">
        <v>46161.6232638889</v>
      </c>
      <c r="G4096" s="22"/>
      <c r="H4096" s="23">
        <v>30.9</v>
      </c>
      <c r="I4096" s="23">
        <v>23.9</v>
      </c>
      <c r="J4096" s="24">
        <v>71.7</v>
      </c>
      <c r="K4096" s="21">
        <v>0</v>
      </c>
      <c r="L4096" s="21">
        <v>0</v>
      </c>
      <c r="M4096" s="21">
        <f>COUNTIF($A$2:$A$5481,A4096)</f>
        <v>1</v>
      </c>
      <c r="N4096" s="24">
        <f t="shared" si="63"/>
        <v>71.7004096</v>
      </c>
    </row>
    <row r="4097" spans="1:14">
      <c r="A4097" s="21" t="s">
        <v>3866</v>
      </c>
      <c r="B4097" s="21" t="s">
        <v>26</v>
      </c>
      <c r="C4097" s="21" t="s">
        <v>26</v>
      </c>
      <c r="D4097" s="21" t="s">
        <v>921</v>
      </c>
      <c r="E4097" s="21">
        <v>3</v>
      </c>
      <c r="F4097" s="22">
        <v>45579.8312037037</v>
      </c>
      <c r="G4097" s="22"/>
      <c r="H4097" s="23">
        <v>41.8</v>
      </c>
      <c r="I4097" s="23">
        <v>20.9</v>
      </c>
      <c r="J4097" s="24">
        <v>62.7</v>
      </c>
      <c r="K4097" s="21">
        <v>0</v>
      </c>
      <c r="L4097" s="21">
        <v>0</v>
      </c>
      <c r="M4097" s="21">
        <f>COUNTIF($A$2:$A$5481,A4097)</f>
        <v>1</v>
      </c>
      <c r="N4097" s="24">
        <f t="shared" si="63"/>
        <v>62.7004097</v>
      </c>
    </row>
    <row r="4098" spans="1:14">
      <c r="A4098" s="21" t="s">
        <v>3867</v>
      </c>
      <c r="B4098" s="21" t="s">
        <v>26</v>
      </c>
      <c r="C4098" s="21" t="s">
        <v>26</v>
      </c>
      <c r="D4098" s="21" t="s">
        <v>921</v>
      </c>
      <c r="E4098" s="21">
        <v>4</v>
      </c>
      <c r="F4098" s="22">
        <v>45979.4399652778</v>
      </c>
      <c r="G4098" s="22"/>
      <c r="H4098" s="23">
        <v>21.9</v>
      </c>
      <c r="I4098" s="23">
        <v>20.4</v>
      </c>
      <c r="J4098" s="24">
        <v>81.6</v>
      </c>
      <c r="K4098" s="21">
        <v>0</v>
      </c>
      <c r="L4098" s="21">
        <v>0</v>
      </c>
      <c r="M4098" s="21">
        <f>COUNTIF($A$2:$A$5481,A4098)</f>
        <v>1</v>
      </c>
      <c r="N4098" s="24">
        <f t="shared" ref="N4098:N4161" si="64">J4098+ROW()/10000000</f>
        <v>81.6004098</v>
      </c>
    </row>
    <row r="4099" spans="1:14">
      <c r="A4099" s="21" t="s">
        <v>3868</v>
      </c>
      <c r="B4099" s="21" t="s">
        <v>26</v>
      </c>
      <c r="C4099" s="21" t="s">
        <v>26</v>
      </c>
      <c r="D4099" s="21" t="s">
        <v>921</v>
      </c>
      <c r="E4099" s="21">
        <v>1</v>
      </c>
      <c r="F4099" s="22">
        <v>45593.4128009259</v>
      </c>
      <c r="G4099" s="22"/>
      <c r="H4099" s="23">
        <v>15.9</v>
      </c>
      <c r="I4099" s="23">
        <v>15.9</v>
      </c>
      <c r="J4099" s="24">
        <v>15.9</v>
      </c>
      <c r="K4099" s="21">
        <v>0</v>
      </c>
      <c r="L4099" s="21">
        <v>0</v>
      </c>
      <c r="M4099" s="21">
        <f>COUNTIF($A$2:$A$5481,A4099)</f>
        <v>1</v>
      </c>
      <c r="N4099" s="24">
        <f t="shared" si="64"/>
        <v>15.9004099</v>
      </c>
    </row>
    <row r="4100" spans="1:14">
      <c r="A4100" s="21" t="s">
        <v>3869</v>
      </c>
      <c r="B4100" s="21" t="s">
        <v>920</v>
      </c>
      <c r="C4100" s="21" t="s">
        <v>26</v>
      </c>
      <c r="D4100" s="21" t="s">
        <v>921</v>
      </c>
      <c r="E4100" s="21">
        <v>2</v>
      </c>
      <c r="F4100" s="22">
        <v>46258.5993055556</v>
      </c>
      <c r="G4100" s="22"/>
      <c r="H4100" s="23">
        <v>18.53</v>
      </c>
      <c r="I4100" s="23">
        <v>18.715</v>
      </c>
      <c r="J4100" s="24">
        <v>37.44</v>
      </c>
      <c r="K4100" s="21">
        <v>0</v>
      </c>
      <c r="L4100" s="21">
        <v>0</v>
      </c>
      <c r="M4100" s="21">
        <f>COUNTIF($A$2:$A$5481,A4100)</f>
        <v>1</v>
      </c>
      <c r="N4100" s="24">
        <f t="shared" si="64"/>
        <v>37.44041</v>
      </c>
    </row>
    <row r="4101" spans="1:14">
      <c r="A4101" s="21" t="s">
        <v>3870</v>
      </c>
      <c r="B4101" s="21" t="s">
        <v>920</v>
      </c>
      <c r="C4101" s="21" t="s">
        <v>26</v>
      </c>
      <c r="D4101" s="21" t="s">
        <v>921</v>
      </c>
      <c r="E4101" s="21">
        <v>2</v>
      </c>
      <c r="F4101" s="22">
        <v>46059.5673148148</v>
      </c>
      <c r="G4101" s="22"/>
      <c r="H4101" s="23">
        <v>18.9</v>
      </c>
      <c r="I4101" s="23">
        <v>18.9</v>
      </c>
      <c r="J4101" s="24">
        <v>37.8</v>
      </c>
      <c r="K4101" s="21">
        <v>0</v>
      </c>
      <c r="L4101" s="21">
        <v>0</v>
      </c>
      <c r="M4101" s="21">
        <f>COUNTIF($A$2:$A$5481,A4101)</f>
        <v>1</v>
      </c>
      <c r="N4101" s="24">
        <f t="shared" si="64"/>
        <v>37.8004101</v>
      </c>
    </row>
    <row r="4102" spans="1:14">
      <c r="A4102" s="21" t="s">
        <v>3871</v>
      </c>
      <c r="B4102" s="21" t="s">
        <v>26</v>
      </c>
      <c r="C4102" s="21" t="s">
        <v>26</v>
      </c>
      <c r="D4102" s="21" t="s">
        <v>921</v>
      </c>
      <c r="E4102" s="21">
        <v>1</v>
      </c>
      <c r="F4102" s="22">
        <v>46058.7084837963</v>
      </c>
      <c r="G4102" s="22"/>
      <c r="H4102" s="23">
        <v>18.9</v>
      </c>
      <c r="I4102" s="23">
        <v>18.9</v>
      </c>
      <c r="J4102" s="24">
        <v>18.9</v>
      </c>
      <c r="K4102" s="21">
        <v>0</v>
      </c>
      <c r="L4102" s="21">
        <v>0</v>
      </c>
      <c r="M4102" s="21">
        <f>COUNTIF($A$2:$A$5481,A4102)</f>
        <v>1</v>
      </c>
      <c r="N4102" s="24">
        <f t="shared" si="64"/>
        <v>18.9004102</v>
      </c>
    </row>
    <row r="4103" spans="1:14">
      <c r="A4103" s="21" t="s">
        <v>3872</v>
      </c>
      <c r="B4103" s="21" t="s">
        <v>920</v>
      </c>
      <c r="C4103" s="21" t="s">
        <v>26</v>
      </c>
      <c r="D4103" s="21" t="s">
        <v>921</v>
      </c>
      <c r="E4103" s="21">
        <v>1</v>
      </c>
      <c r="F4103" s="22">
        <v>45512.6583333333</v>
      </c>
      <c r="G4103" s="22"/>
      <c r="H4103" s="23">
        <v>67.9</v>
      </c>
      <c r="I4103" s="23">
        <v>67.9</v>
      </c>
      <c r="J4103" s="24">
        <v>67.9</v>
      </c>
      <c r="K4103" s="21">
        <v>0</v>
      </c>
      <c r="L4103" s="21">
        <v>0</v>
      </c>
      <c r="M4103" s="21">
        <f>COUNTIF($A$2:$A$5481,A4103)</f>
        <v>1</v>
      </c>
      <c r="N4103" s="24">
        <f t="shared" si="64"/>
        <v>67.9004103</v>
      </c>
    </row>
    <row r="4104" spans="1:14">
      <c r="A4104" s="21" t="s">
        <v>3873</v>
      </c>
      <c r="B4104" s="21" t="s">
        <v>26</v>
      </c>
      <c r="C4104" s="21" t="s">
        <v>35</v>
      </c>
      <c r="D4104" s="21" t="s">
        <v>921</v>
      </c>
      <c r="E4104" s="21">
        <v>1</v>
      </c>
      <c r="F4104" s="22">
        <v>45586.3551736111</v>
      </c>
      <c r="G4104" s="22">
        <v>45531.4391782407</v>
      </c>
      <c r="H4104" s="23">
        <v>136.11</v>
      </c>
      <c r="I4104" s="23">
        <v>136.11</v>
      </c>
      <c r="J4104" s="24">
        <v>136.11</v>
      </c>
      <c r="K4104" s="21">
        <v>0</v>
      </c>
      <c r="L4104" s="21">
        <v>0</v>
      </c>
      <c r="M4104" s="21">
        <f>COUNTIF($A$2:$A$5481,A4104)</f>
        <v>1</v>
      </c>
      <c r="N4104" s="24">
        <f t="shared" si="64"/>
        <v>136.1104104</v>
      </c>
    </row>
    <row r="4105" spans="1:14">
      <c r="A4105" s="21" t="s">
        <v>3874</v>
      </c>
      <c r="B4105" s="21" t="s">
        <v>26</v>
      </c>
      <c r="C4105" s="21" t="s">
        <v>35</v>
      </c>
      <c r="D4105" s="21" t="s">
        <v>921</v>
      </c>
      <c r="E4105" s="21">
        <v>1</v>
      </c>
      <c r="F4105" s="22">
        <v>45495.355474537</v>
      </c>
      <c r="G4105" s="22"/>
      <c r="H4105" s="23">
        <v>12.9</v>
      </c>
      <c r="I4105" s="23">
        <v>12.9</v>
      </c>
      <c r="J4105" s="24">
        <v>12.9</v>
      </c>
      <c r="K4105" s="21">
        <v>0</v>
      </c>
      <c r="L4105" s="21">
        <v>0</v>
      </c>
      <c r="M4105" s="21">
        <f>COUNTIF($A$2:$A$5481,A4105)</f>
        <v>1</v>
      </c>
      <c r="N4105" s="24">
        <f t="shared" si="64"/>
        <v>12.9004105</v>
      </c>
    </row>
    <row r="4106" spans="1:14">
      <c r="A4106" s="21" t="s">
        <v>3875</v>
      </c>
      <c r="B4106" s="21" t="s">
        <v>26</v>
      </c>
      <c r="C4106" s="21" t="s">
        <v>35</v>
      </c>
      <c r="D4106" s="21" t="s">
        <v>921</v>
      </c>
      <c r="E4106" s="21">
        <v>2</v>
      </c>
      <c r="F4106" s="22">
        <v>45495.355474537</v>
      </c>
      <c r="G4106" s="22"/>
      <c r="H4106" s="23">
        <v>50</v>
      </c>
      <c r="I4106" s="23">
        <v>25</v>
      </c>
      <c r="J4106" s="24">
        <v>50</v>
      </c>
      <c r="K4106" s="21">
        <v>0</v>
      </c>
      <c r="L4106" s="21">
        <v>0</v>
      </c>
      <c r="M4106" s="21">
        <f>COUNTIF($A$2:$A$5481,A4106)</f>
        <v>1</v>
      </c>
      <c r="N4106" s="24">
        <f t="shared" si="64"/>
        <v>50.0004106</v>
      </c>
    </row>
    <row r="4107" spans="1:14">
      <c r="A4107" s="21" t="s">
        <v>3876</v>
      </c>
      <c r="B4107" s="21" t="s">
        <v>26</v>
      </c>
      <c r="C4107" s="21" t="s">
        <v>35</v>
      </c>
      <c r="D4107" s="21" t="s">
        <v>921</v>
      </c>
      <c r="E4107" s="21">
        <v>1</v>
      </c>
      <c r="F4107" s="22">
        <v>45495.355474537</v>
      </c>
      <c r="G4107" s="22"/>
      <c r="H4107" s="23">
        <v>29</v>
      </c>
      <c r="I4107" s="23">
        <v>29</v>
      </c>
      <c r="J4107" s="24">
        <v>29</v>
      </c>
      <c r="K4107" s="21">
        <v>0</v>
      </c>
      <c r="L4107" s="21">
        <v>0</v>
      </c>
      <c r="M4107" s="21">
        <f>COUNTIF($A$2:$A$5481,A4107)</f>
        <v>1</v>
      </c>
      <c r="N4107" s="24">
        <f t="shared" si="64"/>
        <v>29.0004107</v>
      </c>
    </row>
    <row r="4108" spans="1:14">
      <c r="A4108" s="21" t="s">
        <v>3877</v>
      </c>
      <c r="B4108" s="21" t="s">
        <v>920</v>
      </c>
      <c r="C4108" s="21" t="s">
        <v>26</v>
      </c>
      <c r="D4108" s="21" t="s">
        <v>921</v>
      </c>
      <c r="E4108" s="21">
        <v>1</v>
      </c>
      <c r="F4108" s="22">
        <v>45897.8203240741</v>
      </c>
      <c r="G4108" s="22"/>
      <c r="H4108" s="23">
        <v>19.11</v>
      </c>
      <c r="I4108" s="23">
        <v>19.11</v>
      </c>
      <c r="J4108" s="24">
        <v>19.11</v>
      </c>
      <c r="K4108" s="21">
        <v>0</v>
      </c>
      <c r="L4108" s="21">
        <v>0</v>
      </c>
      <c r="M4108" s="21">
        <f>COUNTIF($A$2:$A$5481,A4108)</f>
        <v>1</v>
      </c>
      <c r="N4108" s="24">
        <f t="shared" si="64"/>
        <v>19.1104108</v>
      </c>
    </row>
    <row r="4109" spans="1:14">
      <c r="A4109" s="21" t="s">
        <v>3878</v>
      </c>
      <c r="B4109" s="21" t="s">
        <v>26</v>
      </c>
      <c r="C4109" s="21" t="s">
        <v>26</v>
      </c>
      <c r="D4109" s="21" t="s">
        <v>921</v>
      </c>
      <c r="E4109" s="21">
        <v>1</v>
      </c>
      <c r="F4109" s="22">
        <v>45545.7054976852</v>
      </c>
      <c r="G4109" s="22"/>
      <c r="H4109" s="23">
        <v>35</v>
      </c>
      <c r="I4109" s="23">
        <v>35</v>
      </c>
      <c r="J4109" s="24">
        <v>35</v>
      </c>
      <c r="K4109" s="21">
        <v>0</v>
      </c>
      <c r="L4109" s="21">
        <v>0</v>
      </c>
      <c r="M4109" s="21">
        <f>COUNTIF($A$2:$A$5481,A4109)</f>
        <v>1</v>
      </c>
      <c r="N4109" s="24">
        <f t="shared" si="64"/>
        <v>35.0004109</v>
      </c>
    </row>
    <row r="4110" spans="1:14">
      <c r="A4110" s="21" t="s">
        <v>3879</v>
      </c>
      <c r="B4110" s="21" t="s">
        <v>26</v>
      </c>
      <c r="C4110" s="21" t="s">
        <v>26</v>
      </c>
      <c r="D4110" s="21" t="s">
        <v>921</v>
      </c>
      <c r="E4110" s="21">
        <v>2</v>
      </c>
      <c r="F4110" s="22">
        <v>45700.5891203704</v>
      </c>
      <c r="G4110" s="22"/>
      <c r="H4110" s="23">
        <v>31.9</v>
      </c>
      <c r="I4110" s="23">
        <v>30.4</v>
      </c>
      <c r="J4110" s="24">
        <v>60.8</v>
      </c>
      <c r="K4110" s="21">
        <v>0</v>
      </c>
      <c r="L4110" s="21">
        <v>0</v>
      </c>
      <c r="M4110" s="21">
        <f>COUNTIF($A$2:$A$5481,A4110)</f>
        <v>1</v>
      </c>
      <c r="N4110" s="24">
        <f t="shared" si="64"/>
        <v>60.800411</v>
      </c>
    </row>
    <row r="4111" spans="1:14">
      <c r="A4111" s="21" t="s">
        <v>3880</v>
      </c>
      <c r="B4111" s="21" t="s">
        <v>26</v>
      </c>
      <c r="C4111" s="21" t="s">
        <v>26</v>
      </c>
      <c r="D4111" s="21" t="s">
        <v>921</v>
      </c>
      <c r="E4111" s="21">
        <v>2</v>
      </c>
      <c r="F4111" s="22">
        <v>45729.5604513889</v>
      </c>
      <c r="G4111" s="22"/>
      <c r="H4111" s="23">
        <v>37</v>
      </c>
      <c r="I4111" s="23">
        <v>71.235</v>
      </c>
      <c r="J4111" s="24">
        <v>142.48</v>
      </c>
      <c r="K4111" s="21">
        <v>0</v>
      </c>
      <c r="L4111" s="21">
        <v>0</v>
      </c>
      <c r="M4111" s="21">
        <f>COUNTIF($A$2:$A$5481,A4111)</f>
        <v>1</v>
      </c>
      <c r="N4111" s="24">
        <f t="shared" si="64"/>
        <v>142.4804111</v>
      </c>
    </row>
    <row r="4112" spans="1:14">
      <c r="A4112" s="21" t="s">
        <v>825</v>
      </c>
      <c r="B4112" s="21" t="s">
        <v>1115</v>
      </c>
      <c r="C4112" s="21" t="s">
        <v>26</v>
      </c>
      <c r="D4112" s="21" t="s">
        <v>921</v>
      </c>
      <c r="E4112" s="21">
        <v>0</v>
      </c>
      <c r="F4112" s="22">
        <v>46258.6006944445</v>
      </c>
      <c r="G4112" s="22">
        <v>46265.5834953704</v>
      </c>
      <c r="H4112" s="23">
        <v>25.05</v>
      </c>
      <c r="I4112" s="23">
        <v>25.05</v>
      </c>
      <c r="J4112" s="24">
        <v>0</v>
      </c>
      <c r="K4112" s="21">
        <v>0</v>
      </c>
      <c r="L4112" s="21">
        <v>0</v>
      </c>
      <c r="M4112" s="21">
        <f>COUNTIF($A$2:$A$5481,A4112)</f>
        <v>1</v>
      </c>
      <c r="N4112" s="24">
        <f t="shared" si="64"/>
        <v>0.0004112</v>
      </c>
    </row>
    <row r="4113" spans="1:14">
      <c r="A4113" s="21" t="s">
        <v>3881</v>
      </c>
      <c r="B4113" s="21" t="s">
        <v>920</v>
      </c>
      <c r="C4113" s="21" t="s">
        <v>26</v>
      </c>
      <c r="D4113" s="21" t="s">
        <v>921</v>
      </c>
      <c r="E4113" s="21">
        <v>1</v>
      </c>
      <c r="F4113" s="22">
        <v>45727.7135532407</v>
      </c>
      <c r="G4113" s="22"/>
      <c r="H4113" s="23">
        <v>39</v>
      </c>
      <c r="I4113" s="23">
        <v>39</v>
      </c>
      <c r="J4113" s="24">
        <v>39</v>
      </c>
      <c r="K4113" s="21">
        <v>0</v>
      </c>
      <c r="L4113" s="21">
        <v>0</v>
      </c>
      <c r="M4113" s="21">
        <f>COUNTIF($A$2:$A$5481,A4113)</f>
        <v>1</v>
      </c>
      <c r="N4113" s="24">
        <f t="shared" si="64"/>
        <v>39.0004113</v>
      </c>
    </row>
    <row r="4114" spans="1:14">
      <c r="A4114" s="21" t="s">
        <v>582</v>
      </c>
      <c r="B4114" s="21" t="s">
        <v>26</v>
      </c>
      <c r="C4114" s="21" t="s">
        <v>26</v>
      </c>
      <c r="D4114" s="21" t="s">
        <v>921</v>
      </c>
      <c r="E4114" s="21">
        <v>0</v>
      </c>
      <c r="F4114" s="22">
        <v>45615.3644097222</v>
      </c>
      <c r="G4114" s="22">
        <v>46251.7558217593</v>
      </c>
      <c r="H4114" s="23">
        <v>786.78</v>
      </c>
      <c r="I4114" s="23">
        <v>262.26</v>
      </c>
      <c r="J4114" s="24">
        <v>0</v>
      </c>
      <c r="K4114" s="21">
        <v>0</v>
      </c>
      <c r="L4114" s="21">
        <v>0</v>
      </c>
      <c r="M4114" s="21">
        <f>COUNTIF($A$2:$A$5481,A4114)</f>
        <v>1</v>
      </c>
      <c r="N4114" s="24">
        <f t="shared" si="64"/>
        <v>0.0004114</v>
      </c>
    </row>
    <row r="4115" spans="1:14">
      <c r="A4115" s="21" t="s">
        <v>581</v>
      </c>
      <c r="B4115" s="21" t="s">
        <v>920</v>
      </c>
      <c r="C4115" s="21" t="s">
        <v>26</v>
      </c>
      <c r="D4115" s="21" t="s">
        <v>921</v>
      </c>
      <c r="E4115" s="21">
        <v>0</v>
      </c>
      <c r="F4115" s="22">
        <v>46118.6288194444</v>
      </c>
      <c r="G4115" s="22">
        <v>46251.7558101852</v>
      </c>
      <c r="H4115" s="23">
        <v>89.93</v>
      </c>
      <c r="I4115" s="23">
        <v>93.12</v>
      </c>
      <c r="J4115" s="24">
        <v>0</v>
      </c>
      <c r="K4115" s="21">
        <v>0</v>
      </c>
      <c r="L4115" s="21">
        <v>0</v>
      </c>
      <c r="M4115" s="21">
        <f>COUNTIF($A$2:$A$5481,A4115)</f>
        <v>1</v>
      </c>
      <c r="N4115" s="24">
        <f t="shared" si="64"/>
        <v>0.0004115</v>
      </c>
    </row>
    <row r="4116" spans="1:14">
      <c r="A4116" s="21" t="s">
        <v>580</v>
      </c>
      <c r="B4116" s="21" t="s">
        <v>929</v>
      </c>
      <c r="C4116" s="21" t="s">
        <v>182</v>
      </c>
      <c r="D4116" s="21" t="s">
        <v>921</v>
      </c>
      <c r="E4116" s="21">
        <v>1</v>
      </c>
      <c r="F4116" s="22">
        <v>45307.4363888889</v>
      </c>
      <c r="G4116" s="22"/>
      <c r="H4116" s="23">
        <v>285.9</v>
      </c>
      <c r="I4116" s="23">
        <v>285.9</v>
      </c>
      <c r="J4116" s="24">
        <v>285.9</v>
      </c>
      <c r="K4116" s="21">
        <v>0</v>
      </c>
      <c r="L4116" s="21">
        <v>10</v>
      </c>
      <c r="M4116" s="21">
        <f>COUNTIF($A$2:$A$5481,A4116)</f>
        <v>3</v>
      </c>
      <c r="N4116" s="24">
        <f t="shared" si="64"/>
        <v>285.9004116</v>
      </c>
    </row>
    <row r="4117" spans="1:14">
      <c r="A4117" s="21" t="s">
        <v>580</v>
      </c>
      <c r="B4117" s="21" t="s">
        <v>929</v>
      </c>
      <c r="C4117" s="21" t="s">
        <v>414</v>
      </c>
      <c r="D4117" s="21" t="s">
        <v>921</v>
      </c>
      <c r="E4117" s="21">
        <v>1</v>
      </c>
      <c r="F4117" s="22">
        <v>45307.8565972222</v>
      </c>
      <c r="G4117" s="22"/>
      <c r="H4117" s="23">
        <v>263.03</v>
      </c>
      <c r="I4117" s="23">
        <v>263.03</v>
      </c>
      <c r="J4117" s="24">
        <v>263.03</v>
      </c>
      <c r="K4117" s="21">
        <v>0</v>
      </c>
      <c r="L4117" s="21">
        <v>10</v>
      </c>
      <c r="M4117" s="21">
        <f>COUNTIF($A$2:$A$5481,A4117)</f>
        <v>3</v>
      </c>
      <c r="N4117" s="24">
        <f t="shared" si="64"/>
        <v>263.0304117</v>
      </c>
    </row>
    <row r="4118" spans="1:14">
      <c r="A4118" s="21" t="s">
        <v>580</v>
      </c>
      <c r="B4118" s="21" t="s">
        <v>929</v>
      </c>
      <c r="C4118" s="21" t="s">
        <v>26</v>
      </c>
      <c r="D4118" s="21" t="s">
        <v>921</v>
      </c>
      <c r="E4118" s="21">
        <v>0</v>
      </c>
      <c r="F4118" s="22">
        <v>46029.5278819444</v>
      </c>
      <c r="G4118" s="22">
        <v>46251.7557986111</v>
      </c>
      <c r="H4118" s="23">
        <v>909.96</v>
      </c>
      <c r="I4118" s="23">
        <v>303.32</v>
      </c>
      <c r="J4118" s="24">
        <v>0</v>
      </c>
      <c r="K4118" s="21">
        <v>0</v>
      </c>
      <c r="L4118" s="21">
        <v>10</v>
      </c>
      <c r="M4118" s="21">
        <f>COUNTIF($A$2:$A$5481,A4118)</f>
        <v>3</v>
      </c>
      <c r="N4118" s="24">
        <f t="shared" si="64"/>
        <v>0.0004118</v>
      </c>
    </row>
    <row r="4119" spans="1:14">
      <c r="A4119" s="21" t="s">
        <v>579</v>
      </c>
      <c r="B4119" s="21" t="s">
        <v>26</v>
      </c>
      <c r="C4119" s="21" t="s">
        <v>26</v>
      </c>
      <c r="D4119" s="21" t="s">
        <v>921</v>
      </c>
      <c r="E4119" s="21">
        <v>0</v>
      </c>
      <c r="F4119" s="22">
        <v>46078.5484837963</v>
      </c>
      <c r="G4119" s="22">
        <v>46251.755787037</v>
      </c>
      <c r="H4119" s="23">
        <v>142.56</v>
      </c>
      <c r="I4119" s="23">
        <v>155.095</v>
      </c>
      <c r="J4119" s="24">
        <v>0</v>
      </c>
      <c r="K4119" s="21">
        <v>0</v>
      </c>
      <c r="L4119" s="21">
        <v>0</v>
      </c>
      <c r="M4119" s="21">
        <f>COUNTIF($A$2:$A$5481,A4119)</f>
        <v>1</v>
      </c>
      <c r="N4119" s="24">
        <f t="shared" si="64"/>
        <v>0.0004119</v>
      </c>
    </row>
    <row r="4120" spans="1:14">
      <c r="A4120" s="21" t="s">
        <v>578</v>
      </c>
      <c r="B4120" s="21" t="s">
        <v>26</v>
      </c>
      <c r="C4120" s="21" t="s">
        <v>26</v>
      </c>
      <c r="D4120" s="21" t="s">
        <v>921</v>
      </c>
      <c r="E4120" s="21">
        <v>0</v>
      </c>
      <c r="F4120" s="22">
        <v>45663.7290393519</v>
      </c>
      <c r="G4120" s="22">
        <v>46251.755775463</v>
      </c>
      <c r="H4120" s="23">
        <v>102.55</v>
      </c>
      <c r="I4120" s="23">
        <v>102.55</v>
      </c>
      <c r="J4120" s="24">
        <v>0</v>
      </c>
      <c r="K4120" s="21">
        <v>0</v>
      </c>
      <c r="L4120" s="21">
        <v>0</v>
      </c>
      <c r="M4120" s="21">
        <f>COUNTIF($A$2:$A$5481,A4120)</f>
        <v>1</v>
      </c>
      <c r="N4120" s="24">
        <f t="shared" si="64"/>
        <v>0.000412</v>
      </c>
    </row>
    <row r="4121" spans="1:14">
      <c r="A4121" s="21" t="s">
        <v>3882</v>
      </c>
      <c r="B4121" s="21" t="s">
        <v>920</v>
      </c>
      <c r="C4121" s="21" t="s">
        <v>26</v>
      </c>
      <c r="D4121" s="21" t="s">
        <v>921</v>
      </c>
      <c r="E4121" s="21">
        <v>1</v>
      </c>
      <c r="F4121" s="22">
        <v>45415.3061458333</v>
      </c>
      <c r="G4121" s="22"/>
      <c r="H4121" s="23">
        <v>622.15</v>
      </c>
      <c r="I4121" s="23">
        <v>622.15</v>
      </c>
      <c r="J4121" s="24">
        <v>622.15</v>
      </c>
      <c r="K4121" s="21">
        <v>0</v>
      </c>
      <c r="L4121" s="21">
        <v>0</v>
      </c>
      <c r="M4121" s="21">
        <f>COUNTIF($A$2:$A$5481,A4121)</f>
        <v>1</v>
      </c>
      <c r="N4121" s="24">
        <f t="shared" si="64"/>
        <v>622.1504121</v>
      </c>
    </row>
    <row r="4122" spans="1:14">
      <c r="A4122" s="21" t="s">
        <v>3883</v>
      </c>
      <c r="B4122" s="21" t="s">
        <v>929</v>
      </c>
      <c r="C4122" s="21" t="s">
        <v>182</v>
      </c>
      <c r="D4122" s="21" t="s">
        <v>921</v>
      </c>
      <c r="E4122" s="21">
        <v>1</v>
      </c>
      <c r="F4122" s="22">
        <v>45306.8414583333</v>
      </c>
      <c r="G4122" s="22"/>
      <c r="H4122" s="23">
        <v>443.52</v>
      </c>
      <c r="I4122" s="23">
        <v>443.52</v>
      </c>
      <c r="J4122" s="24">
        <v>443.52</v>
      </c>
      <c r="K4122" s="21">
        <v>0</v>
      </c>
      <c r="L4122" s="21">
        <v>10</v>
      </c>
      <c r="M4122" s="21">
        <f>COUNTIF($A$2:$A$5481,A4122)</f>
        <v>2</v>
      </c>
      <c r="N4122" s="24">
        <f t="shared" si="64"/>
        <v>443.5204122</v>
      </c>
    </row>
    <row r="4123" spans="1:14">
      <c r="A4123" s="21" t="s">
        <v>3883</v>
      </c>
      <c r="B4123" s="21" t="s">
        <v>929</v>
      </c>
      <c r="C4123" s="21" t="s">
        <v>26</v>
      </c>
      <c r="D4123" s="21" t="s">
        <v>921</v>
      </c>
      <c r="E4123" s="21">
        <v>2</v>
      </c>
      <c r="F4123" s="22">
        <v>46066.5843518519</v>
      </c>
      <c r="G4123" s="22"/>
      <c r="H4123" s="23">
        <v>417.12</v>
      </c>
      <c r="I4123" s="23">
        <v>486.09</v>
      </c>
      <c r="J4123" s="24">
        <v>972.18</v>
      </c>
      <c r="K4123" s="21">
        <v>0</v>
      </c>
      <c r="L4123" s="21">
        <v>10</v>
      </c>
      <c r="M4123" s="21">
        <f>COUNTIF($A$2:$A$5481,A4123)</f>
        <v>2</v>
      </c>
      <c r="N4123" s="24">
        <f t="shared" si="64"/>
        <v>972.1804123</v>
      </c>
    </row>
    <row r="4124" spans="1:14">
      <c r="A4124" s="21" t="s">
        <v>3884</v>
      </c>
      <c r="B4124" s="21" t="s">
        <v>920</v>
      </c>
      <c r="C4124" s="21" t="s">
        <v>26</v>
      </c>
      <c r="D4124" s="21" t="s">
        <v>921</v>
      </c>
      <c r="E4124" s="21">
        <v>4</v>
      </c>
      <c r="F4124" s="22">
        <v>46238.5472222222</v>
      </c>
      <c r="G4124" s="22"/>
      <c r="H4124" s="23">
        <v>362.1</v>
      </c>
      <c r="I4124" s="23">
        <v>163.535</v>
      </c>
      <c r="J4124" s="24">
        <v>654.16</v>
      </c>
      <c r="K4124" s="21">
        <v>0</v>
      </c>
      <c r="L4124" s="21">
        <v>0</v>
      </c>
      <c r="M4124" s="21">
        <f>COUNTIF($A$2:$A$5481,A4124)</f>
        <v>1</v>
      </c>
      <c r="N4124" s="24">
        <f t="shared" si="64"/>
        <v>654.1604124</v>
      </c>
    </row>
    <row r="4125" spans="1:14">
      <c r="A4125" s="21" t="s">
        <v>577</v>
      </c>
      <c r="B4125" s="21" t="s">
        <v>929</v>
      </c>
      <c r="C4125" s="21" t="s">
        <v>35</v>
      </c>
      <c r="D4125" s="21" t="s">
        <v>921</v>
      </c>
      <c r="E4125" s="21">
        <v>2</v>
      </c>
      <c r="F4125" s="22">
        <v>45384.4604166667</v>
      </c>
      <c r="G4125" s="22"/>
      <c r="H4125" s="23">
        <v>409.98</v>
      </c>
      <c r="I4125" s="23">
        <v>204.99</v>
      </c>
      <c r="J4125" s="24">
        <v>409.98</v>
      </c>
      <c r="K4125" s="21">
        <v>0</v>
      </c>
      <c r="L4125" s="21">
        <v>0</v>
      </c>
      <c r="M4125" s="21">
        <f>COUNTIF($A$2:$A$5481,A4125)</f>
        <v>2</v>
      </c>
      <c r="N4125" s="24">
        <f t="shared" si="64"/>
        <v>409.9804125</v>
      </c>
    </row>
    <row r="4126" spans="1:14">
      <c r="A4126" s="21" t="s">
        <v>577</v>
      </c>
      <c r="B4126" s="21" t="s">
        <v>929</v>
      </c>
      <c r="C4126" s="21" t="s">
        <v>26</v>
      </c>
      <c r="D4126" s="21" t="s">
        <v>921</v>
      </c>
      <c r="E4126" s="21">
        <v>0</v>
      </c>
      <c r="F4126" s="22">
        <v>45464.7514699074</v>
      </c>
      <c r="G4126" s="22">
        <v>46251.7557638889</v>
      </c>
      <c r="H4126" s="23">
        <v>432.56</v>
      </c>
      <c r="I4126" s="23">
        <v>216.28</v>
      </c>
      <c r="J4126" s="24">
        <v>0</v>
      </c>
      <c r="K4126" s="21">
        <v>0</v>
      </c>
      <c r="L4126" s="21">
        <v>0</v>
      </c>
      <c r="M4126" s="21">
        <f>COUNTIF($A$2:$A$5481,A4126)</f>
        <v>2</v>
      </c>
      <c r="N4126" s="24">
        <f t="shared" si="64"/>
        <v>0.0004126</v>
      </c>
    </row>
    <row r="4127" spans="1:14">
      <c r="A4127" s="21" t="s">
        <v>3885</v>
      </c>
      <c r="B4127" s="21" t="s">
        <v>26</v>
      </c>
      <c r="C4127" s="21" t="s">
        <v>26</v>
      </c>
      <c r="D4127" s="21" t="s">
        <v>921</v>
      </c>
      <c r="E4127" s="21">
        <v>1</v>
      </c>
      <c r="F4127" s="22">
        <v>46155.4430555556</v>
      </c>
      <c r="G4127" s="22"/>
      <c r="H4127" s="23">
        <v>308.22</v>
      </c>
      <c r="I4127" s="23">
        <v>308.22</v>
      </c>
      <c r="J4127" s="24">
        <v>308.22</v>
      </c>
      <c r="K4127" s="21">
        <v>0</v>
      </c>
      <c r="L4127" s="21">
        <v>0</v>
      </c>
      <c r="M4127" s="21">
        <f>COUNTIF($A$2:$A$5481,A4127)</f>
        <v>1</v>
      </c>
      <c r="N4127" s="24">
        <f t="shared" si="64"/>
        <v>308.2204127</v>
      </c>
    </row>
    <row r="4128" spans="1:14">
      <c r="A4128" s="21" t="s">
        <v>576</v>
      </c>
      <c r="B4128" s="21" t="s">
        <v>920</v>
      </c>
      <c r="C4128" s="21" t="s">
        <v>35</v>
      </c>
      <c r="D4128" s="21" t="s">
        <v>921</v>
      </c>
      <c r="E4128" s="21">
        <v>4</v>
      </c>
      <c r="F4128" s="22">
        <v>45372.8360185185</v>
      </c>
      <c r="G4128" s="22"/>
      <c r="H4128" s="23">
        <v>1183.92</v>
      </c>
      <c r="I4128" s="23">
        <v>295.98</v>
      </c>
      <c r="J4128" s="24">
        <v>1183.92</v>
      </c>
      <c r="K4128" s="21">
        <v>0</v>
      </c>
      <c r="L4128" s="21">
        <v>0</v>
      </c>
      <c r="M4128" s="21">
        <f>COUNTIF($A$2:$A$5481,A4128)</f>
        <v>2</v>
      </c>
      <c r="N4128" s="24">
        <f t="shared" si="64"/>
        <v>1183.9204128</v>
      </c>
    </row>
    <row r="4129" spans="1:14">
      <c r="A4129" s="21" t="s">
        <v>576</v>
      </c>
      <c r="B4129" s="21" t="s">
        <v>920</v>
      </c>
      <c r="C4129" s="21" t="s">
        <v>26</v>
      </c>
      <c r="D4129" s="21" t="s">
        <v>921</v>
      </c>
      <c r="E4129" s="21">
        <v>0</v>
      </c>
      <c r="F4129" s="22">
        <v>45456.8044212963</v>
      </c>
      <c r="G4129" s="22">
        <v>46251.7557523148</v>
      </c>
      <c r="H4129" s="23">
        <v>1183.92</v>
      </c>
      <c r="I4129" s="23">
        <v>295.98</v>
      </c>
      <c r="J4129" s="24">
        <v>0</v>
      </c>
      <c r="K4129" s="21">
        <v>0</v>
      </c>
      <c r="L4129" s="21">
        <v>0</v>
      </c>
      <c r="M4129" s="21">
        <f>COUNTIF($A$2:$A$5481,A4129)</f>
        <v>2</v>
      </c>
      <c r="N4129" s="24">
        <f t="shared" si="64"/>
        <v>0.0004129</v>
      </c>
    </row>
    <row r="4130" spans="1:14">
      <c r="A4130" s="21" t="s">
        <v>573</v>
      </c>
      <c r="B4130" s="21" t="s">
        <v>929</v>
      </c>
      <c r="C4130" s="21" t="s">
        <v>26</v>
      </c>
      <c r="D4130" s="21" t="s">
        <v>921</v>
      </c>
      <c r="E4130" s="21">
        <v>0</v>
      </c>
      <c r="F4130" s="22">
        <v>45933.5653935185</v>
      </c>
      <c r="G4130" s="22">
        <v>46251.7557175926</v>
      </c>
      <c r="H4130" s="23">
        <v>3141.06</v>
      </c>
      <c r="I4130" s="23">
        <v>538.4879245283</v>
      </c>
      <c r="J4130" s="24">
        <v>0</v>
      </c>
      <c r="K4130" s="21">
        <v>0</v>
      </c>
      <c r="L4130" s="21">
        <v>0</v>
      </c>
      <c r="M4130" s="21">
        <f>COUNTIF($A$2:$A$5481,A4130)</f>
        <v>1</v>
      </c>
      <c r="N4130" s="24">
        <f t="shared" si="64"/>
        <v>0.000413</v>
      </c>
    </row>
    <row r="4131" spans="1:14">
      <c r="A4131" s="21" t="s">
        <v>575</v>
      </c>
      <c r="B4131" s="21" t="s">
        <v>920</v>
      </c>
      <c r="C4131" s="21" t="s">
        <v>26</v>
      </c>
      <c r="D4131" s="21" t="s">
        <v>921</v>
      </c>
      <c r="E4131" s="21">
        <v>0</v>
      </c>
      <c r="F4131" s="22">
        <v>45560.7130902778</v>
      </c>
      <c r="G4131" s="22">
        <v>46251.7557407407</v>
      </c>
      <c r="H4131" s="23">
        <v>362</v>
      </c>
      <c r="I4131" s="23">
        <v>362</v>
      </c>
      <c r="J4131" s="24">
        <v>0</v>
      </c>
      <c r="K4131" s="21">
        <v>0</v>
      </c>
      <c r="L4131" s="21">
        <v>0</v>
      </c>
      <c r="M4131" s="21">
        <f>COUNTIF($A$2:$A$5481,A4131)</f>
        <v>1</v>
      </c>
      <c r="N4131" s="24">
        <f t="shared" si="64"/>
        <v>0.0004131</v>
      </c>
    </row>
    <row r="4132" spans="1:14">
      <c r="A4132" s="21" t="s">
        <v>574</v>
      </c>
      <c r="B4132" s="21" t="s">
        <v>920</v>
      </c>
      <c r="C4132" s="21" t="s">
        <v>26</v>
      </c>
      <c r="D4132" s="21" t="s">
        <v>921</v>
      </c>
      <c r="E4132" s="21">
        <v>0</v>
      </c>
      <c r="F4132" s="22">
        <v>46225.6383449074</v>
      </c>
      <c r="G4132" s="22">
        <v>46251.7557291667</v>
      </c>
      <c r="H4132" s="23">
        <v>5103.72</v>
      </c>
      <c r="I4132" s="23">
        <v>687.8991666667</v>
      </c>
      <c r="J4132" s="24">
        <v>0</v>
      </c>
      <c r="K4132" s="21">
        <v>0</v>
      </c>
      <c r="L4132" s="21">
        <v>0</v>
      </c>
      <c r="M4132" s="21">
        <f>COUNTIF($A$2:$A$5481,A4132)</f>
        <v>1</v>
      </c>
      <c r="N4132" s="24">
        <f t="shared" si="64"/>
        <v>0.0004132</v>
      </c>
    </row>
    <row r="4133" spans="1:14">
      <c r="A4133" s="21" t="s">
        <v>572</v>
      </c>
      <c r="B4133" s="21" t="s">
        <v>26</v>
      </c>
      <c r="C4133" s="21" t="s">
        <v>26</v>
      </c>
      <c r="D4133" s="21" t="s">
        <v>921</v>
      </c>
      <c r="E4133" s="21">
        <v>0</v>
      </c>
      <c r="F4133" s="22">
        <v>46211.5315509259</v>
      </c>
      <c r="G4133" s="22">
        <v>46251.7557060185</v>
      </c>
      <c r="H4133" s="23">
        <v>1247.73</v>
      </c>
      <c r="I4133" s="23">
        <v>366.131</v>
      </c>
      <c r="J4133" s="24">
        <v>0</v>
      </c>
      <c r="K4133" s="21">
        <v>0</v>
      </c>
      <c r="L4133" s="21">
        <v>0</v>
      </c>
      <c r="M4133" s="21">
        <f>COUNTIF($A$2:$A$5481,A4133)</f>
        <v>1</v>
      </c>
      <c r="N4133" s="24">
        <f t="shared" si="64"/>
        <v>0.0004133</v>
      </c>
    </row>
    <row r="4134" spans="1:14">
      <c r="A4134" s="21" t="s">
        <v>3886</v>
      </c>
      <c r="B4134" s="21" t="s">
        <v>26</v>
      </c>
      <c r="C4134" s="21" t="s">
        <v>26</v>
      </c>
      <c r="D4134" s="21" t="s">
        <v>921</v>
      </c>
      <c r="E4134" s="21">
        <v>2</v>
      </c>
      <c r="F4134" s="22">
        <v>46161.4104166667</v>
      </c>
      <c r="G4134" s="22"/>
      <c r="H4134" s="23">
        <v>51.98</v>
      </c>
      <c r="I4134" s="23">
        <v>25.99</v>
      </c>
      <c r="J4134" s="24">
        <v>51.98</v>
      </c>
      <c r="K4134" s="21">
        <v>0</v>
      </c>
      <c r="L4134" s="21">
        <v>0</v>
      </c>
      <c r="M4134" s="21">
        <f>COUNTIF($A$2:$A$5481,A4134)</f>
        <v>1</v>
      </c>
      <c r="N4134" s="24">
        <f t="shared" si="64"/>
        <v>51.9804134</v>
      </c>
    </row>
    <row r="4135" spans="1:14">
      <c r="A4135" s="21" t="s">
        <v>555</v>
      </c>
      <c r="B4135" s="21" t="s">
        <v>920</v>
      </c>
      <c r="C4135" s="21" t="s">
        <v>35</v>
      </c>
      <c r="D4135" s="21" t="s">
        <v>921</v>
      </c>
      <c r="E4135" s="21">
        <v>10</v>
      </c>
      <c r="F4135" s="22">
        <v>45271.7300115741</v>
      </c>
      <c r="G4135" s="22"/>
      <c r="H4135" s="23">
        <v>212</v>
      </c>
      <c r="I4135" s="23">
        <v>21.2</v>
      </c>
      <c r="J4135" s="24">
        <v>212</v>
      </c>
      <c r="K4135" s="21">
        <v>0</v>
      </c>
      <c r="L4135" s="21">
        <v>0</v>
      </c>
      <c r="M4135" s="21">
        <f>COUNTIF($A$2:$A$5481,A4135)</f>
        <v>2</v>
      </c>
      <c r="N4135" s="24">
        <f t="shared" si="64"/>
        <v>212.0004135</v>
      </c>
    </row>
    <row r="4136" spans="1:14">
      <c r="A4136" s="21" t="s">
        <v>555</v>
      </c>
      <c r="B4136" s="21" t="s">
        <v>920</v>
      </c>
      <c r="C4136" s="21" t="s">
        <v>26</v>
      </c>
      <c r="D4136" s="21" t="s">
        <v>921</v>
      </c>
      <c r="E4136" s="21">
        <v>0</v>
      </c>
      <c r="F4136" s="22">
        <v>45945.7168865741</v>
      </c>
      <c r="G4136" s="22">
        <v>46251.7296296296</v>
      </c>
      <c r="H4136" s="23">
        <v>180</v>
      </c>
      <c r="I4136" s="23">
        <v>34.0657142857</v>
      </c>
      <c r="J4136" s="24">
        <v>0</v>
      </c>
      <c r="K4136" s="21">
        <v>0</v>
      </c>
      <c r="L4136" s="21">
        <v>0</v>
      </c>
      <c r="M4136" s="21">
        <f>COUNTIF($A$2:$A$5481,A4136)</f>
        <v>2</v>
      </c>
      <c r="N4136" s="24">
        <f t="shared" si="64"/>
        <v>0.0004136</v>
      </c>
    </row>
    <row r="4137" spans="1:14">
      <c r="A4137" s="21" t="s">
        <v>3887</v>
      </c>
      <c r="B4137" s="21" t="s">
        <v>949</v>
      </c>
      <c r="C4137" s="21" t="s">
        <v>182</v>
      </c>
      <c r="D4137" s="21" t="s">
        <v>921</v>
      </c>
      <c r="E4137" s="21">
        <v>0</v>
      </c>
      <c r="F4137" s="22">
        <v>45307.3745601852</v>
      </c>
      <c r="G4137" s="22">
        <v>45310.4236805556</v>
      </c>
      <c r="H4137" s="23">
        <v>56.8295</v>
      </c>
      <c r="I4137" s="23">
        <v>12.49</v>
      </c>
      <c r="J4137" s="24">
        <v>0</v>
      </c>
      <c r="K4137" s="21">
        <v>0</v>
      </c>
      <c r="L4137" s="21">
        <v>0</v>
      </c>
      <c r="M4137" s="21">
        <f>COUNTIF($A$2:$A$5481,A4137)</f>
        <v>2</v>
      </c>
      <c r="N4137" s="24">
        <f t="shared" si="64"/>
        <v>0.0004137</v>
      </c>
    </row>
    <row r="4138" spans="1:14">
      <c r="A4138" s="21" t="s">
        <v>3887</v>
      </c>
      <c r="B4138" s="21" t="s">
        <v>949</v>
      </c>
      <c r="C4138" s="21" t="s">
        <v>26</v>
      </c>
      <c r="D4138" s="21" t="s">
        <v>921</v>
      </c>
      <c r="E4138" s="21">
        <v>13</v>
      </c>
      <c r="F4138" s="22">
        <v>45338.3729166667</v>
      </c>
      <c r="G4138" s="22"/>
      <c r="H4138" s="23">
        <v>64.344</v>
      </c>
      <c r="I4138" s="23">
        <v>10.35154</v>
      </c>
      <c r="J4138" s="24">
        <v>134.55</v>
      </c>
      <c r="K4138" s="21">
        <v>0</v>
      </c>
      <c r="L4138" s="21">
        <v>0</v>
      </c>
      <c r="M4138" s="21">
        <f>COUNTIF($A$2:$A$5481,A4138)</f>
        <v>2</v>
      </c>
      <c r="N4138" s="24">
        <f t="shared" si="64"/>
        <v>134.5504138</v>
      </c>
    </row>
    <row r="4139" spans="1:14">
      <c r="A4139" s="21" t="s">
        <v>660</v>
      </c>
      <c r="B4139" s="21" t="s">
        <v>1175</v>
      </c>
      <c r="C4139" s="21" t="s">
        <v>26</v>
      </c>
      <c r="D4139" s="21" t="s">
        <v>921</v>
      </c>
      <c r="E4139" s="21">
        <v>0</v>
      </c>
      <c r="F4139" s="22">
        <v>46134.3923611111</v>
      </c>
      <c r="G4139" s="22">
        <v>46252.5528935185</v>
      </c>
      <c r="H4139" s="23">
        <v>2899</v>
      </c>
      <c r="I4139" s="23">
        <v>2899</v>
      </c>
      <c r="J4139" s="24">
        <v>0</v>
      </c>
      <c r="K4139" s="21">
        <v>0</v>
      </c>
      <c r="L4139" s="21">
        <v>0</v>
      </c>
      <c r="M4139" s="21">
        <f>COUNTIF($A$2:$A$5481,A4139)</f>
        <v>1</v>
      </c>
      <c r="N4139" s="24">
        <f t="shared" si="64"/>
        <v>0.0004139</v>
      </c>
    </row>
    <row r="4140" spans="1:14">
      <c r="A4140" s="21" t="s">
        <v>659</v>
      </c>
      <c r="B4140" s="21" t="s">
        <v>1175</v>
      </c>
      <c r="C4140" s="21" t="s">
        <v>26</v>
      </c>
      <c r="D4140" s="21" t="s">
        <v>921</v>
      </c>
      <c r="E4140" s="21">
        <v>0</v>
      </c>
      <c r="F4140" s="22">
        <v>45693.5672569444</v>
      </c>
      <c r="G4140" s="22">
        <v>46252.5528819444</v>
      </c>
      <c r="H4140" s="23">
        <v>848.7</v>
      </c>
      <c r="I4140" s="23">
        <v>848.7</v>
      </c>
      <c r="J4140" s="24">
        <v>0</v>
      </c>
      <c r="K4140" s="21">
        <v>0</v>
      </c>
      <c r="L4140" s="21">
        <v>0</v>
      </c>
      <c r="M4140" s="21">
        <f>COUNTIF($A$2:$A$5481,A4140)</f>
        <v>1</v>
      </c>
      <c r="N4140" s="24">
        <f t="shared" si="64"/>
        <v>0.000414</v>
      </c>
    </row>
    <row r="4141" spans="1:14">
      <c r="A4141" s="21" t="s">
        <v>658</v>
      </c>
      <c r="B4141" s="21" t="s">
        <v>1175</v>
      </c>
      <c r="C4141" s="21" t="s">
        <v>26</v>
      </c>
      <c r="D4141" s="21" t="s">
        <v>921</v>
      </c>
      <c r="E4141" s="21">
        <v>0</v>
      </c>
      <c r="F4141" s="22">
        <v>46114.5298611111</v>
      </c>
      <c r="G4141" s="22">
        <v>46252.5528703704</v>
      </c>
      <c r="H4141" s="23">
        <v>1398.6</v>
      </c>
      <c r="I4141" s="23">
        <v>670.235</v>
      </c>
      <c r="J4141" s="24">
        <v>0</v>
      </c>
      <c r="K4141" s="21">
        <v>0</v>
      </c>
      <c r="L4141" s="21">
        <v>0</v>
      </c>
      <c r="M4141" s="21">
        <f>COUNTIF($A$2:$A$5481,A4141)</f>
        <v>1</v>
      </c>
      <c r="N4141" s="24">
        <f t="shared" si="64"/>
        <v>0.0004141</v>
      </c>
    </row>
    <row r="4142" spans="1:14">
      <c r="A4142" s="21" t="s">
        <v>657</v>
      </c>
      <c r="B4142" s="21" t="s">
        <v>1175</v>
      </c>
      <c r="C4142" s="21" t="s">
        <v>26</v>
      </c>
      <c r="D4142" s="21" t="s">
        <v>921</v>
      </c>
      <c r="E4142" s="21">
        <v>0</v>
      </c>
      <c r="F4142" s="22">
        <v>45693.5672569444</v>
      </c>
      <c r="G4142" s="22">
        <v>46252.5528587963</v>
      </c>
      <c r="H4142" s="23">
        <v>649.01</v>
      </c>
      <c r="I4142" s="23">
        <v>649.01</v>
      </c>
      <c r="J4142" s="24">
        <v>0</v>
      </c>
      <c r="K4142" s="21">
        <v>0</v>
      </c>
      <c r="L4142" s="21">
        <v>0</v>
      </c>
      <c r="M4142" s="21">
        <f>COUNTIF($A$2:$A$5481,A4142)</f>
        <v>1</v>
      </c>
      <c r="N4142" s="24">
        <f t="shared" si="64"/>
        <v>0.0004142</v>
      </c>
    </row>
    <row r="4143" spans="1:14">
      <c r="A4143" s="21" t="s">
        <v>3888</v>
      </c>
      <c r="B4143" s="21" t="s">
        <v>1115</v>
      </c>
      <c r="C4143" s="21" t="s">
        <v>51</v>
      </c>
      <c r="D4143" s="21" t="s">
        <v>931</v>
      </c>
      <c r="E4143" s="21">
        <v>1</v>
      </c>
      <c r="F4143" s="22">
        <v>45352.5899421296</v>
      </c>
      <c r="G4143" s="22"/>
      <c r="H4143" s="23">
        <v>1089</v>
      </c>
      <c r="I4143" s="23">
        <v>1089</v>
      </c>
      <c r="J4143" s="24">
        <v>1089</v>
      </c>
      <c r="K4143" s="21">
        <v>0</v>
      </c>
      <c r="L4143" s="21">
        <v>0</v>
      </c>
      <c r="M4143" s="21">
        <f>COUNTIF($A$2:$A$5481,A4143)</f>
        <v>1</v>
      </c>
      <c r="N4143" s="24">
        <f t="shared" si="64"/>
        <v>1089.0004143</v>
      </c>
    </row>
    <row r="4144" spans="1:14">
      <c r="A4144" s="21" t="s">
        <v>3889</v>
      </c>
      <c r="B4144" s="21" t="s">
        <v>920</v>
      </c>
      <c r="C4144" s="21" t="s">
        <v>26</v>
      </c>
      <c r="D4144" s="21" t="s">
        <v>921</v>
      </c>
      <c r="E4144" s="21">
        <v>1</v>
      </c>
      <c r="F4144" s="22">
        <v>45824.4087037037</v>
      </c>
      <c r="G4144" s="22"/>
      <c r="H4144" s="23">
        <v>52</v>
      </c>
      <c r="I4144" s="23">
        <v>52</v>
      </c>
      <c r="J4144" s="24">
        <v>52</v>
      </c>
      <c r="K4144" s="21">
        <v>0</v>
      </c>
      <c r="L4144" s="21">
        <v>0</v>
      </c>
      <c r="M4144" s="21">
        <f>COUNTIF($A$2:$A$5481,A4144)</f>
        <v>1</v>
      </c>
      <c r="N4144" s="24">
        <f t="shared" si="64"/>
        <v>52.0004144</v>
      </c>
    </row>
    <row r="4145" spans="1:14">
      <c r="A4145" s="21" t="s">
        <v>3890</v>
      </c>
      <c r="B4145" s="21" t="s">
        <v>949</v>
      </c>
      <c r="C4145" s="21" t="s">
        <v>26</v>
      </c>
      <c r="D4145" s="21" t="s">
        <v>921</v>
      </c>
      <c r="E4145" s="21">
        <v>2.25</v>
      </c>
      <c r="F4145" s="22">
        <v>45338.3729166667</v>
      </c>
      <c r="G4145" s="22">
        <v>45324.4906134259</v>
      </c>
      <c r="H4145" s="23">
        <v>20.2275</v>
      </c>
      <c r="I4145" s="23">
        <v>8.99</v>
      </c>
      <c r="J4145" s="24">
        <v>20.2275</v>
      </c>
      <c r="K4145" s="21">
        <v>0</v>
      </c>
      <c r="L4145" s="21">
        <v>0</v>
      </c>
      <c r="M4145" s="21">
        <f>COUNTIF($A$2:$A$5481,A4145)</f>
        <v>1</v>
      </c>
      <c r="N4145" s="24">
        <f t="shared" si="64"/>
        <v>20.2279145</v>
      </c>
    </row>
    <row r="4146" spans="1:14">
      <c r="A4146" s="21" t="s">
        <v>3891</v>
      </c>
      <c r="B4146" s="21" t="s">
        <v>949</v>
      </c>
      <c r="C4146" s="21" t="s">
        <v>182</v>
      </c>
      <c r="D4146" s="21" t="s">
        <v>921</v>
      </c>
      <c r="E4146" s="21">
        <v>0</v>
      </c>
      <c r="F4146" s="22">
        <v>45307.3745601852</v>
      </c>
      <c r="G4146" s="22">
        <v>45310.4236921296</v>
      </c>
      <c r="H4146" s="23">
        <v>111.601</v>
      </c>
      <c r="I4146" s="23">
        <v>7.49</v>
      </c>
      <c r="J4146" s="24">
        <v>0</v>
      </c>
      <c r="K4146" s="21">
        <v>0</v>
      </c>
      <c r="L4146" s="21">
        <v>0</v>
      </c>
      <c r="M4146" s="21">
        <f>COUNTIF($A$2:$A$5481,A4146)</f>
        <v>2</v>
      </c>
      <c r="N4146" s="24">
        <f t="shared" si="64"/>
        <v>0.0004146</v>
      </c>
    </row>
    <row r="4147" spans="1:14">
      <c r="A4147" s="21" t="s">
        <v>3891</v>
      </c>
      <c r="B4147" s="21" t="s">
        <v>949</v>
      </c>
      <c r="C4147" s="21" t="s">
        <v>26</v>
      </c>
      <c r="D4147" s="21" t="s">
        <v>921</v>
      </c>
      <c r="E4147" s="21">
        <v>14.55</v>
      </c>
      <c r="F4147" s="22">
        <v>45338.3729166667</v>
      </c>
      <c r="G4147" s="22">
        <v>45327.3940162037</v>
      </c>
      <c r="H4147" s="23">
        <v>116.4</v>
      </c>
      <c r="I4147" s="23">
        <v>8</v>
      </c>
      <c r="J4147" s="24">
        <v>116.4</v>
      </c>
      <c r="K4147" s="21">
        <v>0</v>
      </c>
      <c r="L4147" s="21">
        <v>0</v>
      </c>
      <c r="M4147" s="21">
        <f>COUNTIF($A$2:$A$5481,A4147)</f>
        <v>2</v>
      </c>
      <c r="N4147" s="24">
        <f t="shared" si="64"/>
        <v>116.4004147</v>
      </c>
    </row>
    <row r="4148" spans="1:14">
      <c r="A4148" s="21" t="s">
        <v>3892</v>
      </c>
      <c r="B4148" s="21" t="s">
        <v>920</v>
      </c>
      <c r="C4148" s="21" t="s">
        <v>26</v>
      </c>
      <c r="D4148" s="21" t="s">
        <v>921</v>
      </c>
      <c r="E4148" s="21">
        <v>2</v>
      </c>
      <c r="F4148" s="22">
        <v>45833.4677430556</v>
      </c>
      <c r="G4148" s="22"/>
      <c r="H4148" s="23">
        <v>380</v>
      </c>
      <c r="I4148" s="23">
        <v>190</v>
      </c>
      <c r="J4148" s="24">
        <v>380</v>
      </c>
      <c r="K4148" s="21">
        <v>0</v>
      </c>
      <c r="L4148" s="21">
        <v>0</v>
      </c>
      <c r="M4148" s="21">
        <f>COUNTIF($A$2:$A$5481,A4148)</f>
        <v>1</v>
      </c>
      <c r="N4148" s="24">
        <f t="shared" si="64"/>
        <v>380.0004148</v>
      </c>
    </row>
    <row r="4149" spans="1:14">
      <c r="A4149" s="21" t="s">
        <v>3893</v>
      </c>
      <c r="B4149" s="21" t="s">
        <v>920</v>
      </c>
      <c r="C4149" s="21" t="s">
        <v>35</v>
      </c>
      <c r="D4149" s="21" t="s">
        <v>921</v>
      </c>
      <c r="E4149" s="21">
        <v>0</v>
      </c>
      <c r="F4149" s="22">
        <v>45344.6206481482</v>
      </c>
      <c r="G4149" s="22">
        <v>45350.4447337963</v>
      </c>
      <c r="H4149" s="23">
        <v>545</v>
      </c>
      <c r="I4149" s="23">
        <v>545</v>
      </c>
      <c r="J4149" s="24">
        <v>0</v>
      </c>
      <c r="K4149" s="21">
        <v>1</v>
      </c>
      <c r="L4149" s="21">
        <v>6</v>
      </c>
      <c r="M4149" s="21">
        <f>COUNTIF($A$2:$A$5481,A4149)</f>
        <v>2</v>
      </c>
      <c r="N4149" s="24">
        <f t="shared" si="64"/>
        <v>0.0004149</v>
      </c>
    </row>
    <row r="4150" spans="1:14">
      <c r="A4150" s="21" t="s">
        <v>3893</v>
      </c>
      <c r="B4150" s="21" t="s">
        <v>920</v>
      </c>
      <c r="C4150" s="21" t="s">
        <v>26</v>
      </c>
      <c r="D4150" s="21" t="s">
        <v>921</v>
      </c>
      <c r="E4150" s="21">
        <v>0</v>
      </c>
      <c r="F4150" s="22">
        <v>45819.8339351852</v>
      </c>
      <c r="G4150" s="22">
        <v>45820.4557291667</v>
      </c>
      <c r="H4150" s="23">
        <v>559</v>
      </c>
      <c r="I4150" s="23">
        <v>559</v>
      </c>
      <c r="J4150" s="24">
        <v>0</v>
      </c>
      <c r="K4150" s="21">
        <v>1</v>
      </c>
      <c r="L4150" s="21">
        <v>6</v>
      </c>
      <c r="M4150" s="21">
        <f>COUNTIF($A$2:$A$5481,A4150)</f>
        <v>2</v>
      </c>
      <c r="N4150" s="24">
        <f t="shared" si="64"/>
        <v>0.000415</v>
      </c>
    </row>
    <row r="4151" spans="1:14">
      <c r="A4151" s="21" t="s">
        <v>3894</v>
      </c>
      <c r="B4151" s="21" t="s">
        <v>920</v>
      </c>
      <c r="C4151" s="21" t="s">
        <v>35</v>
      </c>
      <c r="D4151" s="21" t="s">
        <v>921</v>
      </c>
      <c r="E4151" s="21">
        <v>0</v>
      </c>
      <c r="F4151" s="22">
        <v>45344.6228819444</v>
      </c>
      <c r="G4151" s="22">
        <v>45350.4447222222</v>
      </c>
      <c r="H4151" s="23">
        <v>545</v>
      </c>
      <c r="I4151" s="23">
        <v>545</v>
      </c>
      <c r="J4151" s="24">
        <v>0</v>
      </c>
      <c r="K4151" s="21">
        <v>0</v>
      </c>
      <c r="L4151" s="21">
        <v>10</v>
      </c>
      <c r="M4151" s="21">
        <f>COUNTIF($A$2:$A$5481,A4151)</f>
        <v>2</v>
      </c>
      <c r="N4151" s="24">
        <f t="shared" si="64"/>
        <v>0.0004151</v>
      </c>
    </row>
    <row r="4152" spans="1:14">
      <c r="A4152" s="21" t="s">
        <v>3894</v>
      </c>
      <c r="B4152" s="21" t="s">
        <v>920</v>
      </c>
      <c r="C4152" s="21" t="s">
        <v>26</v>
      </c>
      <c r="D4152" s="21" t="s">
        <v>921</v>
      </c>
      <c r="E4152" s="21">
        <v>2</v>
      </c>
      <c r="F4152" s="22">
        <v>45819.8339351852</v>
      </c>
      <c r="G4152" s="22">
        <v>45820.4557175926</v>
      </c>
      <c r="H4152" s="23">
        <v>1118</v>
      </c>
      <c r="I4152" s="23">
        <v>554.33333</v>
      </c>
      <c r="J4152" s="24">
        <v>1108.66</v>
      </c>
      <c r="K4152" s="21">
        <v>0</v>
      </c>
      <c r="L4152" s="21">
        <v>10</v>
      </c>
      <c r="M4152" s="21">
        <f>COUNTIF($A$2:$A$5481,A4152)</f>
        <v>2</v>
      </c>
      <c r="N4152" s="24">
        <f t="shared" si="64"/>
        <v>1108.6604152</v>
      </c>
    </row>
    <row r="4153" spans="1:14">
      <c r="A4153" s="21" t="s">
        <v>3895</v>
      </c>
      <c r="B4153" s="21" t="s">
        <v>920</v>
      </c>
      <c r="C4153" s="21" t="s">
        <v>26</v>
      </c>
      <c r="D4153" s="21" t="s">
        <v>921</v>
      </c>
      <c r="E4153" s="21">
        <v>0</v>
      </c>
      <c r="F4153" s="22">
        <v>45663.6028587963</v>
      </c>
      <c r="G4153" s="22">
        <v>45663.6054861111</v>
      </c>
      <c r="H4153" s="23">
        <v>878</v>
      </c>
      <c r="I4153" s="23">
        <v>0</v>
      </c>
      <c r="J4153" s="24">
        <v>0</v>
      </c>
      <c r="K4153" s="21">
        <v>0</v>
      </c>
      <c r="L4153" s="21">
        <v>0</v>
      </c>
      <c r="M4153" s="21">
        <f>COUNTIF($A$2:$A$5481,A4153)</f>
        <v>1</v>
      </c>
      <c r="N4153" s="24">
        <f t="shared" si="64"/>
        <v>0.0004153</v>
      </c>
    </row>
    <row r="4154" spans="1:14">
      <c r="A4154" s="21" t="s">
        <v>3896</v>
      </c>
      <c r="B4154" s="21" t="s">
        <v>26</v>
      </c>
      <c r="C4154" s="21" t="s">
        <v>26</v>
      </c>
      <c r="D4154" s="21" t="s">
        <v>921</v>
      </c>
      <c r="E4154" s="21">
        <v>1</v>
      </c>
      <c r="F4154" s="22">
        <v>45546.3717939815</v>
      </c>
      <c r="G4154" s="22">
        <v>45660.5397569445</v>
      </c>
      <c r="H4154" s="23">
        <v>858</v>
      </c>
      <c r="I4154" s="23">
        <v>429</v>
      </c>
      <c r="J4154" s="24">
        <v>429</v>
      </c>
      <c r="K4154" s="21">
        <v>0</v>
      </c>
      <c r="L4154" s="21">
        <v>0</v>
      </c>
      <c r="M4154" s="21">
        <f>COUNTIF($A$2:$A$5481,A4154)</f>
        <v>1</v>
      </c>
      <c r="N4154" s="24">
        <f t="shared" si="64"/>
        <v>429.0004154</v>
      </c>
    </row>
    <row r="4155" spans="1:14">
      <c r="A4155" s="21" t="s">
        <v>3897</v>
      </c>
      <c r="B4155" s="21" t="s">
        <v>920</v>
      </c>
      <c r="C4155" s="21" t="s">
        <v>35</v>
      </c>
      <c r="D4155" s="21" t="s">
        <v>921</v>
      </c>
      <c r="E4155" s="21">
        <v>2</v>
      </c>
      <c r="F4155" s="22">
        <v>45761.7698032407</v>
      </c>
      <c r="G4155" s="22"/>
      <c r="H4155" s="23">
        <v>1890</v>
      </c>
      <c r="I4155" s="23">
        <v>945</v>
      </c>
      <c r="J4155" s="24">
        <v>1890</v>
      </c>
      <c r="K4155" s="21">
        <v>0</v>
      </c>
      <c r="L4155" s="21">
        <v>0</v>
      </c>
      <c r="M4155" s="21">
        <f>COUNTIF($A$2:$A$5481,A4155)</f>
        <v>1</v>
      </c>
      <c r="N4155" s="24">
        <f t="shared" si="64"/>
        <v>1890.0004155</v>
      </c>
    </row>
    <row r="4156" spans="1:14">
      <c r="A4156" s="21" t="s">
        <v>3898</v>
      </c>
      <c r="B4156" s="21" t="s">
        <v>929</v>
      </c>
      <c r="C4156" s="21" t="s">
        <v>414</v>
      </c>
      <c r="D4156" s="21" t="s">
        <v>921</v>
      </c>
      <c r="E4156" s="21">
        <v>4</v>
      </c>
      <c r="F4156" s="22">
        <v>45268</v>
      </c>
      <c r="G4156" s="22"/>
      <c r="H4156" s="23">
        <v>394.8</v>
      </c>
      <c r="I4156" s="23">
        <v>98.7</v>
      </c>
      <c r="J4156" s="24">
        <v>394.8</v>
      </c>
      <c r="K4156" s="21">
        <v>0</v>
      </c>
      <c r="L4156" s="21">
        <v>0</v>
      </c>
      <c r="M4156" s="21">
        <f>COUNTIF($A$2:$A$5481,A4156)</f>
        <v>2</v>
      </c>
      <c r="N4156" s="24">
        <f t="shared" si="64"/>
        <v>394.8004156</v>
      </c>
    </row>
    <row r="4157" spans="1:14">
      <c r="A4157" s="21" t="s">
        <v>3898</v>
      </c>
      <c r="B4157" s="21" t="s">
        <v>929</v>
      </c>
      <c r="C4157" s="21" t="s">
        <v>26</v>
      </c>
      <c r="D4157" s="21" t="s">
        <v>921</v>
      </c>
      <c r="E4157" s="21">
        <v>56</v>
      </c>
      <c r="F4157" s="22">
        <v>46087.4743055556</v>
      </c>
      <c r="G4157" s="22"/>
      <c r="H4157" s="23">
        <v>1190</v>
      </c>
      <c r="I4157" s="23">
        <v>119</v>
      </c>
      <c r="J4157" s="24">
        <v>6664</v>
      </c>
      <c r="K4157" s="21">
        <v>0</v>
      </c>
      <c r="L4157" s="21">
        <v>0</v>
      </c>
      <c r="M4157" s="21">
        <f>COUNTIF($A$2:$A$5481,A4157)</f>
        <v>2</v>
      </c>
      <c r="N4157" s="24">
        <f t="shared" si="64"/>
        <v>6664.0004157</v>
      </c>
    </row>
    <row r="4158" spans="1:14">
      <c r="A4158" s="21" t="s">
        <v>3899</v>
      </c>
      <c r="B4158" s="21" t="s">
        <v>920</v>
      </c>
      <c r="C4158" s="21" t="s">
        <v>35</v>
      </c>
      <c r="D4158" s="21" t="s">
        <v>921</v>
      </c>
      <c r="E4158" s="21">
        <v>1</v>
      </c>
      <c r="F4158" s="22">
        <v>45628.5380208333</v>
      </c>
      <c r="G4158" s="22"/>
      <c r="H4158" s="23">
        <v>581</v>
      </c>
      <c r="I4158" s="23">
        <v>581</v>
      </c>
      <c r="J4158" s="24">
        <v>581</v>
      </c>
      <c r="K4158" s="21">
        <v>0</v>
      </c>
      <c r="L4158" s="21">
        <v>0</v>
      </c>
      <c r="M4158" s="21">
        <f>COUNTIF($A$2:$A$5481,A4158)</f>
        <v>1</v>
      </c>
      <c r="N4158" s="24">
        <f t="shared" si="64"/>
        <v>581.0004158</v>
      </c>
    </row>
    <row r="4159" spans="1:14">
      <c r="A4159" s="21" t="s">
        <v>3900</v>
      </c>
      <c r="B4159" s="21" t="s">
        <v>920</v>
      </c>
      <c r="C4159" s="21" t="s">
        <v>35</v>
      </c>
      <c r="D4159" s="21" t="s">
        <v>921</v>
      </c>
      <c r="E4159" s="21">
        <v>0</v>
      </c>
      <c r="F4159" s="22">
        <v>45562.5930555556</v>
      </c>
      <c r="G4159" s="22">
        <v>45566.444849537</v>
      </c>
      <c r="H4159" s="23">
        <v>629</v>
      </c>
      <c r="I4159" s="23">
        <v>629</v>
      </c>
      <c r="J4159" s="24">
        <v>0</v>
      </c>
      <c r="K4159" s="21">
        <v>0</v>
      </c>
      <c r="L4159" s="21">
        <v>0</v>
      </c>
      <c r="M4159" s="21">
        <f>COUNTIF($A$2:$A$5481,A4159)</f>
        <v>1</v>
      </c>
      <c r="N4159" s="24">
        <f t="shared" si="64"/>
        <v>0.0004159</v>
      </c>
    </row>
    <row r="4160" spans="1:14">
      <c r="A4160" s="21" t="s">
        <v>3901</v>
      </c>
      <c r="B4160" s="21" t="s">
        <v>920</v>
      </c>
      <c r="C4160" s="21" t="s">
        <v>35</v>
      </c>
      <c r="D4160" s="21" t="s">
        <v>921</v>
      </c>
      <c r="E4160" s="21">
        <v>1</v>
      </c>
      <c r="F4160" s="22">
        <v>45628.5380208333</v>
      </c>
      <c r="G4160" s="22"/>
      <c r="H4160" s="23">
        <v>612</v>
      </c>
      <c r="I4160" s="23">
        <v>612</v>
      </c>
      <c r="J4160" s="24">
        <v>612</v>
      </c>
      <c r="K4160" s="21">
        <v>0</v>
      </c>
      <c r="L4160" s="21">
        <v>0</v>
      </c>
      <c r="M4160" s="21">
        <f>COUNTIF($A$2:$A$5481,A4160)</f>
        <v>1</v>
      </c>
      <c r="N4160" s="24">
        <f t="shared" si="64"/>
        <v>612.000416</v>
      </c>
    </row>
    <row r="4161" spans="1:14">
      <c r="A4161" s="21" t="s">
        <v>3902</v>
      </c>
      <c r="B4161" s="21" t="s">
        <v>920</v>
      </c>
      <c r="C4161" s="21" t="s">
        <v>35</v>
      </c>
      <c r="D4161" s="21" t="s">
        <v>921</v>
      </c>
      <c r="E4161" s="21">
        <v>1</v>
      </c>
      <c r="F4161" s="22">
        <v>45581.5442824074</v>
      </c>
      <c r="G4161" s="22">
        <v>45586.8533796296</v>
      </c>
      <c r="H4161" s="23">
        <v>340</v>
      </c>
      <c r="I4161" s="23">
        <v>320</v>
      </c>
      <c r="J4161" s="24">
        <v>320</v>
      </c>
      <c r="K4161" s="21">
        <v>0</v>
      </c>
      <c r="L4161" s="21">
        <v>0</v>
      </c>
      <c r="M4161" s="21">
        <f>COUNTIF($A$2:$A$5481,A4161)</f>
        <v>1</v>
      </c>
      <c r="N4161" s="24">
        <f t="shared" si="64"/>
        <v>320.0004161</v>
      </c>
    </row>
    <row r="4162" spans="1:14">
      <c r="A4162" s="21" t="s">
        <v>3903</v>
      </c>
      <c r="B4162" s="21" t="s">
        <v>948</v>
      </c>
      <c r="C4162" s="21" t="s">
        <v>26</v>
      </c>
      <c r="D4162" s="21" t="s">
        <v>1217</v>
      </c>
      <c r="E4162" s="21">
        <v>4</v>
      </c>
      <c r="F4162" s="22">
        <v>46135.4034722222</v>
      </c>
      <c r="G4162" s="22"/>
      <c r="H4162" s="23">
        <v>200</v>
      </c>
      <c r="I4162" s="23">
        <v>50</v>
      </c>
      <c r="J4162" s="24">
        <v>200</v>
      </c>
      <c r="K4162" s="21">
        <v>0</v>
      </c>
      <c r="L4162" s="21">
        <v>0</v>
      </c>
      <c r="M4162" s="21">
        <f>COUNTIF($A$2:$A$5481,A4162)</f>
        <v>1</v>
      </c>
      <c r="N4162" s="24">
        <f t="shared" ref="N4162:N4225" si="65">J4162+ROW()/10000000</f>
        <v>200.0004162</v>
      </c>
    </row>
    <row r="4163" spans="1:14">
      <c r="A4163" s="21" t="s">
        <v>3904</v>
      </c>
      <c r="B4163" s="21" t="s">
        <v>948</v>
      </c>
      <c r="C4163" s="21" t="s">
        <v>182</v>
      </c>
      <c r="D4163" s="21" t="s">
        <v>921</v>
      </c>
      <c r="E4163" s="21">
        <v>1</v>
      </c>
      <c r="F4163" s="22">
        <v>45364.46875</v>
      </c>
      <c r="G4163" s="22"/>
      <c r="H4163" s="23">
        <v>44</v>
      </c>
      <c r="I4163" s="23">
        <v>44</v>
      </c>
      <c r="J4163" s="24">
        <v>44</v>
      </c>
      <c r="K4163" s="21">
        <v>0</v>
      </c>
      <c r="L4163" s="21">
        <v>0</v>
      </c>
      <c r="M4163" s="21">
        <f>COUNTIF($A$2:$A$5481,A4163)</f>
        <v>2</v>
      </c>
      <c r="N4163" s="24">
        <f t="shared" si="65"/>
        <v>44.0004163</v>
      </c>
    </row>
    <row r="4164" spans="1:14">
      <c r="A4164" s="21" t="s">
        <v>3904</v>
      </c>
      <c r="B4164" s="21" t="s">
        <v>948</v>
      </c>
      <c r="C4164" s="21" t="s">
        <v>26</v>
      </c>
      <c r="D4164" s="21" t="s">
        <v>921</v>
      </c>
      <c r="E4164" s="21">
        <v>4</v>
      </c>
      <c r="F4164" s="22">
        <v>46175.5815162037</v>
      </c>
      <c r="G4164" s="22"/>
      <c r="H4164" s="23">
        <v>104</v>
      </c>
      <c r="I4164" s="23">
        <v>49.5</v>
      </c>
      <c r="J4164" s="24">
        <v>198</v>
      </c>
      <c r="K4164" s="21">
        <v>0</v>
      </c>
      <c r="L4164" s="21">
        <v>0</v>
      </c>
      <c r="M4164" s="21">
        <f>COUNTIF($A$2:$A$5481,A4164)</f>
        <v>2</v>
      </c>
      <c r="N4164" s="24">
        <f t="shared" si="65"/>
        <v>198.0004164</v>
      </c>
    </row>
    <row r="4165" spans="1:14">
      <c r="A4165" s="21" t="s">
        <v>3905</v>
      </c>
      <c r="B4165" s="21" t="s">
        <v>1895</v>
      </c>
      <c r="C4165" s="21" t="s">
        <v>26</v>
      </c>
      <c r="D4165" s="21" t="s">
        <v>921</v>
      </c>
      <c r="E4165" s="21">
        <v>1</v>
      </c>
      <c r="F4165" s="22">
        <v>45394.7046412037</v>
      </c>
      <c r="G4165" s="22"/>
      <c r="H4165" s="23">
        <v>70</v>
      </c>
      <c r="I4165" s="23">
        <v>70</v>
      </c>
      <c r="J4165" s="24">
        <v>70</v>
      </c>
      <c r="K4165" s="21">
        <v>0</v>
      </c>
      <c r="L4165" s="21">
        <v>0</v>
      </c>
      <c r="M4165" s="21">
        <f>COUNTIF($A$2:$A$5481,A4165)</f>
        <v>1</v>
      </c>
      <c r="N4165" s="24">
        <f t="shared" si="65"/>
        <v>70.0004165</v>
      </c>
    </row>
    <row r="4166" spans="1:14">
      <c r="A4166" s="21" t="s">
        <v>3906</v>
      </c>
      <c r="B4166" s="21" t="s">
        <v>1352</v>
      </c>
      <c r="C4166" s="21" t="s">
        <v>26</v>
      </c>
      <c r="D4166" s="21" t="s">
        <v>921</v>
      </c>
      <c r="E4166" s="21">
        <v>4</v>
      </c>
      <c r="F4166" s="22">
        <v>45358.5895833333</v>
      </c>
      <c r="G4166" s="22"/>
      <c r="H4166" s="23">
        <v>24</v>
      </c>
      <c r="I4166" s="23">
        <v>6</v>
      </c>
      <c r="J4166" s="24">
        <v>24</v>
      </c>
      <c r="K4166" s="21">
        <v>0</v>
      </c>
      <c r="L4166" s="21">
        <v>0</v>
      </c>
      <c r="M4166" s="21">
        <f>COUNTIF($A$2:$A$5481,A4166)</f>
        <v>1</v>
      </c>
      <c r="N4166" s="24">
        <f t="shared" si="65"/>
        <v>24.0004166</v>
      </c>
    </row>
    <row r="4167" spans="1:14">
      <c r="A4167" s="21" t="s">
        <v>3907</v>
      </c>
      <c r="B4167" s="21" t="s">
        <v>26</v>
      </c>
      <c r="C4167" s="21" t="s">
        <v>26</v>
      </c>
      <c r="D4167" s="21" t="s">
        <v>921</v>
      </c>
      <c r="E4167" s="21">
        <v>1</v>
      </c>
      <c r="F4167" s="22">
        <v>45743.8465972222</v>
      </c>
      <c r="G4167" s="22"/>
      <c r="H4167" s="23">
        <v>69.99</v>
      </c>
      <c r="I4167" s="23">
        <v>69.99</v>
      </c>
      <c r="J4167" s="24">
        <v>69.99</v>
      </c>
      <c r="K4167" s="21">
        <v>0</v>
      </c>
      <c r="L4167" s="21">
        <v>0</v>
      </c>
      <c r="M4167" s="21">
        <f>COUNTIF($A$2:$A$5481,A4167)</f>
        <v>1</v>
      </c>
      <c r="N4167" s="24">
        <f t="shared" si="65"/>
        <v>69.9904167</v>
      </c>
    </row>
    <row r="4168" spans="1:14">
      <c r="A4168" s="21" t="s">
        <v>3908</v>
      </c>
      <c r="B4168" s="21" t="s">
        <v>1175</v>
      </c>
      <c r="C4168" s="21" t="s">
        <v>26</v>
      </c>
      <c r="D4168" s="21" t="s">
        <v>921</v>
      </c>
      <c r="E4168" s="21">
        <v>2</v>
      </c>
      <c r="F4168" s="22">
        <v>46168.3527777778</v>
      </c>
      <c r="G4168" s="22"/>
      <c r="H4168" s="23">
        <v>459.8</v>
      </c>
      <c r="I4168" s="23">
        <v>229.9</v>
      </c>
      <c r="J4168" s="24">
        <v>459.8</v>
      </c>
      <c r="K4168" s="21">
        <v>0</v>
      </c>
      <c r="L4168" s="21">
        <v>0</v>
      </c>
      <c r="M4168" s="21">
        <f>COUNTIF($A$2:$A$5481,A4168)</f>
        <v>1</v>
      </c>
      <c r="N4168" s="24">
        <f t="shared" si="65"/>
        <v>459.8004168</v>
      </c>
    </row>
    <row r="4169" spans="1:14">
      <c r="A4169" s="21" t="s">
        <v>3909</v>
      </c>
      <c r="B4169" s="21" t="s">
        <v>26</v>
      </c>
      <c r="C4169" s="21" t="s">
        <v>547</v>
      </c>
      <c r="D4169" s="21" t="s">
        <v>921</v>
      </c>
      <c r="E4169" s="21">
        <v>2</v>
      </c>
      <c r="F4169" s="22">
        <v>45383.573912037</v>
      </c>
      <c r="G4169" s="22"/>
      <c r="H4169" s="23">
        <v>50</v>
      </c>
      <c r="I4169" s="23">
        <v>25</v>
      </c>
      <c r="J4169" s="24">
        <v>50</v>
      </c>
      <c r="K4169" s="21">
        <v>0</v>
      </c>
      <c r="L4169" s="21">
        <v>0</v>
      </c>
      <c r="M4169" s="21">
        <f>COUNTIF($A$2:$A$5481,A4169)</f>
        <v>1</v>
      </c>
      <c r="N4169" s="24">
        <f t="shared" si="65"/>
        <v>50.0004169</v>
      </c>
    </row>
    <row r="4170" spans="1:14">
      <c r="A4170" s="21" t="s">
        <v>3910</v>
      </c>
      <c r="B4170" s="21" t="s">
        <v>929</v>
      </c>
      <c r="C4170" s="21" t="s">
        <v>26</v>
      </c>
      <c r="D4170" s="21" t="s">
        <v>921</v>
      </c>
      <c r="E4170" s="21">
        <v>1</v>
      </c>
      <c r="F4170" s="22">
        <v>45349.4881944444</v>
      </c>
      <c r="G4170" s="22"/>
      <c r="H4170" s="23">
        <v>6.2</v>
      </c>
      <c r="I4170" s="23">
        <v>6.2</v>
      </c>
      <c r="J4170" s="24">
        <v>6.2</v>
      </c>
      <c r="K4170" s="21">
        <v>0</v>
      </c>
      <c r="L4170" s="21">
        <v>0</v>
      </c>
      <c r="M4170" s="21">
        <f>COUNTIF($A$2:$A$5481,A4170)</f>
        <v>1</v>
      </c>
      <c r="N4170" s="24">
        <f t="shared" si="65"/>
        <v>6.200417</v>
      </c>
    </row>
    <row r="4171" spans="1:14">
      <c r="A4171" s="21" t="s">
        <v>3911</v>
      </c>
      <c r="B4171" s="21" t="s">
        <v>929</v>
      </c>
      <c r="C4171" s="21" t="s">
        <v>26</v>
      </c>
      <c r="D4171" s="21" t="s">
        <v>921</v>
      </c>
      <c r="E4171" s="21">
        <v>2</v>
      </c>
      <c r="F4171" s="22">
        <v>45349.4881944444</v>
      </c>
      <c r="G4171" s="22"/>
      <c r="H4171" s="23">
        <v>21.68</v>
      </c>
      <c r="I4171" s="23">
        <v>10.84</v>
      </c>
      <c r="J4171" s="24">
        <v>21.68</v>
      </c>
      <c r="K4171" s="21">
        <v>0</v>
      </c>
      <c r="L4171" s="21">
        <v>0</v>
      </c>
      <c r="M4171" s="21">
        <f>COUNTIF($A$2:$A$5481,A4171)</f>
        <v>1</v>
      </c>
      <c r="N4171" s="24">
        <f t="shared" si="65"/>
        <v>21.6804171</v>
      </c>
    </row>
    <row r="4172" spans="1:14">
      <c r="A4172" s="21" t="s">
        <v>3912</v>
      </c>
      <c r="B4172" s="21" t="s">
        <v>26</v>
      </c>
      <c r="C4172" s="21" t="s">
        <v>26</v>
      </c>
      <c r="D4172" s="21" t="s">
        <v>921</v>
      </c>
      <c r="E4172" s="21">
        <v>1</v>
      </c>
      <c r="F4172" s="22">
        <v>46231.6952314815</v>
      </c>
      <c r="G4172" s="22"/>
      <c r="H4172" s="23">
        <v>19.2</v>
      </c>
      <c r="I4172" s="23">
        <v>19.2</v>
      </c>
      <c r="J4172" s="24">
        <v>19.2</v>
      </c>
      <c r="K4172" s="21">
        <v>0</v>
      </c>
      <c r="L4172" s="21">
        <v>0</v>
      </c>
      <c r="M4172" s="21">
        <f>COUNTIF($A$2:$A$5481,A4172)</f>
        <v>1</v>
      </c>
      <c r="N4172" s="24">
        <f t="shared" si="65"/>
        <v>19.2004172</v>
      </c>
    </row>
    <row r="4173" spans="1:14">
      <c r="A4173" s="21" t="s">
        <v>3913</v>
      </c>
      <c r="B4173" s="21" t="s">
        <v>26</v>
      </c>
      <c r="C4173" s="21" t="s">
        <v>26</v>
      </c>
      <c r="D4173" s="21" t="s">
        <v>921</v>
      </c>
      <c r="E4173" s="21">
        <v>1</v>
      </c>
      <c r="F4173" s="22">
        <v>45650.4486226852</v>
      </c>
      <c r="G4173" s="22"/>
      <c r="H4173" s="23">
        <v>433.23</v>
      </c>
      <c r="I4173" s="23">
        <v>433.23</v>
      </c>
      <c r="J4173" s="24">
        <v>433.23</v>
      </c>
      <c r="K4173" s="21">
        <v>0</v>
      </c>
      <c r="L4173" s="21">
        <v>0</v>
      </c>
      <c r="M4173" s="21">
        <f>COUNTIF($A$2:$A$5481,A4173)</f>
        <v>1</v>
      </c>
      <c r="N4173" s="24">
        <f t="shared" si="65"/>
        <v>433.2304173</v>
      </c>
    </row>
    <row r="4174" spans="1:14">
      <c r="A4174" s="21" t="s">
        <v>755</v>
      </c>
      <c r="B4174" s="21" t="s">
        <v>26</v>
      </c>
      <c r="C4174" s="21" t="s">
        <v>26</v>
      </c>
      <c r="D4174" s="21" t="s">
        <v>921</v>
      </c>
      <c r="E4174" s="21">
        <v>0</v>
      </c>
      <c r="F4174" s="22">
        <v>46169.5611458333</v>
      </c>
      <c r="G4174" s="22">
        <v>46252.609537037</v>
      </c>
      <c r="H4174" s="23">
        <v>173.2</v>
      </c>
      <c r="I4174" s="23">
        <v>173.2</v>
      </c>
      <c r="J4174" s="24">
        <v>0</v>
      </c>
      <c r="K4174" s="21">
        <v>0</v>
      </c>
      <c r="L4174" s="21">
        <v>0</v>
      </c>
      <c r="M4174" s="21">
        <f>COUNTIF($A$2:$A$5481,A4174)</f>
        <v>1</v>
      </c>
      <c r="N4174" s="24">
        <f t="shared" si="65"/>
        <v>0.0004174</v>
      </c>
    </row>
    <row r="4175" spans="1:14">
      <c r="A4175" s="21" t="s">
        <v>3914</v>
      </c>
      <c r="B4175" s="21" t="s">
        <v>920</v>
      </c>
      <c r="C4175" s="21" t="s">
        <v>26</v>
      </c>
      <c r="D4175" s="21" t="s">
        <v>921</v>
      </c>
      <c r="E4175" s="21">
        <v>0</v>
      </c>
      <c r="F4175" s="22">
        <v>45566.7111111111</v>
      </c>
      <c r="G4175" s="22">
        <v>45572.8156944444</v>
      </c>
      <c r="H4175" s="23">
        <v>315.9</v>
      </c>
      <c r="I4175" s="23">
        <v>315.9</v>
      </c>
      <c r="J4175" s="24">
        <v>0</v>
      </c>
      <c r="K4175" s="21">
        <v>0</v>
      </c>
      <c r="L4175" s="21">
        <v>0</v>
      </c>
      <c r="M4175" s="21">
        <f>COUNTIF($A$2:$A$5481,A4175)</f>
        <v>1</v>
      </c>
      <c r="N4175" s="24">
        <f t="shared" si="65"/>
        <v>0.0004175</v>
      </c>
    </row>
    <row r="4176" spans="1:14">
      <c r="A4176" s="21" t="s">
        <v>287</v>
      </c>
      <c r="B4176" s="21" t="s">
        <v>920</v>
      </c>
      <c r="C4176" s="21" t="s">
        <v>26</v>
      </c>
      <c r="D4176" s="21" t="s">
        <v>921</v>
      </c>
      <c r="E4176" s="21">
        <v>2</v>
      </c>
      <c r="F4176" s="22">
        <v>45488.6204282407</v>
      </c>
      <c r="G4176" s="22">
        <v>46078.7415856482</v>
      </c>
      <c r="H4176" s="23">
        <v>139.04</v>
      </c>
      <c r="I4176" s="23">
        <v>34.76</v>
      </c>
      <c r="J4176" s="24">
        <v>69.52</v>
      </c>
      <c r="K4176" s="21">
        <v>0</v>
      </c>
      <c r="L4176" s="21">
        <v>0</v>
      </c>
      <c r="M4176" s="21">
        <f>COUNTIF($A$2:$A$5481,A4176)</f>
        <v>1</v>
      </c>
      <c r="N4176" s="24">
        <f t="shared" si="65"/>
        <v>69.5204176</v>
      </c>
    </row>
    <row r="4177" spans="1:14">
      <c r="A4177" s="21" t="s">
        <v>3915</v>
      </c>
      <c r="B4177" s="21" t="s">
        <v>920</v>
      </c>
      <c r="C4177" s="21" t="s">
        <v>26</v>
      </c>
      <c r="D4177" s="21" t="s">
        <v>921</v>
      </c>
      <c r="E4177" s="21">
        <v>1</v>
      </c>
      <c r="F4177" s="22">
        <v>46234.6006944445</v>
      </c>
      <c r="G4177" s="22"/>
      <c r="H4177" s="23">
        <v>343.36</v>
      </c>
      <c r="I4177" s="23">
        <v>343.36</v>
      </c>
      <c r="J4177" s="24">
        <v>343.36</v>
      </c>
      <c r="K4177" s="21">
        <v>0</v>
      </c>
      <c r="L4177" s="21">
        <v>0</v>
      </c>
      <c r="M4177" s="21">
        <f>COUNTIF($A$2:$A$5481,A4177)</f>
        <v>1</v>
      </c>
      <c r="N4177" s="24">
        <f t="shared" si="65"/>
        <v>343.3604177</v>
      </c>
    </row>
    <row r="4178" spans="1:14">
      <c r="A4178" s="21" t="s">
        <v>656</v>
      </c>
      <c r="B4178" s="21" t="s">
        <v>1175</v>
      </c>
      <c r="C4178" s="21" t="s">
        <v>182</v>
      </c>
      <c r="D4178" s="21" t="s">
        <v>921</v>
      </c>
      <c r="E4178" s="21">
        <v>15</v>
      </c>
      <c r="F4178" s="22">
        <v>45365.8159722222</v>
      </c>
      <c r="G4178" s="22"/>
      <c r="H4178" s="23">
        <v>343.5</v>
      </c>
      <c r="I4178" s="23">
        <v>22.9</v>
      </c>
      <c r="J4178" s="24">
        <v>343.5</v>
      </c>
      <c r="K4178" s="21">
        <v>0</v>
      </c>
      <c r="L4178" s="21">
        <v>0</v>
      </c>
      <c r="M4178" s="21">
        <f>COUNTIF($A$2:$A$5481,A4178)</f>
        <v>2</v>
      </c>
      <c r="N4178" s="24">
        <f t="shared" si="65"/>
        <v>343.5004178</v>
      </c>
    </row>
    <row r="4179" spans="1:14">
      <c r="A4179" s="21" t="s">
        <v>656</v>
      </c>
      <c r="B4179" s="21" t="s">
        <v>1175</v>
      </c>
      <c r="C4179" s="21" t="s">
        <v>26</v>
      </c>
      <c r="D4179" s="21" t="s">
        <v>921</v>
      </c>
      <c r="E4179" s="21">
        <v>0</v>
      </c>
      <c r="F4179" s="22">
        <v>45617.5708449074</v>
      </c>
      <c r="G4179" s="22">
        <v>46252.5528472222</v>
      </c>
      <c r="H4179" s="23">
        <v>154.65</v>
      </c>
      <c r="I4179" s="23">
        <v>21.84</v>
      </c>
      <c r="J4179" s="24">
        <v>0</v>
      </c>
      <c r="K4179" s="21">
        <v>0</v>
      </c>
      <c r="L4179" s="21">
        <v>0</v>
      </c>
      <c r="M4179" s="21">
        <f>COUNTIF($A$2:$A$5481,A4179)</f>
        <v>2</v>
      </c>
      <c r="N4179" s="24">
        <f t="shared" si="65"/>
        <v>0.0004179</v>
      </c>
    </row>
    <row r="4180" spans="1:14">
      <c r="A4180" s="21" t="s">
        <v>3916</v>
      </c>
      <c r="B4180" s="21" t="s">
        <v>26</v>
      </c>
      <c r="C4180" s="21" t="s">
        <v>26</v>
      </c>
      <c r="D4180" s="21" t="s">
        <v>921</v>
      </c>
      <c r="E4180" s="21">
        <v>3</v>
      </c>
      <c r="F4180" s="22">
        <v>45779.3969560185</v>
      </c>
      <c r="G4180" s="22"/>
      <c r="H4180" s="23">
        <v>55</v>
      </c>
      <c r="I4180" s="23">
        <v>55</v>
      </c>
      <c r="J4180" s="24">
        <v>165</v>
      </c>
      <c r="K4180" s="21">
        <v>0</v>
      </c>
      <c r="L4180" s="21">
        <v>0</v>
      </c>
      <c r="M4180" s="21">
        <f>COUNTIF($A$2:$A$5481,A4180)</f>
        <v>1</v>
      </c>
      <c r="N4180" s="24">
        <f t="shared" si="65"/>
        <v>165.000418</v>
      </c>
    </row>
    <row r="4181" spans="1:14">
      <c r="A4181" s="21" t="s">
        <v>3917</v>
      </c>
      <c r="B4181" s="21" t="s">
        <v>26</v>
      </c>
      <c r="C4181" s="21" t="s">
        <v>182</v>
      </c>
      <c r="D4181" s="21" t="s">
        <v>921</v>
      </c>
      <c r="E4181" s="21">
        <v>1</v>
      </c>
      <c r="F4181" s="22">
        <v>45337.3573611111</v>
      </c>
      <c r="G4181" s="22"/>
      <c r="H4181" s="23">
        <v>5</v>
      </c>
      <c r="I4181" s="23">
        <v>5</v>
      </c>
      <c r="J4181" s="24">
        <v>5</v>
      </c>
      <c r="K4181" s="21">
        <v>0</v>
      </c>
      <c r="L4181" s="21">
        <v>0</v>
      </c>
      <c r="M4181" s="21">
        <f>COUNTIF($A$2:$A$5481,A4181)</f>
        <v>1</v>
      </c>
      <c r="N4181" s="24">
        <f t="shared" si="65"/>
        <v>5.0004181</v>
      </c>
    </row>
    <row r="4182" spans="1:14">
      <c r="A4182" s="21" t="s">
        <v>3918</v>
      </c>
      <c r="B4182" s="21" t="s">
        <v>26</v>
      </c>
      <c r="C4182" s="21" t="s">
        <v>182</v>
      </c>
      <c r="D4182" s="21" t="s">
        <v>921</v>
      </c>
      <c r="E4182" s="21">
        <v>1</v>
      </c>
      <c r="F4182" s="22">
        <v>45337.3573611111</v>
      </c>
      <c r="G4182" s="22"/>
      <c r="H4182" s="23">
        <v>3</v>
      </c>
      <c r="I4182" s="23">
        <v>3</v>
      </c>
      <c r="J4182" s="24">
        <v>3</v>
      </c>
      <c r="K4182" s="21">
        <v>0</v>
      </c>
      <c r="L4182" s="21">
        <v>0</v>
      </c>
      <c r="M4182" s="21">
        <f>COUNTIF($A$2:$A$5481,A4182)</f>
        <v>1</v>
      </c>
      <c r="N4182" s="24">
        <f t="shared" si="65"/>
        <v>3.0004182</v>
      </c>
    </row>
    <row r="4183" spans="1:14">
      <c r="A4183" s="21" t="s">
        <v>3919</v>
      </c>
      <c r="B4183" s="21" t="s">
        <v>26</v>
      </c>
      <c r="C4183" s="21" t="s">
        <v>182</v>
      </c>
      <c r="D4183" s="21" t="s">
        <v>921</v>
      </c>
      <c r="E4183" s="21">
        <v>2</v>
      </c>
      <c r="F4183" s="22">
        <v>45337.3573611111</v>
      </c>
      <c r="G4183" s="22"/>
      <c r="H4183" s="23">
        <v>18</v>
      </c>
      <c r="I4183" s="23">
        <v>9</v>
      </c>
      <c r="J4183" s="24">
        <v>18</v>
      </c>
      <c r="K4183" s="21">
        <v>0</v>
      </c>
      <c r="L4183" s="21">
        <v>0</v>
      </c>
      <c r="M4183" s="21">
        <f>COUNTIF($A$2:$A$5481,A4183)</f>
        <v>1</v>
      </c>
      <c r="N4183" s="24">
        <f t="shared" si="65"/>
        <v>18.0004183</v>
      </c>
    </row>
    <row r="4184" spans="1:14">
      <c r="A4184" s="21" t="s">
        <v>3920</v>
      </c>
      <c r="B4184" s="21" t="s">
        <v>1115</v>
      </c>
      <c r="C4184" s="21" t="s">
        <v>51</v>
      </c>
      <c r="D4184" s="21" t="s">
        <v>921</v>
      </c>
      <c r="E4184" s="21">
        <v>60</v>
      </c>
      <c r="F4184" s="22">
        <v>46213.6402777778</v>
      </c>
      <c r="G4184" s="22"/>
      <c r="H4184" s="23">
        <v>2280</v>
      </c>
      <c r="I4184" s="23">
        <v>38</v>
      </c>
      <c r="J4184" s="24">
        <v>2280</v>
      </c>
      <c r="K4184" s="21">
        <v>0</v>
      </c>
      <c r="L4184" s="21">
        <v>0</v>
      </c>
      <c r="M4184" s="21">
        <f>COUNTIF($A$2:$A$5481,A4184)</f>
        <v>1</v>
      </c>
      <c r="N4184" s="24">
        <f t="shared" si="65"/>
        <v>2280.0004184</v>
      </c>
    </row>
    <row r="4185" spans="1:14">
      <c r="A4185" s="21" t="s">
        <v>3921</v>
      </c>
      <c r="B4185" s="21" t="s">
        <v>920</v>
      </c>
      <c r="C4185" s="21" t="s">
        <v>26</v>
      </c>
      <c r="D4185" s="21" t="s">
        <v>921</v>
      </c>
      <c r="E4185" s="21">
        <v>1</v>
      </c>
      <c r="F4185" s="22">
        <v>46282.5756944444</v>
      </c>
      <c r="G4185" s="22"/>
      <c r="H4185" s="23">
        <v>2170</v>
      </c>
      <c r="I4185" s="23">
        <v>2170</v>
      </c>
      <c r="J4185" s="24">
        <v>2170</v>
      </c>
      <c r="K4185" s="21">
        <v>0</v>
      </c>
      <c r="L4185" s="21">
        <v>0</v>
      </c>
      <c r="M4185" s="21">
        <f>COUNTIF($A$2:$A$5481,A4185)</f>
        <v>1</v>
      </c>
      <c r="N4185" s="24">
        <f t="shared" si="65"/>
        <v>2170.0004185</v>
      </c>
    </row>
    <row r="4186" spans="1:14">
      <c r="A4186" s="21" t="s">
        <v>3922</v>
      </c>
      <c r="B4186" s="21" t="s">
        <v>920</v>
      </c>
      <c r="C4186" s="21" t="s">
        <v>26</v>
      </c>
      <c r="D4186" s="21" t="s">
        <v>931</v>
      </c>
      <c r="E4186" s="21">
        <v>1</v>
      </c>
      <c r="F4186" s="22">
        <v>45939.5678125</v>
      </c>
      <c r="G4186" s="22">
        <v>45618.4641666667</v>
      </c>
      <c r="H4186" s="23">
        <v>550</v>
      </c>
      <c r="I4186" s="23">
        <v>550</v>
      </c>
      <c r="J4186" s="24">
        <v>550</v>
      </c>
      <c r="K4186" s="21">
        <v>0</v>
      </c>
      <c r="L4186" s="21">
        <v>0</v>
      </c>
      <c r="M4186" s="21">
        <f>COUNTIF($A$2:$A$5481,A4186)</f>
        <v>1</v>
      </c>
      <c r="N4186" s="24">
        <f t="shared" si="65"/>
        <v>550.0004186</v>
      </c>
    </row>
    <row r="4187" spans="1:14">
      <c r="A4187" s="21" t="s">
        <v>3923</v>
      </c>
      <c r="B4187" s="21" t="s">
        <v>920</v>
      </c>
      <c r="C4187" s="21" t="s">
        <v>26</v>
      </c>
      <c r="D4187" s="21" t="s">
        <v>921</v>
      </c>
      <c r="E4187" s="21">
        <v>1</v>
      </c>
      <c r="F4187" s="22">
        <v>45407.7394444444</v>
      </c>
      <c r="G4187" s="22"/>
      <c r="H4187" s="23">
        <v>470</v>
      </c>
      <c r="I4187" s="23">
        <v>470</v>
      </c>
      <c r="J4187" s="24">
        <v>470</v>
      </c>
      <c r="K4187" s="21">
        <v>0</v>
      </c>
      <c r="L4187" s="21">
        <v>0</v>
      </c>
      <c r="M4187" s="21">
        <f>COUNTIF($A$2:$A$5481,A4187)</f>
        <v>1</v>
      </c>
      <c r="N4187" s="24">
        <f t="shared" si="65"/>
        <v>470.0004187</v>
      </c>
    </row>
    <row r="4188" spans="1:14">
      <c r="A4188" s="21" t="s">
        <v>3924</v>
      </c>
      <c r="B4188" s="21" t="s">
        <v>26</v>
      </c>
      <c r="C4188" s="21" t="s">
        <v>26</v>
      </c>
      <c r="D4188" s="21" t="s">
        <v>921</v>
      </c>
      <c r="E4188" s="21">
        <v>1</v>
      </c>
      <c r="F4188" s="22">
        <v>45652.3628009259</v>
      </c>
      <c r="G4188" s="22"/>
      <c r="H4188" s="23">
        <v>255</v>
      </c>
      <c r="I4188" s="23">
        <v>255</v>
      </c>
      <c r="J4188" s="24">
        <v>255</v>
      </c>
      <c r="K4188" s="21">
        <v>0</v>
      </c>
      <c r="L4188" s="21">
        <v>0</v>
      </c>
      <c r="M4188" s="21">
        <f>COUNTIF($A$2:$A$5481,A4188)</f>
        <v>1</v>
      </c>
      <c r="N4188" s="24">
        <f t="shared" si="65"/>
        <v>255.0004188</v>
      </c>
    </row>
    <row r="4189" spans="1:14">
      <c r="A4189" s="21" t="s">
        <v>3925</v>
      </c>
      <c r="B4189" s="21" t="s">
        <v>920</v>
      </c>
      <c r="C4189" s="21" t="s">
        <v>35</v>
      </c>
      <c r="D4189" s="21" t="s">
        <v>921</v>
      </c>
      <c r="E4189" s="21">
        <v>1</v>
      </c>
      <c r="F4189" s="22">
        <v>45289.5958912037</v>
      </c>
      <c r="G4189" s="22"/>
      <c r="H4189" s="23">
        <v>230</v>
      </c>
      <c r="I4189" s="23">
        <v>230</v>
      </c>
      <c r="J4189" s="24">
        <v>230</v>
      </c>
      <c r="K4189" s="21">
        <v>0</v>
      </c>
      <c r="L4189" s="21">
        <v>0</v>
      </c>
      <c r="M4189" s="21">
        <f>COUNTIF($A$2:$A$5481,A4189)</f>
        <v>1</v>
      </c>
      <c r="N4189" s="24">
        <f t="shared" si="65"/>
        <v>230.0004189</v>
      </c>
    </row>
    <row r="4190" spans="1:14">
      <c r="A4190" s="21" t="s">
        <v>3926</v>
      </c>
      <c r="B4190" s="21" t="s">
        <v>1510</v>
      </c>
      <c r="C4190" s="21" t="s">
        <v>26</v>
      </c>
      <c r="D4190" s="21" t="s">
        <v>921</v>
      </c>
      <c r="E4190" s="21">
        <v>40</v>
      </c>
      <c r="F4190" s="22">
        <v>45965.3678009259</v>
      </c>
      <c r="G4190" s="22"/>
      <c r="H4190" s="23">
        <v>396</v>
      </c>
      <c r="I4190" s="23">
        <v>9.9</v>
      </c>
      <c r="J4190" s="24">
        <v>396</v>
      </c>
      <c r="K4190" s="21">
        <v>0</v>
      </c>
      <c r="L4190" s="21">
        <v>0</v>
      </c>
      <c r="M4190" s="21">
        <f>COUNTIF($A$2:$A$5481,A4190)</f>
        <v>1</v>
      </c>
      <c r="N4190" s="24">
        <f t="shared" si="65"/>
        <v>396.000419</v>
      </c>
    </row>
    <row r="4191" spans="1:14">
      <c r="A4191" s="21" t="s">
        <v>3927</v>
      </c>
      <c r="B4191" s="21" t="s">
        <v>1115</v>
      </c>
      <c r="C4191" s="21" t="s">
        <v>26</v>
      </c>
      <c r="D4191" s="21" t="s">
        <v>921</v>
      </c>
      <c r="E4191" s="21">
        <v>80</v>
      </c>
      <c r="F4191" s="22">
        <v>45670.3843287037</v>
      </c>
      <c r="G4191" s="22"/>
      <c r="H4191" s="23">
        <v>580</v>
      </c>
      <c r="I4191" s="23">
        <v>29</v>
      </c>
      <c r="J4191" s="24">
        <v>2320</v>
      </c>
      <c r="K4191" s="21">
        <v>0</v>
      </c>
      <c r="L4191" s="21">
        <v>0</v>
      </c>
      <c r="M4191" s="21">
        <f>COUNTIF($A$2:$A$5481,A4191)</f>
        <v>1</v>
      </c>
      <c r="N4191" s="24">
        <f t="shared" si="65"/>
        <v>2320.0004191</v>
      </c>
    </row>
    <row r="4192" spans="1:14">
      <c r="A4192" s="21" t="s">
        <v>3928</v>
      </c>
      <c r="B4192" s="21" t="s">
        <v>929</v>
      </c>
      <c r="C4192" s="21" t="s">
        <v>26</v>
      </c>
      <c r="D4192" s="21" t="s">
        <v>921</v>
      </c>
      <c r="E4192" s="21">
        <v>2</v>
      </c>
      <c r="F4192" s="22">
        <v>46031.3682523148</v>
      </c>
      <c r="G4192" s="22"/>
      <c r="H4192" s="23">
        <v>50</v>
      </c>
      <c r="I4192" s="23">
        <v>25</v>
      </c>
      <c r="J4192" s="24">
        <v>50</v>
      </c>
      <c r="K4192" s="21">
        <v>0</v>
      </c>
      <c r="L4192" s="21">
        <v>0</v>
      </c>
      <c r="M4192" s="21">
        <f>COUNTIF($A$2:$A$5481,A4192)</f>
        <v>1</v>
      </c>
      <c r="N4192" s="24">
        <f t="shared" si="65"/>
        <v>50.0004192</v>
      </c>
    </row>
    <row r="4193" spans="1:14">
      <c r="A4193" s="21" t="s">
        <v>3929</v>
      </c>
      <c r="B4193" s="21" t="s">
        <v>929</v>
      </c>
      <c r="C4193" s="21" t="s">
        <v>26</v>
      </c>
      <c r="D4193" s="21" t="s">
        <v>921</v>
      </c>
      <c r="E4193" s="21">
        <v>18</v>
      </c>
      <c r="F4193" s="22">
        <v>46188.6330671296</v>
      </c>
      <c r="G4193" s="22"/>
      <c r="H4193" s="23">
        <v>80</v>
      </c>
      <c r="I4193" s="23">
        <v>11.5555555556</v>
      </c>
      <c r="J4193" s="24">
        <v>208.08</v>
      </c>
      <c r="K4193" s="21">
        <v>0</v>
      </c>
      <c r="L4193" s="21">
        <v>0</v>
      </c>
      <c r="M4193" s="21">
        <f>COUNTIF($A$2:$A$5481,A4193)</f>
        <v>1</v>
      </c>
      <c r="N4193" s="24">
        <f t="shared" si="65"/>
        <v>208.0804193</v>
      </c>
    </row>
    <row r="4194" spans="1:14">
      <c r="A4194" s="21" t="s">
        <v>3930</v>
      </c>
      <c r="B4194" s="21" t="s">
        <v>929</v>
      </c>
      <c r="C4194" s="21" t="s">
        <v>26</v>
      </c>
      <c r="D4194" s="21" t="s">
        <v>921</v>
      </c>
      <c r="E4194" s="21">
        <v>1</v>
      </c>
      <c r="F4194" s="22">
        <v>45435.8511574074</v>
      </c>
      <c r="G4194" s="22"/>
      <c r="H4194" s="23">
        <v>20</v>
      </c>
      <c r="I4194" s="23">
        <v>20</v>
      </c>
      <c r="J4194" s="24">
        <v>20</v>
      </c>
      <c r="K4194" s="21">
        <v>0</v>
      </c>
      <c r="L4194" s="21">
        <v>0</v>
      </c>
      <c r="M4194" s="21">
        <f>COUNTIF($A$2:$A$5481,A4194)</f>
        <v>1</v>
      </c>
      <c r="N4194" s="24">
        <f t="shared" si="65"/>
        <v>20.0004194</v>
      </c>
    </row>
    <row r="4195" spans="1:14">
      <c r="A4195" s="21" t="s">
        <v>3931</v>
      </c>
      <c r="B4195" s="21" t="s">
        <v>929</v>
      </c>
      <c r="C4195" s="21" t="s">
        <v>414</v>
      </c>
      <c r="D4195" s="21" t="s">
        <v>921</v>
      </c>
      <c r="E4195" s="21">
        <v>0</v>
      </c>
      <c r="F4195" s="22">
        <v>45294.3547337963</v>
      </c>
      <c r="G4195" s="22">
        <v>45295.3899652778</v>
      </c>
      <c r="H4195" s="23">
        <v>20</v>
      </c>
      <c r="I4195" s="23">
        <v>20</v>
      </c>
      <c r="J4195" s="24">
        <v>0</v>
      </c>
      <c r="K4195" s="21">
        <v>0</v>
      </c>
      <c r="L4195" s="21">
        <v>0</v>
      </c>
      <c r="M4195" s="21">
        <f>COUNTIF($A$2:$A$5481,A4195)</f>
        <v>2</v>
      </c>
      <c r="N4195" s="24">
        <f t="shared" si="65"/>
        <v>0.0004195</v>
      </c>
    </row>
    <row r="4196" spans="1:14">
      <c r="A4196" s="21" t="s">
        <v>3931</v>
      </c>
      <c r="B4196" s="21" t="s">
        <v>929</v>
      </c>
      <c r="C4196" s="21" t="s">
        <v>26</v>
      </c>
      <c r="D4196" s="21" t="s">
        <v>921</v>
      </c>
      <c r="E4196" s="21">
        <v>1</v>
      </c>
      <c r="F4196" s="22">
        <v>46001.5487037037</v>
      </c>
      <c r="G4196" s="22"/>
      <c r="H4196" s="23">
        <v>16.5</v>
      </c>
      <c r="I4196" s="23">
        <v>16.5</v>
      </c>
      <c r="J4196" s="24">
        <v>16.5</v>
      </c>
      <c r="K4196" s="21">
        <v>0</v>
      </c>
      <c r="L4196" s="21">
        <v>0</v>
      </c>
      <c r="M4196" s="21">
        <f>COUNTIF($A$2:$A$5481,A4196)</f>
        <v>2</v>
      </c>
      <c r="N4196" s="24">
        <f t="shared" si="65"/>
        <v>16.5004196</v>
      </c>
    </row>
    <row r="4197" spans="1:14">
      <c r="A4197" s="21" t="s">
        <v>812</v>
      </c>
      <c r="B4197" s="21" t="s">
        <v>1115</v>
      </c>
      <c r="C4197" s="21" t="s">
        <v>26</v>
      </c>
      <c r="D4197" s="21" t="s">
        <v>921</v>
      </c>
      <c r="E4197" s="21">
        <v>0</v>
      </c>
      <c r="F4197" s="22">
        <v>46258.5986111111</v>
      </c>
      <c r="G4197" s="22">
        <v>46259.6645949074</v>
      </c>
      <c r="H4197" s="23">
        <v>23.41</v>
      </c>
      <c r="I4197" s="23">
        <v>23.41</v>
      </c>
      <c r="J4197" s="24">
        <v>0</v>
      </c>
      <c r="K4197" s="21">
        <v>0</v>
      </c>
      <c r="L4197" s="21">
        <v>0</v>
      </c>
      <c r="M4197" s="21">
        <f>COUNTIF($A$2:$A$5481,A4197)</f>
        <v>1</v>
      </c>
      <c r="N4197" s="24">
        <f t="shared" si="65"/>
        <v>0.0004197</v>
      </c>
    </row>
    <row r="4198" spans="1:14">
      <c r="A4198" s="21" t="s">
        <v>3932</v>
      </c>
      <c r="B4198" s="21" t="s">
        <v>929</v>
      </c>
      <c r="C4198" s="21" t="s">
        <v>26</v>
      </c>
      <c r="D4198" s="21" t="s">
        <v>921</v>
      </c>
      <c r="E4198" s="21">
        <v>29</v>
      </c>
      <c r="F4198" s="22">
        <v>46206.694525463</v>
      </c>
      <c r="G4198" s="22">
        <v>45777.4673958333</v>
      </c>
      <c r="H4198" s="23">
        <v>150</v>
      </c>
      <c r="I4198" s="23">
        <v>16.2103448276</v>
      </c>
      <c r="J4198" s="24">
        <v>470.09</v>
      </c>
      <c r="K4198" s="21">
        <v>0</v>
      </c>
      <c r="L4198" s="21">
        <v>0</v>
      </c>
      <c r="M4198" s="21">
        <f>COUNTIF($A$2:$A$5481,A4198)</f>
        <v>1</v>
      </c>
      <c r="N4198" s="24">
        <f t="shared" si="65"/>
        <v>470.0904198</v>
      </c>
    </row>
    <row r="4199" spans="1:14">
      <c r="A4199" s="21" t="s">
        <v>3933</v>
      </c>
      <c r="B4199" s="21" t="s">
        <v>920</v>
      </c>
      <c r="C4199" s="21" t="s">
        <v>26</v>
      </c>
      <c r="D4199" s="21" t="s">
        <v>921</v>
      </c>
      <c r="E4199" s="21">
        <v>5</v>
      </c>
      <c r="F4199" s="22">
        <v>46000.5367361111</v>
      </c>
      <c r="G4199" s="22">
        <v>45673.4496875</v>
      </c>
      <c r="H4199" s="23">
        <v>300</v>
      </c>
      <c r="I4199" s="23">
        <v>75</v>
      </c>
      <c r="J4199" s="24">
        <v>375</v>
      </c>
      <c r="K4199" s="21">
        <v>0</v>
      </c>
      <c r="L4199" s="21">
        <v>0</v>
      </c>
      <c r="M4199" s="21">
        <f>COUNTIF($A$2:$A$5481,A4199)</f>
        <v>1</v>
      </c>
      <c r="N4199" s="24">
        <f t="shared" si="65"/>
        <v>375.0004199</v>
      </c>
    </row>
    <row r="4200" spans="1:14">
      <c r="A4200" s="21" t="s">
        <v>696</v>
      </c>
      <c r="B4200" s="21" t="s">
        <v>1115</v>
      </c>
      <c r="C4200" s="21" t="s">
        <v>26</v>
      </c>
      <c r="D4200" s="21" t="s">
        <v>921</v>
      </c>
      <c r="E4200" s="21">
        <v>0</v>
      </c>
      <c r="F4200" s="22">
        <v>46141.5552777778</v>
      </c>
      <c r="G4200" s="22">
        <v>46252.568912037</v>
      </c>
      <c r="H4200" s="23">
        <v>1043.02</v>
      </c>
      <c r="I4200" s="23">
        <v>521.51</v>
      </c>
      <c r="J4200" s="24">
        <v>0</v>
      </c>
      <c r="K4200" s="21">
        <v>0</v>
      </c>
      <c r="L4200" s="21">
        <v>0</v>
      </c>
      <c r="M4200" s="21">
        <f>COUNTIF($A$2:$A$5481,A4200)</f>
        <v>1</v>
      </c>
      <c r="N4200" s="24">
        <f t="shared" si="65"/>
        <v>0.00042</v>
      </c>
    </row>
    <row r="4201" spans="1:14">
      <c r="A4201" s="21" t="s">
        <v>3934</v>
      </c>
      <c r="B4201" s="21" t="s">
        <v>920</v>
      </c>
      <c r="C4201" s="21" t="s">
        <v>26</v>
      </c>
      <c r="D4201" s="21" t="s">
        <v>921</v>
      </c>
      <c r="E4201" s="21">
        <v>40</v>
      </c>
      <c r="F4201" s="22">
        <v>45554.6448958333</v>
      </c>
      <c r="G4201" s="22"/>
      <c r="H4201" s="23">
        <v>100</v>
      </c>
      <c r="I4201" s="23">
        <v>2.5</v>
      </c>
      <c r="J4201" s="24">
        <v>100</v>
      </c>
      <c r="K4201" s="21">
        <v>0</v>
      </c>
      <c r="L4201" s="21">
        <v>0</v>
      </c>
      <c r="M4201" s="21">
        <f>COUNTIF($A$2:$A$5481,A4201)</f>
        <v>1</v>
      </c>
      <c r="N4201" s="24">
        <f t="shared" si="65"/>
        <v>100.0004201</v>
      </c>
    </row>
    <row r="4202" spans="1:14">
      <c r="A4202" s="21" t="s">
        <v>3935</v>
      </c>
      <c r="B4202" s="21" t="s">
        <v>920</v>
      </c>
      <c r="C4202" s="21" t="s">
        <v>26</v>
      </c>
      <c r="D4202" s="21" t="s">
        <v>921</v>
      </c>
      <c r="E4202" s="21">
        <v>80</v>
      </c>
      <c r="F4202" s="22">
        <v>46175.5439236111</v>
      </c>
      <c r="G4202" s="22">
        <v>45643.5811458333</v>
      </c>
      <c r="H4202" s="23">
        <v>120</v>
      </c>
      <c r="I4202" s="23">
        <v>4.875</v>
      </c>
      <c r="J4202" s="24">
        <v>390.4</v>
      </c>
      <c r="K4202" s="21">
        <v>0</v>
      </c>
      <c r="L4202" s="21">
        <v>0</v>
      </c>
      <c r="M4202" s="21">
        <f>COUNTIF($A$2:$A$5481,A4202)</f>
        <v>1</v>
      </c>
      <c r="N4202" s="24">
        <f t="shared" si="65"/>
        <v>390.4004202</v>
      </c>
    </row>
    <row r="4203" spans="1:14">
      <c r="A4203" s="21" t="s">
        <v>395</v>
      </c>
      <c r="B4203" s="21" t="s">
        <v>920</v>
      </c>
      <c r="C4203" s="21" t="s">
        <v>35</v>
      </c>
      <c r="D4203" s="21" t="s">
        <v>921</v>
      </c>
      <c r="E4203" s="21">
        <v>30</v>
      </c>
      <c r="F4203" s="22">
        <v>46163.5867361111</v>
      </c>
      <c r="G4203" s="22"/>
      <c r="H4203" s="23">
        <v>180</v>
      </c>
      <c r="I4203" s="23">
        <v>6</v>
      </c>
      <c r="J4203" s="24">
        <v>180</v>
      </c>
      <c r="K4203" s="21">
        <v>0</v>
      </c>
      <c r="L4203" s="21">
        <v>0</v>
      </c>
      <c r="M4203" s="21">
        <f>COUNTIF($A$2:$A$5481,A4203)</f>
        <v>2</v>
      </c>
      <c r="N4203" s="24">
        <f t="shared" si="65"/>
        <v>180.0004203</v>
      </c>
    </row>
    <row r="4204" spans="1:14">
      <c r="A4204" s="21" t="s">
        <v>395</v>
      </c>
      <c r="B4204" s="21" t="s">
        <v>920</v>
      </c>
      <c r="C4204" s="21" t="s">
        <v>26</v>
      </c>
      <c r="D4204" s="21" t="s">
        <v>921</v>
      </c>
      <c r="E4204" s="21">
        <v>78</v>
      </c>
      <c r="F4204" s="22">
        <v>46174.5790509259</v>
      </c>
      <c r="G4204" s="22">
        <v>46174.6148842593</v>
      </c>
      <c r="H4204" s="23">
        <v>60</v>
      </c>
      <c r="I4204" s="23">
        <v>4.8367346939</v>
      </c>
      <c r="J4204" s="24">
        <v>377.52</v>
      </c>
      <c r="K4204" s="21">
        <v>0</v>
      </c>
      <c r="L4204" s="21">
        <v>0</v>
      </c>
      <c r="M4204" s="21">
        <f>COUNTIF($A$2:$A$5481,A4204)</f>
        <v>2</v>
      </c>
      <c r="N4204" s="24">
        <f t="shared" si="65"/>
        <v>377.5204204</v>
      </c>
    </row>
    <row r="4205" spans="1:14">
      <c r="A4205" s="21" t="s">
        <v>3936</v>
      </c>
      <c r="B4205" s="21" t="s">
        <v>26</v>
      </c>
      <c r="C4205" s="21" t="s">
        <v>26</v>
      </c>
      <c r="D4205" s="21" t="s">
        <v>921</v>
      </c>
      <c r="E4205" s="21">
        <v>143</v>
      </c>
      <c r="F4205" s="22">
        <v>46106.5625</v>
      </c>
      <c r="G4205" s="22">
        <v>45637.4158449074</v>
      </c>
      <c r="H4205" s="23">
        <v>120</v>
      </c>
      <c r="I4205" s="23">
        <v>6.9533435664</v>
      </c>
      <c r="J4205" s="24">
        <v>993.85</v>
      </c>
      <c r="K4205" s="21">
        <v>0</v>
      </c>
      <c r="L4205" s="21">
        <v>0</v>
      </c>
      <c r="M4205" s="21">
        <f>COUNTIF($A$2:$A$5481,A4205)</f>
        <v>1</v>
      </c>
      <c r="N4205" s="24">
        <f t="shared" si="65"/>
        <v>993.8504205</v>
      </c>
    </row>
    <row r="4206" spans="1:14">
      <c r="A4206" s="21" t="s">
        <v>3937</v>
      </c>
      <c r="B4206" s="21" t="s">
        <v>920</v>
      </c>
      <c r="C4206" s="21" t="s">
        <v>26</v>
      </c>
      <c r="D4206" s="21" t="s">
        <v>921</v>
      </c>
      <c r="E4206" s="21">
        <v>64</v>
      </c>
      <c r="F4206" s="22">
        <v>45868.5631134259</v>
      </c>
      <c r="G4206" s="22">
        <v>45951.4312847222</v>
      </c>
      <c r="H4206" s="23">
        <v>270</v>
      </c>
      <c r="I4206" s="23">
        <v>4.0216219318</v>
      </c>
      <c r="J4206" s="24">
        <v>257.28</v>
      </c>
      <c r="K4206" s="21">
        <v>0</v>
      </c>
      <c r="L4206" s="21">
        <v>0</v>
      </c>
      <c r="M4206" s="21">
        <f>COUNTIF($A$2:$A$5481,A4206)</f>
        <v>1</v>
      </c>
      <c r="N4206" s="24">
        <f t="shared" si="65"/>
        <v>257.2804206</v>
      </c>
    </row>
    <row r="4207" spans="1:14">
      <c r="A4207" s="21" t="s">
        <v>3938</v>
      </c>
      <c r="B4207" s="21" t="s">
        <v>920</v>
      </c>
      <c r="C4207" s="21" t="s">
        <v>26</v>
      </c>
      <c r="D4207" s="21" t="s">
        <v>921</v>
      </c>
      <c r="E4207" s="21">
        <v>36</v>
      </c>
      <c r="F4207" s="22">
        <v>45595.8402546296</v>
      </c>
      <c r="G4207" s="22"/>
      <c r="H4207" s="23">
        <v>108</v>
      </c>
      <c r="I4207" s="23">
        <v>3</v>
      </c>
      <c r="J4207" s="24">
        <v>108</v>
      </c>
      <c r="K4207" s="21">
        <v>0</v>
      </c>
      <c r="L4207" s="21">
        <v>0</v>
      </c>
      <c r="M4207" s="21">
        <f>COUNTIF($A$2:$A$5481,A4207)</f>
        <v>1</v>
      </c>
      <c r="N4207" s="24">
        <f t="shared" si="65"/>
        <v>108.0004207</v>
      </c>
    </row>
    <row r="4208" spans="1:14">
      <c r="A4208" s="21" t="s">
        <v>3939</v>
      </c>
      <c r="B4208" s="21" t="s">
        <v>920</v>
      </c>
      <c r="C4208" s="21" t="s">
        <v>35</v>
      </c>
      <c r="D4208" s="21" t="s">
        <v>921</v>
      </c>
      <c r="E4208" s="21">
        <v>0</v>
      </c>
      <c r="F4208" s="22">
        <v>45322.7187037037</v>
      </c>
      <c r="G4208" s="22">
        <v>45560.5888888889</v>
      </c>
      <c r="H4208" s="23">
        <v>40</v>
      </c>
      <c r="I4208" s="23">
        <v>2</v>
      </c>
      <c r="J4208" s="24">
        <v>0</v>
      </c>
      <c r="K4208" s="21">
        <v>0</v>
      </c>
      <c r="L4208" s="21">
        <v>0</v>
      </c>
      <c r="M4208" s="21">
        <f>COUNTIF($A$2:$A$5481,A4208)</f>
        <v>1</v>
      </c>
      <c r="N4208" s="24">
        <f t="shared" si="65"/>
        <v>0.0004208</v>
      </c>
    </row>
    <row r="4209" spans="1:14">
      <c r="A4209" s="21" t="s">
        <v>804</v>
      </c>
      <c r="B4209" s="21" t="s">
        <v>1115</v>
      </c>
      <c r="C4209" s="21" t="s">
        <v>783</v>
      </c>
      <c r="D4209" s="21" t="s">
        <v>921</v>
      </c>
      <c r="E4209" s="21">
        <v>30</v>
      </c>
      <c r="F4209" s="22">
        <v>45911.6966203704</v>
      </c>
      <c r="G4209" s="22"/>
      <c r="H4209" s="23">
        <v>1650</v>
      </c>
      <c r="I4209" s="23">
        <v>55</v>
      </c>
      <c r="J4209" s="24">
        <v>1650</v>
      </c>
      <c r="K4209" s="21">
        <v>0</v>
      </c>
      <c r="L4209" s="21">
        <v>0</v>
      </c>
      <c r="M4209" s="21">
        <f>COUNTIF($A$2:$A$5481,A4209)</f>
        <v>3</v>
      </c>
      <c r="N4209" s="24">
        <f t="shared" si="65"/>
        <v>1650.0004209</v>
      </c>
    </row>
    <row r="4210" spans="1:14">
      <c r="A4210" s="21" t="s">
        <v>804</v>
      </c>
      <c r="B4210" s="21" t="s">
        <v>1115</v>
      </c>
      <c r="C4210" s="21" t="s">
        <v>51</v>
      </c>
      <c r="D4210" s="21" t="s">
        <v>921</v>
      </c>
      <c r="E4210" s="21">
        <v>26</v>
      </c>
      <c r="F4210" s="22">
        <v>46062.5534143519</v>
      </c>
      <c r="G4210" s="22">
        <v>45842.5008101852</v>
      </c>
      <c r="H4210" s="23">
        <v>1430</v>
      </c>
      <c r="I4210" s="23">
        <v>55</v>
      </c>
      <c r="J4210" s="24">
        <v>1430</v>
      </c>
      <c r="K4210" s="21">
        <v>0</v>
      </c>
      <c r="L4210" s="21">
        <v>0</v>
      </c>
      <c r="M4210" s="21">
        <f>COUNTIF($A$2:$A$5481,A4210)</f>
        <v>3</v>
      </c>
      <c r="N4210" s="24">
        <f t="shared" si="65"/>
        <v>1430.000421</v>
      </c>
    </row>
    <row r="4211" spans="1:14">
      <c r="A4211" s="21" t="s">
        <v>804</v>
      </c>
      <c r="B4211" s="21" t="s">
        <v>1115</v>
      </c>
      <c r="C4211" s="21" t="s">
        <v>26</v>
      </c>
      <c r="D4211" s="21" t="s">
        <v>921</v>
      </c>
      <c r="E4211" s="21">
        <v>74</v>
      </c>
      <c r="F4211" s="22">
        <v>46234.6034722222</v>
      </c>
      <c r="G4211" s="22">
        <v>46269.6130439815</v>
      </c>
      <c r="H4211" s="23">
        <v>3954</v>
      </c>
      <c r="I4211" s="23">
        <v>62.6227906977</v>
      </c>
      <c r="J4211" s="24">
        <v>4633.88</v>
      </c>
      <c r="K4211" s="21">
        <v>0</v>
      </c>
      <c r="L4211" s="21">
        <v>0</v>
      </c>
      <c r="M4211" s="21">
        <f>COUNTIF($A$2:$A$5481,A4211)</f>
        <v>3</v>
      </c>
      <c r="N4211" s="24">
        <f t="shared" si="65"/>
        <v>4633.8804211</v>
      </c>
    </row>
    <row r="4212" spans="1:14">
      <c r="A4212" s="21" t="s">
        <v>375</v>
      </c>
      <c r="B4212" s="21" t="s">
        <v>920</v>
      </c>
      <c r="C4212" s="21" t="s">
        <v>26</v>
      </c>
      <c r="D4212" s="21" t="s">
        <v>921</v>
      </c>
      <c r="E4212" s="21">
        <v>6</v>
      </c>
      <c r="F4212" s="22">
        <v>46185.6625810185</v>
      </c>
      <c r="G4212" s="22">
        <v>46162.6271875</v>
      </c>
      <c r="H4212" s="23">
        <v>80</v>
      </c>
      <c r="I4212" s="23">
        <v>79.1666666667</v>
      </c>
      <c r="J4212" s="24">
        <v>475.02</v>
      </c>
      <c r="K4212" s="21">
        <v>0</v>
      </c>
      <c r="L4212" s="21">
        <v>0</v>
      </c>
      <c r="M4212" s="21">
        <f>COUNTIF($A$2:$A$5481,A4212)</f>
        <v>1</v>
      </c>
      <c r="N4212" s="24">
        <f t="shared" si="65"/>
        <v>475.0204212</v>
      </c>
    </row>
    <row r="4213" spans="1:14">
      <c r="A4213" s="21" t="s">
        <v>702</v>
      </c>
      <c r="B4213" s="21" t="s">
        <v>26</v>
      </c>
      <c r="C4213" s="21" t="s">
        <v>51</v>
      </c>
      <c r="D4213" s="21" t="s">
        <v>921</v>
      </c>
      <c r="E4213" s="21">
        <v>18</v>
      </c>
      <c r="F4213" s="22">
        <v>45621.3654050926</v>
      </c>
      <c r="G4213" s="22"/>
      <c r="H4213" s="23">
        <v>396.9</v>
      </c>
      <c r="I4213" s="23">
        <v>22.05</v>
      </c>
      <c r="J4213" s="24">
        <v>396.9</v>
      </c>
      <c r="K4213" s="21">
        <v>0</v>
      </c>
      <c r="L4213" s="21">
        <v>0</v>
      </c>
      <c r="M4213" s="21">
        <f>COUNTIF($A$2:$A$5481,A4213)</f>
        <v>2</v>
      </c>
      <c r="N4213" s="24">
        <f t="shared" si="65"/>
        <v>396.9004213</v>
      </c>
    </row>
    <row r="4214" spans="1:14">
      <c r="A4214" s="21" t="s">
        <v>702</v>
      </c>
      <c r="B4214" s="21" t="s">
        <v>26</v>
      </c>
      <c r="C4214" s="21" t="s">
        <v>26</v>
      </c>
      <c r="D4214" s="21" t="s">
        <v>921</v>
      </c>
      <c r="E4214" s="21">
        <v>0</v>
      </c>
      <c r="F4214" s="22">
        <v>46090.6141435185</v>
      </c>
      <c r="G4214" s="22">
        <v>46252.5689814815</v>
      </c>
      <c r="H4214" s="23">
        <v>38.61</v>
      </c>
      <c r="I4214" s="23">
        <v>38.745</v>
      </c>
      <c r="J4214" s="24">
        <v>0</v>
      </c>
      <c r="K4214" s="21">
        <v>0</v>
      </c>
      <c r="L4214" s="21">
        <v>0</v>
      </c>
      <c r="M4214" s="21">
        <f>COUNTIF($A$2:$A$5481,A4214)</f>
        <v>2</v>
      </c>
      <c r="N4214" s="24">
        <f t="shared" si="65"/>
        <v>0.0004214</v>
      </c>
    </row>
    <row r="4215" spans="1:14">
      <c r="A4215" s="21" t="s">
        <v>3940</v>
      </c>
      <c r="B4215" s="21" t="s">
        <v>26</v>
      </c>
      <c r="C4215" s="21" t="s">
        <v>51</v>
      </c>
      <c r="D4215" s="21" t="s">
        <v>921</v>
      </c>
      <c r="E4215" s="21">
        <v>2</v>
      </c>
      <c r="F4215" s="22">
        <v>45621.3654050926</v>
      </c>
      <c r="G4215" s="22"/>
      <c r="H4215" s="23">
        <v>44.1</v>
      </c>
      <c r="I4215" s="23">
        <v>22.05</v>
      </c>
      <c r="J4215" s="24">
        <v>44.1</v>
      </c>
      <c r="K4215" s="21">
        <v>0</v>
      </c>
      <c r="L4215" s="21">
        <v>0</v>
      </c>
      <c r="M4215" s="21">
        <f>COUNTIF($A$2:$A$5481,A4215)</f>
        <v>2</v>
      </c>
      <c r="N4215" s="24">
        <f t="shared" si="65"/>
        <v>44.1004215</v>
      </c>
    </row>
    <row r="4216" spans="1:14">
      <c r="A4216" s="21" t="s">
        <v>3940</v>
      </c>
      <c r="B4216" s="21" t="s">
        <v>26</v>
      </c>
      <c r="C4216" s="21" t="s">
        <v>26</v>
      </c>
      <c r="D4216" s="21" t="s">
        <v>921</v>
      </c>
      <c r="E4216" s="21">
        <v>14</v>
      </c>
      <c r="F4216" s="22">
        <v>46205.5835763889</v>
      </c>
      <c r="G4216" s="22"/>
      <c r="H4216" s="23">
        <v>331.6</v>
      </c>
      <c r="I4216" s="23">
        <v>33.0571428571</v>
      </c>
      <c r="J4216" s="24">
        <v>462.84</v>
      </c>
      <c r="K4216" s="21">
        <v>0</v>
      </c>
      <c r="L4216" s="21">
        <v>0</v>
      </c>
      <c r="M4216" s="21">
        <f>COUNTIF($A$2:$A$5481,A4216)</f>
        <v>2</v>
      </c>
      <c r="N4216" s="24">
        <f t="shared" si="65"/>
        <v>462.8404216</v>
      </c>
    </row>
    <row r="4217" spans="1:14">
      <c r="A4217" s="21" t="s">
        <v>701</v>
      </c>
      <c r="B4217" s="21" t="s">
        <v>26</v>
      </c>
      <c r="C4217" s="21" t="s">
        <v>26</v>
      </c>
      <c r="D4217" s="21" t="s">
        <v>921</v>
      </c>
      <c r="E4217" s="21">
        <v>0</v>
      </c>
      <c r="F4217" s="22">
        <v>46205.5835763889</v>
      </c>
      <c r="G4217" s="22">
        <v>46252.5689699074</v>
      </c>
      <c r="H4217" s="23">
        <v>112.41</v>
      </c>
      <c r="I4217" s="23">
        <v>38.005</v>
      </c>
      <c r="J4217" s="24">
        <v>0</v>
      </c>
      <c r="K4217" s="21">
        <v>0</v>
      </c>
      <c r="L4217" s="21">
        <v>0</v>
      </c>
      <c r="M4217" s="21">
        <f>COUNTIF($A$2:$A$5481,A4217)</f>
        <v>1</v>
      </c>
      <c r="N4217" s="24">
        <f t="shared" si="65"/>
        <v>0.0004217</v>
      </c>
    </row>
    <row r="4218" spans="1:14">
      <c r="A4218" s="21" t="s">
        <v>3941</v>
      </c>
      <c r="B4218" s="21" t="s">
        <v>26</v>
      </c>
      <c r="C4218" s="21" t="s">
        <v>26</v>
      </c>
      <c r="D4218" s="21" t="s">
        <v>921</v>
      </c>
      <c r="E4218" s="21">
        <v>1</v>
      </c>
      <c r="F4218" s="22">
        <v>45506.3778356482</v>
      </c>
      <c r="G4218" s="22"/>
      <c r="H4218" s="23">
        <v>180.01</v>
      </c>
      <c r="I4218" s="23">
        <v>180.01</v>
      </c>
      <c r="J4218" s="24">
        <v>180.01</v>
      </c>
      <c r="K4218" s="21">
        <v>0</v>
      </c>
      <c r="L4218" s="21">
        <v>0</v>
      </c>
      <c r="M4218" s="21">
        <f>COUNTIF($A$2:$A$5481,A4218)</f>
        <v>1</v>
      </c>
      <c r="N4218" s="24">
        <f t="shared" si="65"/>
        <v>180.0104218</v>
      </c>
    </row>
    <row r="4219" spans="1:14">
      <c r="A4219" s="21" t="s">
        <v>3942</v>
      </c>
      <c r="B4219" s="21" t="s">
        <v>920</v>
      </c>
      <c r="C4219" s="21" t="s">
        <v>26</v>
      </c>
      <c r="D4219" s="21" t="s">
        <v>921</v>
      </c>
      <c r="E4219" s="21">
        <v>0</v>
      </c>
      <c r="F4219" s="22">
        <v>45979.599837963</v>
      </c>
      <c r="G4219" s="22">
        <v>45987.3946990741</v>
      </c>
      <c r="H4219" s="23">
        <v>382.27</v>
      </c>
      <c r="I4219" s="23">
        <v>382.27</v>
      </c>
      <c r="J4219" s="24">
        <v>0</v>
      </c>
      <c r="K4219" s="21">
        <v>0</v>
      </c>
      <c r="L4219" s="21">
        <v>0</v>
      </c>
      <c r="M4219" s="21">
        <f>COUNTIF($A$2:$A$5481,A4219)</f>
        <v>1</v>
      </c>
      <c r="N4219" s="24">
        <f t="shared" si="65"/>
        <v>0.0004219</v>
      </c>
    </row>
    <row r="4220" spans="1:14">
      <c r="A4220" s="21" t="s">
        <v>3943</v>
      </c>
      <c r="B4220" s="21" t="s">
        <v>26</v>
      </c>
      <c r="C4220" s="21" t="s">
        <v>26</v>
      </c>
      <c r="D4220" s="21" t="s">
        <v>921</v>
      </c>
      <c r="E4220" s="21">
        <v>1</v>
      </c>
      <c r="F4220" s="22">
        <v>45427.6708333333</v>
      </c>
      <c r="G4220" s="22"/>
      <c r="H4220" s="23">
        <v>350</v>
      </c>
      <c r="I4220" s="23">
        <v>350</v>
      </c>
      <c r="J4220" s="24">
        <v>350</v>
      </c>
      <c r="K4220" s="21">
        <v>0</v>
      </c>
      <c r="L4220" s="21">
        <v>0</v>
      </c>
      <c r="M4220" s="21">
        <f>COUNTIF($A$2:$A$5481,A4220)</f>
        <v>1</v>
      </c>
      <c r="N4220" s="24">
        <f t="shared" si="65"/>
        <v>350.000422</v>
      </c>
    </row>
    <row r="4221" spans="1:14">
      <c r="A4221" s="21" t="s">
        <v>3944</v>
      </c>
      <c r="B4221" s="21" t="s">
        <v>26</v>
      </c>
      <c r="C4221" s="21" t="s">
        <v>26</v>
      </c>
      <c r="D4221" s="21" t="s">
        <v>921</v>
      </c>
      <c r="E4221" s="21">
        <v>3</v>
      </c>
      <c r="F4221" s="22">
        <v>45631.7938888889</v>
      </c>
      <c r="G4221" s="22"/>
      <c r="H4221" s="23">
        <v>578</v>
      </c>
      <c r="I4221" s="23">
        <v>292.29667</v>
      </c>
      <c r="J4221" s="24">
        <v>876.9</v>
      </c>
      <c r="K4221" s="21">
        <v>0</v>
      </c>
      <c r="L4221" s="21">
        <v>0</v>
      </c>
      <c r="M4221" s="21">
        <f>COUNTIF($A$2:$A$5481,A4221)</f>
        <v>1</v>
      </c>
      <c r="N4221" s="24">
        <f t="shared" si="65"/>
        <v>876.9004221</v>
      </c>
    </row>
    <row r="4222" spans="1:14">
      <c r="A4222" s="21" t="s">
        <v>3945</v>
      </c>
      <c r="B4222" s="21" t="s">
        <v>920</v>
      </c>
      <c r="C4222" s="21" t="s">
        <v>35</v>
      </c>
      <c r="D4222" s="21" t="s">
        <v>921</v>
      </c>
      <c r="E4222" s="21">
        <v>0</v>
      </c>
      <c r="F4222" s="22">
        <v>45453.4696759259</v>
      </c>
      <c r="G4222" s="22">
        <v>45460.8601273148</v>
      </c>
      <c r="H4222" s="23">
        <v>236.45</v>
      </c>
      <c r="I4222" s="23">
        <v>236.45</v>
      </c>
      <c r="J4222" s="24">
        <v>0</v>
      </c>
      <c r="K4222" s="21">
        <v>0</v>
      </c>
      <c r="L4222" s="21">
        <v>0</v>
      </c>
      <c r="M4222" s="21">
        <f>COUNTIF($A$2:$A$5481,A4222)</f>
        <v>2</v>
      </c>
      <c r="N4222" s="24">
        <f t="shared" si="65"/>
        <v>0.0004222</v>
      </c>
    </row>
    <row r="4223" spans="1:14">
      <c r="A4223" s="21" t="s">
        <v>3945</v>
      </c>
      <c r="B4223" s="21" t="s">
        <v>920</v>
      </c>
      <c r="C4223" s="21" t="s">
        <v>26</v>
      </c>
      <c r="D4223" s="21" t="s">
        <v>921</v>
      </c>
      <c r="E4223" s="21">
        <v>2</v>
      </c>
      <c r="F4223" s="22">
        <v>45579.7256712963</v>
      </c>
      <c r="G4223" s="22">
        <v>45649.3997106482</v>
      </c>
      <c r="H4223" s="23">
        <v>578</v>
      </c>
      <c r="I4223" s="23">
        <v>268.95</v>
      </c>
      <c r="J4223" s="24">
        <v>537.9</v>
      </c>
      <c r="K4223" s="21">
        <v>0</v>
      </c>
      <c r="L4223" s="21">
        <v>0</v>
      </c>
      <c r="M4223" s="21">
        <f>COUNTIF($A$2:$A$5481,A4223)</f>
        <v>2</v>
      </c>
      <c r="N4223" s="24">
        <f t="shared" si="65"/>
        <v>537.9004223</v>
      </c>
    </row>
    <row r="4224" spans="1:14">
      <c r="A4224" s="21" t="s">
        <v>503</v>
      </c>
      <c r="B4224" s="21" t="s">
        <v>26</v>
      </c>
      <c r="C4224" s="21" t="s">
        <v>26</v>
      </c>
      <c r="D4224" s="21" t="s">
        <v>921</v>
      </c>
      <c r="E4224" s="21">
        <v>5</v>
      </c>
      <c r="F4224" s="22">
        <v>46000.5367361111</v>
      </c>
      <c r="G4224" s="22">
        <v>46233.4601041667</v>
      </c>
      <c r="H4224" s="23">
        <v>1245</v>
      </c>
      <c r="I4224" s="23">
        <v>456.6666666667</v>
      </c>
      <c r="J4224" s="24">
        <v>2283.35</v>
      </c>
      <c r="K4224" s="21">
        <v>0</v>
      </c>
      <c r="L4224" s="21">
        <v>0</v>
      </c>
      <c r="M4224" s="21">
        <f>COUNTIF($A$2:$A$5481,A4224)</f>
        <v>1</v>
      </c>
      <c r="N4224" s="24">
        <f t="shared" si="65"/>
        <v>2283.3504224</v>
      </c>
    </row>
    <row r="4225" spans="1:14">
      <c r="A4225" s="21" t="s">
        <v>3946</v>
      </c>
      <c r="B4225" s="21" t="s">
        <v>920</v>
      </c>
      <c r="C4225" s="21" t="s">
        <v>26</v>
      </c>
      <c r="D4225" s="21" t="s">
        <v>921</v>
      </c>
      <c r="E4225" s="21">
        <v>1</v>
      </c>
      <c r="F4225" s="22">
        <v>45427.8249884259</v>
      </c>
      <c r="G4225" s="22"/>
      <c r="H4225" s="23">
        <v>350</v>
      </c>
      <c r="I4225" s="23">
        <v>350</v>
      </c>
      <c r="J4225" s="24">
        <v>350</v>
      </c>
      <c r="K4225" s="21">
        <v>0</v>
      </c>
      <c r="L4225" s="21">
        <v>0</v>
      </c>
      <c r="M4225" s="21">
        <f>COUNTIF($A$2:$A$5481,A4225)</f>
        <v>1</v>
      </c>
      <c r="N4225" s="24">
        <f t="shared" si="65"/>
        <v>350.0004225</v>
      </c>
    </row>
    <row r="4226" spans="1:14">
      <c r="A4226" s="21" t="s">
        <v>3947</v>
      </c>
      <c r="B4226" s="21" t="s">
        <v>920</v>
      </c>
      <c r="C4226" s="21" t="s">
        <v>35</v>
      </c>
      <c r="D4226" s="21" t="s">
        <v>921</v>
      </c>
      <c r="E4226" s="21">
        <v>0</v>
      </c>
      <c r="F4226" s="22">
        <v>45351.3048611111</v>
      </c>
      <c r="G4226" s="22">
        <v>45362.4507291667</v>
      </c>
      <c r="H4226" s="23">
        <v>324.37</v>
      </c>
      <c r="I4226" s="23">
        <v>324.37</v>
      </c>
      <c r="J4226" s="24">
        <v>0</v>
      </c>
      <c r="K4226" s="21">
        <v>0</v>
      </c>
      <c r="L4226" s="21">
        <v>0</v>
      </c>
      <c r="M4226" s="21">
        <f>COUNTIF($A$2:$A$5481,A4226)</f>
        <v>2</v>
      </c>
      <c r="N4226" s="24">
        <f t="shared" ref="N4226:N4289" si="66">J4226+ROW()/10000000</f>
        <v>0.0004226</v>
      </c>
    </row>
    <row r="4227" spans="1:14">
      <c r="A4227" s="21" t="s">
        <v>3947</v>
      </c>
      <c r="B4227" s="21" t="s">
        <v>920</v>
      </c>
      <c r="C4227" s="21" t="s">
        <v>26</v>
      </c>
      <c r="D4227" s="21" t="s">
        <v>921</v>
      </c>
      <c r="E4227" s="21">
        <v>0</v>
      </c>
      <c r="F4227" s="22">
        <v>45478.5486111111</v>
      </c>
      <c r="G4227" s="22">
        <v>45481.4389814815</v>
      </c>
      <c r="H4227" s="23">
        <v>298</v>
      </c>
      <c r="I4227" s="23">
        <v>298</v>
      </c>
      <c r="J4227" s="24">
        <v>0</v>
      </c>
      <c r="K4227" s="21">
        <v>0</v>
      </c>
      <c r="L4227" s="21">
        <v>0</v>
      </c>
      <c r="M4227" s="21">
        <f>COUNTIF($A$2:$A$5481,A4227)</f>
        <v>2</v>
      </c>
      <c r="N4227" s="24">
        <f t="shared" si="66"/>
        <v>0.0004227</v>
      </c>
    </row>
    <row r="4228" spans="1:14">
      <c r="A4228" s="21" t="s">
        <v>516</v>
      </c>
      <c r="B4228" s="21" t="s">
        <v>26</v>
      </c>
      <c r="C4228" s="21" t="s">
        <v>26</v>
      </c>
      <c r="D4228" s="21" t="s">
        <v>921</v>
      </c>
      <c r="E4228" s="21">
        <v>2</v>
      </c>
      <c r="F4228" s="22">
        <v>45924.5589467593</v>
      </c>
      <c r="G4228" s="22">
        <v>46244.5786342593</v>
      </c>
      <c r="H4228" s="23">
        <v>596</v>
      </c>
      <c r="I4228" s="23">
        <v>292.6</v>
      </c>
      <c r="J4228" s="24">
        <v>585.2</v>
      </c>
      <c r="K4228" s="21">
        <v>0</v>
      </c>
      <c r="L4228" s="21">
        <v>0</v>
      </c>
      <c r="M4228" s="21">
        <f>COUNTIF($A$2:$A$5481,A4228)</f>
        <v>1</v>
      </c>
      <c r="N4228" s="24">
        <f t="shared" si="66"/>
        <v>585.2004228</v>
      </c>
    </row>
    <row r="4229" spans="1:14">
      <c r="A4229" s="21" t="s">
        <v>3948</v>
      </c>
      <c r="B4229" s="21" t="s">
        <v>929</v>
      </c>
      <c r="C4229" s="21" t="s">
        <v>26</v>
      </c>
      <c r="D4229" s="21" t="s">
        <v>921</v>
      </c>
      <c r="E4229" s="21">
        <v>1</v>
      </c>
      <c r="F4229" s="22">
        <v>45552.843275463</v>
      </c>
      <c r="G4229" s="22"/>
      <c r="H4229" s="23">
        <v>11.06</v>
      </c>
      <c r="I4229" s="23">
        <v>11.06</v>
      </c>
      <c r="J4229" s="24">
        <v>11.06</v>
      </c>
      <c r="K4229" s="21">
        <v>0</v>
      </c>
      <c r="L4229" s="21">
        <v>0</v>
      </c>
      <c r="M4229" s="21">
        <f>COUNTIF($A$2:$A$5481,A4229)</f>
        <v>1</v>
      </c>
      <c r="N4229" s="24">
        <f t="shared" si="66"/>
        <v>11.0604229</v>
      </c>
    </row>
    <row r="4230" spans="1:14">
      <c r="A4230" s="21" t="s">
        <v>3949</v>
      </c>
      <c r="B4230" s="21" t="s">
        <v>929</v>
      </c>
      <c r="C4230" s="21" t="s">
        <v>641</v>
      </c>
      <c r="D4230" s="21" t="s">
        <v>921</v>
      </c>
      <c r="E4230" s="21">
        <v>2</v>
      </c>
      <c r="F4230" s="22">
        <v>45314.4347222222</v>
      </c>
      <c r="G4230" s="22"/>
      <c r="H4230" s="23">
        <v>72.02</v>
      </c>
      <c r="I4230" s="23">
        <v>36.01</v>
      </c>
      <c r="J4230" s="24">
        <v>72.02</v>
      </c>
      <c r="K4230" s="21">
        <v>0</v>
      </c>
      <c r="L4230" s="21">
        <v>0</v>
      </c>
      <c r="M4230" s="21">
        <f>COUNTIF($A$2:$A$5481,A4230)</f>
        <v>2</v>
      </c>
      <c r="N4230" s="24">
        <f t="shared" si="66"/>
        <v>72.020423</v>
      </c>
    </row>
    <row r="4231" spans="1:14">
      <c r="A4231" s="21" t="s">
        <v>3949</v>
      </c>
      <c r="B4231" s="21" t="s">
        <v>929</v>
      </c>
      <c r="C4231" s="21" t="s">
        <v>26</v>
      </c>
      <c r="D4231" s="21" t="s">
        <v>921</v>
      </c>
      <c r="E4231" s="21">
        <v>6</v>
      </c>
      <c r="F4231" s="22">
        <v>45831.8278703704</v>
      </c>
      <c r="G4231" s="22"/>
      <c r="H4231" s="23">
        <v>18</v>
      </c>
      <c r="I4231" s="23">
        <v>9.26</v>
      </c>
      <c r="J4231" s="24">
        <v>55.56</v>
      </c>
      <c r="K4231" s="21">
        <v>0</v>
      </c>
      <c r="L4231" s="21">
        <v>0</v>
      </c>
      <c r="M4231" s="21">
        <f>COUNTIF($A$2:$A$5481,A4231)</f>
        <v>2</v>
      </c>
      <c r="N4231" s="24">
        <f t="shared" si="66"/>
        <v>55.5604231</v>
      </c>
    </row>
    <row r="4232" spans="1:14">
      <c r="A4232" s="21" t="s">
        <v>3950</v>
      </c>
      <c r="B4232" s="21" t="s">
        <v>26</v>
      </c>
      <c r="C4232" s="21" t="s">
        <v>26</v>
      </c>
      <c r="D4232" s="21" t="s">
        <v>931</v>
      </c>
      <c r="E4232" s="21">
        <v>2</v>
      </c>
      <c r="F4232" s="22">
        <v>45695.3652777778</v>
      </c>
      <c r="G4232" s="22"/>
      <c r="H4232" s="23">
        <v>53.94</v>
      </c>
      <c r="I4232" s="23">
        <v>26.97</v>
      </c>
      <c r="J4232" s="24">
        <v>53.94</v>
      </c>
      <c r="K4232" s="21">
        <v>0</v>
      </c>
      <c r="L4232" s="21">
        <v>0</v>
      </c>
      <c r="M4232" s="21">
        <f>COUNTIF($A$2:$A$5481,A4232)</f>
        <v>1</v>
      </c>
      <c r="N4232" s="24">
        <f t="shared" si="66"/>
        <v>53.9404232</v>
      </c>
    </row>
    <row r="4233" spans="1:14">
      <c r="A4233" s="21" t="s">
        <v>3951</v>
      </c>
      <c r="B4233" s="21" t="s">
        <v>26</v>
      </c>
      <c r="C4233" s="21" t="s">
        <v>26</v>
      </c>
      <c r="D4233" s="21" t="s">
        <v>931</v>
      </c>
      <c r="E4233" s="21">
        <v>2</v>
      </c>
      <c r="F4233" s="22">
        <v>45558.8266435185</v>
      </c>
      <c r="G4233" s="22"/>
      <c r="H4233" s="23">
        <v>62.8</v>
      </c>
      <c r="I4233" s="23">
        <v>31.4</v>
      </c>
      <c r="J4233" s="24">
        <v>62.8</v>
      </c>
      <c r="K4233" s="21">
        <v>0</v>
      </c>
      <c r="L4233" s="21">
        <v>0</v>
      </c>
      <c r="M4233" s="21">
        <f>COUNTIF($A$2:$A$5481,A4233)</f>
        <v>1</v>
      </c>
      <c r="N4233" s="24">
        <f t="shared" si="66"/>
        <v>62.8004233</v>
      </c>
    </row>
    <row r="4234" spans="1:14">
      <c r="A4234" s="21" t="s">
        <v>3952</v>
      </c>
      <c r="B4234" s="21" t="s">
        <v>26</v>
      </c>
      <c r="C4234" s="21" t="s">
        <v>26</v>
      </c>
      <c r="D4234" s="21" t="s">
        <v>921</v>
      </c>
      <c r="E4234" s="21">
        <v>7</v>
      </c>
      <c r="F4234" s="22">
        <v>46093.5763425926</v>
      </c>
      <c r="G4234" s="22"/>
      <c r="H4234" s="23">
        <v>2424</v>
      </c>
      <c r="I4234" s="23">
        <v>413.2542857143</v>
      </c>
      <c r="J4234" s="24">
        <v>2892.75</v>
      </c>
      <c r="K4234" s="21">
        <v>0</v>
      </c>
      <c r="L4234" s="21">
        <v>0</v>
      </c>
      <c r="M4234" s="21">
        <f>COUNTIF($A$2:$A$5481,A4234)</f>
        <v>1</v>
      </c>
      <c r="N4234" s="24">
        <f t="shared" si="66"/>
        <v>2892.7504234</v>
      </c>
    </row>
    <row r="4235" spans="1:14">
      <c r="A4235" s="21" t="s">
        <v>3953</v>
      </c>
      <c r="B4235" s="21" t="s">
        <v>26</v>
      </c>
      <c r="C4235" s="21" t="s">
        <v>26</v>
      </c>
      <c r="D4235" s="21" t="s">
        <v>921</v>
      </c>
      <c r="E4235" s="21">
        <v>4</v>
      </c>
      <c r="F4235" s="22">
        <v>45707.8524189815</v>
      </c>
      <c r="G4235" s="22"/>
      <c r="H4235" s="23">
        <v>1043.4</v>
      </c>
      <c r="I4235" s="23">
        <v>260.85</v>
      </c>
      <c r="J4235" s="24">
        <v>1043.4</v>
      </c>
      <c r="K4235" s="21">
        <v>0</v>
      </c>
      <c r="L4235" s="21">
        <v>0</v>
      </c>
      <c r="M4235" s="21">
        <f>COUNTIF($A$2:$A$5481,A4235)</f>
        <v>1</v>
      </c>
      <c r="N4235" s="24">
        <f t="shared" si="66"/>
        <v>1043.4004235</v>
      </c>
    </row>
    <row r="4236" spans="1:14">
      <c r="A4236" s="21" t="s">
        <v>3954</v>
      </c>
      <c r="B4236" s="21" t="s">
        <v>26</v>
      </c>
      <c r="C4236" s="21" t="s">
        <v>26</v>
      </c>
      <c r="D4236" s="21" t="s">
        <v>921</v>
      </c>
      <c r="E4236" s="21">
        <v>1</v>
      </c>
      <c r="F4236" s="22">
        <v>46155.4430555556</v>
      </c>
      <c r="G4236" s="22"/>
      <c r="H4236" s="23">
        <v>258.16</v>
      </c>
      <c r="I4236" s="23">
        <v>258.16</v>
      </c>
      <c r="J4236" s="24">
        <v>258.16</v>
      </c>
      <c r="K4236" s="21">
        <v>0</v>
      </c>
      <c r="L4236" s="21">
        <v>0</v>
      </c>
      <c r="M4236" s="21">
        <f>COUNTIF($A$2:$A$5481,A4236)</f>
        <v>1</v>
      </c>
      <c r="N4236" s="24">
        <f t="shared" si="66"/>
        <v>258.1604236</v>
      </c>
    </row>
    <row r="4237" spans="1:14">
      <c r="A4237" s="21" t="s">
        <v>3955</v>
      </c>
      <c r="B4237" s="21" t="s">
        <v>920</v>
      </c>
      <c r="C4237" s="21" t="s">
        <v>26</v>
      </c>
      <c r="D4237" s="21" t="s">
        <v>921</v>
      </c>
      <c r="E4237" s="21">
        <v>1</v>
      </c>
      <c r="F4237" s="22">
        <v>45390.8245833333</v>
      </c>
      <c r="G4237" s="22"/>
      <c r="H4237" s="23">
        <v>89.83</v>
      </c>
      <c r="I4237" s="23">
        <v>89.83</v>
      </c>
      <c r="J4237" s="24">
        <v>89.83</v>
      </c>
      <c r="K4237" s="21">
        <v>0</v>
      </c>
      <c r="L4237" s="21">
        <v>0</v>
      </c>
      <c r="M4237" s="21">
        <f>COUNTIF($A$2:$A$5481,A4237)</f>
        <v>1</v>
      </c>
      <c r="N4237" s="24">
        <f t="shared" si="66"/>
        <v>89.8304237</v>
      </c>
    </row>
    <row r="4238" spans="1:14">
      <c r="A4238" s="21" t="s">
        <v>3956</v>
      </c>
      <c r="B4238" s="21" t="s">
        <v>920</v>
      </c>
      <c r="C4238" s="21" t="s">
        <v>26</v>
      </c>
      <c r="D4238" s="21" t="s">
        <v>921</v>
      </c>
      <c r="E4238" s="21">
        <v>3</v>
      </c>
      <c r="F4238" s="22">
        <v>46176.7348611111</v>
      </c>
      <c r="G4238" s="22"/>
      <c r="H4238" s="23">
        <v>192.66</v>
      </c>
      <c r="I4238" s="23">
        <v>64.22</v>
      </c>
      <c r="J4238" s="24">
        <v>192.66</v>
      </c>
      <c r="K4238" s="21">
        <v>0</v>
      </c>
      <c r="L4238" s="21">
        <v>0</v>
      </c>
      <c r="M4238" s="21">
        <f>COUNTIF($A$2:$A$5481,A4238)</f>
        <v>1</v>
      </c>
      <c r="N4238" s="24">
        <f t="shared" si="66"/>
        <v>192.6604238</v>
      </c>
    </row>
    <row r="4239" spans="1:14">
      <c r="A4239" s="21" t="s">
        <v>3957</v>
      </c>
      <c r="B4239" s="21" t="s">
        <v>920</v>
      </c>
      <c r="C4239" s="21" t="s">
        <v>26</v>
      </c>
      <c r="D4239" s="21" t="s">
        <v>921</v>
      </c>
      <c r="E4239" s="21">
        <v>3</v>
      </c>
      <c r="F4239" s="22">
        <v>46078.5562847222</v>
      </c>
      <c r="G4239" s="22"/>
      <c r="H4239" s="23">
        <v>134.38</v>
      </c>
      <c r="I4239" s="23">
        <v>118.98</v>
      </c>
      <c r="J4239" s="24">
        <v>356.94</v>
      </c>
      <c r="K4239" s="21">
        <v>0</v>
      </c>
      <c r="L4239" s="21">
        <v>0</v>
      </c>
      <c r="M4239" s="21">
        <f>COUNTIF($A$2:$A$5481,A4239)</f>
        <v>1</v>
      </c>
      <c r="N4239" s="24">
        <f t="shared" si="66"/>
        <v>356.9404239</v>
      </c>
    </row>
    <row r="4240" spans="1:14">
      <c r="A4240" s="21" t="s">
        <v>3958</v>
      </c>
      <c r="B4240" s="21" t="s">
        <v>920</v>
      </c>
      <c r="C4240" s="21" t="s">
        <v>26</v>
      </c>
      <c r="D4240" s="21" t="s">
        <v>921</v>
      </c>
      <c r="E4240" s="21">
        <v>4</v>
      </c>
      <c r="F4240" s="22">
        <v>45810.8585763889</v>
      </c>
      <c r="G4240" s="22"/>
      <c r="H4240" s="23">
        <v>159.91</v>
      </c>
      <c r="I4240" s="23">
        <v>149.5025</v>
      </c>
      <c r="J4240" s="24">
        <v>598</v>
      </c>
      <c r="K4240" s="21">
        <v>0</v>
      </c>
      <c r="L4240" s="21">
        <v>0</v>
      </c>
      <c r="M4240" s="21">
        <f>COUNTIF($A$2:$A$5481,A4240)</f>
        <v>1</v>
      </c>
      <c r="N4240" s="24">
        <f t="shared" si="66"/>
        <v>598.000424</v>
      </c>
    </row>
    <row r="4241" spans="1:14">
      <c r="A4241" s="21" t="s">
        <v>3959</v>
      </c>
      <c r="B4241" s="21" t="s">
        <v>920</v>
      </c>
      <c r="C4241" s="21" t="s">
        <v>35</v>
      </c>
      <c r="D4241" s="21" t="s">
        <v>921</v>
      </c>
      <c r="E4241" s="21">
        <v>1</v>
      </c>
      <c r="F4241" s="22">
        <v>45404.8213078704</v>
      </c>
      <c r="G4241" s="22"/>
      <c r="H4241" s="23">
        <v>88.79</v>
      </c>
      <c r="I4241" s="23">
        <v>88.79</v>
      </c>
      <c r="J4241" s="24">
        <v>88.79</v>
      </c>
      <c r="K4241" s="21">
        <v>0</v>
      </c>
      <c r="L4241" s="21">
        <v>0</v>
      </c>
      <c r="M4241" s="21">
        <f>COUNTIF($A$2:$A$5481,A4241)</f>
        <v>2</v>
      </c>
      <c r="N4241" s="24">
        <f t="shared" si="66"/>
        <v>88.7904241</v>
      </c>
    </row>
    <row r="4242" spans="1:14">
      <c r="A4242" s="21" t="s">
        <v>3959</v>
      </c>
      <c r="B4242" s="21" t="s">
        <v>920</v>
      </c>
      <c r="C4242" s="21" t="s">
        <v>26</v>
      </c>
      <c r="D4242" s="21" t="s">
        <v>921</v>
      </c>
      <c r="E4242" s="21">
        <v>4</v>
      </c>
      <c r="F4242" s="22">
        <v>45483.5842476852</v>
      </c>
      <c r="G4242" s="22"/>
      <c r="H4242" s="23">
        <v>453.56</v>
      </c>
      <c r="I4242" s="23">
        <v>113.39</v>
      </c>
      <c r="J4242" s="24">
        <v>453.56</v>
      </c>
      <c r="K4242" s="21">
        <v>0</v>
      </c>
      <c r="L4242" s="21">
        <v>0</v>
      </c>
      <c r="M4242" s="21">
        <f>COUNTIF($A$2:$A$5481,A4242)</f>
        <v>2</v>
      </c>
      <c r="N4242" s="24">
        <f t="shared" si="66"/>
        <v>453.5604242</v>
      </c>
    </row>
    <row r="4243" spans="1:14">
      <c r="A4243" s="21" t="s">
        <v>3960</v>
      </c>
      <c r="B4243" s="21" t="s">
        <v>920</v>
      </c>
      <c r="C4243" s="21" t="s">
        <v>26</v>
      </c>
      <c r="D4243" s="21" t="s">
        <v>931</v>
      </c>
      <c r="E4243" s="21">
        <v>0</v>
      </c>
      <c r="F4243" s="22">
        <v>45741.6055902778</v>
      </c>
      <c r="G4243" s="22">
        <v>45757.4065972222</v>
      </c>
      <c r="H4243" s="23">
        <v>148</v>
      </c>
      <c r="I4243" s="23">
        <v>148</v>
      </c>
      <c r="J4243" s="24">
        <v>0</v>
      </c>
      <c r="K4243" s="21">
        <v>0</v>
      </c>
      <c r="L4243" s="21">
        <v>0</v>
      </c>
      <c r="M4243" s="21">
        <f>COUNTIF($A$2:$A$5481,A4243)</f>
        <v>1</v>
      </c>
      <c r="N4243" s="24">
        <f t="shared" si="66"/>
        <v>0.0004243</v>
      </c>
    </row>
    <row r="4244" spans="1:14">
      <c r="A4244" s="21" t="s">
        <v>3961</v>
      </c>
      <c r="B4244" s="21" t="s">
        <v>920</v>
      </c>
      <c r="C4244" s="21" t="s">
        <v>26</v>
      </c>
      <c r="D4244" s="21" t="s">
        <v>931</v>
      </c>
      <c r="E4244" s="21">
        <v>6</v>
      </c>
      <c r="F4244" s="22">
        <v>45910.5752199074</v>
      </c>
      <c r="G4244" s="22"/>
      <c r="H4244" s="23">
        <v>54</v>
      </c>
      <c r="I4244" s="23">
        <v>9</v>
      </c>
      <c r="J4244" s="24">
        <v>54</v>
      </c>
      <c r="K4244" s="21">
        <v>0</v>
      </c>
      <c r="L4244" s="21">
        <v>0</v>
      </c>
      <c r="M4244" s="21">
        <f>COUNTIF($A$2:$A$5481,A4244)</f>
        <v>1</v>
      </c>
      <c r="N4244" s="24">
        <f t="shared" si="66"/>
        <v>54.0004244</v>
      </c>
    </row>
    <row r="4245" spans="1:14">
      <c r="A4245" s="21" t="s">
        <v>3962</v>
      </c>
      <c r="B4245" s="21" t="s">
        <v>920</v>
      </c>
      <c r="C4245" s="21" t="s">
        <v>35</v>
      </c>
      <c r="D4245" s="21" t="s">
        <v>921</v>
      </c>
      <c r="E4245" s="21">
        <v>6</v>
      </c>
      <c r="F4245" s="22">
        <v>45309.7889583333</v>
      </c>
      <c r="G4245" s="22">
        <v>45819.442037037</v>
      </c>
      <c r="H4245" s="23">
        <v>90</v>
      </c>
      <c r="I4245" s="23">
        <v>9</v>
      </c>
      <c r="J4245" s="24">
        <v>54</v>
      </c>
      <c r="K4245" s="21">
        <v>2</v>
      </c>
      <c r="L4245" s="21">
        <v>20</v>
      </c>
      <c r="M4245" s="21">
        <f>COUNTIF($A$2:$A$5481,A4245)</f>
        <v>2</v>
      </c>
      <c r="N4245" s="24">
        <f t="shared" si="66"/>
        <v>54.0004245</v>
      </c>
    </row>
    <row r="4246" spans="1:14">
      <c r="A4246" s="21" t="s">
        <v>3962</v>
      </c>
      <c r="B4246" s="21" t="s">
        <v>920</v>
      </c>
      <c r="C4246" s="21" t="s">
        <v>26</v>
      </c>
      <c r="D4246" s="21" t="s">
        <v>921</v>
      </c>
      <c r="E4246" s="21">
        <v>5</v>
      </c>
      <c r="F4246" s="22">
        <v>45910.5752199074</v>
      </c>
      <c r="G4246" s="22">
        <v>46013.5654976852</v>
      </c>
      <c r="H4246" s="23">
        <v>54</v>
      </c>
      <c r="I4246" s="23">
        <v>9</v>
      </c>
      <c r="J4246" s="24">
        <v>45</v>
      </c>
      <c r="K4246" s="21">
        <v>2</v>
      </c>
      <c r="L4246" s="21">
        <v>20</v>
      </c>
      <c r="M4246" s="21">
        <f>COUNTIF($A$2:$A$5481,A4246)</f>
        <v>2</v>
      </c>
      <c r="N4246" s="24">
        <f t="shared" si="66"/>
        <v>45.0004246</v>
      </c>
    </row>
    <row r="4247" spans="1:14">
      <c r="A4247" s="21" t="s">
        <v>3963</v>
      </c>
      <c r="B4247" s="21" t="s">
        <v>920</v>
      </c>
      <c r="C4247" s="21" t="s">
        <v>26</v>
      </c>
      <c r="D4247" s="21" t="s">
        <v>931</v>
      </c>
      <c r="E4247" s="21">
        <v>2</v>
      </c>
      <c r="F4247" s="22">
        <v>45932.5485300926</v>
      </c>
      <c r="G4247" s="22"/>
      <c r="H4247" s="23">
        <v>65.2</v>
      </c>
      <c r="I4247" s="23">
        <v>32.6</v>
      </c>
      <c r="J4247" s="24">
        <v>65.2</v>
      </c>
      <c r="K4247" s="21">
        <v>0</v>
      </c>
      <c r="L4247" s="21">
        <v>0</v>
      </c>
      <c r="M4247" s="21">
        <f>COUNTIF($A$2:$A$5481,A4247)</f>
        <v>1</v>
      </c>
      <c r="N4247" s="24">
        <f t="shared" si="66"/>
        <v>65.2004247</v>
      </c>
    </row>
    <row r="4248" spans="1:14">
      <c r="A4248" s="21" t="s">
        <v>428</v>
      </c>
      <c r="B4248" s="21" t="s">
        <v>26</v>
      </c>
      <c r="C4248" s="21" t="s">
        <v>182</v>
      </c>
      <c r="D4248" s="21" t="s">
        <v>921</v>
      </c>
      <c r="E4248" s="21">
        <v>4</v>
      </c>
      <c r="F4248" s="22">
        <v>45419.8242592593</v>
      </c>
      <c r="G4248" s="22"/>
      <c r="H4248" s="23">
        <v>30.8</v>
      </c>
      <c r="I4248" s="23">
        <v>7.7</v>
      </c>
      <c r="J4248" s="24">
        <v>30.8</v>
      </c>
      <c r="K4248" s="21">
        <v>0</v>
      </c>
      <c r="L4248" s="21">
        <v>0</v>
      </c>
      <c r="M4248" s="21">
        <f>COUNTIF($A$2:$A$5481,A4248)</f>
        <v>2</v>
      </c>
      <c r="N4248" s="24">
        <f t="shared" si="66"/>
        <v>30.8004248</v>
      </c>
    </row>
    <row r="4249" spans="1:14">
      <c r="A4249" s="21" t="s">
        <v>428</v>
      </c>
      <c r="B4249" s="21" t="s">
        <v>26</v>
      </c>
      <c r="C4249" s="21" t="s">
        <v>26</v>
      </c>
      <c r="D4249" s="21" t="s">
        <v>921</v>
      </c>
      <c r="E4249" s="21">
        <v>13</v>
      </c>
      <c r="F4249" s="22">
        <v>45945.3647106482</v>
      </c>
      <c r="G4249" s="22">
        <v>46217.6090393519</v>
      </c>
      <c r="H4249" s="23">
        <v>85</v>
      </c>
      <c r="I4249" s="23">
        <v>8.0555555556</v>
      </c>
      <c r="J4249" s="24">
        <v>104.78</v>
      </c>
      <c r="K4249" s="21">
        <v>0</v>
      </c>
      <c r="L4249" s="21">
        <v>0</v>
      </c>
      <c r="M4249" s="21">
        <f>COUNTIF($A$2:$A$5481,A4249)</f>
        <v>2</v>
      </c>
      <c r="N4249" s="24">
        <f t="shared" si="66"/>
        <v>104.7804249</v>
      </c>
    </row>
    <row r="4250" spans="1:14">
      <c r="A4250" s="21" t="s">
        <v>3964</v>
      </c>
      <c r="B4250" s="21" t="s">
        <v>26</v>
      </c>
      <c r="C4250" s="21" t="s">
        <v>26</v>
      </c>
      <c r="D4250" s="21" t="s">
        <v>921</v>
      </c>
      <c r="E4250" s="21">
        <v>2</v>
      </c>
      <c r="F4250" s="22">
        <v>45832.4935532407</v>
      </c>
      <c r="G4250" s="22"/>
      <c r="H4250" s="23">
        <v>14</v>
      </c>
      <c r="I4250" s="23">
        <v>7</v>
      </c>
      <c r="J4250" s="24">
        <v>14</v>
      </c>
      <c r="K4250" s="21">
        <v>0</v>
      </c>
      <c r="L4250" s="21">
        <v>0</v>
      </c>
      <c r="M4250" s="21">
        <f>COUNTIF($A$2:$A$5481,A4250)</f>
        <v>1</v>
      </c>
      <c r="N4250" s="24">
        <f t="shared" si="66"/>
        <v>14.000425</v>
      </c>
    </row>
    <row r="4251" spans="1:14">
      <c r="A4251" s="21" t="s">
        <v>833</v>
      </c>
      <c r="B4251" s="21" t="s">
        <v>26</v>
      </c>
      <c r="C4251" s="21" t="s">
        <v>26</v>
      </c>
      <c r="D4251" s="21" t="s">
        <v>921</v>
      </c>
      <c r="E4251" s="21">
        <v>8</v>
      </c>
      <c r="F4251" s="22">
        <v>45832.4935532407</v>
      </c>
      <c r="G4251" s="22"/>
      <c r="H4251" s="23">
        <v>40</v>
      </c>
      <c r="I4251" s="23">
        <v>7.5</v>
      </c>
      <c r="J4251" s="24">
        <v>60</v>
      </c>
      <c r="K4251" s="21">
        <v>0</v>
      </c>
      <c r="L4251" s="21">
        <v>0</v>
      </c>
      <c r="M4251" s="21">
        <f>COUNTIF($A$2:$A$5481,A4251)</f>
        <v>2</v>
      </c>
      <c r="N4251" s="24">
        <f t="shared" si="66"/>
        <v>60.0004251</v>
      </c>
    </row>
    <row r="4252" spans="1:14">
      <c r="A4252" s="21" t="s">
        <v>833</v>
      </c>
      <c r="B4252" s="21" t="s">
        <v>26</v>
      </c>
      <c r="C4252" s="21" t="s">
        <v>182</v>
      </c>
      <c r="D4252" s="21" t="s">
        <v>921</v>
      </c>
      <c r="E4252" s="21">
        <v>7</v>
      </c>
      <c r="F4252" s="22">
        <v>46260.4125</v>
      </c>
      <c r="G4252" s="22">
        <v>46266.3955902778</v>
      </c>
      <c r="H4252" s="23">
        <v>41.6</v>
      </c>
      <c r="I4252" s="23">
        <v>6.56</v>
      </c>
      <c r="J4252" s="24">
        <v>45.92</v>
      </c>
      <c r="K4252" s="21">
        <v>0</v>
      </c>
      <c r="L4252" s="21">
        <v>0</v>
      </c>
      <c r="M4252" s="21">
        <f>COUNTIF($A$2:$A$5481,A4252)</f>
        <v>2</v>
      </c>
      <c r="N4252" s="24">
        <f t="shared" si="66"/>
        <v>45.9204252</v>
      </c>
    </row>
    <row r="4253" spans="1:14">
      <c r="A4253" s="21" t="s">
        <v>729</v>
      </c>
      <c r="B4253" s="21" t="s">
        <v>920</v>
      </c>
      <c r="C4253" s="21" t="s">
        <v>26</v>
      </c>
      <c r="D4253" s="21" t="s">
        <v>931</v>
      </c>
      <c r="E4253" s="21">
        <v>0</v>
      </c>
      <c r="F4253" s="22">
        <v>45840.4221296296</v>
      </c>
      <c r="G4253" s="22">
        <v>46252.5692939815</v>
      </c>
      <c r="H4253" s="23">
        <v>36.99</v>
      </c>
      <c r="I4253" s="23">
        <v>36.99</v>
      </c>
      <c r="J4253" s="24">
        <v>0</v>
      </c>
      <c r="K4253" s="21">
        <v>0</v>
      </c>
      <c r="L4253" s="21">
        <v>0</v>
      </c>
      <c r="M4253" s="21">
        <f>COUNTIF($A$2:$A$5481,A4253)</f>
        <v>1</v>
      </c>
      <c r="N4253" s="24">
        <f t="shared" si="66"/>
        <v>0.0004253</v>
      </c>
    </row>
    <row r="4254" spans="1:14">
      <c r="A4254" s="21" t="s">
        <v>3965</v>
      </c>
      <c r="B4254" s="21" t="s">
        <v>26</v>
      </c>
      <c r="C4254" s="21" t="s">
        <v>26</v>
      </c>
      <c r="D4254" s="21" t="s">
        <v>921</v>
      </c>
      <c r="E4254" s="21">
        <v>2</v>
      </c>
      <c r="F4254" s="22">
        <v>46162.5633680556</v>
      </c>
      <c r="G4254" s="22"/>
      <c r="H4254" s="23">
        <v>42</v>
      </c>
      <c r="I4254" s="23">
        <v>21</v>
      </c>
      <c r="J4254" s="24">
        <v>42</v>
      </c>
      <c r="K4254" s="21">
        <v>0</v>
      </c>
      <c r="L4254" s="21">
        <v>0</v>
      </c>
      <c r="M4254" s="21">
        <f>COUNTIF($A$2:$A$5481,A4254)</f>
        <v>1</v>
      </c>
      <c r="N4254" s="24">
        <f t="shared" si="66"/>
        <v>42.0004254</v>
      </c>
    </row>
    <row r="4255" spans="1:14">
      <c r="A4255" s="21" t="s">
        <v>546</v>
      </c>
      <c r="B4255" s="21" t="s">
        <v>26</v>
      </c>
      <c r="C4255" s="21" t="s">
        <v>182</v>
      </c>
      <c r="D4255" s="21" t="s">
        <v>921</v>
      </c>
      <c r="E4255" s="21">
        <v>39</v>
      </c>
      <c r="F4255" s="22">
        <v>46161.4354166667</v>
      </c>
      <c r="G4255" s="22">
        <v>46253.3509375</v>
      </c>
      <c r="H4255" s="23">
        <v>59</v>
      </c>
      <c r="I4255" s="23">
        <v>1.1340625</v>
      </c>
      <c r="J4255" s="24">
        <v>44.07</v>
      </c>
      <c r="K4255" s="21">
        <v>0</v>
      </c>
      <c r="L4255" s="21">
        <v>0</v>
      </c>
      <c r="M4255" s="21">
        <f>COUNTIF($A$2:$A$5481,A4255)</f>
        <v>1</v>
      </c>
      <c r="N4255" s="24">
        <f t="shared" si="66"/>
        <v>44.0704255</v>
      </c>
    </row>
    <row r="4256" spans="1:14">
      <c r="A4256" s="21" t="s">
        <v>545</v>
      </c>
      <c r="B4256" s="21" t="s">
        <v>26</v>
      </c>
      <c r="C4256" s="21" t="s">
        <v>26</v>
      </c>
      <c r="D4256" s="21" t="s">
        <v>921</v>
      </c>
      <c r="E4256" s="21">
        <v>0</v>
      </c>
      <c r="F4256" s="22">
        <v>45666.4185416667</v>
      </c>
      <c r="G4256" s="22">
        <v>45839.4991550926</v>
      </c>
      <c r="H4256" s="23">
        <v>43.99</v>
      </c>
      <c r="I4256" s="23">
        <v>43.99</v>
      </c>
      <c r="J4256" s="24">
        <v>0</v>
      </c>
      <c r="K4256" s="21">
        <v>0</v>
      </c>
      <c r="L4256" s="21">
        <v>0</v>
      </c>
      <c r="M4256" s="21">
        <f>COUNTIF($A$2:$A$5481,A4256)</f>
        <v>3</v>
      </c>
      <c r="N4256" s="24">
        <f t="shared" si="66"/>
        <v>0.0004256</v>
      </c>
    </row>
    <row r="4257" spans="1:14">
      <c r="A4257" s="21" t="s">
        <v>545</v>
      </c>
      <c r="B4257" s="21" t="s">
        <v>26</v>
      </c>
      <c r="C4257" s="21" t="s">
        <v>51</v>
      </c>
      <c r="D4257" s="21" t="s">
        <v>921</v>
      </c>
      <c r="E4257" s="21">
        <v>47</v>
      </c>
      <c r="F4257" s="22">
        <v>45791.3891782407</v>
      </c>
      <c r="G4257" s="22">
        <v>45867.4931944445</v>
      </c>
      <c r="H4257" s="23">
        <v>49.5</v>
      </c>
      <c r="I4257" s="23">
        <v>0.99</v>
      </c>
      <c r="J4257" s="24">
        <v>46.53</v>
      </c>
      <c r="K4257" s="21">
        <v>0</v>
      </c>
      <c r="L4257" s="21">
        <v>0</v>
      </c>
      <c r="M4257" s="21">
        <f>COUNTIF($A$2:$A$5481,A4257)</f>
        <v>3</v>
      </c>
      <c r="N4257" s="24">
        <f t="shared" si="66"/>
        <v>46.5304257</v>
      </c>
    </row>
    <row r="4258" spans="1:14">
      <c r="A4258" s="21" t="s">
        <v>545</v>
      </c>
      <c r="B4258" s="21" t="s">
        <v>26</v>
      </c>
      <c r="C4258" s="21" t="s">
        <v>182</v>
      </c>
      <c r="D4258" s="21" t="s">
        <v>921</v>
      </c>
      <c r="E4258" s="21">
        <v>34</v>
      </c>
      <c r="F4258" s="22">
        <v>46169.3608680556</v>
      </c>
      <c r="G4258" s="22">
        <v>46268.6313194444</v>
      </c>
      <c r="H4258" s="23">
        <v>59</v>
      </c>
      <c r="I4258" s="23">
        <v>1.1366666667</v>
      </c>
      <c r="J4258" s="24">
        <v>38.76</v>
      </c>
      <c r="K4258" s="21">
        <v>0</v>
      </c>
      <c r="L4258" s="21">
        <v>0</v>
      </c>
      <c r="M4258" s="21">
        <f>COUNTIF($A$2:$A$5481,A4258)</f>
        <v>3</v>
      </c>
      <c r="N4258" s="24">
        <f t="shared" si="66"/>
        <v>38.7604258</v>
      </c>
    </row>
    <row r="4259" spans="1:14">
      <c r="A4259" s="21" t="s">
        <v>476</v>
      </c>
      <c r="B4259" s="21" t="s">
        <v>26</v>
      </c>
      <c r="C4259" s="21" t="s">
        <v>414</v>
      </c>
      <c r="D4259" s="21" t="s">
        <v>921</v>
      </c>
      <c r="E4259" s="21">
        <v>20</v>
      </c>
      <c r="F4259" s="22">
        <v>45411.3269328704</v>
      </c>
      <c r="G4259" s="22"/>
      <c r="H4259" s="23">
        <v>144.8</v>
      </c>
      <c r="I4259" s="23">
        <v>7.24</v>
      </c>
      <c r="J4259" s="24">
        <v>144.8</v>
      </c>
      <c r="K4259" s="21">
        <v>0</v>
      </c>
      <c r="L4259" s="21">
        <v>0</v>
      </c>
      <c r="M4259" s="21">
        <f>COUNTIF($A$2:$A$5481,A4259)</f>
        <v>4</v>
      </c>
      <c r="N4259" s="24">
        <f t="shared" si="66"/>
        <v>144.8004259</v>
      </c>
    </row>
    <row r="4260" spans="1:14">
      <c r="A4260" s="21" t="s">
        <v>476</v>
      </c>
      <c r="B4260" s="21" t="s">
        <v>26</v>
      </c>
      <c r="C4260" s="21" t="s">
        <v>26</v>
      </c>
      <c r="D4260" s="21" t="s">
        <v>921</v>
      </c>
      <c r="E4260" s="21">
        <v>0</v>
      </c>
      <c r="F4260" s="22">
        <v>45692.4096296296</v>
      </c>
      <c r="G4260" s="22">
        <v>46252.4499074074</v>
      </c>
      <c r="H4260" s="23">
        <v>46.5</v>
      </c>
      <c r="I4260" s="23">
        <v>1.95078</v>
      </c>
      <c r="J4260" s="24">
        <v>0</v>
      </c>
      <c r="K4260" s="21">
        <v>0</v>
      </c>
      <c r="L4260" s="21">
        <v>0</v>
      </c>
      <c r="M4260" s="21">
        <f>COUNTIF($A$2:$A$5481,A4260)</f>
        <v>4</v>
      </c>
      <c r="N4260" s="24">
        <f t="shared" si="66"/>
        <v>0.000426</v>
      </c>
    </row>
    <row r="4261" spans="1:14">
      <c r="A4261" s="21" t="s">
        <v>476</v>
      </c>
      <c r="B4261" s="21" t="s">
        <v>26</v>
      </c>
      <c r="C4261" s="21" t="s">
        <v>51</v>
      </c>
      <c r="D4261" s="21" t="s">
        <v>921</v>
      </c>
      <c r="E4261" s="21">
        <v>55</v>
      </c>
      <c r="F4261" s="22">
        <v>45791.3891782407</v>
      </c>
      <c r="G4261" s="22">
        <v>45610.4130324074</v>
      </c>
      <c r="H4261" s="23">
        <v>49.5</v>
      </c>
      <c r="I4261" s="23">
        <v>0.98727</v>
      </c>
      <c r="J4261" s="24">
        <v>54.45</v>
      </c>
      <c r="K4261" s="21">
        <v>0</v>
      </c>
      <c r="L4261" s="21">
        <v>0</v>
      </c>
      <c r="M4261" s="21">
        <f>COUNTIF($A$2:$A$5481,A4261)</f>
        <v>4</v>
      </c>
      <c r="N4261" s="24">
        <f t="shared" si="66"/>
        <v>54.4504261</v>
      </c>
    </row>
    <row r="4262" spans="1:14">
      <c r="A4262" s="21" t="s">
        <v>476</v>
      </c>
      <c r="B4262" s="21" t="s">
        <v>26</v>
      </c>
      <c r="C4262" s="21" t="s">
        <v>182</v>
      </c>
      <c r="D4262" s="21" t="s">
        <v>921</v>
      </c>
      <c r="E4262" s="21">
        <v>88</v>
      </c>
      <c r="F4262" s="22">
        <v>46161.4354166667</v>
      </c>
      <c r="G4262" s="22">
        <v>46273.7285532407</v>
      </c>
      <c r="H4262" s="23">
        <v>118</v>
      </c>
      <c r="I4262" s="23">
        <v>1.1097678177</v>
      </c>
      <c r="J4262" s="24">
        <v>97.68</v>
      </c>
      <c r="K4262" s="21">
        <v>0</v>
      </c>
      <c r="L4262" s="21">
        <v>0</v>
      </c>
      <c r="M4262" s="21">
        <f>COUNTIF($A$2:$A$5481,A4262)</f>
        <v>4</v>
      </c>
      <c r="N4262" s="24">
        <f t="shared" si="66"/>
        <v>97.6804262</v>
      </c>
    </row>
    <row r="4263" spans="1:14">
      <c r="A4263" s="21" t="s">
        <v>3966</v>
      </c>
      <c r="B4263" s="21" t="s">
        <v>26</v>
      </c>
      <c r="C4263" s="21" t="s">
        <v>26</v>
      </c>
      <c r="D4263" s="21" t="s">
        <v>921</v>
      </c>
      <c r="E4263" s="21">
        <v>1</v>
      </c>
      <c r="F4263" s="22">
        <v>45574.8472685185</v>
      </c>
      <c r="G4263" s="22"/>
      <c r="H4263" s="23">
        <v>45.9</v>
      </c>
      <c r="I4263" s="23">
        <v>45.9</v>
      </c>
      <c r="J4263" s="24">
        <v>45.9</v>
      </c>
      <c r="K4263" s="21">
        <v>0</v>
      </c>
      <c r="L4263" s="21">
        <v>0</v>
      </c>
      <c r="M4263" s="21">
        <f>COUNTIF($A$2:$A$5481,A4263)</f>
        <v>1</v>
      </c>
      <c r="N4263" s="24">
        <f t="shared" si="66"/>
        <v>45.9004263</v>
      </c>
    </row>
    <row r="4264" spans="1:14">
      <c r="A4264" s="21" t="s">
        <v>661</v>
      </c>
      <c r="B4264" s="21" t="s">
        <v>26</v>
      </c>
      <c r="C4264" s="21" t="s">
        <v>26</v>
      </c>
      <c r="D4264" s="21" t="s">
        <v>921</v>
      </c>
      <c r="E4264" s="21">
        <v>0</v>
      </c>
      <c r="F4264" s="22">
        <v>45615.3999189815</v>
      </c>
      <c r="G4264" s="22">
        <v>46252.5529050926</v>
      </c>
      <c r="H4264" s="23">
        <v>28</v>
      </c>
      <c r="I4264" s="23">
        <v>7</v>
      </c>
      <c r="J4264" s="24">
        <v>0</v>
      </c>
      <c r="K4264" s="21">
        <v>0</v>
      </c>
      <c r="L4264" s="21">
        <v>0</v>
      </c>
      <c r="M4264" s="21">
        <f>COUNTIF($A$2:$A$5481,A4264)</f>
        <v>1</v>
      </c>
      <c r="N4264" s="24">
        <f t="shared" si="66"/>
        <v>0.0004264</v>
      </c>
    </row>
    <row r="4265" spans="1:14">
      <c r="A4265" s="21" t="s">
        <v>3967</v>
      </c>
      <c r="B4265" s="21" t="s">
        <v>920</v>
      </c>
      <c r="C4265" s="21" t="s">
        <v>26</v>
      </c>
      <c r="D4265" s="21" t="s">
        <v>921</v>
      </c>
      <c r="E4265" s="21">
        <v>1</v>
      </c>
      <c r="F4265" s="22">
        <v>45684.8382986111</v>
      </c>
      <c r="G4265" s="22"/>
      <c r="H4265" s="23">
        <v>118</v>
      </c>
      <c r="I4265" s="23">
        <v>118</v>
      </c>
      <c r="J4265" s="24">
        <v>118</v>
      </c>
      <c r="K4265" s="21">
        <v>0</v>
      </c>
      <c r="L4265" s="21">
        <v>0</v>
      </c>
      <c r="M4265" s="21">
        <f>COUNTIF($A$2:$A$5481,A4265)</f>
        <v>1</v>
      </c>
      <c r="N4265" s="24">
        <f t="shared" si="66"/>
        <v>118.0004265</v>
      </c>
    </row>
    <row r="4266" spans="1:14">
      <c r="A4266" s="21" t="s">
        <v>632</v>
      </c>
      <c r="B4266" s="21" t="s">
        <v>26</v>
      </c>
      <c r="C4266" s="21" t="s">
        <v>182</v>
      </c>
      <c r="D4266" s="21" t="s">
        <v>921</v>
      </c>
      <c r="E4266" s="21">
        <v>2</v>
      </c>
      <c r="F4266" s="22">
        <v>45979.4186921296</v>
      </c>
      <c r="G4266" s="22">
        <v>46268.6313078704</v>
      </c>
      <c r="H4266" s="23">
        <v>28.9</v>
      </c>
      <c r="I4266" s="23">
        <v>2.89</v>
      </c>
      <c r="J4266" s="24">
        <v>5.78</v>
      </c>
      <c r="K4266" s="21">
        <v>0</v>
      </c>
      <c r="L4266" s="21">
        <v>0</v>
      </c>
      <c r="M4266" s="21">
        <f>COUNTIF($A$2:$A$5481,A4266)</f>
        <v>1</v>
      </c>
      <c r="N4266" s="24">
        <f t="shared" si="66"/>
        <v>5.7804266</v>
      </c>
    </row>
    <row r="4267" spans="1:14">
      <c r="A4267" s="21" t="s">
        <v>3968</v>
      </c>
      <c r="B4267" s="21" t="s">
        <v>26</v>
      </c>
      <c r="C4267" s="21" t="s">
        <v>26</v>
      </c>
      <c r="D4267" s="21" t="s">
        <v>921</v>
      </c>
      <c r="E4267" s="21">
        <v>5</v>
      </c>
      <c r="F4267" s="22">
        <v>46036.6032407407</v>
      </c>
      <c r="G4267" s="22"/>
      <c r="H4267" s="23">
        <v>49.5</v>
      </c>
      <c r="I4267" s="23">
        <v>9.9</v>
      </c>
      <c r="J4267" s="24">
        <v>49.5</v>
      </c>
      <c r="K4267" s="21">
        <v>0</v>
      </c>
      <c r="L4267" s="21">
        <v>0</v>
      </c>
      <c r="M4267" s="21">
        <f>COUNTIF($A$2:$A$5481,A4267)</f>
        <v>1</v>
      </c>
      <c r="N4267" s="24">
        <f t="shared" si="66"/>
        <v>49.5004267</v>
      </c>
    </row>
    <row r="4268" spans="1:14">
      <c r="A4268" s="21" t="s">
        <v>3969</v>
      </c>
      <c r="B4268" s="21" t="s">
        <v>26</v>
      </c>
      <c r="C4268" s="21" t="s">
        <v>182</v>
      </c>
      <c r="D4268" s="21" t="s">
        <v>921</v>
      </c>
      <c r="E4268" s="21">
        <v>3.98</v>
      </c>
      <c r="F4268" s="22">
        <v>45300.8284027778</v>
      </c>
      <c r="G4268" s="22">
        <v>45308.441400463</v>
      </c>
      <c r="H4268" s="23">
        <v>98</v>
      </c>
      <c r="I4268" s="23">
        <v>24.5</v>
      </c>
      <c r="J4268" s="24">
        <v>97.51</v>
      </c>
      <c r="K4268" s="21">
        <v>0</v>
      </c>
      <c r="L4268" s="21">
        <v>10</v>
      </c>
      <c r="M4268" s="21">
        <f>COUNTIF($A$2:$A$5481,A4268)</f>
        <v>2</v>
      </c>
      <c r="N4268" s="24">
        <f t="shared" si="66"/>
        <v>97.5104268</v>
      </c>
    </row>
    <row r="4269" spans="1:14">
      <c r="A4269" s="21" t="s">
        <v>3969</v>
      </c>
      <c r="B4269" s="21" t="s">
        <v>26</v>
      </c>
      <c r="C4269" s="21" t="s">
        <v>26</v>
      </c>
      <c r="D4269" s="21" t="s">
        <v>921</v>
      </c>
      <c r="E4269" s="21">
        <v>2</v>
      </c>
      <c r="F4269" s="22">
        <v>46162.5633680556</v>
      </c>
      <c r="G4269" s="22"/>
      <c r="H4269" s="23">
        <v>54.4</v>
      </c>
      <c r="I4269" s="23">
        <v>27.2</v>
      </c>
      <c r="J4269" s="24">
        <v>54.4</v>
      </c>
      <c r="K4269" s="21">
        <v>0</v>
      </c>
      <c r="L4269" s="21">
        <v>10</v>
      </c>
      <c r="M4269" s="21">
        <f>COUNTIF($A$2:$A$5481,A4269)</f>
        <v>2</v>
      </c>
      <c r="N4269" s="24">
        <f t="shared" si="66"/>
        <v>54.4004269</v>
      </c>
    </row>
    <row r="4270" spans="1:14">
      <c r="A4270" s="21" t="s">
        <v>3970</v>
      </c>
      <c r="B4270" s="21" t="s">
        <v>949</v>
      </c>
      <c r="C4270" s="21" t="s">
        <v>26</v>
      </c>
      <c r="D4270" s="21" t="s">
        <v>1539</v>
      </c>
      <c r="E4270" s="21">
        <v>0.06</v>
      </c>
      <c r="F4270" s="22">
        <v>45474.810775463</v>
      </c>
      <c r="G4270" s="22"/>
      <c r="H4270" s="23">
        <v>4.014</v>
      </c>
      <c r="I4270" s="23">
        <v>66.9</v>
      </c>
      <c r="J4270" s="24">
        <v>4.014</v>
      </c>
      <c r="K4270" s="21">
        <v>0</v>
      </c>
      <c r="L4270" s="21">
        <v>0</v>
      </c>
      <c r="M4270" s="21">
        <f>COUNTIF($A$2:$A$5481,A4270)</f>
        <v>1</v>
      </c>
      <c r="N4270" s="24">
        <f t="shared" si="66"/>
        <v>4.014427</v>
      </c>
    </row>
    <row r="4271" spans="1:14">
      <c r="A4271" s="21" t="s">
        <v>3971</v>
      </c>
      <c r="B4271" s="21" t="s">
        <v>949</v>
      </c>
      <c r="C4271" s="21" t="s">
        <v>26</v>
      </c>
      <c r="D4271" s="21" t="s">
        <v>921</v>
      </c>
      <c r="E4271" s="21">
        <v>2</v>
      </c>
      <c r="F4271" s="22">
        <v>45693.831087963</v>
      </c>
      <c r="G4271" s="22"/>
      <c r="H4271" s="23">
        <v>119.8</v>
      </c>
      <c r="I4271" s="23">
        <v>59.9</v>
      </c>
      <c r="J4271" s="24">
        <v>119.8</v>
      </c>
      <c r="K4271" s="21">
        <v>0</v>
      </c>
      <c r="L4271" s="21">
        <v>0</v>
      </c>
      <c r="M4271" s="21">
        <f>COUNTIF($A$2:$A$5481,A4271)</f>
        <v>1</v>
      </c>
      <c r="N4271" s="24">
        <f t="shared" si="66"/>
        <v>119.8004271</v>
      </c>
    </row>
    <row r="4272" spans="1:14">
      <c r="A4272" s="21" t="s">
        <v>3972</v>
      </c>
      <c r="B4272" s="21" t="s">
        <v>920</v>
      </c>
      <c r="C4272" s="21" t="s">
        <v>26</v>
      </c>
      <c r="D4272" s="21" t="s">
        <v>921</v>
      </c>
      <c r="E4272" s="21">
        <v>20</v>
      </c>
      <c r="F4272" s="22">
        <v>46039.5597916667</v>
      </c>
      <c r="G4272" s="22"/>
      <c r="H4272" s="23">
        <v>38</v>
      </c>
      <c r="I4272" s="23">
        <v>4.075</v>
      </c>
      <c r="J4272" s="24">
        <v>81.6</v>
      </c>
      <c r="K4272" s="21">
        <v>0</v>
      </c>
      <c r="L4272" s="21">
        <v>0</v>
      </c>
      <c r="M4272" s="21">
        <f>COUNTIF($A$2:$A$5481,A4272)</f>
        <v>1</v>
      </c>
      <c r="N4272" s="24">
        <f t="shared" si="66"/>
        <v>81.6004272</v>
      </c>
    </row>
    <row r="4273" spans="1:14">
      <c r="A4273" s="21" t="s">
        <v>3973</v>
      </c>
      <c r="B4273" s="21" t="s">
        <v>920</v>
      </c>
      <c r="C4273" s="21" t="s">
        <v>26</v>
      </c>
      <c r="D4273" s="21" t="s">
        <v>921</v>
      </c>
      <c r="E4273" s="21">
        <v>10</v>
      </c>
      <c r="F4273" s="22">
        <v>45428.8201388889</v>
      </c>
      <c r="G4273" s="22"/>
      <c r="H4273" s="23">
        <v>49.5</v>
      </c>
      <c r="I4273" s="23">
        <v>4.95</v>
      </c>
      <c r="J4273" s="24">
        <v>49.5</v>
      </c>
      <c r="K4273" s="21">
        <v>0</v>
      </c>
      <c r="L4273" s="21">
        <v>0</v>
      </c>
      <c r="M4273" s="21">
        <f>COUNTIF($A$2:$A$5481,A4273)</f>
        <v>1</v>
      </c>
      <c r="N4273" s="24">
        <f t="shared" si="66"/>
        <v>49.5004273</v>
      </c>
    </row>
    <row r="4274" spans="1:14">
      <c r="A4274" s="21" t="s">
        <v>3974</v>
      </c>
      <c r="B4274" s="21" t="s">
        <v>920</v>
      </c>
      <c r="C4274" s="21" t="s">
        <v>26</v>
      </c>
      <c r="D4274" s="21" t="s">
        <v>921</v>
      </c>
      <c r="E4274" s="21">
        <v>10</v>
      </c>
      <c r="F4274" s="22">
        <v>45428.8201388889</v>
      </c>
      <c r="G4274" s="22"/>
      <c r="H4274" s="23">
        <v>45</v>
      </c>
      <c r="I4274" s="23">
        <v>4.5</v>
      </c>
      <c r="J4274" s="24">
        <v>45</v>
      </c>
      <c r="K4274" s="21">
        <v>0</v>
      </c>
      <c r="L4274" s="21">
        <v>0</v>
      </c>
      <c r="M4274" s="21">
        <f>COUNTIF($A$2:$A$5481,A4274)</f>
        <v>1</v>
      </c>
      <c r="N4274" s="24">
        <f t="shared" si="66"/>
        <v>45.0004274</v>
      </c>
    </row>
    <row r="4275" spans="1:14">
      <c r="A4275" s="21" t="s">
        <v>3975</v>
      </c>
      <c r="B4275" s="21" t="s">
        <v>920</v>
      </c>
      <c r="C4275" s="21" t="s">
        <v>26</v>
      </c>
      <c r="D4275" s="21" t="s">
        <v>921</v>
      </c>
      <c r="E4275" s="21">
        <v>10</v>
      </c>
      <c r="F4275" s="22">
        <v>45428.8201388889</v>
      </c>
      <c r="G4275" s="22"/>
      <c r="H4275" s="23">
        <v>37.5</v>
      </c>
      <c r="I4275" s="23">
        <v>3.75</v>
      </c>
      <c r="J4275" s="24">
        <v>37.5</v>
      </c>
      <c r="K4275" s="21">
        <v>0</v>
      </c>
      <c r="L4275" s="21">
        <v>0</v>
      </c>
      <c r="M4275" s="21">
        <f>COUNTIF($A$2:$A$5481,A4275)</f>
        <v>1</v>
      </c>
      <c r="N4275" s="24">
        <f t="shared" si="66"/>
        <v>37.5004275</v>
      </c>
    </row>
    <row r="4276" spans="1:14">
      <c r="A4276" s="21" t="s">
        <v>3976</v>
      </c>
      <c r="B4276" s="21" t="s">
        <v>26</v>
      </c>
      <c r="C4276" s="21" t="s">
        <v>26</v>
      </c>
      <c r="D4276" s="21" t="s">
        <v>921</v>
      </c>
      <c r="E4276" s="21">
        <v>10</v>
      </c>
      <c r="F4276" s="22">
        <v>45509.3528240741</v>
      </c>
      <c r="G4276" s="22"/>
      <c r="H4276" s="23">
        <v>79</v>
      </c>
      <c r="I4276" s="23">
        <v>7.9</v>
      </c>
      <c r="J4276" s="24">
        <v>79</v>
      </c>
      <c r="K4276" s="21">
        <v>0</v>
      </c>
      <c r="L4276" s="21">
        <v>0</v>
      </c>
      <c r="M4276" s="21">
        <f>COUNTIF($A$2:$A$5481,A4276)</f>
        <v>1</v>
      </c>
      <c r="N4276" s="24">
        <f t="shared" si="66"/>
        <v>79.0004276</v>
      </c>
    </row>
    <row r="4277" spans="1:14">
      <c r="A4277" s="21" t="s">
        <v>3977</v>
      </c>
      <c r="B4277" s="21" t="s">
        <v>929</v>
      </c>
      <c r="C4277" s="21" t="s">
        <v>26</v>
      </c>
      <c r="D4277" s="21" t="s">
        <v>921</v>
      </c>
      <c r="E4277" s="21">
        <v>5</v>
      </c>
      <c r="F4277" s="22">
        <v>46157.5895949074</v>
      </c>
      <c r="G4277" s="22"/>
      <c r="H4277" s="23">
        <v>118.5</v>
      </c>
      <c r="I4277" s="23">
        <v>23.7</v>
      </c>
      <c r="J4277" s="24">
        <v>118.5</v>
      </c>
      <c r="K4277" s="21">
        <v>0</v>
      </c>
      <c r="L4277" s="21">
        <v>0</v>
      </c>
      <c r="M4277" s="21">
        <f>COUNTIF($A$2:$A$5481,A4277)</f>
        <v>1</v>
      </c>
      <c r="N4277" s="24">
        <f t="shared" si="66"/>
        <v>118.5004277</v>
      </c>
    </row>
    <row r="4278" spans="1:14">
      <c r="A4278" s="21" t="s">
        <v>3978</v>
      </c>
      <c r="B4278" s="21" t="s">
        <v>920</v>
      </c>
      <c r="C4278" s="21" t="s">
        <v>35</v>
      </c>
      <c r="D4278" s="21" t="s">
        <v>921</v>
      </c>
      <c r="E4278" s="21">
        <v>2</v>
      </c>
      <c r="F4278" s="22">
        <v>45425.8118055556</v>
      </c>
      <c r="G4278" s="22">
        <v>45481.8454282407</v>
      </c>
      <c r="H4278" s="23">
        <v>300</v>
      </c>
      <c r="I4278" s="23">
        <v>100</v>
      </c>
      <c r="J4278" s="24">
        <v>200</v>
      </c>
      <c r="K4278" s="21">
        <v>0</v>
      </c>
      <c r="L4278" s="21">
        <v>0</v>
      </c>
      <c r="M4278" s="21">
        <f>COUNTIF($A$2:$A$5481,A4278)</f>
        <v>1</v>
      </c>
      <c r="N4278" s="24">
        <f t="shared" si="66"/>
        <v>200.0004278</v>
      </c>
    </row>
    <row r="4279" spans="1:14">
      <c r="A4279" s="21" t="s">
        <v>3979</v>
      </c>
      <c r="B4279" s="21" t="s">
        <v>920</v>
      </c>
      <c r="C4279" s="21" t="s">
        <v>35</v>
      </c>
      <c r="D4279" s="21" t="s">
        <v>921</v>
      </c>
      <c r="E4279" s="21">
        <v>0</v>
      </c>
      <c r="F4279" s="22">
        <v>45398.8227662037</v>
      </c>
      <c r="G4279" s="22">
        <v>45425.8412962963</v>
      </c>
      <c r="H4279" s="23">
        <v>200</v>
      </c>
      <c r="I4279" s="23">
        <v>100</v>
      </c>
      <c r="J4279" s="24">
        <v>0</v>
      </c>
      <c r="K4279" s="21">
        <v>0</v>
      </c>
      <c r="L4279" s="21">
        <v>0</v>
      </c>
      <c r="M4279" s="21">
        <f>COUNTIF($A$2:$A$5481,A4279)</f>
        <v>1</v>
      </c>
      <c r="N4279" s="24">
        <f t="shared" si="66"/>
        <v>0.0004279</v>
      </c>
    </row>
    <row r="4280" spans="1:14">
      <c r="A4280" s="21" t="s">
        <v>3980</v>
      </c>
      <c r="B4280" s="21" t="s">
        <v>26</v>
      </c>
      <c r="C4280" s="21" t="s">
        <v>783</v>
      </c>
      <c r="D4280" s="21" t="s">
        <v>921</v>
      </c>
      <c r="E4280" s="21">
        <v>2</v>
      </c>
      <c r="F4280" s="22">
        <v>45286.2391550926</v>
      </c>
      <c r="G4280" s="22"/>
      <c r="H4280" s="23">
        <v>79.8</v>
      </c>
      <c r="I4280" s="23">
        <v>39.9</v>
      </c>
      <c r="J4280" s="24">
        <v>79.8</v>
      </c>
      <c r="K4280" s="21">
        <v>0</v>
      </c>
      <c r="L4280" s="21">
        <v>0</v>
      </c>
      <c r="M4280" s="21">
        <f>COUNTIF($A$2:$A$5481,A4280)</f>
        <v>1</v>
      </c>
      <c r="N4280" s="24">
        <f t="shared" si="66"/>
        <v>79.800428</v>
      </c>
    </row>
    <row r="4281" spans="1:14">
      <c r="A4281" s="21" t="s">
        <v>3981</v>
      </c>
      <c r="B4281" s="21" t="s">
        <v>26</v>
      </c>
      <c r="C4281" s="21" t="s">
        <v>783</v>
      </c>
      <c r="D4281" s="21" t="s">
        <v>921</v>
      </c>
      <c r="E4281" s="21">
        <v>2</v>
      </c>
      <c r="F4281" s="22">
        <v>45286.2391550926</v>
      </c>
      <c r="G4281" s="22"/>
      <c r="H4281" s="23">
        <v>79.8</v>
      </c>
      <c r="I4281" s="23">
        <v>39.9</v>
      </c>
      <c r="J4281" s="24">
        <v>79.8</v>
      </c>
      <c r="K4281" s="21">
        <v>0</v>
      </c>
      <c r="L4281" s="21">
        <v>0</v>
      </c>
      <c r="M4281" s="21">
        <f>COUNTIF($A$2:$A$5481,A4281)</f>
        <v>1</v>
      </c>
      <c r="N4281" s="24">
        <f t="shared" si="66"/>
        <v>79.8004281</v>
      </c>
    </row>
    <row r="4282" spans="1:14">
      <c r="A4282" s="21" t="s">
        <v>3982</v>
      </c>
      <c r="B4282" s="21" t="s">
        <v>26</v>
      </c>
      <c r="C4282" s="21" t="s">
        <v>783</v>
      </c>
      <c r="D4282" s="21" t="s">
        <v>921</v>
      </c>
      <c r="E4282" s="21">
        <v>2</v>
      </c>
      <c r="F4282" s="22">
        <v>45286.2391550926</v>
      </c>
      <c r="G4282" s="22"/>
      <c r="H4282" s="23">
        <v>79.8</v>
      </c>
      <c r="I4282" s="23">
        <v>39.9</v>
      </c>
      <c r="J4282" s="24">
        <v>79.8</v>
      </c>
      <c r="K4282" s="21">
        <v>0</v>
      </c>
      <c r="L4282" s="21">
        <v>0</v>
      </c>
      <c r="M4282" s="21">
        <f>COUNTIF($A$2:$A$5481,A4282)</f>
        <v>2</v>
      </c>
      <c r="N4282" s="24">
        <f t="shared" si="66"/>
        <v>79.8004282</v>
      </c>
    </row>
    <row r="4283" spans="1:14">
      <c r="A4283" s="21" t="s">
        <v>3982</v>
      </c>
      <c r="B4283" s="21" t="s">
        <v>26</v>
      </c>
      <c r="C4283" s="21" t="s">
        <v>26</v>
      </c>
      <c r="D4283" s="21" t="s">
        <v>921</v>
      </c>
      <c r="E4283" s="21">
        <v>4</v>
      </c>
      <c r="F4283" s="22">
        <v>46034.5283680556</v>
      </c>
      <c r="G4283" s="22"/>
      <c r="H4283" s="23">
        <v>119.68</v>
      </c>
      <c r="I4283" s="23">
        <v>29.92</v>
      </c>
      <c r="J4283" s="24">
        <v>119.68</v>
      </c>
      <c r="K4283" s="21">
        <v>0</v>
      </c>
      <c r="L4283" s="21">
        <v>0</v>
      </c>
      <c r="M4283" s="21">
        <f>COUNTIF($A$2:$A$5481,A4283)</f>
        <v>2</v>
      </c>
      <c r="N4283" s="24">
        <f t="shared" si="66"/>
        <v>119.6804283</v>
      </c>
    </row>
    <row r="4284" spans="1:14">
      <c r="A4284" s="21" t="s">
        <v>3983</v>
      </c>
      <c r="B4284" s="21" t="s">
        <v>26</v>
      </c>
      <c r="C4284" s="21" t="s">
        <v>26</v>
      </c>
      <c r="D4284" s="21" t="s">
        <v>921</v>
      </c>
      <c r="E4284" s="21">
        <v>8</v>
      </c>
      <c r="F4284" s="22">
        <v>45412.3813425926</v>
      </c>
      <c r="G4284" s="22"/>
      <c r="H4284" s="23">
        <v>384</v>
      </c>
      <c r="I4284" s="23">
        <v>48</v>
      </c>
      <c r="J4284" s="24">
        <v>384</v>
      </c>
      <c r="K4284" s="21">
        <v>0</v>
      </c>
      <c r="L4284" s="21">
        <v>0</v>
      </c>
      <c r="M4284" s="21">
        <f>COUNTIF($A$2:$A$5481,A4284)</f>
        <v>1</v>
      </c>
      <c r="N4284" s="24">
        <f t="shared" si="66"/>
        <v>384.0004284</v>
      </c>
    </row>
    <row r="4285" spans="1:14">
      <c r="A4285" s="21" t="s">
        <v>3984</v>
      </c>
      <c r="B4285" s="21" t="s">
        <v>26</v>
      </c>
      <c r="C4285" s="21" t="s">
        <v>26</v>
      </c>
      <c r="D4285" s="21" t="s">
        <v>921</v>
      </c>
      <c r="E4285" s="21">
        <v>12</v>
      </c>
      <c r="F4285" s="22">
        <v>45517.4138541667</v>
      </c>
      <c r="G4285" s="22"/>
      <c r="H4285" s="23">
        <v>600</v>
      </c>
      <c r="I4285" s="23">
        <v>50</v>
      </c>
      <c r="J4285" s="24">
        <v>600</v>
      </c>
      <c r="K4285" s="21">
        <v>0</v>
      </c>
      <c r="L4285" s="21">
        <v>0</v>
      </c>
      <c r="M4285" s="21">
        <f>COUNTIF($A$2:$A$5481,A4285)</f>
        <v>1</v>
      </c>
      <c r="N4285" s="24">
        <f t="shared" si="66"/>
        <v>600.0004285</v>
      </c>
    </row>
    <row r="4286" spans="1:14">
      <c r="A4286" s="21" t="s">
        <v>3985</v>
      </c>
      <c r="B4286" s="21" t="s">
        <v>26</v>
      </c>
      <c r="C4286" s="21" t="s">
        <v>26</v>
      </c>
      <c r="D4286" s="21" t="s">
        <v>921</v>
      </c>
      <c r="E4286" s="21">
        <v>8</v>
      </c>
      <c r="F4286" s="22">
        <v>46254.625</v>
      </c>
      <c r="G4286" s="22"/>
      <c r="H4286" s="23">
        <v>240</v>
      </c>
      <c r="I4286" s="23">
        <v>60</v>
      </c>
      <c r="J4286" s="24">
        <v>480</v>
      </c>
      <c r="K4286" s="21">
        <v>0</v>
      </c>
      <c r="L4286" s="21">
        <v>0</v>
      </c>
      <c r="M4286" s="21">
        <f>COUNTIF($A$2:$A$5481,A4286)</f>
        <v>1</v>
      </c>
      <c r="N4286" s="24">
        <f t="shared" si="66"/>
        <v>480.0004286</v>
      </c>
    </row>
    <row r="4287" spans="1:14">
      <c r="A4287" s="21" t="s">
        <v>3986</v>
      </c>
      <c r="B4287" s="21" t="s">
        <v>26</v>
      </c>
      <c r="C4287" s="21" t="s">
        <v>26</v>
      </c>
      <c r="D4287" s="21" t="s">
        <v>921</v>
      </c>
      <c r="E4287" s="21">
        <v>8</v>
      </c>
      <c r="F4287" s="22">
        <v>46254.625</v>
      </c>
      <c r="G4287" s="22"/>
      <c r="H4287" s="23">
        <v>240</v>
      </c>
      <c r="I4287" s="23">
        <v>60</v>
      </c>
      <c r="J4287" s="24">
        <v>480</v>
      </c>
      <c r="K4287" s="21">
        <v>0</v>
      </c>
      <c r="L4287" s="21">
        <v>0</v>
      </c>
      <c r="M4287" s="21">
        <f>COUNTIF($A$2:$A$5481,A4287)</f>
        <v>1</v>
      </c>
      <c r="N4287" s="24">
        <f t="shared" si="66"/>
        <v>480.0004287</v>
      </c>
    </row>
    <row r="4288" spans="1:14">
      <c r="A4288" s="21" t="s">
        <v>3987</v>
      </c>
      <c r="B4288" s="21" t="s">
        <v>26</v>
      </c>
      <c r="C4288" s="21" t="s">
        <v>26</v>
      </c>
      <c r="D4288" s="21" t="s">
        <v>921</v>
      </c>
      <c r="E4288" s="21">
        <v>8</v>
      </c>
      <c r="F4288" s="22">
        <v>46254.625</v>
      </c>
      <c r="G4288" s="22"/>
      <c r="H4288" s="23">
        <v>240</v>
      </c>
      <c r="I4288" s="23">
        <v>60</v>
      </c>
      <c r="J4288" s="24">
        <v>480</v>
      </c>
      <c r="K4288" s="21">
        <v>0</v>
      </c>
      <c r="L4288" s="21">
        <v>0</v>
      </c>
      <c r="M4288" s="21">
        <f>COUNTIF($A$2:$A$5481,A4288)</f>
        <v>1</v>
      </c>
      <c r="N4288" s="24">
        <f t="shared" si="66"/>
        <v>480.0004288</v>
      </c>
    </row>
    <row r="4289" spans="1:14">
      <c r="A4289" s="21" t="s">
        <v>3988</v>
      </c>
      <c r="B4289" s="21" t="s">
        <v>26</v>
      </c>
      <c r="C4289" s="21" t="s">
        <v>26</v>
      </c>
      <c r="D4289" s="21" t="s">
        <v>921</v>
      </c>
      <c r="E4289" s="21">
        <v>6</v>
      </c>
      <c r="F4289" s="22">
        <v>46254.625</v>
      </c>
      <c r="G4289" s="22"/>
      <c r="H4289" s="23">
        <v>240</v>
      </c>
      <c r="I4289" s="23">
        <v>60</v>
      </c>
      <c r="J4289" s="24">
        <v>360</v>
      </c>
      <c r="K4289" s="21">
        <v>0</v>
      </c>
      <c r="L4289" s="21">
        <v>0</v>
      </c>
      <c r="M4289" s="21">
        <f>COUNTIF($A$2:$A$5481,A4289)</f>
        <v>1</v>
      </c>
      <c r="N4289" s="24">
        <f t="shared" si="66"/>
        <v>360.0004289</v>
      </c>
    </row>
    <row r="4290" spans="1:14">
      <c r="A4290" s="21" t="s">
        <v>3989</v>
      </c>
      <c r="B4290" s="21" t="s">
        <v>26</v>
      </c>
      <c r="C4290" s="21" t="s">
        <v>26</v>
      </c>
      <c r="D4290" s="21" t="s">
        <v>921</v>
      </c>
      <c r="E4290" s="21">
        <v>4</v>
      </c>
      <c r="F4290" s="22">
        <v>46254.625</v>
      </c>
      <c r="G4290" s="22"/>
      <c r="H4290" s="23">
        <v>120</v>
      </c>
      <c r="I4290" s="23">
        <v>60</v>
      </c>
      <c r="J4290" s="24">
        <v>240</v>
      </c>
      <c r="K4290" s="21">
        <v>0</v>
      </c>
      <c r="L4290" s="21">
        <v>0</v>
      </c>
      <c r="M4290" s="21">
        <f>COUNTIF($A$2:$A$5481,A4290)</f>
        <v>1</v>
      </c>
      <c r="N4290" s="24">
        <f t="shared" ref="N4290:N4353" si="67">J4290+ROW()/10000000</f>
        <v>240.000429</v>
      </c>
    </row>
    <row r="4291" spans="1:14">
      <c r="A4291" s="21" t="s">
        <v>3990</v>
      </c>
      <c r="B4291" s="21" t="s">
        <v>1115</v>
      </c>
      <c r="C4291" s="21" t="s">
        <v>783</v>
      </c>
      <c r="D4291" s="21" t="s">
        <v>921</v>
      </c>
      <c r="E4291" s="21">
        <v>6</v>
      </c>
      <c r="F4291" s="22">
        <v>45725.4101388889</v>
      </c>
      <c r="G4291" s="22"/>
      <c r="H4291" s="23">
        <v>276</v>
      </c>
      <c r="I4291" s="23">
        <v>46</v>
      </c>
      <c r="J4291" s="24">
        <v>276</v>
      </c>
      <c r="K4291" s="21">
        <v>0</v>
      </c>
      <c r="L4291" s="21">
        <v>0</v>
      </c>
      <c r="M4291" s="21">
        <f>COUNTIF($A$2:$A$5481,A4291)</f>
        <v>1</v>
      </c>
      <c r="N4291" s="24">
        <f t="shared" si="67"/>
        <v>276.0004291</v>
      </c>
    </row>
    <row r="4292" spans="1:14">
      <c r="A4292" s="21" t="s">
        <v>3991</v>
      </c>
      <c r="B4292" s="21" t="s">
        <v>26</v>
      </c>
      <c r="C4292" s="21" t="s">
        <v>26</v>
      </c>
      <c r="D4292" s="21" t="s">
        <v>921</v>
      </c>
      <c r="E4292" s="21">
        <v>2</v>
      </c>
      <c r="F4292" s="22">
        <v>45412.3813425926</v>
      </c>
      <c r="G4292" s="22"/>
      <c r="H4292" s="23">
        <v>100</v>
      </c>
      <c r="I4292" s="23">
        <v>50</v>
      </c>
      <c r="J4292" s="24">
        <v>100</v>
      </c>
      <c r="K4292" s="21">
        <v>0</v>
      </c>
      <c r="L4292" s="21">
        <v>0</v>
      </c>
      <c r="M4292" s="21">
        <f>COUNTIF($A$2:$A$5481,A4292)</f>
        <v>1</v>
      </c>
      <c r="N4292" s="24">
        <f t="shared" si="67"/>
        <v>100.0004292</v>
      </c>
    </row>
    <row r="4293" spans="1:14">
      <c r="A4293" s="21" t="s">
        <v>3992</v>
      </c>
      <c r="B4293" s="21" t="s">
        <v>26</v>
      </c>
      <c r="C4293" s="21" t="s">
        <v>26</v>
      </c>
      <c r="D4293" s="21" t="s">
        <v>921</v>
      </c>
      <c r="E4293" s="21">
        <v>4</v>
      </c>
      <c r="F4293" s="22">
        <v>45412.3813425926</v>
      </c>
      <c r="G4293" s="22"/>
      <c r="H4293" s="23">
        <v>192</v>
      </c>
      <c r="I4293" s="23">
        <v>48</v>
      </c>
      <c r="J4293" s="24">
        <v>192</v>
      </c>
      <c r="K4293" s="21">
        <v>0</v>
      </c>
      <c r="L4293" s="21">
        <v>0</v>
      </c>
      <c r="M4293" s="21">
        <f>COUNTIF($A$2:$A$5481,A4293)</f>
        <v>1</v>
      </c>
      <c r="N4293" s="24">
        <f t="shared" si="67"/>
        <v>192.0004293</v>
      </c>
    </row>
    <row r="4294" spans="1:14">
      <c r="A4294" s="21" t="s">
        <v>3993</v>
      </c>
      <c r="B4294" s="21" t="s">
        <v>26</v>
      </c>
      <c r="C4294" s="21" t="s">
        <v>26</v>
      </c>
      <c r="D4294" s="21" t="s">
        <v>921</v>
      </c>
      <c r="E4294" s="21">
        <v>10</v>
      </c>
      <c r="F4294" s="22">
        <v>45649.5701388889</v>
      </c>
      <c r="G4294" s="22"/>
      <c r="H4294" s="23">
        <v>499</v>
      </c>
      <c r="I4294" s="23">
        <v>49.9</v>
      </c>
      <c r="J4294" s="24">
        <v>499</v>
      </c>
      <c r="K4294" s="21">
        <v>0</v>
      </c>
      <c r="L4294" s="21">
        <v>0</v>
      </c>
      <c r="M4294" s="21">
        <f>COUNTIF($A$2:$A$5481,A4294)</f>
        <v>1</v>
      </c>
      <c r="N4294" s="24">
        <f t="shared" si="67"/>
        <v>499.0004294</v>
      </c>
    </row>
    <row r="4295" spans="1:14">
      <c r="A4295" s="21" t="s">
        <v>3994</v>
      </c>
      <c r="B4295" s="21" t="s">
        <v>26</v>
      </c>
      <c r="C4295" s="21" t="s">
        <v>26</v>
      </c>
      <c r="D4295" s="21" t="s">
        <v>921</v>
      </c>
      <c r="E4295" s="21">
        <v>7</v>
      </c>
      <c r="F4295" s="22">
        <v>45649.5701388889</v>
      </c>
      <c r="G4295" s="22">
        <v>45775.4644097222</v>
      </c>
      <c r="H4295" s="23">
        <v>499</v>
      </c>
      <c r="I4295" s="23">
        <v>49.9</v>
      </c>
      <c r="J4295" s="24">
        <v>349.3</v>
      </c>
      <c r="K4295" s="21">
        <v>0</v>
      </c>
      <c r="L4295" s="21">
        <v>0</v>
      </c>
      <c r="M4295" s="21">
        <f>COUNTIF($A$2:$A$5481,A4295)</f>
        <v>1</v>
      </c>
      <c r="N4295" s="24">
        <f t="shared" si="67"/>
        <v>349.3004295</v>
      </c>
    </row>
    <row r="4296" spans="1:14">
      <c r="A4296" s="21" t="s">
        <v>3995</v>
      </c>
      <c r="B4296" s="21" t="s">
        <v>26</v>
      </c>
      <c r="C4296" s="21" t="s">
        <v>26</v>
      </c>
      <c r="D4296" s="21" t="s">
        <v>921</v>
      </c>
      <c r="E4296" s="21">
        <v>4</v>
      </c>
      <c r="F4296" s="22">
        <v>45412.3813425926</v>
      </c>
      <c r="G4296" s="22">
        <v>45777.4801388889</v>
      </c>
      <c r="H4296" s="23">
        <v>288</v>
      </c>
      <c r="I4296" s="23">
        <v>48</v>
      </c>
      <c r="J4296" s="24">
        <v>192</v>
      </c>
      <c r="K4296" s="21">
        <v>0</v>
      </c>
      <c r="L4296" s="21">
        <v>0</v>
      </c>
      <c r="M4296" s="21">
        <f>COUNTIF($A$2:$A$5481,A4296)</f>
        <v>2</v>
      </c>
      <c r="N4296" s="24">
        <f t="shared" si="67"/>
        <v>192.0004296</v>
      </c>
    </row>
    <row r="4297" spans="1:14">
      <c r="A4297" s="21" t="s">
        <v>3995</v>
      </c>
      <c r="B4297" s="21" t="s">
        <v>26</v>
      </c>
      <c r="C4297" s="21" t="s">
        <v>783</v>
      </c>
      <c r="D4297" s="21" t="s">
        <v>921</v>
      </c>
      <c r="E4297" s="21">
        <v>6</v>
      </c>
      <c r="F4297" s="22">
        <v>45725.4101388889</v>
      </c>
      <c r="G4297" s="22"/>
      <c r="H4297" s="23">
        <v>276</v>
      </c>
      <c r="I4297" s="23">
        <v>46</v>
      </c>
      <c r="J4297" s="24">
        <v>276</v>
      </c>
      <c r="K4297" s="21">
        <v>0</v>
      </c>
      <c r="L4297" s="21">
        <v>0</v>
      </c>
      <c r="M4297" s="21">
        <f>COUNTIF($A$2:$A$5481,A4297)</f>
        <v>2</v>
      </c>
      <c r="N4297" s="24">
        <f t="shared" si="67"/>
        <v>276.0004297</v>
      </c>
    </row>
    <row r="4298" spans="1:14">
      <c r="A4298" s="21" t="s">
        <v>3996</v>
      </c>
      <c r="B4298" s="21" t="s">
        <v>26</v>
      </c>
      <c r="C4298" s="21" t="s">
        <v>26</v>
      </c>
      <c r="D4298" s="21" t="s">
        <v>921</v>
      </c>
      <c r="E4298" s="21">
        <v>15</v>
      </c>
      <c r="F4298" s="22">
        <v>45649.5701388889</v>
      </c>
      <c r="G4298" s="22"/>
      <c r="H4298" s="23">
        <v>748.5</v>
      </c>
      <c r="I4298" s="23">
        <v>49.9</v>
      </c>
      <c r="J4298" s="24">
        <v>748.5</v>
      </c>
      <c r="K4298" s="21">
        <v>0</v>
      </c>
      <c r="L4298" s="21">
        <v>0</v>
      </c>
      <c r="M4298" s="21">
        <f>COUNTIF($A$2:$A$5481,A4298)</f>
        <v>1</v>
      </c>
      <c r="N4298" s="24">
        <f t="shared" si="67"/>
        <v>748.5004298</v>
      </c>
    </row>
    <row r="4299" spans="1:14">
      <c r="A4299" s="21" t="s">
        <v>903</v>
      </c>
      <c r="B4299" s="21" t="s">
        <v>26</v>
      </c>
      <c r="C4299" s="21" t="s">
        <v>26</v>
      </c>
      <c r="D4299" s="21" t="s">
        <v>921</v>
      </c>
      <c r="E4299" s="21">
        <v>19</v>
      </c>
      <c r="F4299" s="22">
        <v>45649.5701388889</v>
      </c>
      <c r="G4299" s="22">
        <v>46282.5988657407</v>
      </c>
      <c r="H4299" s="23">
        <v>998</v>
      </c>
      <c r="I4299" s="23">
        <v>49.9</v>
      </c>
      <c r="J4299" s="24">
        <v>948.1</v>
      </c>
      <c r="K4299" s="21">
        <v>0</v>
      </c>
      <c r="L4299" s="21">
        <v>0</v>
      </c>
      <c r="M4299" s="21">
        <f>COUNTIF($A$2:$A$5481,A4299)</f>
        <v>1</v>
      </c>
      <c r="N4299" s="24">
        <f t="shared" si="67"/>
        <v>948.1004299</v>
      </c>
    </row>
    <row r="4300" spans="1:14">
      <c r="A4300" s="21" t="s">
        <v>3997</v>
      </c>
      <c r="B4300" s="21" t="s">
        <v>26</v>
      </c>
      <c r="C4300" s="21" t="s">
        <v>26</v>
      </c>
      <c r="D4300" s="21" t="s">
        <v>921</v>
      </c>
      <c r="E4300" s="21">
        <v>10</v>
      </c>
      <c r="F4300" s="22">
        <v>45649.5701388889</v>
      </c>
      <c r="G4300" s="22"/>
      <c r="H4300" s="23">
        <v>499</v>
      </c>
      <c r="I4300" s="23">
        <v>49.9</v>
      </c>
      <c r="J4300" s="24">
        <v>499</v>
      </c>
      <c r="K4300" s="21">
        <v>0</v>
      </c>
      <c r="L4300" s="21">
        <v>0</v>
      </c>
      <c r="M4300" s="21">
        <f>COUNTIF($A$2:$A$5481,A4300)</f>
        <v>1</v>
      </c>
      <c r="N4300" s="24">
        <f t="shared" si="67"/>
        <v>499.00043</v>
      </c>
    </row>
    <row r="4301" spans="1:14">
      <c r="A4301" s="21" t="s">
        <v>3998</v>
      </c>
      <c r="B4301" s="21" t="s">
        <v>26</v>
      </c>
      <c r="C4301" s="21" t="s">
        <v>26</v>
      </c>
      <c r="D4301" s="21" t="s">
        <v>921</v>
      </c>
      <c r="E4301" s="21">
        <v>20</v>
      </c>
      <c r="F4301" s="22">
        <v>45649.5701388889</v>
      </c>
      <c r="G4301" s="22"/>
      <c r="H4301" s="23">
        <v>998</v>
      </c>
      <c r="I4301" s="23">
        <v>49.9</v>
      </c>
      <c r="J4301" s="24">
        <v>998</v>
      </c>
      <c r="K4301" s="21">
        <v>0</v>
      </c>
      <c r="L4301" s="21">
        <v>0</v>
      </c>
      <c r="M4301" s="21">
        <f>COUNTIF($A$2:$A$5481,A4301)</f>
        <v>1</v>
      </c>
      <c r="N4301" s="24">
        <f t="shared" si="67"/>
        <v>998.0004301</v>
      </c>
    </row>
    <row r="4302" spans="1:14">
      <c r="A4302" s="21" t="s">
        <v>3999</v>
      </c>
      <c r="B4302" s="21" t="s">
        <v>26</v>
      </c>
      <c r="C4302" s="21" t="s">
        <v>26</v>
      </c>
      <c r="D4302" s="21" t="s">
        <v>921</v>
      </c>
      <c r="E4302" s="21">
        <v>16</v>
      </c>
      <c r="F4302" s="22">
        <v>45649.5701388889</v>
      </c>
      <c r="G4302" s="22"/>
      <c r="H4302" s="23">
        <v>798.4</v>
      </c>
      <c r="I4302" s="23">
        <v>49.9</v>
      </c>
      <c r="J4302" s="24">
        <v>798.4</v>
      </c>
      <c r="K4302" s="21">
        <v>0</v>
      </c>
      <c r="L4302" s="21">
        <v>0</v>
      </c>
      <c r="M4302" s="21">
        <f>COUNTIF($A$2:$A$5481,A4302)</f>
        <v>1</v>
      </c>
      <c r="N4302" s="24">
        <f t="shared" si="67"/>
        <v>798.4004302</v>
      </c>
    </row>
    <row r="4303" spans="1:14">
      <c r="A4303" s="21" t="s">
        <v>902</v>
      </c>
      <c r="B4303" s="21" t="s">
        <v>26</v>
      </c>
      <c r="C4303" s="21" t="s">
        <v>26</v>
      </c>
      <c r="D4303" s="21" t="s">
        <v>921</v>
      </c>
      <c r="E4303" s="21">
        <v>19</v>
      </c>
      <c r="F4303" s="22">
        <v>45649.5701388889</v>
      </c>
      <c r="G4303" s="22">
        <v>46282.5988541667</v>
      </c>
      <c r="H4303" s="23">
        <v>998</v>
      </c>
      <c r="I4303" s="23">
        <v>49.9</v>
      </c>
      <c r="J4303" s="24">
        <v>948.1</v>
      </c>
      <c r="K4303" s="21">
        <v>0</v>
      </c>
      <c r="L4303" s="21">
        <v>0</v>
      </c>
      <c r="M4303" s="21">
        <f>COUNTIF($A$2:$A$5481,A4303)</f>
        <v>1</v>
      </c>
      <c r="N4303" s="24">
        <f t="shared" si="67"/>
        <v>948.1004303</v>
      </c>
    </row>
    <row r="4304" spans="1:14">
      <c r="A4304" s="21" t="s">
        <v>4000</v>
      </c>
      <c r="B4304" s="21" t="s">
        <v>26</v>
      </c>
      <c r="C4304" s="21" t="s">
        <v>26</v>
      </c>
      <c r="D4304" s="21" t="s">
        <v>921</v>
      </c>
      <c r="E4304" s="21">
        <v>10</v>
      </c>
      <c r="F4304" s="22">
        <v>45649.5701388889</v>
      </c>
      <c r="G4304" s="22"/>
      <c r="H4304" s="23">
        <v>499</v>
      </c>
      <c r="I4304" s="23">
        <v>49.9</v>
      </c>
      <c r="J4304" s="24">
        <v>499</v>
      </c>
      <c r="K4304" s="21">
        <v>0</v>
      </c>
      <c r="L4304" s="21">
        <v>0</v>
      </c>
      <c r="M4304" s="21">
        <f>COUNTIF($A$2:$A$5481,A4304)</f>
        <v>1</v>
      </c>
      <c r="N4304" s="24">
        <f t="shared" si="67"/>
        <v>499.0004304</v>
      </c>
    </row>
    <row r="4305" spans="1:14">
      <c r="A4305" s="21" t="s">
        <v>4001</v>
      </c>
      <c r="B4305" s="21" t="s">
        <v>1115</v>
      </c>
      <c r="C4305" s="21" t="s">
        <v>26</v>
      </c>
      <c r="D4305" s="21" t="s">
        <v>921</v>
      </c>
      <c r="E4305" s="21">
        <v>420</v>
      </c>
      <c r="F4305" s="22">
        <v>46153.5548611111</v>
      </c>
      <c r="G4305" s="22"/>
      <c r="H4305" s="23">
        <v>700</v>
      </c>
      <c r="I4305" s="23">
        <v>3.4476190476</v>
      </c>
      <c r="J4305" s="24">
        <v>1449</v>
      </c>
      <c r="K4305" s="21">
        <v>0</v>
      </c>
      <c r="L4305" s="21">
        <v>0</v>
      </c>
      <c r="M4305" s="21">
        <f>COUNTIF($A$2:$A$5481,A4305)</f>
        <v>1</v>
      </c>
      <c r="N4305" s="24">
        <f t="shared" si="67"/>
        <v>1449.0004305</v>
      </c>
    </row>
    <row r="4306" spans="1:14">
      <c r="A4306" s="21" t="s">
        <v>4002</v>
      </c>
      <c r="B4306" s="21" t="s">
        <v>1115</v>
      </c>
      <c r="C4306" s="21" t="s">
        <v>26</v>
      </c>
      <c r="D4306" s="21" t="s">
        <v>921</v>
      </c>
      <c r="E4306" s="21">
        <v>20</v>
      </c>
      <c r="F4306" s="22">
        <v>45924.3847222222</v>
      </c>
      <c r="G4306" s="22"/>
      <c r="H4306" s="23">
        <v>560</v>
      </c>
      <c r="I4306" s="23">
        <v>28</v>
      </c>
      <c r="J4306" s="24">
        <v>560</v>
      </c>
      <c r="K4306" s="21">
        <v>0</v>
      </c>
      <c r="L4306" s="21">
        <v>0</v>
      </c>
      <c r="M4306" s="21">
        <f>COUNTIF($A$2:$A$5481,A4306)</f>
        <v>1</v>
      </c>
      <c r="N4306" s="24">
        <f t="shared" si="67"/>
        <v>560.0004306</v>
      </c>
    </row>
    <row r="4307" spans="1:14">
      <c r="A4307" s="21" t="s">
        <v>4003</v>
      </c>
      <c r="B4307" s="21" t="s">
        <v>1115</v>
      </c>
      <c r="C4307" s="21" t="s">
        <v>26</v>
      </c>
      <c r="D4307" s="21" t="s">
        <v>921</v>
      </c>
      <c r="E4307" s="21">
        <v>7</v>
      </c>
      <c r="F4307" s="22">
        <v>45924.3847222222</v>
      </c>
      <c r="G4307" s="22"/>
      <c r="H4307" s="23">
        <v>196</v>
      </c>
      <c r="I4307" s="23">
        <v>28</v>
      </c>
      <c r="J4307" s="24">
        <v>196</v>
      </c>
      <c r="K4307" s="21">
        <v>0</v>
      </c>
      <c r="L4307" s="21">
        <v>0</v>
      </c>
      <c r="M4307" s="21">
        <f>COUNTIF($A$2:$A$5481,A4307)</f>
        <v>1</v>
      </c>
      <c r="N4307" s="24">
        <f t="shared" si="67"/>
        <v>196.0004307</v>
      </c>
    </row>
    <row r="4308" spans="1:14">
      <c r="A4308" s="21" t="s">
        <v>4004</v>
      </c>
      <c r="B4308" s="21" t="s">
        <v>1115</v>
      </c>
      <c r="C4308" s="21" t="s">
        <v>26</v>
      </c>
      <c r="D4308" s="21" t="s">
        <v>921</v>
      </c>
      <c r="E4308" s="21">
        <v>20</v>
      </c>
      <c r="F4308" s="22">
        <v>45924.3847222222</v>
      </c>
      <c r="G4308" s="22"/>
      <c r="H4308" s="23">
        <v>560</v>
      </c>
      <c r="I4308" s="23">
        <v>28</v>
      </c>
      <c r="J4308" s="24">
        <v>560</v>
      </c>
      <c r="K4308" s="21">
        <v>0</v>
      </c>
      <c r="L4308" s="21">
        <v>0</v>
      </c>
      <c r="M4308" s="21">
        <f>COUNTIF($A$2:$A$5481,A4308)</f>
        <v>1</v>
      </c>
      <c r="N4308" s="24">
        <f t="shared" si="67"/>
        <v>560.0004308</v>
      </c>
    </row>
    <row r="4309" spans="1:14">
      <c r="A4309" s="21" t="s">
        <v>4005</v>
      </c>
      <c r="B4309" s="21" t="s">
        <v>948</v>
      </c>
      <c r="C4309" s="21" t="s">
        <v>26</v>
      </c>
      <c r="D4309" s="21" t="s">
        <v>921</v>
      </c>
      <c r="E4309" s="21">
        <v>2</v>
      </c>
      <c r="F4309" s="22">
        <v>45924.3847222222</v>
      </c>
      <c r="G4309" s="22"/>
      <c r="H4309" s="23">
        <v>56</v>
      </c>
      <c r="I4309" s="23">
        <v>28</v>
      </c>
      <c r="J4309" s="24">
        <v>56</v>
      </c>
      <c r="K4309" s="21">
        <v>0</v>
      </c>
      <c r="L4309" s="21">
        <v>0</v>
      </c>
      <c r="M4309" s="21">
        <f>COUNTIF($A$2:$A$5481,A4309)</f>
        <v>1</v>
      </c>
      <c r="N4309" s="24">
        <f t="shared" si="67"/>
        <v>56.0004309</v>
      </c>
    </row>
    <row r="4310" spans="1:14">
      <c r="A4310" s="21" t="s">
        <v>4006</v>
      </c>
      <c r="B4310" s="21" t="s">
        <v>948</v>
      </c>
      <c r="C4310" s="21" t="s">
        <v>26</v>
      </c>
      <c r="D4310" s="21" t="s">
        <v>921</v>
      </c>
      <c r="E4310" s="21">
        <v>2</v>
      </c>
      <c r="F4310" s="22">
        <v>45924.3847222222</v>
      </c>
      <c r="G4310" s="22"/>
      <c r="H4310" s="23">
        <v>56</v>
      </c>
      <c r="I4310" s="23">
        <v>28</v>
      </c>
      <c r="J4310" s="24">
        <v>56</v>
      </c>
      <c r="K4310" s="21">
        <v>0</v>
      </c>
      <c r="L4310" s="21">
        <v>0</v>
      </c>
      <c r="M4310" s="21">
        <f>COUNTIF($A$2:$A$5481,A4310)</f>
        <v>1</v>
      </c>
      <c r="N4310" s="24">
        <f t="shared" si="67"/>
        <v>56.000431</v>
      </c>
    </row>
    <row r="4311" spans="1:14">
      <c r="A4311" s="21" t="s">
        <v>4007</v>
      </c>
      <c r="B4311" s="21" t="s">
        <v>948</v>
      </c>
      <c r="C4311" s="21" t="s">
        <v>26</v>
      </c>
      <c r="D4311" s="21" t="s">
        <v>921</v>
      </c>
      <c r="E4311" s="21">
        <v>2</v>
      </c>
      <c r="F4311" s="22">
        <v>45924.3847222222</v>
      </c>
      <c r="G4311" s="22"/>
      <c r="H4311" s="23">
        <v>56</v>
      </c>
      <c r="I4311" s="23">
        <v>28</v>
      </c>
      <c r="J4311" s="24">
        <v>56</v>
      </c>
      <c r="K4311" s="21">
        <v>0</v>
      </c>
      <c r="L4311" s="21">
        <v>0</v>
      </c>
      <c r="M4311" s="21">
        <f>COUNTIF($A$2:$A$5481,A4311)</f>
        <v>1</v>
      </c>
      <c r="N4311" s="24">
        <f t="shared" si="67"/>
        <v>56.0004311</v>
      </c>
    </row>
    <row r="4312" spans="1:14">
      <c r="A4312" s="21" t="s">
        <v>4008</v>
      </c>
      <c r="B4312" s="21" t="s">
        <v>948</v>
      </c>
      <c r="C4312" s="21" t="s">
        <v>26</v>
      </c>
      <c r="D4312" s="21" t="s">
        <v>921</v>
      </c>
      <c r="E4312" s="21">
        <v>6</v>
      </c>
      <c r="F4312" s="22">
        <v>46042.5574421296</v>
      </c>
      <c r="G4312" s="22"/>
      <c r="H4312" s="23">
        <v>131.2</v>
      </c>
      <c r="I4312" s="23">
        <v>31.2</v>
      </c>
      <c r="J4312" s="24">
        <v>187.2</v>
      </c>
      <c r="K4312" s="21">
        <v>0</v>
      </c>
      <c r="L4312" s="21">
        <v>0</v>
      </c>
      <c r="M4312" s="21">
        <f>COUNTIF($A$2:$A$5481,A4312)</f>
        <v>1</v>
      </c>
      <c r="N4312" s="24">
        <f t="shared" si="67"/>
        <v>187.2004312</v>
      </c>
    </row>
    <row r="4313" spans="1:14">
      <c r="A4313" s="21" t="s">
        <v>4009</v>
      </c>
      <c r="B4313" s="21" t="s">
        <v>26</v>
      </c>
      <c r="C4313" s="21" t="s">
        <v>26</v>
      </c>
      <c r="D4313" s="21" t="s">
        <v>921</v>
      </c>
      <c r="E4313" s="21">
        <v>26</v>
      </c>
      <c r="F4313" s="22">
        <v>45517.4138541667</v>
      </c>
      <c r="G4313" s="22"/>
      <c r="H4313" s="23">
        <v>832</v>
      </c>
      <c r="I4313" s="23">
        <v>32</v>
      </c>
      <c r="J4313" s="24">
        <v>832</v>
      </c>
      <c r="K4313" s="21">
        <v>0</v>
      </c>
      <c r="L4313" s="21">
        <v>0</v>
      </c>
      <c r="M4313" s="21">
        <f>COUNTIF($A$2:$A$5481,A4313)</f>
        <v>1</v>
      </c>
      <c r="N4313" s="24">
        <f t="shared" si="67"/>
        <v>832.0004313</v>
      </c>
    </row>
    <row r="4314" spans="1:14">
      <c r="A4314" s="21" t="s">
        <v>4010</v>
      </c>
      <c r="B4314" s="21" t="s">
        <v>1115</v>
      </c>
      <c r="C4314" s="21" t="s">
        <v>26</v>
      </c>
      <c r="D4314" s="21" t="s">
        <v>921</v>
      </c>
      <c r="E4314" s="21">
        <v>10</v>
      </c>
      <c r="F4314" s="22">
        <v>45924.3847222222</v>
      </c>
      <c r="G4314" s="22"/>
      <c r="H4314" s="23">
        <v>280</v>
      </c>
      <c r="I4314" s="23">
        <v>28</v>
      </c>
      <c r="J4314" s="24">
        <v>280</v>
      </c>
      <c r="K4314" s="21">
        <v>0</v>
      </c>
      <c r="L4314" s="21">
        <v>0</v>
      </c>
      <c r="M4314" s="21">
        <f>COUNTIF($A$2:$A$5481,A4314)</f>
        <v>1</v>
      </c>
      <c r="N4314" s="24">
        <f t="shared" si="67"/>
        <v>280.0004314</v>
      </c>
    </row>
    <row r="4315" spans="1:14">
      <c r="A4315" s="21" t="s">
        <v>4011</v>
      </c>
      <c r="B4315" s="21" t="s">
        <v>1115</v>
      </c>
      <c r="C4315" s="21" t="s">
        <v>26</v>
      </c>
      <c r="D4315" s="21" t="s">
        <v>921</v>
      </c>
      <c r="E4315" s="21">
        <v>4</v>
      </c>
      <c r="F4315" s="22">
        <v>45924.3847222222</v>
      </c>
      <c r="G4315" s="22"/>
      <c r="H4315" s="23">
        <v>112</v>
      </c>
      <c r="I4315" s="23">
        <v>28</v>
      </c>
      <c r="J4315" s="24">
        <v>112</v>
      </c>
      <c r="K4315" s="21">
        <v>0</v>
      </c>
      <c r="L4315" s="21">
        <v>0</v>
      </c>
      <c r="M4315" s="21">
        <f>COUNTIF($A$2:$A$5481,A4315)</f>
        <v>1</v>
      </c>
      <c r="N4315" s="24">
        <f t="shared" si="67"/>
        <v>112.0004315</v>
      </c>
    </row>
    <row r="4316" spans="1:14">
      <c r="A4316" s="21" t="s">
        <v>4012</v>
      </c>
      <c r="B4316" s="21" t="s">
        <v>1115</v>
      </c>
      <c r="C4316" s="21" t="s">
        <v>26</v>
      </c>
      <c r="D4316" s="21" t="s">
        <v>921</v>
      </c>
      <c r="E4316" s="21">
        <v>20</v>
      </c>
      <c r="F4316" s="22">
        <v>45924.3847222222</v>
      </c>
      <c r="G4316" s="22"/>
      <c r="H4316" s="23">
        <v>560</v>
      </c>
      <c r="I4316" s="23">
        <v>28</v>
      </c>
      <c r="J4316" s="24">
        <v>560</v>
      </c>
      <c r="K4316" s="21">
        <v>0</v>
      </c>
      <c r="L4316" s="21">
        <v>0</v>
      </c>
      <c r="M4316" s="21">
        <f>COUNTIF($A$2:$A$5481,A4316)</f>
        <v>1</v>
      </c>
      <c r="N4316" s="24">
        <f t="shared" si="67"/>
        <v>560.0004316</v>
      </c>
    </row>
    <row r="4317" spans="1:14">
      <c r="A4317" s="21" t="s">
        <v>847</v>
      </c>
      <c r="B4317" s="21" t="s">
        <v>1115</v>
      </c>
      <c r="C4317" s="21" t="s">
        <v>26</v>
      </c>
      <c r="D4317" s="21" t="s">
        <v>921</v>
      </c>
      <c r="E4317" s="21">
        <v>18</v>
      </c>
      <c r="F4317" s="22">
        <v>45924.3847222222</v>
      </c>
      <c r="G4317" s="22">
        <v>46267.3662037037</v>
      </c>
      <c r="H4317" s="23">
        <v>532</v>
      </c>
      <c r="I4317" s="23">
        <v>28</v>
      </c>
      <c r="J4317" s="24">
        <v>504</v>
      </c>
      <c r="K4317" s="21">
        <v>0</v>
      </c>
      <c r="L4317" s="21">
        <v>0</v>
      </c>
      <c r="M4317" s="21">
        <f>COUNTIF($A$2:$A$5481,A4317)</f>
        <v>1</v>
      </c>
      <c r="N4317" s="24">
        <f t="shared" si="67"/>
        <v>504.0004317</v>
      </c>
    </row>
    <row r="4318" spans="1:14">
      <c r="A4318" s="21" t="s">
        <v>4013</v>
      </c>
      <c r="B4318" s="21" t="s">
        <v>1115</v>
      </c>
      <c r="C4318" s="21" t="s">
        <v>26</v>
      </c>
      <c r="D4318" s="21" t="s">
        <v>921</v>
      </c>
      <c r="E4318" s="21">
        <v>21</v>
      </c>
      <c r="F4318" s="22">
        <v>45924.3847222222</v>
      </c>
      <c r="G4318" s="22"/>
      <c r="H4318" s="23">
        <v>588</v>
      </c>
      <c r="I4318" s="23">
        <v>28</v>
      </c>
      <c r="J4318" s="24">
        <v>588</v>
      </c>
      <c r="K4318" s="21">
        <v>0</v>
      </c>
      <c r="L4318" s="21">
        <v>0</v>
      </c>
      <c r="M4318" s="21">
        <f>COUNTIF($A$2:$A$5481,A4318)</f>
        <v>1</v>
      </c>
      <c r="N4318" s="24">
        <f t="shared" si="67"/>
        <v>588.0004318</v>
      </c>
    </row>
    <row r="4319" spans="1:14">
      <c r="A4319" s="21" t="s">
        <v>4014</v>
      </c>
      <c r="B4319" s="21" t="s">
        <v>1115</v>
      </c>
      <c r="C4319" s="21" t="s">
        <v>26</v>
      </c>
      <c r="D4319" s="21" t="s">
        <v>921</v>
      </c>
      <c r="E4319" s="21">
        <v>10</v>
      </c>
      <c r="F4319" s="22">
        <v>45924.3847222222</v>
      </c>
      <c r="G4319" s="22"/>
      <c r="H4319" s="23">
        <v>280</v>
      </c>
      <c r="I4319" s="23">
        <v>28</v>
      </c>
      <c r="J4319" s="24">
        <v>280</v>
      </c>
      <c r="K4319" s="21">
        <v>0</v>
      </c>
      <c r="L4319" s="21">
        <v>0</v>
      </c>
      <c r="M4319" s="21">
        <f>COUNTIF($A$2:$A$5481,A4319)</f>
        <v>1</v>
      </c>
      <c r="N4319" s="24">
        <f t="shared" si="67"/>
        <v>280.0004319</v>
      </c>
    </row>
    <row r="4320" spans="1:14">
      <c r="A4320" s="21" t="s">
        <v>4015</v>
      </c>
      <c r="B4320" s="21" t="s">
        <v>26</v>
      </c>
      <c r="C4320" s="21" t="s">
        <v>783</v>
      </c>
      <c r="D4320" s="21" t="s">
        <v>921</v>
      </c>
      <c r="E4320" s="21">
        <v>10</v>
      </c>
      <c r="F4320" s="22">
        <v>46062.3783217593</v>
      </c>
      <c r="G4320" s="22"/>
      <c r="H4320" s="23">
        <v>360</v>
      </c>
      <c r="I4320" s="23">
        <v>36</v>
      </c>
      <c r="J4320" s="24">
        <v>360</v>
      </c>
      <c r="K4320" s="21">
        <v>0</v>
      </c>
      <c r="L4320" s="21">
        <v>0</v>
      </c>
      <c r="M4320" s="21">
        <f>COUNTIF($A$2:$A$5481,A4320)</f>
        <v>1</v>
      </c>
      <c r="N4320" s="24">
        <f t="shared" si="67"/>
        <v>360.000432</v>
      </c>
    </row>
    <row r="4321" spans="1:14">
      <c r="A4321" s="21" t="s">
        <v>4016</v>
      </c>
      <c r="B4321" s="21" t="s">
        <v>26</v>
      </c>
      <c r="C4321" s="21" t="s">
        <v>783</v>
      </c>
      <c r="D4321" s="21" t="s">
        <v>921</v>
      </c>
      <c r="E4321" s="21">
        <v>20</v>
      </c>
      <c r="F4321" s="22">
        <v>46062.3783217593</v>
      </c>
      <c r="G4321" s="22"/>
      <c r="H4321" s="23">
        <v>720</v>
      </c>
      <c r="I4321" s="23">
        <v>36</v>
      </c>
      <c r="J4321" s="24">
        <v>720</v>
      </c>
      <c r="K4321" s="21">
        <v>0</v>
      </c>
      <c r="L4321" s="21">
        <v>0</v>
      </c>
      <c r="M4321" s="21">
        <f>COUNTIF($A$2:$A$5481,A4321)</f>
        <v>1</v>
      </c>
      <c r="N4321" s="24">
        <f t="shared" si="67"/>
        <v>720.0004321</v>
      </c>
    </row>
    <row r="4322" spans="1:14">
      <c r="A4322" s="21" t="s">
        <v>875</v>
      </c>
      <c r="B4322" s="21" t="s">
        <v>26</v>
      </c>
      <c r="C4322" s="21" t="s">
        <v>783</v>
      </c>
      <c r="D4322" s="21" t="s">
        <v>921</v>
      </c>
      <c r="E4322" s="21">
        <v>18</v>
      </c>
      <c r="F4322" s="22">
        <v>46062.3783217593</v>
      </c>
      <c r="G4322" s="22">
        <v>46269.6259953704</v>
      </c>
      <c r="H4322" s="23">
        <v>720</v>
      </c>
      <c r="I4322" s="23">
        <v>36</v>
      </c>
      <c r="J4322" s="24">
        <v>648</v>
      </c>
      <c r="K4322" s="21">
        <v>0</v>
      </c>
      <c r="L4322" s="21">
        <v>0</v>
      </c>
      <c r="M4322" s="21">
        <f>COUNTIF($A$2:$A$5481,A4322)</f>
        <v>1</v>
      </c>
      <c r="N4322" s="24">
        <f t="shared" si="67"/>
        <v>648.0004322</v>
      </c>
    </row>
    <row r="4323" spans="1:14">
      <c r="A4323" s="21" t="s">
        <v>4017</v>
      </c>
      <c r="B4323" s="21" t="s">
        <v>1115</v>
      </c>
      <c r="C4323" s="21" t="s">
        <v>51</v>
      </c>
      <c r="D4323" s="21" t="s">
        <v>921</v>
      </c>
      <c r="E4323" s="21">
        <v>5</v>
      </c>
      <c r="F4323" s="22">
        <v>45929.4255208333</v>
      </c>
      <c r="G4323" s="22"/>
      <c r="H4323" s="23">
        <v>175</v>
      </c>
      <c r="I4323" s="23">
        <v>35</v>
      </c>
      <c r="J4323" s="24">
        <v>175</v>
      </c>
      <c r="K4323" s="21">
        <v>0</v>
      </c>
      <c r="L4323" s="21">
        <v>0</v>
      </c>
      <c r="M4323" s="21">
        <f>COUNTIF($A$2:$A$5481,A4323)</f>
        <v>1</v>
      </c>
      <c r="N4323" s="24">
        <f t="shared" si="67"/>
        <v>175.0004323</v>
      </c>
    </row>
    <row r="4324" spans="1:14">
      <c r="A4324" s="21" t="s">
        <v>4018</v>
      </c>
      <c r="B4324" s="21" t="s">
        <v>1115</v>
      </c>
      <c r="C4324" s="21" t="s">
        <v>51</v>
      </c>
      <c r="D4324" s="21" t="s">
        <v>921</v>
      </c>
      <c r="E4324" s="21">
        <v>5</v>
      </c>
      <c r="F4324" s="22">
        <v>45929.4255208333</v>
      </c>
      <c r="G4324" s="22"/>
      <c r="H4324" s="23">
        <v>175</v>
      </c>
      <c r="I4324" s="23">
        <v>35</v>
      </c>
      <c r="J4324" s="24">
        <v>175</v>
      </c>
      <c r="K4324" s="21">
        <v>0</v>
      </c>
      <c r="L4324" s="21">
        <v>0</v>
      </c>
      <c r="M4324" s="21">
        <f>COUNTIF($A$2:$A$5481,A4324)</f>
        <v>2</v>
      </c>
      <c r="N4324" s="24">
        <f t="shared" si="67"/>
        <v>175.0004324</v>
      </c>
    </row>
    <row r="4325" spans="1:14">
      <c r="A4325" s="21" t="s">
        <v>4018</v>
      </c>
      <c r="B4325" s="21" t="s">
        <v>1115</v>
      </c>
      <c r="C4325" s="21" t="s">
        <v>783</v>
      </c>
      <c r="D4325" s="21" t="s">
        <v>921</v>
      </c>
      <c r="E4325" s="21">
        <v>20</v>
      </c>
      <c r="F4325" s="22">
        <v>46062.3783217593</v>
      </c>
      <c r="G4325" s="22"/>
      <c r="H4325" s="23">
        <v>720</v>
      </c>
      <c r="I4325" s="23">
        <v>36</v>
      </c>
      <c r="J4325" s="24">
        <v>720</v>
      </c>
      <c r="K4325" s="21">
        <v>0</v>
      </c>
      <c r="L4325" s="21">
        <v>0</v>
      </c>
      <c r="M4325" s="21">
        <f>COUNTIF($A$2:$A$5481,A4325)</f>
        <v>2</v>
      </c>
      <c r="N4325" s="24">
        <f t="shared" si="67"/>
        <v>720.0004325</v>
      </c>
    </row>
    <row r="4326" spans="1:14">
      <c r="A4326" s="21" t="s">
        <v>863</v>
      </c>
      <c r="B4326" s="21" t="s">
        <v>1115</v>
      </c>
      <c r="C4326" s="21" t="s">
        <v>51</v>
      </c>
      <c r="D4326" s="21" t="s">
        <v>921</v>
      </c>
      <c r="E4326" s="21">
        <v>10</v>
      </c>
      <c r="F4326" s="22">
        <v>45929.4255208333</v>
      </c>
      <c r="G4326" s="22"/>
      <c r="H4326" s="23">
        <v>350</v>
      </c>
      <c r="I4326" s="23">
        <v>35</v>
      </c>
      <c r="J4326" s="24">
        <v>350</v>
      </c>
      <c r="K4326" s="21">
        <v>0</v>
      </c>
      <c r="L4326" s="21">
        <v>0</v>
      </c>
      <c r="M4326" s="21">
        <f>COUNTIF($A$2:$A$5481,A4326)</f>
        <v>2</v>
      </c>
      <c r="N4326" s="24">
        <f t="shared" si="67"/>
        <v>350.0004326</v>
      </c>
    </row>
    <row r="4327" spans="1:14">
      <c r="A4327" s="21" t="s">
        <v>863</v>
      </c>
      <c r="B4327" s="21" t="s">
        <v>1115</v>
      </c>
      <c r="C4327" s="21" t="s">
        <v>783</v>
      </c>
      <c r="D4327" s="21" t="s">
        <v>921</v>
      </c>
      <c r="E4327" s="21">
        <v>19</v>
      </c>
      <c r="F4327" s="22">
        <v>46062.3783217593</v>
      </c>
      <c r="G4327" s="22">
        <v>46268.6354166667</v>
      </c>
      <c r="H4327" s="23">
        <v>720</v>
      </c>
      <c r="I4327" s="23">
        <v>36</v>
      </c>
      <c r="J4327" s="24">
        <v>684</v>
      </c>
      <c r="K4327" s="21">
        <v>0</v>
      </c>
      <c r="L4327" s="21">
        <v>0</v>
      </c>
      <c r="M4327" s="21">
        <f>COUNTIF($A$2:$A$5481,A4327)</f>
        <v>2</v>
      </c>
      <c r="N4327" s="24">
        <f t="shared" si="67"/>
        <v>684.0004327</v>
      </c>
    </row>
    <row r="4328" spans="1:14">
      <c r="A4328" s="21" t="s">
        <v>4019</v>
      </c>
      <c r="B4328" s="21" t="s">
        <v>1115</v>
      </c>
      <c r="C4328" s="21" t="s">
        <v>51</v>
      </c>
      <c r="D4328" s="21" t="s">
        <v>921</v>
      </c>
      <c r="E4328" s="21">
        <v>10</v>
      </c>
      <c r="F4328" s="22">
        <v>45929.4255208333</v>
      </c>
      <c r="G4328" s="22"/>
      <c r="H4328" s="23">
        <v>350</v>
      </c>
      <c r="I4328" s="23">
        <v>35</v>
      </c>
      <c r="J4328" s="24">
        <v>350</v>
      </c>
      <c r="K4328" s="21">
        <v>0</v>
      </c>
      <c r="L4328" s="21">
        <v>0</v>
      </c>
      <c r="M4328" s="21">
        <f>COUNTIF($A$2:$A$5481,A4328)</f>
        <v>2</v>
      </c>
      <c r="N4328" s="24">
        <f t="shared" si="67"/>
        <v>350.0004328</v>
      </c>
    </row>
    <row r="4329" spans="1:14">
      <c r="A4329" s="21" t="s">
        <v>4019</v>
      </c>
      <c r="B4329" s="21" t="s">
        <v>1115</v>
      </c>
      <c r="C4329" s="21" t="s">
        <v>783</v>
      </c>
      <c r="D4329" s="21" t="s">
        <v>921</v>
      </c>
      <c r="E4329" s="21">
        <v>20</v>
      </c>
      <c r="F4329" s="22">
        <v>46062.3783217593</v>
      </c>
      <c r="G4329" s="22"/>
      <c r="H4329" s="23">
        <v>720</v>
      </c>
      <c r="I4329" s="23">
        <v>36</v>
      </c>
      <c r="J4329" s="24">
        <v>720</v>
      </c>
      <c r="K4329" s="21">
        <v>0</v>
      </c>
      <c r="L4329" s="21">
        <v>0</v>
      </c>
      <c r="M4329" s="21">
        <f>COUNTIF($A$2:$A$5481,A4329)</f>
        <v>2</v>
      </c>
      <c r="N4329" s="24">
        <f t="shared" si="67"/>
        <v>720.0004329</v>
      </c>
    </row>
    <row r="4330" spans="1:14">
      <c r="A4330" s="21" t="s">
        <v>4020</v>
      </c>
      <c r="B4330" s="21" t="s">
        <v>1115</v>
      </c>
      <c r="C4330" s="21" t="s">
        <v>51</v>
      </c>
      <c r="D4330" s="21" t="s">
        <v>921</v>
      </c>
      <c r="E4330" s="21">
        <v>15</v>
      </c>
      <c r="F4330" s="22">
        <v>45929.4255208333</v>
      </c>
      <c r="G4330" s="22"/>
      <c r="H4330" s="23">
        <v>525</v>
      </c>
      <c r="I4330" s="23">
        <v>35</v>
      </c>
      <c r="J4330" s="24">
        <v>525</v>
      </c>
      <c r="K4330" s="21">
        <v>0</v>
      </c>
      <c r="L4330" s="21">
        <v>0</v>
      </c>
      <c r="M4330" s="21">
        <f>COUNTIF($A$2:$A$5481,A4330)</f>
        <v>1</v>
      </c>
      <c r="N4330" s="24">
        <f t="shared" si="67"/>
        <v>525.000433</v>
      </c>
    </row>
    <row r="4331" spans="1:14">
      <c r="A4331" s="21" t="s">
        <v>4021</v>
      </c>
      <c r="B4331" s="21" t="s">
        <v>1115</v>
      </c>
      <c r="C4331" s="21" t="s">
        <v>51</v>
      </c>
      <c r="D4331" s="21" t="s">
        <v>921</v>
      </c>
      <c r="E4331" s="21">
        <v>10</v>
      </c>
      <c r="F4331" s="22">
        <v>45929.4255208333</v>
      </c>
      <c r="G4331" s="22"/>
      <c r="H4331" s="23">
        <v>350</v>
      </c>
      <c r="I4331" s="23">
        <v>35</v>
      </c>
      <c r="J4331" s="24">
        <v>350</v>
      </c>
      <c r="K4331" s="21">
        <v>0</v>
      </c>
      <c r="L4331" s="21">
        <v>0</v>
      </c>
      <c r="M4331" s="21">
        <f>COUNTIF($A$2:$A$5481,A4331)</f>
        <v>2</v>
      </c>
      <c r="N4331" s="24">
        <f t="shared" si="67"/>
        <v>350.0004331</v>
      </c>
    </row>
    <row r="4332" spans="1:14">
      <c r="A4332" s="21" t="s">
        <v>4021</v>
      </c>
      <c r="B4332" s="21" t="s">
        <v>1115</v>
      </c>
      <c r="C4332" s="21" t="s">
        <v>783</v>
      </c>
      <c r="D4332" s="21" t="s">
        <v>921</v>
      </c>
      <c r="E4332" s="21">
        <v>30</v>
      </c>
      <c r="F4332" s="22">
        <v>46031.3783217593</v>
      </c>
      <c r="G4332" s="22"/>
      <c r="H4332" s="23">
        <v>1080</v>
      </c>
      <c r="I4332" s="23">
        <v>36</v>
      </c>
      <c r="J4332" s="24">
        <v>1080</v>
      </c>
      <c r="K4332" s="21">
        <v>0</v>
      </c>
      <c r="L4332" s="21">
        <v>0</v>
      </c>
      <c r="M4332" s="21">
        <f>COUNTIF($A$2:$A$5481,A4332)</f>
        <v>2</v>
      </c>
      <c r="N4332" s="24">
        <f t="shared" si="67"/>
        <v>1080.0004332</v>
      </c>
    </row>
    <row r="4333" spans="1:14">
      <c r="A4333" s="21" t="s">
        <v>4022</v>
      </c>
      <c r="B4333" s="21" t="s">
        <v>1115</v>
      </c>
      <c r="C4333" s="21" t="s">
        <v>51</v>
      </c>
      <c r="D4333" s="21" t="s">
        <v>921</v>
      </c>
      <c r="E4333" s="21">
        <v>20</v>
      </c>
      <c r="F4333" s="22">
        <v>45929.4255208333</v>
      </c>
      <c r="G4333" s="22"/>
      <c r="H4333" s="23">
        <v>700</v>
      </c>
      <c r="I4333" s="23">
        <v>35</v>
      </c>
      <c r="J4333" s="24">
        <v>700</v>
      </c>
      <c r="K4333" s="21">
        <v>0</v>
      </c>
      <c r="L4333" s="21">
        <v>0</v>
      </c>
      <c r="M4333" s="21">
        <f>COUNTIF($A$2:$A$5481,A4333)</f>
        <v>1</v>
      </c>
      <c r="N4333" s="24">
        <f t="shared" si="67"/>
        <v>700.0004333</v>
      </c>
    </row>
    <row r="4334" spans="1:14">
      <c r="A4334" s="21" t="s">
        <v>4023</v>
      </c>
      <c r="B4334" s="21" t="s">
        <v>1115</v>
      </c>
      <c r="C4334" s="21" t="s">
        <v>51</v>
      </c>
      <c r="D4334" s="21" t="s">
        <v>921</v>
      </c>
      <c r="E4334" s="21">
        <v>15</v>
      </c>
      <c r="F4334" s="22">
        <v>45929.4255208333</v>
      </c>
      <c r="G4334" s="22"/>
      <c r="H4334" s="23">
        <v>525</v>
      </c>
      <c r="I4334" s="23">
        <v>35</v>
      </c>
      <c r="J4334" s="24">
        <v>525</v>
      </c>
      <c r="K4334" s="21">
        <v>0</v>
      </c>
      <c r="L4334" s="21">
        <v>0</v>
      </c>
      <c r="M4334" s="21">
        <f>COUNTIF($A$2:$A$5481,A4334)</f>
        <v>2</v>
      </c>
      <c r="N4334" s="24">
        <f t="shared" si="67"/>
        <v>525.0004334</v>
      </c>
    </row>
    <row r="4335" spans="1:14">
      <c r="A4335" s="21" t="s">
        <v>4023</v>
      </c>
      <c r="B4335" s="21" t="s">
        <v>1115</v>
      </c>
      <c r="C4335" s="21" t="s">
        <v>783</v>
      </c>
      <c r="D4335" s="21" t="s">
        <v>921</v>
      </c>
      <c r="E4335" s="21">
        <v>30</v>
      </c>
      <c r="F4335" s="22">
        <v>46062.3783217593</v>
      </c>
      <c r="G4335" s="22"/>
      <c r="H4335" s="23">
        <v>1080</v>
      </c>
      <c r="I4335" s="23">
        <v>36</v>
      </c>
      <c r="J4335" s="24">
        <v>1080</v>
      </c>
      <c r="K4335" s="21">
        <v>0</v>
      </c>
      <c r="L4335" s="21">
        <v>0</v>
      </c>
      <c r="M4335" s="21">
        <f>COUNTIF($A$2:$A$5481,A4335)</f>
        <v>2</v>
      </c>
      <c r="N4335" s="24">
        <f t="shared" si="67"/>
        <v>1080.0004335</v>
      </c>
    </row>
    <row r="4336" spans="1:14">
      <c r="A4336" s="21" t="s">
        <v>4024</v>
      </c>
      <c r="B4336" s="21" t="s">
        <v>1115</v>
      </c>
      <c r="C4336" s="21" t="s">
        <v>783</v>
      </c>
      <c r="D4336" s="21" t="s">
        <v>921</v>
      </c>
      <c r="E4336" s="21">
        <v>20</v>
      </c>
      <c r="F4336" s="22">
        <v>46062.3783217593</v>
      </c>
      <c r="G4336" s="22"/>
      <c r="H4336" s="23">
        <v>720</v>
      </c>
      <c r="I4336" s="23">
        <v>36</v>
      </c>
      <c r="J4336" s="24">
        <v>720</v>
      </c>
      <c r="K4336" s="21">
        <v>0</v>
      </c>
      <c r="L4336" s="21">
        <v>0</v>
      </c>
      <c r="M4336" s="21">
        <f>COUNTIF($A$2:$A$5481,A4336)</f>
        <v>1</v>
      </c>
      <c r="N4336" s="24">
        <f t="shared" si="67"/>
        <v>720.0004336</v>
      </c>
    </row>
    <row r="4337" spans="1:14">
      <c r="A4337" s="21" t="s">
        <v>872</v>
      </c>
      <c r="B4337" s="21" t="s">
        <v>26</v>
      </c>
      <c r="C4337" s="21" t="s">
        <v>26</v>
      </c>
      <c r="D4337" s="21" t="s">
        <v>921</v>
      </c>
      <c r="E4337" s="21">
        <v>34</v>
      </c>
      <c r="F4337" s="22">
        <v>46169.6471064815</v>
      </c>
      <c r="G4337" s="22">
        <v>46269.6131018519</v>
      </c>
      <c r="H4337" s="23">
        <v>1200</v>
      </c>
      <c r="I4337" s="23">
        <v>40</v>
      </c>
      <c r="J4337" s="24">
        <v>1360</v>
      </c>
      <c r="K4337" s="21">
        <v>0</v>
      </c>
      <c r="L4337" s="21">
        <v>0</v>
      </c>
      <c r="M4337" s="21">
        <f>COUNTIF($A$2:$A$5481,A4337)</f>
        <v>1</v>
      </c>
      <c r="N4337" s="24">
        <f t="shared" si="67"/>
        <v>1360.0004337</v>
      </c>
    </row>
    <row r="4338" spans="1:14">
      <c r="A4338" s="21" t="s">
        <v>4025</v>
      </c>
      <c r="B4338" s="21" t="s">
        <v>26</v>
      </c>
      <c r="C4338" s="21" t="s">
        <v>26</v>
      </c>
      <c r="D4338" s="21" t="s">
        <v>921</v>
      </c>
      <c r="E4338" s="21">
        <v>10</v>
      </c>
      <c r="F4338" s="22">
        <v>45856.3933796296</v>
      </c>
      <c r="G4338" s="22"/>
      <c r="H4338" s="23">
        <v>400</v>
      </c>
      <c r="I4338" s="23">
        <v>40</v>
      </c>
      <c r="J4338" s="24">
        <v>400</v>
      </c>
      <c r="K4338" s="21">
        <v>0</v>
      </c>
      <c r="L4338" s="21">
        <v>0</v>
      </c>
      <c r="M4338" s="21">
        <f>COUNTIF($A$2:$A$5481,A4338)</f>
        <v>1</v>
      </c>
      <c r="N4338" s="24">
        <f t="shared" si="67"/>
        <v>400.0004338</v>
      </c>
    </row>
    <row r="4339" spans="1:14">
      <c r="A4339" s="21" t="s">
        <v>4026</v>
      </c>
      <c r="B4339" s="21" t="s">
        <v>26</v>
      </c>
      <c r="C4339" s="21" t="s">
        <v>26</v>
      </c>
      <c r="D4339" s="21" t="s">
        <v>921</v>
      </c>
      <c r="E4339" s="21">
        <v>10</v>
      </c>
      <c r="F4339" s="22">
        <v>45856.3933796296</v>
      </c>
      <c r="G4339" s="22"/>
      <c r="H4339" s="23">
        <v>400</v>
      </c>
      <c r="I4339" s="23">
        <v>40</v>
      </c>
      <c r="J4339" s="24">
        <v>400</v>
      </c>
      <c r="K4339" s="21">
        <v>0</v>
      </c>
      <c r="L4339" s="21">
        <v>0</v>
      </c>
      <c r="M4339" s="21">
        <f>COUNTIF($A$2:$A$5481,A4339)</f>
        <v>1</v>
      </c>
      <c r="N4339" s="24">
        <f t="shared" si="67"/>
        <v>400.0004339</v>
      </c>
    </row>
    <row r="4340" spans="1:14">
      <c r="A4340" s="21" t="s">
        <v>4027</v>
      </c>
      <c r="B4340" s="21" t="s">
        <v>1175</v>
      </c>
      <c r="C4340" s="21" t="s">
        <v>26</v>
      </c>
      <c r="D4340" s="21" t="s">
        <v>921</v>
      </c>
      <c r="E4340" s="21">
        <v>6</v>
      </c>
      <c r="F4340" s="22">
        <v>46233.540150463</v>
      </c>
      <c r="G4340" s="22"/>
      <c r="H4340" s="23">
        <v>468.08</v>
      </c>
      <c r="I4340" s="23">
        <v>171.3133333333</v>
      </c>
      <c r="J4340" s="24">
        <v>1027.86</v>
      </c>
      <c r="K4340" s="21">
        <v>0</v>
      </c>
      <c r="L4340" s="21">
        <v>0</v>
      </c>
      <c r="M4340" s="21">
        <f>COUNTIF($A$2:$A$5481,A4340)</f>
        <v>1</v>
      </c>
      <c r="N4340" s="24">
        <f t="shared" si="67"/>
        <v>1027.860434</v>
      </c>
    </row>
    <row r="4341" spans="1:14">
      <c r="A4341" s="21" t="s">
        <v>4028</v>
      </c>
      <c r="B4341" s="21" t="s">
        <v>1175</v>
      </c>
      <c r="C4341" s="21" t="s">
        <v>26</v>
      </c>
      <c r="D4341" s="21" t="s">
        <v>921</v>
      </c>
      <c r="E4341" s="21">
        <v>1</v>
      </c>
      <c r="F4341" s="22">
        <v>46262.7084143519</v>
      </c>
      <c r="G4341" s="22"/>
      <c r="H4341" s="23">
        <v>199.9</v>
      </c>
      <c r="I4341" s="23">
        <v>199.9</v>
      </c>
      <c r="J4341" s="24">
        <v>199.9</v>
      </c>
      <c r="K4341" s="21">
        <v>0</v>
      </c>
      <c r="L4341" s="21">
        <v>0</v>
      </c>
      <c r="M4341" s="21">
        <f>COUNTIF($A$2:$A$5481,A4341)</f>
        <v>1</v>
      </c>
      <c r="N4341" s="24">
        <f t="shared" si="67"/>
        <v>199.9004341</v>
      </c>
    </row>
    <row r="4342" spans="1:14">
      <c r="A4342" s="21" t="s">
        <v>4029</v>
      </c>
      <c r="B4342" s="21" t="s">
        <v>1175</v>
      </c>
      <c r="C4342" s="21" t="s">
        <v>26</v>
      </c>
      <c r="D4342" s="21" t="s">
        <v>921</v>
      </c>
      <c r="E4342" s="21">
        <v>2</v>
      </c>
      <c r="F4342" s="22">
        <v>46120.6722222222</v>
      </c>
      <c r="G4342" s="22"/>
      <c r="H4342" s="23">
        <v>359.9</v>
      </c>
      <c r="I4342" s="23">
        <v>419.9</v>
      </c>
      <c r="J4342" s="24">
        <v>839.8</v>
      </c>
      <c r="K4342" s="21">
        <v>0</v>
      </c>
      <c r="L4342" s="21">
        <v>0</v>
      </c>
      <c r="M4342" s="21">
        <f>COUNTIF($A$2:$A$5481,A4342)</f>
        <v>1</v>
      </c>
      <c r="N4342" s="24">
        <f t="shared" si="67"/>
        <v>839.8004342</v>
      </c>
    </row>
    <row r="4343" spans="1:14">
      <c r="A4343" s="21" t="s">
        <v>4030</v>
      </c>
      <c r="B4343" s="21" t="s">
        <v>1175</v>
      </c>
      <c r="C4343" s="21" t="s">
        <v>182</v>
      </c>
      <c r="D4343" s="21" t="s">
        <v>921</v>
      </c>
      <c r="E4343" s="21">
        <v>0</v>
      </c>
      <c r="F4343" s="22">
        <v>45321.7354166667</v>
      </c>
      <c r="G4343" s="22">
        <v>45330.4620833333</v>
      </c>
      <c r="H4343" s="23">
        <v>1720.55</v>
      </c>
      <c r="I4343" s="23">
        <v>344.11</v>
      </c>
      <c r="J4343" s="24">
        <v>0</v>
      </c>
      <c r="K4343" s="21">
        <v>0</v>
      </c>
      <c r="L4343" s="21">
        <v>0</v>
      </c>
      <c r="M4343" s="21">
        <f>COUNTIF($A$2:$A$5481,A4343)</f>
        <v>2</v>
      </c>
      <c r="N4343" s="24">
        <f t="shared" si="67"/>
        <v>0.0004343</v>
      </c>
    </row>
    <row r="4344" spans="1:14">
      <c r="A4344" s="21" t="s">
        <v>4030</v>
      </c>
      <c r="B4344" s="21" t="s">
        <v>1175</v>
      </c>
      <c r="C4344" s="21" t="s">
        <v>26</v>
      </c>
      <c r="D4344" s="21" t="s">
        <v>921</v>
      </c>
      <c r="E4344" s="21">
        <v>7</v>
      </c>
      <c r="F4344" s="22">
        <v>45491.4919907407</v>
      </c>
      <c r="G4344" s="22"/>
      <c r="H4344" s="23">
        <v>2399.6</v>
      </c>
      <c r="I4344" s="23">
        <v>342.8</v>
      </c>
      <c r="J4344" s="24">
        <v>2399.6</v>
      </c>
      <c r="K4344" s="21">
        <v>0</v>
      </c>
      <c r="L4344" s="21">
        <v>0</v>
      </c>
      <c r="M4344" s="21">
        <f>COUNTIF($A$2:$A$5481,A4344)</f>
        <v>2</v>
      </c>
      <c r="N4344" s="24">
        <f t="shared" si="67"/>
        <v>2399.6004344</v>
      </c>
    </row>
    <row r="4345" spans="1:14">
      <c r="A4345" s="21" t="s">
        <v>4031</v>
      </c>
      <c r="B4345" s="21" t="s">
        <v>1175</v>
      </c>
      <c r="C4345" s="21" t="s">
        <v>26</v>
      </c>
      <c r="D4345" s="21" t="s">
        <v>921</v>
      </c>
      <c r="E4345" s="21">
        <v>0</v>
      </c>
      <c r="F4345" s="22">
        <v>45832.3628240741</v>
      </c>
      <c r="G4345" s="22">
        <v>45834.3680787037</v>
      </c>
      <c r="H4345" s="23">
        <v>2525.7</v>
      </c>
      <c r="I4345" s="23">
        <v>841.9</v>
      </c>
      <c r="J4345" s="24">
        <v>0</v>
      </c>
      <c r="K4345" s="21">
        <v>0</v>
      </c>
      <c r="L4345" s="21">
        <v>0</v>
      </c>
      <c r="M4345" s="21">
        <f>COUNTIF($A$2:$A$5481,A4345)</f>
        <v>1</v>
      </c>
      <c r="N4345" s="24">
        <f t="shared" si="67"/>
        <v>0.0004345</v>
      </c>
    </row>
    <row r="4346" spans="1:14">
      <c r="A4346" s="21" t="s">
        <v>4032</v>
      </c>
      <c r="B4346" s="21" t="s">
        <v>920</v>
      </c>
      <c r="C4346" s="21" t="s">
        <v>26</v>
      </c>
      <c r="D4346" s="21" t="s">
        <v>921</v>
      </c>
      <c r="E4346" s="21">
        <v>1</v>
      </c>
      <c r="F4346" s="22">
        <v>46184.7207523148</v>
      </c>
      <c r="G4346" s="22"/>
      <c r="H4346" s="23">
        <v>20.9</v>
      </c>
      <c r="I4346" s="23">
        <v>20.9</v>
      </c>
      <c r="J4346" s="24">
        <v>20.9</v>
      </c>
      <c r="K4346" s="21">
        <v>0</v>
      </c>
      <c r="L4346" s="21">
        <v>0</v>
      </c>
      <c r="M4346" s="21">
        <f>COUNTIF($A$2:$A$5481,A4346)</f>
        <v>1</v>
      </c>
      <c r="N4346" s="24">
        <f t="shared" si="67"/>
        <v>20.9004346</v>
      </c>
    </row>
    <row r="4347" spans="1:14">
      <c r="A4347" s="21" t="s">
        <v>4033</v>
      </c>
      <c r="B4347" s="21" t="s">
        <v>920</v>
      </c>
      <c r="C4347" s="21" t="s">
        <v>35</v>
      </c>
      <c r="D4347" s="21" t="s">
        <v>921</v>
      </c>
      <c r="E4347" s="21">
        <v>4</v>
      </c>
      <c r="F4347" s="22">
        <v>45320.6337268519</v>
      </c>
      <c r="G4347" s="22"/>
      <c r="H4347" s="23">
        <v>110.36</v>
      </c>
      <c r="I4347" s="23">
        <v>27.59</v>
      </c>
      <c r="J4347" s="24">
        <v>110.36</v>
      </c>
      <c r="K4347" s="21">
        <v>0</v>
      </c>
      <c r="L4347" s="21">
        <v>0</v>
      </c>
      <c r="M4347" s="21">
        <f>COUNTIF($A$2:$A$5481,A4347)</f>
        <v>1</v>
      </c>
      <c r="N4347" s="24">
        <f t="shared" si="67"/>
        <v>110.3604347</v>
      </c>
    </row>
    <row r="4348" spans="1:14">
      <c r="A4348" s="21" t="s">
        <v>4034</v>
      </c>
      <c r="B4348" s="21" t="s">
        <v>920</v>
      </c>
      <c r="C4348" s="21" t="s">
        <v>35</v>
      </c>
      <c r="D4348" s="21" t="s">
        <v>921</v>
      </c>
      <c r="E4348" s="21">
        <v>10</v>
      </c>
      <c r="F4348" s="22">
        <v>45395.8486111111</v>
      </c>
      <c r="G4348" s="22"/>
      <c r="H4348" s="23">
        <v>93.8</v>
      </c>
      <c r="I4348" s="23">
        <v>23.116</v>
      </c>
      <c r="J4348" s="24">
        <v>231.2</v>
      </c>
      <c r="K4348" s="21">
        <v>0</v>
      </c>
      <c r="L4348" s="21">
        <v>0</v>
      </c>
      <c r="M4348" s="21">
        <f>COUNTIF($A$2:$A$5481,A4348)</f>
        <v>2</v>
      </c>
      <c r="N4348" s="24">
        <f t="shared" si="67"/>
        <v>231.2004348</v>
      </c>
    </row>
    <row r="4349" spans="1:14">
      <c r="A4349" s="21" t="s">
        <v>4034</v>
      </c>
      <c r="B4349" s="21" t="s">
        <v>920</v>
      </c>
      <c r="C4349" s="21" t="s">
        <v>26</v>
      </c>
      <c r="D4349" s="21" t="s">
        <v>921</v>
      </c>
      <c r="E4349" s="21">
        <v>133</v>
      </c>
      <c r="F4349" s="22">
        <v>46141.692974537</v>
      </c>
      <c r="G4349" s="22">
        <v>45344.4766435185</v>
      </c>
      <c r="H4349" s="23">
        <v>73.24</v>
      </c>
      <c r="I4349" s="23">
        <v>18.6101503759</v>
      </c>
      <c r="J4349" s="24">
        <v>2475.13</v>
      </c>
      <c r="K4349" s="21">
        <v>0</v>
      </c>
      <c r="L4349" s="21">
        <v>0</v>
      </c>
      <c r="M4349" s="21">
        <f>COUNTIF($A$2:$A$5481,A4349)</f>
        <v>2</v>
      </c>
      <c r="N4349" s="24">
        <f t="shared" si="67"/>
        <v>2475.1304349</v>
      </c>
    </row>
    <row r="4350" spans="1:14">
      <c r="A4350" s="21" t="s">
        <v>4035</v>
      </c>
      <c r="B4350" s="21" t="s">
        <v>920</v>
      </c>
      <c r="C4350" s="21" t="s">
        <v>35</v>
      </c>
      <c r="D4350" s="21" t="s">
        <v>921</v>
      </c>
      <c r="E4350" s="21">
        <v>8</v>
      </c>
      <c r="F4350" s="22">
        <v>45287.8015277778</v>
      </c>
      <c r="G4350" s="22">
        <v>45323.4762268519</v>
      </c>
      <c r="H4350" s="23">
        <v>171.7</v>
      </c>
      <c r="I4350" s="23">
        <v>17.17</v>
      </c>
      <c r="J4350" s="24">
        <v>137.36</v>
      </c>
      <c r="K4350" s="21">
        <v>0</v>
      </c>
      <c r="L4350" s="21">
        <v>0</v>
      </c>
      <c r="M4350" s="21">
        <f>COUNTIF($A$2:$A$5481,A4350)</f>
        <v>2</v>
      </c>
      <c r="N4350" s="24">
        <f t="shared" si="67"/>
        <v>137.360435</v>
      </c>
    </row>
    <row r="4351" spans="1:14">
      <c r="A4351" s="21" t="s">
        <v>4035</v>
      </c>
      <c r="B4351" s="21" t="s">
        <v>920</v>
      </c>
      <c r="C4351" s="21" t="s">
        <v>26</v>
      </c>
      <c r="D4351" s="21" t="s">
        <v>921</v>
      </c>
      <c r="E4351" s="21">
        <v>27</v>
      </c>
      <c r="F4351" s="22">
        <v>45510.371099537</v>
      </c>
      <c r="G4351" s="22"/>
      <c r="H4351" s="23">
        <v>300</v>
      </c>
      <c r="I4351" s="23">
        <v>20</v>
      </c>
      <c r="J4351" s="24">
        <v>540</v>
      </c>
      <c r="K4351" s="21">
        <v>0</v>
      </c>
      <c r="L4351" s="21">
        <v>0</v>
      </c>
      <c r="M4351" s="21">
        <f>COUNTIF($A$2:$A$5481,A4351)</f>
        <v>2</v>
      </c>
      <c r="N4351" s="24">
        <f t="shared" si="67"/>
        <v>540.0004351</v>
      </c>
    </row>
    <row r="4352" spans="1:14">
      <c r="A4352" s="21" t="s">
        <v>4036</v>
      </c>
      <c r="B4352" s="21" t="s">
        <v>920</v>
      </c>
      <c r="C4352" s="21" t="s">
        <v>26</v>
      </c>
      <c r="D4352" s="21" t="s">
        <v>921</v>
      </c>
      <c r="E4352" s="21">
        <v>2</v>
      </c>
      <c r="F4352" s="22">
        <v>45408.6237152778</v>
      </c>
      <c r="G4352" s="22"/>
      <c r="H4352" s="23">
        <v>31.68</v>
      </c>
      <c r="I4352" s="23">
        <v>15.84</v>
      </c>
      <c r="J4352" s="24">
        <v>31.68</v>
      </c>
      <c r="K4352" s="21">
        <v>0</v>
      </c>
      <c r="L4352" s="21">
        <v>0</v>
      </c>
      <c r="M4352" s="21">
        <f>COUNTIF($A$2:$A$5481,A4352)</f>
        <v>1</v>
      </c>
      <c r="N4352" s="24">
        <f t="shared" si="67"/>
        <v>31.6804352</v>
      </c>
    </row>
    <row r="4353" spans="1:14">
      <c r="A4353" s="21" t="s">
        <v>4037</v>
      </c>
      <c r="B4353" s="21" t="s">
        <v>26</v>
      </c>
      <c r="C4353" s="21" t="s">
        <v>641</v>
      </c>
      <c r="D4353" s="21" t="s">
        <v>921</v>
      </c>
      <c r="E4353" s="21">
        <v>1</v>
      </c>
      <c r="F4353" s="22">
        <v>45576.4718865741</v>
      </c>
      <c r="G4353" s="22"/>
      <c r="H4353" s="23">
        <v>17.8</v>
      </c>
      <c r="I4353" s="23">
        <v>17.8</v>
      </c>
      <c r="J4353" s="24">
        <v>17.8</v>
      </c>
      <c r="K4353" s="21">
        <v>0</v>
      </c>
      <c r="L4353" s="21">
        <v>0</v>
      </c>
      <c r="M4353" s="21">
        <f>COUNTIF($A$2:$A$5481,A4353)</f>
        <v>1</v>
      </c>
      <c r="N4353" s="24">
        <f t="shared" si="67"/>
        <v>17.8004353</v>
      </c>
    </row>
    <row r="4354" spans="1:14">
      <c r="A4354" s="21" t="s">
        <v>4038</v>
      </c>
      <c r="B4354" s="21" t="s">
        <v>920</v>
      </c>
      <c r="C4354" s="21" t="s">
        <v>26</v>
      </c>
      <c r="D4354" s="21" t="s">
        <v>921</v>
      </c>
      <c r="E4354" s="21">
        <v>8</v>
      </c>
      <c r="F4354" s="22">
        <v>45568.3607638889</v>
      </c>
      <c r="G4354" s="22">
        <v>45582.4035532407</v>
      </c>
      <c r="H4354" s="23">
        <v>94.86</v>
      </c>
      <c r="I4354" s="23">
        <v>15.81</v>
      </c>
      <c r="J4354" s="24">
        <v>126.48</v>
      </c>
      <c r="K4354" s="21">
        <v>0</v>
      </c>
      <c r="L4354" s="21">
        <v>0</v>
      </c>
      <c r="M4354" s="21">
        <f>COUNTIF($A$2:$A$5481,A4354)</f>
        <v>1</v>
      </c>
      <c r="N4354" s="24">
        <f t="shared" ref="N4354:N4417" si="68">J4354+ROW()/10000000</f>
        <v>126.4804354</v>
      </c>
    </row>
    <row r="4355" spans="1:14">
      <c r="A4355" s="21" t="s">
        <v>522</v>
      </c>
      <c r="B4355" s="21" t="s">
        <v>920</v>
      </c>
      <c r="C4355" s="21" t="s">
        <v>26</v>
      </c>
      <c r="D4355" s="21" t="s">
        <v>921</v>
      </c>
      <c r="E4355" s="21">
        <v>2</v>
      </c>
      <c r="F4355" s="22">
        <v>45775.4221180556</v>
      </c>
      <c r="G4355" s="22">
        <v>46244.684837963</v>
      </c>
      <c r="H4355" s="23">
        <v>90</v>
      </c>
      <c r="I4355" s="23">
        <v>30</v>
      </c>
      <c r="J4355" s="24">
        <v>60</v>
      </c>
      <c r="K4355" s="21">
        <v>0</v>
      </c>
      <c r="L4355" s="21">
        <v>0</v>
      </c>
      <c r="M4355" s="21">
        <f>COUNTIF($A$2:$A$5481,A4355)</f>
        <v>2</v>
      </c>
      <c r="N4355" s="24">
        <f t="shared" si="68"/>
        <v>60.0004355</v>
      </c>
    </row>
    <row r="4356" spans="1:14">
      <c r="A4356" s="21" t="s">
        <v>522</v>
      </c>
      <c r="B4356" s="21" t="s">
        <v>920</v>
      </c>
      <c r="C4356" s="21" t="s">
        <v>35</v>
      </c>
      <c r="D4356" s="21" t="s">
        <v>921</v>
      </c>
      <c r="E4356" s="21">
        <v>1</v>
      </c>
      <c r="F4356" s="22">
        <v>46260.4958333333</v>
      </c>
      <c r="G4356" s="22"/>
      <c r="H4356" s="23">
        <v>25</v>
      </c>
      <c r="I4356" s="23">
        <v>25</v>
      </c>
      <c r="J4356" s="24">
        <v>25</v>
      </c>
      <c r="K4356" s="21">
        <v>0</v>
      </c>
      <c r="L4356" s="21">
        <v>0</v>
      </c>
      <c r="M4356" s="21">
        <f>COUNTIF($A$2:$A$5481,A4356)</f>
        <v>2</v>
      </c>
      <c r="N4356" s="24">
        <f t="shared" si="68"/>
        <v>25.0004356</v>
      </c>
    </row>
    <row r="4357" spans="1:14">
      <c r="A4357" s="21" t="s">
        <v>4039</v>
      </c>
      <c r="B4357" s="21" t="s">
        <v>920</v>
      </c>
      <c r="C4357" s="21" t="s">
        <v>35</v>
      </c>
      <c r="D4357" s="21" t="s">
        <v>921</v>
      </c>
      <c r="E4357" s="21">
        <v>6</v>
      </c>
      <c r="F4357" s="22">
        <v>45355.6011458333</v>
      </c>
      <c r="G4357" s="22"/>
      <c r="H4357" s="23">
        <v>120</v>
      </c>
      <c r="I4357" s="23">
        <v>20</v>
      </c>
      <c r="J4357" s="24">
        <v>120</v>
      </c>
      <c r="K4357" s="21">
        <v>0</v>
      </c>
      <c r="L4357" s="21">
        <v>0</v>
      </c>
      <c r="M4357" s="21">
        <f>COUNTIF($A$2:$A$5481,A4357)</f>
        <v>1</v>
      </c>
      <c r="N4357" s="24">
        <f t="shared" si="68"/>
        <v>120.0004357</v>
      </c>
    </row>
    <row r="4358" spans="1:14">
      <c r="A4358" s="21" t="s">
        <v>4040</v>
      </c>
      <c r="B4358" s="21" t="s">
        <v>26</v>
      </c>
      <c r="C4358" s="21" t="s">
        <v>26</v>
      </c>
      <c r="D4358" s="21" t="s">
        <v>921</v>
      </c>
      <c r="E4358" s="21">
        <v>2</v>
      </c>
      <c r="F4358" s="22">
        <v>45656.4667939815</v>
      </c>
      <c r="G4358" s="22"/>
      <c r="H4358" s="23">
        <v>37</v>
      </c>
      <c r="I4358" s="23">
        <v>18.5</v>
      </c>
      <c r="J4358" s="24">
        <v>37</v>
      </c>
      <c r="K4358" s="21">
        <v>0</v>
      </c>
      <c r="L4358" s="21">
        <v>0</v>
      </c>
      <c r="M4358" s="21">
        <f>COUNTIF($A$2:$A$5481,A4358)</f>
        <v>1</v>
      </c>
      <c r="N4358" s="24">
        <f t="shared" si="68"/>
        <v>37.0004358</v>
      </c>
    </row>
    <row r="4359" spans="1:14">
      <c r="A4359" s="21" t="s">
        <v>4041</v>
      </c>
      <c r="B4359" s="21" t="s">
        <v>920</v>
      </c>
      <c r="C4359" s="21" t="s">
        <v>35</v>
      </c>
      <c r="D4359" s="21" t="s">
        <v>931</v>
      </c>
      <c r="E4359" s="21">
        <v>1</v>
      </c>
      <c r="F4359" s="22">
        <v>45433.3762384259</v>
      </c>
      <c r="G4359" s="22"/>
      <c r="H4359" s="23">
        <v>199.9</v>
      </c>
      <c r="I4359" s="23">
        <v>199.9</v>
      </c>
      <c r="J4359" s="24">
        <v>199.9</v>
      </c>
      <c r="K4359" s="21">
        <v>0</v>
      </c>
      <c r="L4359" s="21">
        <v>0</v>
      </c>
      <c r="M4359" s="21">
        <f>COUNTIF($A$2:$A$5481,A4359)</f>
        <v>1</v>
      </c>
      <c r="N4359" s="24">
        <f t="shared" si="68"/>
        <v>199.9004359</v>
      </c>
    </row>
    <row r="4360" spans="1:14">
      <c r="A4360" s="21" t="s">
        <v>505</v>
      </c>
      <c r="B4360" s="21" t="s">
        <v>920</v>
      </c>
      <c r="C4360" s="21" t="s">
        <v>26</v>
      </c>
      <c r="D4360" s="21" t="s">
        <v>931</v>
      </c>
      <c r="E4360" s="21">
        <v>4</v>
      </c>
      <c r="F4360" s="22">
        <v>45950.5730671296</v>
      </c>
      <c r="G4360" s="22">
        <v>46268.4347569444</v>
      </c>
      <c r="H4360" s="23">
        <v>144</v>
      </c>
      <c r="I4360" s="23">
        <v>48</v>
      </c>
      <c r="J4360" s="24">
        <v>192</v>
      </c>
      <c r="K4360" s="21">
        <v>0</v>
      </c>
      <c r="L4360" s="21">
        <v>0</v>
      </c>
      <c r="M4360" s="21">
        <f>COUNTIF($A$2:$A$5481,A4360)</f>
        <v>1</v>
      </c>
      <c r="N4360" s="24">
        <f t="shared" si="68"/>
        <v>192.000436</v>
      </c>
    </row>
    <row r="4361" spans="1:14">
      <c r="A4361" s="21" t="s">
        <v>4042</v>
      </c>
      <c r="B4361" s="21" t="s">
        <v>948</v>
      </c>
      <c r="C4361" s="21" t="s">
        <v>26</v>
      </c>
      <c r="D4361" s="21" t="s">
        <v>921</v>
      </c>
      <c r="E4361" s="21">
        <v>2</v>
      </c>
      <c r="F4361" s="22">
        <v>45924.3847222222</v>
      </c>
      <c r="G4361" s="22"/>
      <c r="H4361" s="23">
        <v>120</v>
      </c>
      <c r="I4361" s="23">
        <v>60</v>
      </c>
      <c r="J4361" s="24">
        <v>120</v>
      </c>
      <c r="K4361" s="21">
        <v>0</v>
      </c>
      <c r="L4361" s="21">
        <v>0</v>
      </c>
      <c r="M4361" s="21">
        <f>COUNTIF($A$2:$A$5481,A4361)</f>
        <v>1</v>
      </c>
      <c r="N4361" s="24">
        <f t="shared" si="68"/>
        <v>120.0004361</v>
      </c>
    </row>
    <row r="4362" spans="1:14">
      <c r="A4362" s="21" t="s">
        <v>4043</v>
      </c>
      <c r="B4362" s="21" t="s">
        <v>1115</v>
      </c>
      <c r="C4362" s="21" t="s">
        <v>783</v>
      </c>
      <c r="D4362" s="21" t="s">
        <v>921</v>
      </c>
      <c r="E4362" s="21">
        <v>16</v>
      </c>
      <c r="F4362" s="22">
        <v>45915.6477083333</v>
      </c>
      <c r="G4362" s="22"/>
      <c r="H4362" s="23">
        <v>1262.4</v>
      </c>
      <c r="I4362" s="23">
        <v>78.9</v>
      </c>
      <c r="J4362" s="24">
        <v>1262.4</v>
      </c>
      <c r="K4362" s="21">
        <v>0</v>
      </c>
      <c r="L4362" s="21">
        <v>0</v>
      </c>
      <c r="M4362" s="21">
        <f>COUNTIF($A$2:$A$5481,A4362)</f>
        <v>1</v>
      </c>
      <c r="N4362" s="24">
        <f t="shared" si="68"/>
        <v>1262.4004362</v>
      </c>
    </row>
    <row r="4363" spans="1:14">
      <c r="A4363" s="21" t="s">
        <v>4044</v>
      </c>
      <c r="B4363" s="21" t="s">
        <v>1115</v>
      </c>
      <c r="C4363" s="21" t="s">
        <v>38</v>
      </c>
      <c r="D4363" s="21" t="s">
        <v>921</v>
      </c>
      <c r="E4363" s="21">
        <v>14</v>
      </c>
      <c r="F4363" s="22">
        <v>45915.6477083333</v>
      </c>
      <c r="G4363" s="22"/>
      <c r="H4363" s="23">
        <v>1104.6</v>
      </c>
      <c r="I4363" s="23">
        <v>78.9</v>
      </c>
      <c r="J4363" s="24">
        <v>1104.6</v>
      </c>
      <c r="K4363" s="21">
        <v>0</v>
      </c>
      <c r="L4363" s="21">
        <v>0</v>
      </c>
      <c r="M4363" s="21">
        <f>COUNTIF($A$2:$A$5481,A4363)</f>
        <v>1</v>
      </c>
      <c r="N4363" s="24">
        <f t="shared" si="68"/>
        <v>1104.6004363</v>
      </c>
    </row>
    <row r="4364" spans="1:14">
      <c r="A4364" s="21" t="s">
        <v>4045</v>
      </c>
      <c r="B4364" s="21" t="s">
        <v>1115</v>
      </c>
      <c r="C4364" s="21" t="s">
        <v>51</v>
      </c>
      <c r="D4364" s="21" t="s">
        <v>921</v>
      </c>
      <c r="E4364" s="21">
        <v>6</v>
      </c>
      <c r="F4364" s="22">
        <v>45925.5746875</v>
      </c>
      <c r="G4364" s="22"/>
      <c r="H4364" s="23">
        <v>761.4</v>
      </c>
      <c r="I4364" s="23">
        <v>126.9</v>
      </c>
      <c r="J4364" s="24">
        <v>761.4</v>
      </c>
      <c r="K4364" s="21">
        <v>0</v>
      </c>
      <c r="L4364" s="21">
        <v>0</v>
      </c>
      <c r="M4364" s="21">
        <f>COUNTIF($A$2:$A$5481,A4364)</f>
        <v>1</v>
      </c>
      <c r="N4364" s="24">
        <f t="shared" si="68"/>
        <v>761.4004364</v>
      </c>
    </row>
    <row r="4365" spans="1:14">
      <c r="A4365" s="21" t="s">
        <v>4046</v>
      </c>
      <c r="B4365" s="21" t="s">
        <v>1115</v>
      </c>
      <c r="C4365" s="21" t="s">
        <v>51</v>
      </c>
      <c r="D4365" s="21" t="s">
        <v>921</v>
      </c>
      <c r="E4365" s="21">
        <v>4</v>
      </c>
      <c r="F4365" s="22">
        <v>45925.5746875</v>
      </c>
      <c r="G4365" s="22"/>
      <c r="H4365" s="23">
        <v>507.6</v>
      </c>
      <c r="I4365" s="23">
        <v>126.9</v>
      </c>
      <c r="J4365" s="24">
        <v>507.6</v>
      </c>
      <c r="K4365" s="21">
        <v>0</v>
      </c>
      <c r="L4365" s="21">
        <v>0</v>
      </c>
      <c r="M4365" s="21">
        <f>COUNTIF($A$2:$A$5481,A4365)</f>
        <v>1</v>
      </c>
      <c r="N4365" s="24">
        <f t="shared" si="68"/>
        <v>507.6004365</v>
      </c>
    </row>
    <row r="4366" spans="1:14">
      <c r="A4366" s="21" t="s">
        <v>864</v>
      </c>
      <c r="B4366" s="21" t="s">
        <v>26</v>
      </c>
      <c r="C4366" s="21" t="s">
        <v>26</v>
      </c>
      <c r="D4366" s="21" t="s">
        <v>921</v>
      </c>
      <c r="E4366" s="21">
        <v>19</v>
      </c>
      <c r="F4366" s="22">
        <v>45576.4442708333</v>
      </c>
      <c r="G4366" s="22">
        <v>46268.6375</v>
      </c>
      <c r="H4366" s="23">
        <v>1360</v>
      </c>
      <c r="I4366" s="23">
        <v>68</v>
      </c>
      <c r="J4366" s="24">
        <v>1292</v>
      </c>
      <c r="K4366" s="21">
        <v>0</v>
      </c>
      <c r="L4366" s="21">
        <v>0</v>
      </c>
      <c r="M4366" s="21">
        <f>COUNTIF($A$2:$A$5481,A4366)</f>
        <v>2</v>
      </c>
      <c r="N4366" s="24">
        <f t="shared" si="68"/>
        <v>1292.0004366</v>
      </c>
    </row>
    <row r="4367" spans="1:14">
      <c r="A4367" s="21" t="s">
        <v>864</v>
      </c>
      <c r="B4367" s="21" t="s">
        <v>26</v>
      </c>
      <c r="C4367" s="21" t="s">
        <v>783</v>
      </c>
      <c r="D4367" s="21" t="s">
        <v>921</v>
      </c>
      <c r="E4367" s="21">
        <v>39</v>
      </c>
      <c r="F4367" s="22">
        <v>45800.4188657407</v>
      </c>
      <c r="G4367" s="22">
        <v>45439.8369444445</v>
      </c>
      <c r="H4367" s="23">
        <v>2040</v>
      </c>
      <c r="I4367" s="23">
        <v>68.43956</v>
      </c>
      <c r="J4367" s="24">
        <v>2669.16</v>
      </c>
      <c r="K4367" s="21">
        <v>0</v>
      </c>
      <c r="L4367" s="21">
        <v>0</v>
      </c>
      <c r="M4367" s="21">
        <f>COUNTIF($A$2:$A$5481,A4367)</f>
        <v>2</v>
      </c>
      <c r="N4367" s="24">
        <f t="shared" si="68"/>
        <v>2669.1604367</v>
      </c>
    </row>
    <row r="4368" spans="1:14">
      <c r="A4368" s="21" t="s">
        <v>4047</v>
      </c>
      <c r="B4368" s="21" t="s">
        <v>26</v>
      </c>
      <c r="C4368" s="21" t="s">
        <v>26</v>
      </c>
      <c r="D4368" s="21" t="s">
        <v>921</v>
      </c>
      <c r="E4368" s="21">
        <v>16</v>
      </c>
      <c r="F4368" s="22">
        <v>45576.4442708333</v>
      </c>
      <c r="G4368" s="22">
        <v>45894.3757060185</v>
      </c>
      <c r="H4368" s="23">
        <v>680</v>
      </c>
      <c r="I4368" s="23">
        <v>68</v>
      </c>
      <c r="J4368" s="24">
        <v>1088</v>
      </c>
      <c r="K4368" s="21">
        <v>0</v>
      </c>
      <c r="L4368" s="21">
        <v>0</v>
      </c>
      <c r="M4368" s="21">
        <f>COUNTIF($A$2:$A$5481,A4368)</f>
        <v>2</v>
      </c>
      <c r="N4368" s="24">
        <f t="shared" si="68"/>
        <v>1088.0004368</v>
      </c>
    </row>
    <row r="4369" spans="1:14">
      <c r="A4369" s="21" t="s">
        <v>4047</v>
      </c>
      <c r="B4369" s="21" t="s">
        <v>26</v>
      </c>
      <c r="C4369" s="21" t="s">
        <v>783</v>
      </c>
      <c r="D4369" s="21" t="s">
        <v>921</v>
      </c>
      <c r="E4369" s="21">
        <v>20</v>
      </c>
      <c r="F4369" s="22">
        <v>45800.4188657407</v>
      </c>
      <c r="G4369" s="22">
        <v>45366.4394444445</v>
      </c>
      <c r="H4369" s="23">
        <v>1360</v>
      </c>
      <c r="I4369" s="23">
        <v>68</v>
      </c>
      <c r="J4369" s="24">
        <v>1360</v>
      </c>
      <c r="K4369" s="21">
        <v>0</v>
      </c>
      <c r="L4369" s="21">
        <v>0</v>
      </c>
      <c r="M4369" s="21">
        <f>COUNTIF($A$2:$A$5481,A4369)</f>
        <v>2</v>
      </c>
      <c r="N4369" s="24">
        <f t="shared" si="68"/>
        <v>1360.0004369</v>
      </c>
    </row>
    <row r="4370" spans="1:14">
      <c r="A4370" s="21" t="s">
        <v>4048</v>
      </c>
      <c r="B4370" s="21" t="s">
        <v>26</v>
      </c>
      <c r="C4370" s="21" t="s">
        <v>26</v>
      </c>
      <c r="D4370" s="21" t="s">
        <v>921</v>
      </c>
      <c r="E4370" s="21">
        <v>17</v>
      </c>
      <c r="F4370" s="22">
        <v>45576.4442708333</v>
      </c>
      <c r="G4370" s="22">
        <v>45792.4238310185</v>
      </c>
      <c r="H4370" s="23">
        <v>1360</v>
      </c>
      <c r="I4370" s="23">
        <v>68</v>
      </c>
      <c r="J4370" s="24">
        <v>1156</v>
      </c>
      <c r="K4370" s="21">
        <v>0</v>
      </c>
      <c r="L4370" s="21">
        <v>0</v>
      </c>
      <c r="M4370" s="21">
        <f>COUNTIF($A$2:$A$5481,A4370)</f>
        <v>2</v>
      </c>
      <c r="N4370" s="24">
        <f t="shared" si="68"/>
        <v>1156.000437</v>
      </c>
    </row>
    <row r="4371" spans="1:14">
      <c r="A4371" s="21" t="s">
        <v>4048</v>
      </c>
      <c r="B4371" s="21" t="s">
        <v>26</v>
      </c>
      <c r="C4371" s="21" t="s">
        <v>783</v>
      </c>
      <c r="D4371" s="21" t="s">
        <v>921</v>
      </c>
      <c r="E4371" s="21">
        <v>43</v>
      </c>
      <c r="F4371" s="22">
        <v>45800.4188657407</v>
      </c>
      <c r="G4371" s="22">
        <v>45579.7396990741</v>
      </c>
      <c r="H4371" s="23">
        <v>2040</v>
      </c>
      <c r="I4371" s="23">
        <v>68.51827</v>
      </c>
      <c r="J4371" s="24">
        <v>2946.36</v>
      </c>
      <c r="K4371" s="21">
        <v>0</v>
      </c>
      <c r="L4371" s="21">
        <v>0</v>
      </c>
      <c r="M4371" s="21">
        <f>COUNTIF($A$2:$A$5481,A4371)</f>
        <v>2</v>
      </c>
      <c r="N4371" s="24">
        <f t="shared" si="68"/>
        <v>2946.3604371</v>
      </c>
    </row>
    <row r="4372" spans="1:14">
      <c r="A4372" s="21" t="s">
        <v>4049</v>
      </c>
      <c r="B4372" s="21" t="s">
        <v>1115</v>
      </c>
      <c r="C4372" s="21" t="s">
        <v>26</v>
      </c>
      <c r="D4372" s="21" t="s">
        <v>921</v>
      </c>
      <c r="E4372" s="21">
        <v>10</v>
      </c>
      <c r="F4372" s="22">
        <v>45412.3813425926</v>
      </c>
      <c r="G4372" s="22"/>
      <c r="H4372" s="23">
        <v>680</v>
      </c>
      <c r="I4372" s="23">
        <v>68</v>
      </c>
      <c r="J4372" s="24">
        <v>680</v>
      </c>
      <c r="K4372" s="21">
        <v>0</v>
      </c>
      <c r="L4372" s="21">
        <v>0</v>
      </c>
      <c r="M4372" s="21">
        <f>COUNTIF($A$2:$A$5481,A4372)</f>
        <v>1</v>
      </c>
      <c r="N4372" s="24">
        <f t="shared" si="68"/>
        <v>680.0004372</v>
      </c>
    </row>
    <row r="4373" spans="1:14">
      <c r="A4373" s="21" t="s">
        <v>4050</v>
      </c>
      <c r="B4373" s="21" t="s">
        <v>948</v>
      </c>
      <c r="C4373" s="21" t="s">
        <v>26</v>
      </c>
      <c r="D4373" s="21" t="s">
        <v>921</v>
      </c>
      <c r="E4373" s="21">
        <v>2</v>
      </c>
      <c r="F4373" s="22">
        <v>45924.3847222222</v>
      </c>
      <c r="G4373" s="22"/>
      <c r="H4373" s="23">
        <v>120</v>
      </c>
      <c r="I4373" s="23">
        <v>60</v>
      </c>
      <c r="J4373" s="24">
        <v>120</v>
      </c>
      <c r="K4373" s="21">
        <v>0</v>
      </c>
      <c r="L4373" s="21">
        <v>0</v>
      </c>
      <c r="M4373" s="21">
        <f>COUNTIF($A$2:$A$5481,A4373)</f>
        <v>1</v>
      </c>
      <c r="N4373" s="24">
        <f t="shared" si="68"/>
        <v>120.0004373</v>
      </c>
    </row>
    <row r="4374" spans="1:14">
      <c r="A4374" s="21" t="s">
        <v>4051</v>
      </c>
      <c r="B4374" s="21" t="s">
        <v>948</v>
      </c>
      <c r="C4374" s="21" t="s">
        <v>783</v>
      </c>
      <c r="D4374" s="21" t="s">
        <v>921</v>
      </c>
      <c r="E4374" s="21">
        <v>2</v>
      </c>
      <c r="F4374" s="22">
        <v>45725.4101388889</v>
      </c>
      <c r="G4374" s="22"/>
      <c r="H4374" s="23">
        <v>130</v>
      </c>
      <c r="I4374" s="23">
        <v>65</v>
      </c>
      <c r="J4374" s="24">
        <v>130</v>
      </c>
      <c r="K4374" s="21">
        <v>0</v>
      </c>
      <c r="L4374" s="21">
        <v>0</v>
      </c>
      <c r="M4374" s="21">
        <f>COUNTIF($A$2:$A$5481,A4374)</f>
        <v>2</v>
      </c>
      <c r="N4374" s="24">
        <f t="shared" si="68"/>
        <v>130.0004374</v>
      </c>
    </row>
    <row r="4375" spans="1:14">
      <c r="A4375" s="21" t="s">
        <v>4051</v>
      </c>
      <c r="B4375" s="21" t="s">
        <v>948</v>
      </c>
      <c r="C4375" s="21" t="s">
        <v>26</v>
      </c>
      <c r="D4375" s="21" t="s">
        <v>921</v>
      </c>
      <c r="E4375" s="21">
        <v>2</v>
      </c>
      <c r="F4375" s="22">
        <v>45924.3847222222</v>
      </c>
      <c r="G4375" s="22"/>
      <c r="H4375" s="23">
        <v>120</v>
      </c>
      <c r="I4375" s="23">
        <v>60</v>
      </c>
      <c r="J4375" s="24">
        <v>120</v>
      </c>
      <c r="K4375" s="21">
        <v>0</v>
      </c>
      <c r="L4375" s="21">
        <v>0</v>
      </c>
      <c r="M4375" s="21">
        <f>COUNTIF($A$2:$A$5481,A4375)</f>
        <v>2</v>
      </c>
      <c r="N4375" s="24">
        <f t="shared" si="68"/>
        <v>120.0004375</v>
      </c>
    </row>
    <row r="4376" spans="1:14">
      <c r="A4376" s="21" t="s">
        <v>4052</v>
      </c>
      <c r="B4376" s="21" t="s">
        <v>948</v>
      </c>
      <c r="C4376" s="21" t="s">
        <v>783</v>
      </c>
      <c r="D4376" s="21" t="s">
        <v>921</v>
      </c>
      <c r="E4376" s="21">
        <v>2</v>
      </c>
      <c r="F4376" s="22">
        <v>45725.4101388889</v>
      </c>
      <c r="G4376" s="22"/>
      <c r="H4376" s="23">
        <v>130</v>
      </c>
      <c r="I4376" s="23">
        <v>65</v>
      </c>
      <c r="J4376" s="24">
        <v>130</v>
      </c>
      <c r="K4376" s="21">
        <v>0</v>
      </c>
      <c r="L4376" s="21">
        <v>0</v>
      </c>
      <c r="M4376" s="21">
        <f>COUNTIF($A$2:$A$5481,A4376)</f>
        <v>2</v>
      </c>
      <c r="N4376" s="24">
        <f t="shared" si="68"/>
        <v>130.0004376</v>
      </c>
    </row>
    <row r="4377" spans="1:14">
      <c r="A4377" s="21" t="s">
        <v>4052</v>
      </c>
      <c r="B4377" s="21" t="s">
        <v>948</v>
      </c>
      <c r="C4377" s="21" t="s">
        <v>26</v>
      </c>
      <c r="D4377" s="21" t="s">
        <v>921</v>
      </c>
      <c r="E4377" s="21">
        <v>2</v>
      </c>
      <c r="F4377" s="22">
        <v>45924.3847222222</v>
      </c>
      <c r="G4377" s="22"/>
      <c r="H4377" s="23">
        <v>120</v>
      </c>
      <c r="I4377" s="23">
        <v>60</v>
      </c>
      <c r="J4377" s="24">
        <v>120</v>
      </c>
      <c r="K4377" s="21">
        <v>0</v>
      </c>
      <c r="L4377" s="21">
        <v>0</v>
      </c>
      <c r="M4377" s="21">
        <f>COUNTIF($A$2:$A$5481,A4377)</f>
        <v>2</v>
      </c>
      <c r="N4377" s="24">
        <f t="shared" si="68"/>
        <v>120.0004377</v>
      </c>
    </row>
    <row r="4378" spans="1:14">
      <c r="A4378" s="21" t="s">
        <v>4053</v>
      </c>
      <c r="B4378" s="21" t="s">
        <v>948</v>
      </c>
      <c r="C4378" s="21" t="s">
        <v>783</v>
      </c>
      <c r="D4378" s="21" t="s">
        <v>921</v>
      </c>
      <c r="E4378" s="21">
        <v>2</v>
      </c>
      <c r="F4378" s="22">
        <v>45725.4101388889</v>
      </c>
      <c r="G4378" s="22"/>
      <c r="H4378" s="23">
        <v>130</v>
      </c>
      <c r="I4378" s="23">
        <v>65</v>
      </c>
      <c r="J4378" s="24">
        <v>130</v>
      </c>
      <c r="K4378" s="21">
        <v>0</v>
      </c>
      <c r="L4378" s="21">
        <v>0</v>
      </c>
      <c r="M4378" s="21">
        <f>COUNTIF($A$2:$A$5481,A4378)</f>
        <v>1</v>
      </c>
      <c r="N4378" s="24">
        <f t="shared" si="68"/>
        <v>130.0004378</v>
      </c>
    </row>
    <row r="4379" spans="1:14">
      <c r="A4379" s="21" t="s">
        <v>4054</v>
      </c>
      <c r="B4379" s="21" t="s">
        <v>26</v>
      </c>
      <c r="C4379" s="21" t="s">
        <v>26</v>
      </c>
      <c r="D4379" s="21" t="s">
        <v>921</v>
      </c>
      <c r="E4379" s="21">
        <v>6</v>
      </c>
      <c r="F4379" s="22">
        <v>45924.3847222222</v>
      </c>
      <c r="G4379" s="22"/>
      <c r="H4379" s="23">
        <v>360</v>
      </c>
      <c r="I4379" s="23">
        <v>60</v>
      </c>
      <c r="J4379" s="24">
        <v>360</v>
      </c>
      <c r="K4379" s="21">
        <v>0</v>
      </c>
      <c r="L4379" s="21">
        <v>0</v>
      </c>
      <c r="M4379" s="21">
        <f>COUNTIF($A$2:$A$5481,A4379)</f>
        <v>2</v>
      </c>
      <c r="N4379" s="24">
        <f t="shared" si="68"/>
        <v>360.0004379</v>
      </c>
    </row>
    <row r="4380" spans="1:14">
      <c r="A4380" s="21" t="s">
        <v>4054</v>
      </c>
      <c r="B4380" s="21" t="s">
        <v>26</v>
      </c>
      <c r="C4380" s="21" t="s">
        <v>783</v>
      </c>
      <c r="D4380" s="21" t="s">
        <v>921</v>
      </c>
      <c r="E4380" s="21">
        <v>20</v>
      </c>
      <c r="F4380" s="22">
        <v>46062.3783217593</v>
      </c>
      <c r="G4380" s="22"/>
      <c r="H4380" s="23">
        <v>1280</v>
      </c>
      <c r="I4380" s="23">
        <v>64</v>
      </c>
      <c r="J4380" s="24">
        <v>1280</v>
      </c>
      <c r="K4380" s="21">
        <v>0</v>
      </c>
      <c r="L4380" s="21">
        <v>0</v>
      </c>
      <c r="M4380" s="21">
        <f>COUNTIF($A$2:$A$5481,A4380)</f>
        <v>2</v>
      </c>
      <c r="N4380" s="24">
        <f t="shared" si="68"/>
        <v>1280.000438</v>
      </c>
    </row>
    <row r="4381" spans="1:14">
      <c r="A4381" s="21" t="s">
        <v>4055</v>
      </c>
      <c r="B4381" s="21" t="s">
        <v>26</v>
      </c>
      <c r="C4381" s="21" t="s">
        <v>26</v>
      </c>
      <c r="D4381" s="21" t="s">
        <v>921</v>
      </c>
      <c r="E4381" s="21">
        <v>10</v>
      </c>
      <c r="F4381" s="22">
        <v>45924.3847222222</v>
      </c>
      <c r="G4381" s="22"/>
      <c r="H4381" s="23">
        <v>600</v>
      </c>
      <c r="I4381" s="23">
        <v>60</v>
      </c>
      <c r="J4381" s="24">
        <v>600</v>
      </c>
      <c r="K4381" s="21">
        <v>0</v>
      </c>
      <c r="L4381" s="21">
        <v>0</v>
      </c>
      <c r="M4381" s="21">
        <f>COUNTIF($A$2:$A$5481,A4381)</f>
        <v>2</v>
      </c>
      <c r="N4381" s="24">
        <f t="shared" si="68"/>
        <v>600.0004381</v>
      </c>
    </row>
    <row r="4382" spans="1:14">
      <c r="A4382" s="21" t="s">
        <v>4055</v>
      </c>
      <c r="B4382" s="21" t="s">
        <v>26</v>
      </c>
      <c r="C4382" s="21" t="s">
        <v>783</v>
      </c>
      <c r="D4382" s="21" t="s">
        <v>921</v>
      </c>
      <c r="E4382" s="21">
        <v>20</v>
      </c>
      <c r="F4382" s="22">
        <v>46062.3783217593</v>
      </c>
      <c r="G4382" s="22"/>
      <c r="H4382" s="23">
        <v>1280</v>
      </c>
      <c r="I4382" s="23">
        <v>64</v>
      </c>
      <c r="J4382" s="24">
        <v>1280</v>
      </c>
      <c r="K4382" s="21">
        <v>0</v>
      </c>
      <c r="L4382" s="21">
        <v>0</v>
      </c>
      <c r="M4382" s="21">
        <f>COUNTIF($A$2:$A$5481,A4382)</f>
        <v>2</v>
      </c>
      <c r="N4382" s="24">
        <f t="shared" si="68"/>
        <v>1280.0004382</v>
      </c>
    </row>
    <row r="4383" spans="1:14">
      <c r="A4383" s="21" t="s">
        <v>4056</v>
      </c>
      <c r="B4383" s="21" t="s">
        <v>26</v>
      </c>
      <c r="C4383" s="21" t="s">
        <v>26</v>
      </c>
      <c r="D4383" s="21" t="s">
        <v>921</v>
      </c>
      <c r="E4383" s="21">
        <v>14</v>
      </c>
      <c r="F4383" s="22">
        <v>45924.3847222222</v>
      </c>
      <c r="G4383" s="22"/>
      <c r="H4383" s="23">
        <v>840</v>
      </c>
      <c r="I4383" s="23">
        <v>60</v>
      </c>
      <c r="J4383" s="24">
        <v>840</v>
      </c>
      <c r="K4383" s="21">
        <v>0</v>
      </c>
      <c r="L4383" s="21">
        <v>0</v>
      </c>
      <c r="M4383" s="21">
        <f>COUNTIF($A$2:$A$5481,A4383)</f>
        <v>2</v>
      </c>
      <c r="N4383" s="24">
        <f t="shared" si="68"/>
        <v>840.0004383</v>
      </c>
    </row>
    <row r="4384" spans="1:14">
      <c r="A4384" s="21" t="s">
        <v>4056</v>
      </c>
      <c r="B4384" s="21" t="s">
        <v>26</v>
      </c>
      <c r="C4384" s="21" t="s">
        <v>783</v>
      </c>
      <c r="D4384" s="21" t="s">
        <v>921</v>
      </c>
      <c r="E4384" s="21">
        <v>20</v>
      </c>
      <c r="F4384" s="22">
        <v>46062.3783217593</v>
      </c>
      <c r="G4384" s="22"/>
      <c r="H4384" s="23">
        <v>1280</v>
      </c>
      <c r="I4384" s="23">
        <v>64</v>
      </c>
      <c r="J4384" s="24">
        <v>1280</v>
      </c>
      <c r="K4384" s="21">
        <v>0</v>
      </c>
      <c r="L4384" s="21">
        <v>0</v>
      </c>
      <c r="M4384" s="21">
        <f>COUNTIF($A$2:$A$5481,A4384)</f>
        <v>2</v>
      </c>
      <c r="N4384" s="24">
        <f t="shared" si="68"/>
        <v>1280.0004384</v>
      </c>
    </row>
    <row r="4385" spans="1:14">
      <c r="A4385" s="21" t="s">
        <v>4057</v>
      </c>
      <c r="B4385" s="21" t="s">
        <v>26</v>
      </c>
      <c r="C4385" s="21" t="s">
        <v>26</v>
      </c>
      <c r="D4385" s="21" t="s">
        <v>921</v>
      </c>
      <c r="E4385" s="21">
        <v>11</v>
      </c>
      <c r="F4385" s="22">
        <v>45924.3847222222</v>
      </c>
      <c r="G4385" s="22"/>
      <c r="H4385" s="23">
        <v>715</v>
      </c>
      <c r="I4385" s="23">
        <v>65</v>
      </c>
      <c r="J4385" s="24">
        <v>715</v>
      </c>
      <c r="K4385" s="21">
        <v>0</v>
      </c>
      <c r="L4385" s="21">
        <v>0</v>
      </c>
      <c r="M4385" s="21">
        <f>COUNTIF($A$2:$A$5481,A4385)</f>
        <v>1</v>
      </c>
      <c r="N4385" s="24">
        <f t="shared" si="68"/>
        <v>715.0004385</v>
      </c>
    </row>
    <row r="4386" spans="1:14">
      <c r="A4386" s="21" t="s">
        <v>4058</v>
      </c>
      <c r="B4386" s="21" t="s">
        <v>26</v>
      </c>
      <c r="C4386" s="21" t="s">
        <v>783</v>
      </c>
      <c r="D4386" s="21" t="s">
        <v>921</v>
      </c>
      <c r="E4386" s="21">
        <v>2</v>
      </c>
      <c r="F4386" s="22">
        <v>45308.6166666667</v>
      </c>
      <c r="G4386" s="22">
        <v>45531.3910300926</v>
      </c>
      <c r="H4386" s="23">
        <v>240</v>
      </c>
      <c r="I4386" s="23">
        <v>60</v>
      </c>
      <c r="J4386" s="24">
        <v>120</v>
      </c>
      <c r="K4386" s="21">
        <v>0</v>
      </c>
      <c r="L4386" s="21">
        <v>0</v>
      </c>
      <c r="M4386" s="21">
        <f>COUNTIF($A$2:$A$5481,A4386)</f>
        <v>2</v>
      </c>
      <c r="N4386" s="24">
        <f t="shared" si="68"/>
        <v>120.0004386</v>
      </c>
    </row>
    <row r="4387" spans="1:14">
      <c r="A4387" s="21" t="s">
        <v>4058</v>
      </c>
      <c r="B4387" s="21" t="s">
        <v>26</v>
      </c>
      <c r="C4387" s="21" t="s">
        <v>26</v>
      </c>
      <c r="D4387" s="21" t="s">
        <v>921</v>
      </c>
      <c r="E4387" s="21">
        <v>29</v>
      </c>
      <c r="F4387" s="22">
        <v>45701.5293865741</v>
      </c>
      <c r="G4387" s="22">
        <v>45790.4280439815</v>
      </c>
      <c r="H4387" s="23">
        <v>2040</v>
      </c>
      <c r="I4387" s="23">
        <v>68</v>
      </c>
      <c r="J4387" s="24">
        <v>1972</v>
      </c>
      <c r="K4387" s="21">
        <v>0</v>
      </c>
      <c r="L4387" s="21">
        <v>0</v>
      </c>
      <c r="M4387" s="21">
        <f>COUNTIF($A$2:$A$5481,A4387)</f>
        <v>2</v>
      </c>
      <c r="N4387" s="24">
        <f t="shared" si="68"/>
        <v>1972.0004387</v>
      </c>
    </row>
    <row r="4388" spans="1:14">
      <c r="A4388" s="21" t="s">
        <v>4059</v>
      </c>
      <c r="B4388" s="21" t="s">
        <v>1115</v>
      </c>
      <c r="C4388" s="21" t="s">
        <v>51</v>
      </c>
      <c r="D4388" s="21" t="s">
        <v>921</v>
      </c>
      <c r="E4388" s="21">
        <v>60</v>
      </c>
      <c r="F4388" s="22">
        <v>46213.6402777778</v>
      </c>
      <c r="G4388" s="22"/>
      <c r="H4388" s="23">
        <v>3720</v>
      </c>
      <c r="I4388" s="23">
        <v>62</v>
      </c>
      <c r="J4388" s="24">
        <v>3720</v>
      </c>
      <c r="K4388" s="21">
        <v>0</v>
      </c>
      <c r="L4388" s="21">
        <v>0</v>
      </c>
      <c r="M4388" s="21">
        <f>COUNTIF($A$2:$A$5481,A4388)</f>
        <v>1</v>
      </c>
      <c r="N4388" s="24">
        <f t="shared" si="68"/>
        <v>3720.0004388</v>
      </c>
    </row>
    <row r="4389" spans="1:14">
      <c r="A4389" s="21" t="s">
        <v>4060</v>
      </c>
      <c r="B4389" s="21" t="s">
        <v>26</v>
      </c>
      <c r="C4389" s="21" t="s">
        <v>783</v>
      </c>
      <c r="D4389" s="21" t="s">
        <v>921</v>
      </c>
      <c r="E4389" s="21">
        <v>20</v>
      </c>
      <c r="F4389" s="22">
        <v>46062.3783217593</v>
      </c>
      <c r="G4389" s="22"/>
      <c r="H4389" s="23">
        <v>1280</v>
      </c>
      <c r="I4389" s="23">
        <v>64</v>
      </c>
      <c r="J4389" s="24">
        <v>1280</v>
      </c>
      <c r="K4389" s="21">
        <v>0</v>
      </c>
      <c r="L4389" s="21">
        <v>0</v>
      </c>
      <c r="M4389" s="21">
        <f>COUNTIF($A$2:$A$5481,A4389)</f>
        <v>1</v>
      </c>
      <c r="N4389" s="24">
        <f t="shared" si="68"/>
        <v>1280.0004389</v>
      </c>
    </row>
    <row r="4390" spans="1:14">
      <c r="A4390" s="21" t="s">
        <v>4061</v>
      </c>
      <c r="B4390" s="21" t="s">
        <v>26</v>
      </c>
      <c r="C4390" s="21" t="s">
        <v>783</v>
      </c>
      <c r="D4390" s="21" t="s">
        <v>921</v>
      </c>
      <c r="E4390" s="21">
        <v>5</v>
      </c>
      <c r="F4390" s="22">
        <v>45929.4255208333</v>
      </c>
      <c r="G4390" s="22"/>
      <c r="H4390" s="23">
        <v>300</v>
      </c>
      <c r="I4390" s="23">
        <v>60</v>
      </c>
      <c r="J4390" s="24">
        <v>300</v>
      </c>
      <c r="K4390" s="21">
        <v>0</v>
      </c>
      <c r="L4390" s="21">
        <v>0</v>
      </c>
      <c r="M4390" s="21">
        <f>COUNTIF($A$2:$A$5481,A4390)</f>
        <v>2</v>
      </c>
      <c r="N4390" s="24">
        <f t="shared" si="68"/>
        <v>300.000439</v>
      </c>
    </row>
    <row r="4391" spans="1:14">
      <c r="A4391" s="21" t="s">
        <v>4061</v>
      </c>
      <c r="B4391" s="21" t="s">
        <v>26</v>
      </c>
      <c r="C4391" s="21" t="s">
        <v>26</v>
      </c>
      <c r="D4391" s="21" t="s">
        <v>921</v>
      </c>
      <c r="E4391" s="21">
        <v>10</v>
      </c>
      <c r="F4391" s="22">
        <v>46169.6471064815</v>
      </c>
      <c r="G4391" s="22"/>
      <c r="H4391" s="23">
        <v>600</v>
      </c>
      <c r="I4391" s="23">
        <v>60</v>
      </c>
      <c r="J4391" s="24">
        <v>600</v>
      </c>
      <c r="K4391" s="21">
        <v>0</v>
      </c>
      <c r="L4391" s="21">
        <v>0</v>
      </c>
      <c r="M4391" s="21">
        <f>COUNTIF($A$2:$A$5481,A4391)</f>
        <v>2</v>
      </c>
      <c r="N4391" s="24">
        <f t="shared" si="68"/>
        <v>600.0004391</v>
      </c>
    </row>
    <row r="4392" spans="1:14">
      <c r="A4392" s="21" t="s">
        <v>874</v>
      </c>
      <c r="B4392" s="21" t="s">
        <v>26</v>
      </c>
      <c r="C4392" s="21" t="s">
        <v>783</v>
      </c>
      <c r="D4392" s="21" t="s">
        <v>921</v>
      </c>
      <c r="E4392" s="21">
        <v>3</v>
      </c>
      <c r="F4392" s="22">
        <v>45929.4255208333</v>
      </c>
      <c r="G4392" s="22">
        <v>46269.6259837963</v>
      </c>
      <c r="H4392" s="23">
        <v>300</v>
      </c>
      <c r="I4392" s="23">
        <v>60</v>
      </c>
      <c r="J4392" s="24">
        <v>180</v>
      </c>
      <c r="K4392" s="21">
        <v>0</v>
      </c>
      <c r="L4392" s="21">
        <v>0</v>
      </c>
      <c r="M4392" s="21">
        <f>COUNTIF($A$2:$A$5481,A4392)</f>
        <v>1</v>
      </c>
      <c r="N4392" s="24">
        <f t="shared" si="68"/>
        <v>180.0004392</v>
      </c>
    </row>
    <row r="4393" spans="1:14">
      <c r="A4393" s="21" t="s">
        <v>4062</v>
      </c>
      <c r="B4393" s="21" t="s">
        <v>26</v>
      </c>
      <c r="C4393" s="21" t="s">
        <v>783</v>
      </c>
      <c r="D4393" s="21" t="s">
        <v>921</v>
      </c>
      <c r="E4393" s="21">
        <v>10</v>
      </c>
      <c r="F4393" s="22">
        <v>45929.4255208333</v>
      </c>
      <c r="G4393" s="22"/>
      <c r="H4393" s="23">
        <v>600</v>
      </c>
      <c r="I4393" s="23">
        <v>60</v>
      </c>
      <c r="J4393" s="24">
        <v>600</v>
      </c>
      <c r="K4393" s="21">
        <v>0</v>
      </c>
      <c r="L4393" s="21">
        <v>0</v>
      </c>
      <c r="M4393" s="21">
        <f>COUNTIF($A$2:$A$5481,A4393)</f>
        <v>1</v>
      </c>
      <c r="N4393" s="24">
        <f t="shared" si="68"/>
        <v>600.0004393</v>
      </c>
    </row>
    <row r="4394" spans="1:14">
      <c r="A4394" s="21" t="s">
        <v>4063</v>
      </c>
      <c r="B4394" s="21" t="s">
        <v>1115</v>
      </c>
      <c r="C4394" s="21" t="s">
        <v>783</v>
      </c>
      <c r="D4394" s="21" t="s">
        <v>921</v>
      </c>
      <c r="E4394" s="21">
        <v>5</v>
      </c>
      <c r="F4394" s="22">
        <v>45725.4101388889</v>
      </c>
      <c r="G4394" s="22"/>
      <c r="H4394" s="23">
        <v>340</v>
      </c>
      <c r="I4394" s="23">
        <v>68</v>
      </c>
      <c r="J4394" s="24">
        <v>340</v>
      </c>
      <c r="K4394" s="21">
        <v>0</v>
      </c>
      <c r="L4394" s="21">
        <v>0</v>
      </c>
      <c r="M4394" s="21">
        <f>COUNTIF($A$2:$A$5481,A4394)</f>
        <v>3</v>
      </c>
      <c r="N4394" s="24">
        <f t="shared" si="68"/>
        <v>340.0004394</v>
      </c>
    </row>
    <row r="4395" spans="1:14">
      <c r="A4395" s="21" t="s">
        <v>4063</v>
      </c>
      <c r="B4395" s="21" t="s">
        <v>1115</v>
      </c>
      <c r="C4395" s="21" t="s">
        <v>26</v>
      </c>
      <c r="D4395" s="21" t="s">
        <v>921</v>
      </c>
      <c r="E4395" s="21">
        <v>6</v>
      </c>
      <c r="F4395" s="22">
        <v>45818.4666435185</v>
      </c>
      <c r="G4395" s="22"/>
      <c r="H4395" s="23">
        <v>408</v>
      </c>
      <c r="I4395" s="23">
        <v>68</v>
      </c>
      <c r="J4395" s="24">
        <v>408</v>
      </c>
      <c r="K4395" s="21">
        <v>0</v>
      </c>
      <c r="L4395" s="21">
        <v>0</v>
      </c>
      <c r="M4395" s="21">
        <f>COUNTIF($A$2:$A$5481,A4395)</f>
        <v>3</v>
      </c>
      <c r="N4395" s="24">
        <f t="shared" si="68"/>
        <v>408.0004395</v>
      </c>
    </row>
    <row r="4396" spans="1:14">
      <c r="A4396" s="21" t="s">
        <v>4063</v>
      </c>
      <c r="B4396" s="21" t="s">
        <v>1115</v>
      </c>
      <c r="C4396" s="21" t="s">
        <v>51</v>
      </c>
      <c r="D4396" s="21" t="s">
        <v>921</v>
      </c>
      <c r="E4396" s="21">
        <v>15</v>
      </c>
      <c r="F4396" s="22">
        <v>45929.4255208333</v>
      </c>
      <c r="G4396" s="22"/>
      <c r="H4396" s="23">
        <v>900</v>
      </c>
      <c r="I4396" s="23">
        <v>60</v>
      </c>
      <c r="J4396" s="24">
        <v>900</v>
      </c>
      <c r="K4396" s="21">
        <v>0</v>
      </c>
      <c r="L4396" s="21">
        <v>0</v>
      </c>
      <c r="M4396" s="21">
        <f>COUNTIF($A$2:$A$5481,A4396)</f>
        <v>3</v>
      </c>
      <c r="N4396" s="24">
        <f t="shared" si="68"/>
        <v>900.0004396</v>
      </c>
    </row>
    <row r="4397" spans="1:14">
      <c r="A4397" s="21" t="s">
        <v>4064</v>
      </c>
      <c r="B4397" s="21" t="s">
        <v>1115</v>
      </c>
      <c r="C4397" s="21" t="s">
        <v>26</v>
      </c>
      <c r="D4397" s="21" t="s">
        <v>921</v>
      </c>
      <c r="E4397" s="21">
        <v>20</v>
      </c>
      <c r="F4397" s="22">
        <v>45924.3847222222</v>
      </c>
      <c r="G4397" s="22"/>
      <c r="H4397" s="23">
        <v>1100</v>
      </c>
      <c r="I4397" s="23">
        <v>55</v>
      </c>
      <c r="J4397" s="24">
        <v>1100</v>
      </c>
      <c r="K4397" s="21">
        <v>0</v>
      </c>
      <c r="L4397" s="21">
        <v>0</v>
      </c>
      <c r="M4397" s="21">
        <f>COUNTIF($A$2:$A$5481,A4397)</f>
        <v>1</v>
      </c>
      <c r="N4397" s="24">
        <f t="shared" si="68"/>
        <v>1100.0004397</v>
      </c>
    </row>
    <row r="4398" spans="1:14">
      <c r="A4398" s="21" t="s">
        <v>4065</v>
      </c>
      <c r="B4398" s="21" t="s">
        <v>26</v>
      </c>
      <c r="C4398" s="21" t="s">
        <v>783</v>
      </c>
      <c r="D4398" s="21" t="s">
        <v>921</v>
      </c>
      <c r="E4398" s="21">
        <v>20</v>
      </c>
      <c r="F4398" s="22">
        <v>46062.3783217593</v>
      </c>
      <c r="G4398" s="22"/>
      <c r="H4398" s="23">
        <v>1280</v>
      </c>
      <c r="I4398" s="23">
        <v>64</v>
      </c>
      <c r="J4398" s="24">
        <v>1280</v>
      </c>
      <c r="K4398" s="21">
        <v>0</v>
      </c>
      <c r="L4398" s="21">
        <v>0</v>
      </c>
      <c r="M4398" s="21">
        <f>COUNTIF($A$2:$A$5481,A4398)</f>
        <v>1</v>
      </c>
      <c r="N4398" s="24">
        <f t="shared" si="68"/>
        <v>1280.0004398</v>
      </c>
    </row>
    <row r="4399" spans="1:14">
      <c r="A4399" s="21" t="s">
        <v>871</v>
      </c>
      <c r="B4399" s="21" t="s">
        <v>1115</v>
      </c>
      <c r="C4399" s="21" t="s">
        <v>26</v>
      </c>
      <c r="D4399" s="21" t="s">
        <v>921</v>
      </c>
      <c r="E4399" s="21">
        <v>19</v>
      </c>
      <c r="F4399" s="22">
        <v>45924.3847222222</v>
      </c>
      <c r="G4399" s="22">
        <v>46269.6130902778</v>
      </c>
      <c r="H4399" s="23">
        <v>550</v>
      </c>
      <c r="I4399" s="23">
        <v>61.5</v>
      </c>
      <c r="J4399" s="24">
        <v>1168.5</v>
      </c>
      <c r="K4399" s="21">
        <v>0</v>
      </c>
      <c r="L4399" s="21">
        <v>0</v>
      </c>
      <c r="M4399" s="21">
        <f>COUNTIF($A$2:$A$5481,A4399)</f>
        <v>3</v>
      </c>
      <c r="N4399" s="24">
        <f t="shared" si="68"/>
        <v>1168.5004399</v>
      </c>
    </row>
    <row r="4400" spans="1:14">
      <c r="A4400" s="21" t="s">
        <v>871</v>
      </c>
      <c r="B4400" s="21" t="s">
        <v>1115</v>
      </c>
      <c r="C4400" s="21" t="s">
        <v>51</v>
      </c>
      <c r="D4400" s="21" t="s">
        <v>921</v>
      </c>
      <c r="E4400" s="21">
        <v>10</v>
      </c>
      <c r="F4400" s="22">
        <v>45929.4255208333</v>
      </c>
      <c r="G4400" s="22"/>
      <c r="H4400" s="23">
        <v>600</v>
      </c>
      <c r="I4400" s="23">
        <v>60</v>
      </c>
      <c r="J4400" s="24">
        <v>600</v>
      </c>
      <c r="K4400" s="21">
        <v>0</v>
      </c>
      <c r="L4400" s="21">
        <v>0</v>
      </c>
      <c r="M4400" s="21">
        <f>COUNTIF($A$2:$A$5481,A4400)</f>
        <v>3</v>
      </c>
      <c r="N4400" s="24">
        <f t="shared" si="68"/>
        <v>600.00044</v>
      </c>
    </row>
    <row r="4401" spans="1:14">
      <c r="A4401" s="21" t="s">
        <v>871</v>
      </c>
      <c r="B4401" s="21" t="s">
        <v>1115</v>
      </c>
      <c r="C4401" s="21" t="s">
        <v>783</v>
      </c>
      <c r="D4401" s="21" t="s">
        <v>921</v>
      </c>
      <c r="E4401" s="21">
        <v>35</v>
      </c>
      <c r="F4401" s="22">
        <v>46062.3783217593</v>
      </c>
      <c r="G4401" s="22"/>
      <c r="H4401" s="23">
        <v>1920</v>
      </c>
      <c r="I4401" s="23">
        <v>64.5714285714</v>
      </c>
      <c r="J4401" s="24">
        <v>2259.95</v>
      </c>
      <c r="K4401" s="21">
        <v>0</v>
      </c>
      <c r="L4401" s="21">
        <v>0</v>
      </c>
      <c r="M4401" s="21">
        <f>COUNTIF($A$2:$A$5481,A4401)</f>
        <v>3</v>
      </c>
      <c r="N4401" s="24">
        <f t="shared" si="68"/>
        <v>2259.9504401</v>
      </c>
    </row>
    <row r="4402" spans="1:14">
      <c r="A4402" s="21" t="s">
        <v>4066</v>
      </c>
      <c r="B4402" s="21" t="s">
        <v>1115</v>
      </c>
      <c r="C4402" s="21" t="s">
        <v>26</v>
      </c>
      <c r="D4402" s="21" t="s">
        <v>2131</v>
      </c>
      <c r="E4402" s="21">
        <v>20</v>
      </c>
      <c r="F4402" s="22">
        <v>45924.3847222222</v>
      </c>
      <c r="G4402" s="22"/>
      <c r="H4402" s="23">
        <v>1100</v>
      </c>
      <c r="I4402" s="23">
        <v>55</v>
      </c>
      <c r="J4402" s="24">
        <v>1100</v>
      </c>
      <c r="K4402" s="21">
        <v>0</v>
      </c>
      <c r="L4402" s="21">
        <v>0</v>
      </c>
      <c r="M4402" s="21">
        <f>COUNTIF($A$2:$A$5481,A4402)</f>
        <v>3</v>
      </c>
      <c r="N4402" s="24">
        <f t="shared" si="68"/>
        <v>1100.0004402</v>
      </c>
    </row>
    <row r="4403" spans="1:14">
      <c r="A4403" s="21" t="s">
        <v>4066</v>
      </c>
      <c r="B4403" s="21" t="s">
        <v>1115</v>
      </c>
      <c r="C4403" s="21" t="s">
        <v>51</v>
      </c>
      <c r="D4403" s="21" t="s">
        <v>2131</v>
      </c>
      <c r="E4403" s="21">
        <v>20</v>
      </c>
      <c r="F4403" s="22">
        <v>45929.4255208333</v>
      </c>
      <c r="G4403" s="22"/>
      <c r="H4403" s="23">
        <v>1200</v>
      </c>
      <c r="I4403" s="23">
        <v>60</v>
      </c>
      <c r="J4403" s="24">
        <v>1200</v>
      </c>
      <c r="K4403" s="21">
        <v>0</v>
      </c>
      <c r="L4403" s="21">
        <v>0</v>
      </c>
      <c r="M4403" s="21">
        <f>COUNTIF($A$2:$A$5481,A4403)</f>
        <v>3</v>
      </c>
      <c r="N4403" s="24">
        <f t="shared" si="68"/>
        <v>1200.0004403</v>
      </c>
    </row>
    <row r="4404" spans="1:14">
      <c r="A4404" s="21" t="s">
        <v>4066</v>
      </c>
      <c r="B4404" s="21" t="s">
        <v>1115</v>
      </c>
      <c r="C4404" s="21" t="s">
        <v>783</v>
      </c>
      <c r="D4404" s="21" t="s">
        <v>2131</v>
      </c>
      <c r="E4404" s="21">
        <v>25</v>
      </c>
      <c r="F4404" s="22">
        <v>46062.3783217593</v>
      </c>
      <c r="G4404" s="22"/>
      <c r="H4404" s="23">
        <v>1280</v>
      </c>
      <c r="I4404" s="23">
        <v>64.8</v>
      </c>
      <c r="J4404" s="24">
        <v>1620</v>
      </c>
      <c r="K4404" s="21">
        <v>0</v>
      </c>
      <c r="L4404" s="21">
        <v>0</v>
      </c>
      <c r="M4404" s="21">
        <f>COUNTIF($A$2:$A$5481,A4404)</f>
        <v>3</v>
      </c>
      <c r="N4404" s="24">
        <f t="shared" si="68"/>
        <v>1620.0004404</v>
      </c>
    </row>
    <row r="4405" spans="1:14">
      <c r="A4405" s="21" t="s">
        <v>4067</v>
      </c>
      <c r="B4405" s="21" t="s">
        <v>1115</v>
      </c>
      <c r="C4405" s="21" t="s">
        <v>26</v>
      </c>
      <c r="D4405" s="21" t="s">
        <v>921</v>
      </c>
      <c r="E4405" s="21">
        <v>25</v>
      </c>
      <c r="F4405" s="22">
        <v>45924.3847222222</v>
      </c>
      <c r="G4405" s="22"/>
      <c r="H4405" s="23">
        <v>1100</v>
      </c>
      <c r="I4405" s="23">
        <v>57.6</v>
      </c>
      <c r="J4405" s="24">
        <v>1440</v>
      </c>
      <c r="K4405" s="21">
        <v>0</v>
      </c>
      <c r="L4405" s="21">
        <v>0</v>
      </c>
      <c r="M4405" s="21">
        <f>COUNTIF($A$2:$A$5481,A4405)</f>
        <v>3</v>
      </c>
      <c r="N4405" s="24">
        <f t="shared" si="68"/>
        <v>1440.0004405</v>
      </c>
    </row>
    <row r="4406" spans="1:14">
      <c r="A4406" s="21" t="s">
        <v>4067</v>
      </c>
      <c r="B4406" s="21" t="s">
        <v>1115</v>
      </c>
      <c r="C4406" s="21" t="s">
        <v>51</v>
      </c>
      <c r="D4406" s="21" t="s">
        <v>921</v>
      </c>
      <c r="E4406" s="21">
        <v>15</v>
      </c>
      <c r="F4406" s="22">
        <v>45929.4255208333</v>
      </c>
      <c r="G4406" s="22"/>
      <c r="H4406" s="23">
        <v>900</v>
      </c>
      <c r="I4406" s="23">
        <v>60</v>
      </c>
      <c r="J4406" s="24">
        <v>900</v>
      </c>
      <c r="K4406" s="21">
        <v>0</v>
      </c>
      <c r="L4406" s="21">
        <v>0</v>
      </c>
      <c r="M4406" s="21">
        <f>COUNTIF($A$2:$A$5481,A4406)</f>
        <v>3</v>
      </c>
      <c r="N4406" s="24">
        <f t="shared" si="68"/>
        <v>900.0004406</v>
      </c>
    </row>
    <row r="4407" spans="1:14">
      <c r="A4407" s="21" t="s">
        <v>4067</v>
      </c>
      <c r="B4407" s="21" t="s">
        <v>1115</v>
      </c>
      <c r="C4407" s="21" t="s">
        <v>783</v>
      </c>
      <c r="D4407" s="21" t="s">
        <v>921</v>
      </c>
      <c r="E4407" s="21">
        <v>35</v>
      </c>
      <c r="F4407" s="22">
        <v>46062.3783217593</v>
      </c>
      <c r="G4407" s="22"/>
      <c r="H4407" s="23">
        <v>1920</v>
      </c>
      <c r="I4407" s="23">
        <v>64.5714285714</v>
      </c>
      <c r="J4407" s="24">
        <v>2259.95</v>
      </c>
      <c r="K4407" s="21">
        <v>0</v>
      </c>
      <c r="L4407" s="21">
        <v>0</v>
      </c>
      <c r="M4407" s="21">
        <f>COUNTIF($A$2:$A$5481,A4407)</f>
        <v>3</v>
      </c>
      <c r="N4407" s="24">
        <f t="shared" si="68"/>
        <v>2259.9504407</v>
      </c>
    </row>
    <row r="4408" spans="1:14">
      <c r="A4408" s="21" t="s">
        <v>4068</v>
      </c>
      <c r="B4408" s="21" t="s">
        <v>1115</v>
      </c>
      <c r="C4408" s="21" t="s">
        <v>26</v>
      </c>
      <c r="D4408" s="21" t="s">
        <v>921</v>
      </c>
      <c r="E4408" s="21">
        <v>10</v>
      </c>
      <c r="F4408" s="22">
        <v>45924.3847222222</v>
      </c>
      <c r="G4408" s="22"/>
      <c r="H4408" s="23">
        <v>600</v>
      </c>
      <c r="I4408" s="23">
        <v>60</v>
      </c>
      <c r="J4408" s="24">
        <v>600</v>
      </c>
      <c r="K4408" s="21">
        <v>0</v>
      </c>
      <c r="L4408" s="21">
        <v>0</v>
      </c>
      <c r="M4408" s="21">
        <f>COUNTIF($A$2:$A$5481,A4408)</f>
        <v>1</v>
      </c>
      <c r="N4408" s="24">
        <f t="shared" si="68"/>
        <v>600.0004408</v>
      </c>
    </row>
    <row r="4409" spans="1:14">
      <c r="A4409" s="21" t="s">
        <v>886</v>
      </c>
      <c r="B4409" s="21" t="s">
        <v>1115</v>
      </c>
      <c r="C4409" s="21" t="s">
        <v>783</v>
      </c>
      <c r="D4409" s="21" t="s">
        <v>931</v>
      </c>
      <c r="E4409" s="21">
        <v>16</v>
      </c>
      <c r="F4409" s="22">
        <v>45800.4188657407</v>
      </c>
      <c r="G4409" s="22">
        <v>46273.7231828704</v>
      </c>
      <c r="H4409" s="23">
        <v>1360</v>
      </c>
      <c r="I4409" s="23">
        <v>68</v>
      </c>
      <c r="J4409" s="24">
        <v>1088</v>
      </c>
      <c r="K4409" s="21">
        <v>0</v>
      </c>
      <c r="L4409" s="21">
        <v>0</v>
      </c>
      <c r="M4409" s="21">
        <f>COUNTIF($A$2:$A$5481,A4409)</f>
        <v>1</v>
      </c>
      <c r="N4409" s="24">
        <f t="shared" si="68"/>
        <v>1088.0004409</v>
      </c>
    </row>
    <row r="4410" spans="1:14">
      <c r="A4410" s="21" t="s">
        <v>4069</v>
      </c>
      <c r="B4410" s="21" t="s">
        <v>1115</v>
      </c>
      <c r="C4410" s="21" t="s">
        <v>26</v>
      </c>
      <c r="D4410" s="21" t="s">
        <v>921</v>
      </c>
      <c r="E4410" s="21">
        <v>10</v>
      </c>
      <c r="F4410" s="22">
        <v>45924.3847222222</v>
      </c>
      <c r="G4410" s="22"/>
      <c r="H4410" s="23">
        <v>600</v>
      </c>
      <c r="I4410" s="23">
        <v>60</v>
      </c>
      <c r="J4410" s="24">
        <v>600</v>
      </c>
      <c r="K4410" s="21">
        <v>0</v>
      </c>
      <c r="L4410" s="21">
        <v>0</v>
      </c>
      <c r="M4410" s="21">
        <f>COUNTIF($A$2:$A$5481,A4410)</f>
        <v>1</v>
      </c>
      <c r="N4410" s="24">
        <f t="shared" si="68"/>
        <v>600.000441</v>
      </c>
    </row>
    <row r="4411" spans="1:14">
      <c r="A4411" s="21" t="s">
        <v>4070</v>
      </c>
      <c r="B4411" s="21" t="s">
        <v>26</v>
      </c>
      <c r="C4411" s="21" t="s">
        <v>26</v>
      </c>
      <c r="D4411" s="21" t="s">
        <v>921</v>
      </c>
      <c r="E4411" s="21">
        <v>0</v>
      </c>
      <c r="F4411" s="22">
        <v>45664.4702083333</v>
      </c>
      <c r="G4411" s="22">
        <v>45666.4853935185</v>
      </c>
      <c r="H4411" s="23">
        <v>25</v>
      </c>
      <c r="I4411" s="23">
        <v>0</v>
      </c>
      <c r="J4411" s="24">
        <v>0</v>
      </c>
      <c r="K4411" s="21">
        <v>0</v>
      </c>
      <c r="L4411" s="21">
        <v>0</v>
      </c>
      <c r="M4411" s="21">
        <f>COUNTIF($A$2:$A$5481,A4411)</f>
        <v>1</v>
      </c>
      <c r="N4411" s="24">
        <f t="shared" si="68"/>
        <v>0.0004411</v>
      </c>
    </row>
    <row r="4412" spans="1:14">
      <c r="A4412" s="21" t="s">
        <v>4071</v>
      </c>
      <c r="B4412" s="21" t="s">
        <v>920</v>
      </c>
      <c r="C4412" s="21" t="s">
        <v>26</v>
      </c>
      <c r="D4412" s="21" t="s">
        <v>921</v>
      </c>
      <c r="E4412" s="21">
        <v>1</v>
      </c>
      <c r="F4412" s="22">
        <v>46117.5256944444</v>
      </c>
      <c r="G4412" s="22"/>
      <c r="H4412" s="23">
        <v>55.99</v>
      </c>
      <c r="I4412" s="23">
        <v>55.99</v>
      </c>
      <c r="J4412" s="24">
        <v>55.99</v>
      </c>
      <c r="K4412" s="21">
        <v>0</v>
      </c>
      <c r="L4412" s="21">
        <v>0</v>
      </c>
      <c r="M4412" s="21">
        <f>COUNTIF($A$2:$A$5481,A4412)</f>
        <v>1</v>
      </c>
      <c r="N4412" s="24">
        <f t="shared" si="68"/>
        <v>55.9904412</v>
      </c>
    </row>
    <row r="4413" spans="1:14">
      <c r="A4413" s="21" t="s">
        <v>4072</v>
      </c>
      <c r="B4413" s="21" t="s">
        <v>920</v>
      </c>
      <c r="C4413" s="21" t="s">
        <v>35</v>
      </c>
      <c r="D4413" s="21" t="s">
        <v>921</v>
      </c>
      <c r="E4413" s="21">
        <v>7</v>
      </c>
      <c r="F4413" s="22">
        <v>45349.8000925926</v>
      </c>
      <c r="G4413" s="22">
        <v>45603.4411226852</v>
      </c>
      <c r="H4413" s="23">
        <v>130</v>
      </c>
      <c r="I4413" s="23">
        <v>13</v>
      </c>
      <c r="J4413" s="24">
        <v>91</v>
      </c>
      <c r="K4413" s="21">
        <v>1</v>
      </c>
      <c r="L4413" s="21">
        <v>50</v>
      </c>
      <c r="M4413" s="21">
        <f>COUNTIF($A$2:$A$5481,A4413)</f>
        <v>2</v>
      </c>
      <c r="N4413" s="24">
        <f t="shared" si="68"/>
        <v>91.0004413</v>
      </c>
    </row>
    <row r="4414" spans="1:14">
      <c r="A4414" s="21" t="s">
        <v>4072</v>
      </c>
      <c r="B4414" s="21" t="s">
        <v>920</v>
      </c>
      <c r="C4414" s="21" t="s">
        <v>26</v>
      </c>
      <c r="D4414" s="21" t="s">
        <v>921</v>
      </c>
      <c r="E4414" s="21">
        <v>5</v>
      </c>
      <c r="F4414" s="22">
        <v>46028.5578356482</v>
      </c>
      <c r="G4414" s="22"/>
      <c r="H4414" s="23">
        <v>65</v>
      </c>
      <c r="I4414" s="23">
        <v>13</v>
      </c>
      <c r="J4414" s="24">
        <v>65</v>
      </c>
      <c r="K4414" s="21">
        <v>1</v>
      </c>
      <c r="L4414" s="21">
        <v>50</v>
      </c>
      <c r="M4414" s="21">
        <f>COUNTIF($A$2:$A$5481,A4414)</f>
        <v>2</v>
      </c>
      <c r="N4414" s="24">
        <f t="shared" si="68"/>
        <v>65.0004414</v>
      </c>
    </row>
    <row r="4415" spans="1:14">
      <c r="A4415" s="21" t="s">
        <v>4073</v>
      </c>
      <c r="B4415" s="21" t="s">
        <v>920</v>
      </c>
      <c r="C4415" s="21" t="s">
        <v>35</v>
      </c>
      <c r="D4415" s="21" t="s">
        <v>921</v>
      </c>
      <c r="E4415" s="21">
        <v>0</v>
      </c>
      <c r="F4415" s="22">
        <v>45349.7985185185</v>
      </c>
      <c r="G4415" s="22">
        <v>45819.4420486111</v>
      </c>
      <c r="H4415" s="23">
        <v>65</v>
      </c>
      <c r="I4415" s="23">
        <v>13</v>
      </c>
      <c r="J4415" s="24">
        <v>0</v>
      </c>
      <c r="K4415" s="21">
        <v>1</v>
      </c>
      <c r="L4415" s="21">
        <v>50</v>
      </c>
      <c r="M4415" s="21">
        <f>COUNTIF($A$2:$A$5481,A4415)</f>
        <v>2</v>
      </c>
      <c r="N4415" s="24">
        <f t="shared" si="68"/>
        <v>0.0004415</v>
      </c>
    </row>
    <row r="4416" spans="1:14">
      <c r="A4416" s="21" t="s">
        <v>4073</v>
      </c>
      <c r="B4416" s="21" t="s">
        <v>920</v>
      </c>
      <c r="C4416" s="21" t="s">
        <v>26</v>
      </c>
      <c r="D4416" s="21" t="s">
        <v>921</v>
      </c>
      <c r="E4416" s="21">
        <v>5</v>
      </c>
      <c r="F4416" s="22">
        <v>46028.5578356482</v>
      </c>
      <c r="G4416" s="22"/>
      <c r="H4416" s="23">
        <v>65</v>
      </c>
      <c r="I4416" s="23">
        <v>13</v>
      </c>
      <c r="J4416" s="24">
        <v>65</v>
      </c>
      <c r="K4416" s="21">
        <v>1</v>
      </c>
      <c r="L4416" s="21">
        <v>50</v>
      </c>
      <c r="M4416" s="21">
        <f>COUNTIF($A$2:$A$5481,A4416)</f>
        <v>2</v>
      </c>
      <c r="N4416" s="24">
        <f t="shared" si="68"/>
        <v>65.0004416</v>
      </c>
    </row>
    <row r="4417" spans="1:14">
      <c r="A4417" s="21" t="s">
        <v>4074</v>
      </c>
      <c r="B4417" s="21" t="s">
        <v>26</v>
      </c>
      <c r="C4417" s="21" t="s">
        <v>26</v>
      </c>
      <c r="D4417" s="21" t="s">
        <v>921</v>
      </c>
      <c r="E4417" s="21">
        <v>2</v>
      </c>
      <c r="F4417" s="22">
        <v>45499.3807175926</v>
      </c>
      <c r="G4417" s="22"/>
      <c r="H4417" s="23">
        <v>65.1</v>
      </c>
      <c r="I4417" s="23">
        <v>32.55</v>
      </c>
      <c r="J4417" s="24">
        <v>65.1</v>
      </c>
      <c r="K4417" s="21">
        <v>0</v>
      </c>
      <c r="L4417" s="21">
        <v>0</v>
      </c>
      <c r="M4417" s="21">
        <f>COUNTIF($A$2:$A$5481,A4417)</f>
        <v>1</v>
      </c>
      <c r="N4417" s="24">
        <f t="shared" si="68"/>
        <v>65.1004417</v>
      </c>
    </row>
    <row r="4418" spans="1:14">
      <c r="A4418" s="21" t="s">
        <v>4075</v>
      </c>
      <c r="B4418" s="21" t="s">
        <v>920</v>
      </c>
      <c r="C4418" s="21" t="s">
        <v>26</v>
      </c>
      <c r="D4418" s="21" t="s">
        <v>921</v>
      </c>
      <c r="E4418" s="21">
        <v>3</v>
      </c>
      <c r="F4418" s="22">
        <v>46097.4972222222</v>
      </c>
      <c r="G4418" s="22"/>
      <c r="H4418" s="23">
        <v>85</v>
      </c>
      <c r="I4418" s="23">
        <v>80.2833333333</v>
      </c>
      <c r="J4418" s="24">
        <v>240.84</v>
      </c>
      <c r="K4418" s="21">
        <v>0</v>
      </c>
      <c r="L4418" s="21">
        <v>0</v>
      </c>
      <c r="M4418" s="21">
        <f>COUNTIF($A$2:$A$5481,A4418)</f>
        <v>1</v>
      </c>
      <c r="N4418" s="24">
        <f t="shared" ref="N4418:N4481" si="69">J4418+ROW()/10000000</f>
        <v>240.8404418</v>
      </c>
    </row>
    <row r="4419" spans="1:14">
      <c r="A4419" s="21" t="s">
        <v>4076</v>
      </c>
      <c r="B4419" s="21" t="s">
        <v>920</v>
      </c>
      <c r="C4419" s="21" t="s">
        <v>26</v>
      </c>
      <c r="D4419" s="21" t="s">
        <v>921</v>
      </c>
      <c r="E4419" s="21">
        <v>1</v>
      </c>
      <c r="F4419" s="22">
        <v>46104.5575925926</v>
      </c>
      <c r="G4419" s="22"/>
      <c r="H4419" s="23">
        <v>29.9</v>
      </c>
      <c r="I4419" s="23">
        <v>29.9</v>
      </c>
      <c r="J4419" s="24">
        <v>29.9</v>
      </c>
      <c r="K4419" s="21">
        <v>0</v>
      </c>
      <c r="L4419" s="21">
        <v>0</v>
      </c>
      <c r="M4419" s="21">
        <f>COUNTIF($A$2:$A$5481,A4419)</f>
        <v>1</v>
      </c>
      <c r="N4419" s="24">
        <f t="shared" si="69"/>
        <v>29.9004419</v>
      </c>
    </row>
    <row r="4420" spans="1:14">
      <c r="A4420" s="21" t="s">
        <v>4077</v>
      </c>
      <c r="B4420" s="21" t="s">
        <v>920</v>
      </c>
      <c r="C4420" s="21" t="s">
        <v>26</v>
      </c>
      <c r="D4420" s="21" t="s">
        <v>931</v>
      </c>
      <c r="E4420" s="21">
        <v>2</v>
      </c>
      <c r="F4420" s="22">
        <v>45943.7015740741</v>
      </c>
      <c r="G4420" s="22">
        <v>45974.6630787037</v>
      </c>
      <c r="H4420" s="23">
        <v>493.28</v>
      </c>
      <c r="I4420" s="23">
        <v>123.32</v>
      </c>
      <c r="J4420" s="24">
        <v>246.64</v>
      </c>
      <c r="K4420" s="21">
        <v>0</v>
      </c>
      <c r="L4420" s="21">
        <v>0</v>
      </c>
      <c r="M4420" s="21">
        <f>COUNTIF($A$2:$A$5481,A4420)</f>
        <v>1</v>
      </c>
      <c r="N4420" s="24">
        <f t="shared" si="69"/>
        <v>246.640442</v>
      </c>
    </row>
    <row r="4421" spans="1:14">
      <c r="A4421" s="21" t="s">
        <v>4078</v>
      </c>
      <c r="B4421" s="21" t="s">
        <v>948</v>
      </c>
      <c r="C4421" s="21" t="s">
        <v>182</v>
      </c>
      <c r="D4421" s="21" t="s">
        <v>921</v>
      </c>
      <c r="E4421" s="21">
        <v>1</v>
      </c>
      <c r="F4421" s="22">
        <v>45364.46875</v>
      </c>
      <c r="G4421" s="22"/>
      <c r="H4421" s="23">
        <v>25</v>
      </c>
      <c r="I4421" s="23">
        <v>25</v>
      </c>
      <c r="J4421" s="24">
        <v>25</v>
      </c>
      <c r="K4421" s="21">
        <v>0</v>
      </c>
      <c r="L4421" s="21">
        <v>0</v>
      </c>
      <c r="M4421" s="21">
        <f>COUNTIF($A$2:$A$5481,A4421)</f>
        <v>3</v>
      </c>
      <c r="N4421" s="24">
        <f t="shared" si="69"/>
        <v>25.0004421</v>
      </c>
    </row>
    <row r="4422" spans="1:14">
      <c r="A4422" s="21" t="s">
        <v>4078</v>
      </c>
      <c r="B4422" s="21" t="s">
        <v>948</v>
      </c>
      <c r="C4422" s="21" t="s">
        <v>641</v>
      </c>
      <c r="D4422" s="21" t="s">
        <v>921</v>
      </c>
      <c r="E4422" s="21">
        <v>7</v>
      </c>
      <c r="F4422" s="22">
        <v>45412.312349537</v>
      </c>
      <c r="G4422" s="22"/>
      <c r="H4422" s="23">
        <v>125.16</v>
      </c>
      <c r="I4422" s="23">
        <v>20.86</v>
      </c>
      <c r="J4422" s="24">
        <v>146.02</v>
      </c>
      <c r="K4422" s="21">
        <v>0</v>
      </c>
      <c r="L4422" s="21">
        <v>0</v>
      </c>
      <c r="M4422" s="21">
        <f>COUNTIF($A$2:$A$5481,A4422)</f>
        <v>3</v>
      </c>
      <c r="N4422" s="24">
        <f t="shared" si="69"/>
        <v>146.0204422</v>
      </c>
    </row>
    <row r="4423" spans="1:14">
      <c r="A4423" s="21" t="s">
        <v>4078</v>
      </c>
      <c r="B4423" s="21" t="s">
        <v>948</v>
      </c>
      <c r="C4423" s="21" t="s">
        <v>26</v>
      </c>
      <c r="D4423" s="21" t="s">
        <v>921</v>
      </c>
      <c r="E4423" s="21">
        <v>24</v>
      </c>
      <c r="F4423" s="22">
        <v>45617.379212963</v>
      </c>
      <c r="G4423" s="22"/>
      <c r="H4423" s="23">
        <v>678.72</v>
      </c>
      <c r="I4423" s="23">
        <v>28.28</v>
      </c>
      <c r="J4423" s="24">
        <v>678.72</v>
      </c>
      <c r="K4423" s="21">
        <v>0</v>
      </c>
      <c r="L4423" s="21">
        <v>0</v>
      </c>
      <c r="M4423" s="21">
        <f>COUNTIF($A$2:$A$5481,A4423)</f>
        <v>3</v>
      </c>
      <c r="N4423" s="24">
        <f t="shared" si="69"/>
        <v>678.7204423</v>
      </c>
    </row>
    <row r="4424" spans="1:14">
      <c r="A4424" s="21" t="s">
        <v>633</v>
      </c>
      <c r="B4424" s="21" t="s">
        <v>26</v>
      </c>
      <c r="C4424" s="21" t="s">
        <v>182</v>
      </c>
      <c r="D4424" s="21" t="s">
        <v>921</v>
      </c>
      <c r="E4424" s="21">
        <v>0</v>
      </c>
      <c r="F4424" s="22">
        <v>45497.3587731482</v>
      </c>
      <c r="G4424" s="22">
        <v>46252.4750810185</v>
      </c>
      <c r="H4424" s="23">
        <v>43.98</v>
      </c>
      <c r="I4424" s="23">
        <v>21.99</v>
      </c>
      <c r="J4424" s="24">
        <v>0</v>
      </c>
      <c r="K4424" s="21">
        <v>0</v>
      </c>
      <c r="L4424" s="21">
        <v>0</v>
      </c>
      <c r="M4424" s="21">
        <f>COUNTIF($A$2:$A$5481,A4424)</f>
        <v>1</v>
      </c>
      <c r="N4424" s="24">
        <f t="shared" si="69"/>
        <v>0.0004424</v>
      </c>
    </row>
    <row r="4425" spans="1:14">
      <c r="A4425" s="21" t="s">
        <v>760</v>
      </c>
      <c r="B4425" s="21" t="s">
        <v>1898</v>
      </c>
      <c r="C4425" s="21" t="s">
        <v>26</v>
      </c>
      <c r="D4425" s="21" t="s">
        <v>921</v>
      </c>
      <c r="E4425" s="21">
        <v>0</v>
      </c>
      <c r="F4425" s="22">
        <v>46119.5279282407</v>
      </c>
      <c r="G4425" s="22">
        <v>46252.6095949074</v>
      </c>
      <c r="H4425" s="23">
        <v>165</v>
      </c>
      <c r="I4425" s="23">
        <v>55</v>
      </c>
      <c r="J4425" s="24">
        <v>0</v>
      </c>
      <c r="K4425" s="21">
        <v>0</v>
      </c>
      <c r="L4425" s="21">
        <v>0</v>
      </c>
      <c r="M4425" s="21">
        <f>COUNTIF($A$2:$A$5481,A4425)</f>
        <v>1</v>
      </c>
      <c r="N4425" s="24">
        <f t="shared" si="69"/>
        <v>0.0004425</v>
      </c>
    </row>
    <row r="4426" spans="1:14">
      <c r="A4426" s="21" t="s">
        <v>4079</v>
      </c>
      <c r="B4426" s="21" t="s">
        <v>1175</v>
      </c>
      <c r="C4426" s="21" t="s">
        <v>26</v>
      </c>
      <c r="D4426" s="21" t="s">
        <v>931</v>
      </c>
      <c r="E4426" s="21">
        <v>2</v>
      </c>
      <c r="F4426" s="22">
        <v>45729.6030555556</v>
      </c>
      <c r="G4426" s="22"/>
      <c r="H4426" s="23">
        <v>86.12</v>
      </c>
      <c r="I4426" s="23">
        <v>43.06</v>
      </c>
      <c r="J4426" s="24">
        <v>86.12</v>
      </c>
      <c r="K4426" s="21">
        <v>0</v>
      </c>
      <c r="L4426" s="21">
        <v>0</v>
      </c>
      <c r="M4426" s="21">
        <f>COUNTIF($A$2:$A$5481,A4426)</f>
        <v>1</v>
      </c>
      <c r="N4426" s="24">
        <f t="shared" si="69"/>
        <v>86.1204426</v>
      </c>
    </row>
    <row r="4427" spans="1:14">
      <c r="A4427" s="21" t="s">
        <v>609</v>
      </c>
      <c r="B4427" s="21" t="s">
        <v>929</v>
      </c>
      <c r="C4427" s="21" t="s">
        <v>26</v>
      </c>
      <c r="D4427" s="21" t="s">
        <v>921</v>
      </c>
      <c r="E4427" s="21">
        <v>0</v>
      </c>
      <c r="F4427" s="22">
        <v>45449.5989351852</v>
      </c>
      <c r="G4427" s="22">
        <v>46252.4322685185</v>
      </c>
      <c r="H4427" s="23">
        <v>71.55</v>
      </c>
      <c r="I4427" s="23">
        <v>23.85</v>
      </c>
      <c r="J4427" s="24">
        <v>0</v>
      </c>
      <c r="K4427" s="21">
        <v>0</v>
      </c>
      <c r="L4427" s="21">
        <v>0</v>
      </c>
      <c r="M4427" s="21">
        <f>COUNTIF($A$2:$A$5481,A4427)</f>
        <v>1</v>
      </c>
      <c r="N4427" s="24">
        <f t="shared" si="69"/>
        <v>0.0004427</v>
      </c>
    </row>
    <row r="4428" spans="1:14">
      <c r="A4428" s="21" t="s">
        <v>611</v>
      </c>
      <c r="B4428" s="21" t="s">
        <v>929</v>
      </c>
      <c r="C4428" s="21" t="s">
        <v>26</v>
      </c>
      <c r="D4428" s="21" t="s">
        <v>921</v>
      </c>
      <c r="E4428" s="21">
        <v>0</v>
      </c>
      <c r="F4428" s="22">
        <v>45371.3946875</v>
      </c>
      <c r="G4428" s="22">
        <v>46252.4322916667</v>
      </c>
      <c r="H4428" s="23">
        <v>34.83</v>
      </c>
      <c r="I4428" s="23">
        <v>11.61</v>
      </c>
      <c r="J4428" s="24">
        <v>0</v>
      </c>
      <c r="K4428" s="21">
        <v>0</v>
      </c>
      <c r="L4428" s="21">
        <v>0</v>
      </c>
      <c r="M4428" s="21">
        <f>COUNTIF($A$2:$A$5481,A4428)</f>
        <v>1</v>
      </c>
      <c r="N4428" s="24">
        <f t="shared" si="69"/>
        <v>0.0004428</v>
      </c>
    </row>
    <row r="4429" spans="1:14">
      <c r="A4429" s="21" t="s">
        <v>610</v>
      </c>
      <c r="B4429" s="21" t="s">
        <v>929</v>
      </c>
      <c r="C4429" s="21" t="s">
        <v>26</v>
      </c>
      <c r="D4429" s="21" t="s">
        <v>921</v>
      </c>
      <c r="E4429" s="21">
        <v>4</v>
      </c>
      <c r="F4429" s="22">
        <v>46192.578587963</v>
      </c>
      <c r="G4429" s="22">
        <v>46252.4322800926</v>
      </c>
      <c r="H4429" s="23">
        <v>113.4</v>
      </c>
      <c r="I4429" s="23">
        <v>18.9</v>
      </c>
      <c r="J4429" s="24">
        <v>75.6</v>
      </c>
      <c r="K4429" s="21">
        <v>0</v>
      </c>
      <c r="L4429" s="21">
        <v>0</v>
      </c>
      <c r="M4429" s="21">
        <f>COUNTIF($A$2:$A$5481,A4429)</f>
        <v>1</v>
      </c>
      <c r="N4429" s="24">
        <f t="shared" si="69"/>
        <v>75.6004429</v>
      </c>
    </row>
    <row r="4430" spans="1:14">
      <c r="A4430" s="21" t="s">
        <v>4080</v>
      </c>
      <c r="B4430" s="21" t="s">
        <v>26</v>
      </c>
      <c r="C4430" s="21" t="s">
        <v>26</v>
      </c>
      <c r="D4430" s="21" t="s">
        <v>921</v>
      </c>
      <c r="E4430" s="21">
        <v>1</v>
      </c>
      <c r="F4430" s="22">
        <v>46093.3673611111</v>
      </c>
      <c r="G4430" s="22"/>
      <c r="H4430" s="23">
        <v>69.9</v>
      </c>
      <c r="I4430" s="23">
        <v>69.9</v>
      </c>
      <c r="J4430" s="24">
        <v>69.9</v>
      </c>
      <c r="K4430" s="21">
        <v>0</v>
      </c>
      <c r="L4430" s="21">
        <v>0</v>
      </c>
      <c r="M4430" s="21">
        <f>COUNTIF($A$2:$A$5481,A4430)</f>
        <v>1</v>
      </c>
      <c r="N4430" s="24">
        <f t="shared" si="69"/>
        <v>69.900443</v>
      </c>
    </row>
    <row r="4431" spans="1:14">
      <c r="A4431" s="21" t="s">
        <v>4081</v>
      </c>
      <c r="B4431" s="21" t="s">
        <v>26</v>
      </c>
      <c r="C4431" s="21" t="s">
        <v>26</v>
      </c>
      <c r="D4431" s="21" t="s">
        <v>921</v>
      </c>
      <c r="E4431" s="21">
        <v>1</v>
      </c>
      <c r="F4431" s="22">
        <v>45499.3807175926</v>
      </c>
      <c r="G4431" s="22"/>
      <c r="H4431" s="23">
        <v>201.37</v>
      </c>
      <c r="I4431" s="23">
        <v>201.37</v>
      </c>
      <c r="J4431" s="24">
        <v>201.37</v>
      </c>
      <c r="K4431" s="21">
        <v>0</v>
      </c>
      <c r="L4431" s="21">
        <v>0</v>
      </c>
      <c r="M4431" s="21">
        <f>COUNTIF($A$2:$A$5481,A4431)</f>
        <v>1</v>
      </c>
      <c r="N4431" s="24">
        <f t="shared" si="69"/>
        <v>201.3704431</v>
      </c>
    </row>
    <row r="4432" spans="1:14">
      <c r="A4432" s="21" t="s">
        <v>816</v>
      </c>
      <c r="B4432" s="21" t="s">
        <v>1898</v>
      </c>
      <c r="C4432" s="21" t="s">
        <v>182</v>
      </c>
      <c r="D4432" s="21" t="s">
        <v>921</v>
      </c>
      <c r="E4432" s="21">
        <v>1</v>
      </c>
      <c r="F4432" s="22">
        <v>46260.4125</v>
      </c>
      <c r="G4432" s="22">
        <v>46276.5664351852</v>
      </c>
      <c r="H4432" s="23">
        <v>251.52</v>
      </c>
      <c r="I4432" s="23">
        <v>62.88</v>
      </c>
      <c r="J4432" s="24">
        <v>62.88</v>
      </c>
      <c r="K4432" s="21">
        <v>0</v>
      </c>
      <c r="L4432" s="21">
        <v>0</v>
      </c>
      <c r="M4432" s="21">
        <f>COUNTIF($A$2:$A$5481,A4432)</f>
        <v>1</v>
      </c>
      <c r="N4432" s="24">
        <f t="shared" si="69"/>
        <v>62.8804432</v>
      </c>
    </row>
    <row r="4433" spans="1:14">
      <c r="A4433" s="21" t="s">
        <v>4082</v>
      </c>
      <c r="B4433" s="21" t="s">
        <v>920</v>
      </c>
      <c r="C4433" s="21" t="s">
        <v>26</v>
      </c>
      <c r="D4433" s="21" t="s">
        <v>921</v>
      </c>
      <c r="E4433" s="21">
        <v>1</v>
      </c>
      <c r="F4433" s="22">
        <v>46101.5902777778</v>
      </c>
      <c r="G4433" s="22"/>
      <c r="H4433" s="23">
        <v>2188</v>
      </c>
      <c r="I4433" s="23">
        <v>2188</v>
      </c>
      <c r="J4433" s="24">
        <v>2188</v>
      </c>
      <c r="K4433" s="21">
        <v>0</v>
      </c>
      <c r="L4433" s="21">
        <v>0</v>
      </c>
      <c r="M4433" s="21">
        <f>COUNTIF($A$2:$A$5481,A4433)</f>
        <v>1</v>
      </c>
      <c r="N4433" s="24">
        <f t="shared" si="69"/>
        <v>2188.0004433</v>
      </c>
    </row>
    <row r="4434" spans="1:14">
      <c r="A4434" s="21" t="s">
        <v>4083</v>
      </c>
      <c r="B4434" s="21" t="s">
        <v>949</v>
      </c>
      <c r="C4434" s="21" t="s">
        <v>26</v>
      </c>
      <c r="D4434" s="21" t="s">
        <v>921</v>
      </c>
      <c r="E4434" s="21">
        <v>1</v>
      </c>
      <c r="F4434" s="22">
        <v>45930.565150463</v>
      </c>
      <c r="G4434" s="22"/>
      <c r="H4434" s="23">
        <v>185.03</v>
      </c>
      <c r="I4434" s="23">
        <v>185.03</v>
      </c>
      <c r="J4434" s="24">
        <v>185.03</v>
      </c>
      <c r="K4434" s="21">
        <v>0</v>
      </c>
      <c r="L4434" s="21">
        <v>0</v>
      </c>
      <c r="M4434" s="21">
        <f>COUNTIF($A$2:$A$5481,A4434)</f>
        <v>1</v>
      </c>
      <c r="N4434" s="24">
        <f t="shared" si="69"/>
        <v>185.0304434</v>
      </c>
    </row>
    <row r="4435" spans="1:14">
      <c r="A4435" s="21" t="s">
        <v>4084</v>
      </c>
      <c r="B4435" s="21" t="s">
        <v>920</v>
      </c>
      <c r="C4435" s="21" t="s">
        <v>26</v>
      </c>
      <c r="D4435" s="21" t="s">
        <v>921</v>
      </c>
      <c r="E4435" s="21">
        <v>3</v>
      </c>
      <c r="F4435" s="22">
        <v>45744.5572916667</v>
      </c>
      <c r="G4435" s="22"/>
      <c r="H4435" s="23">
        <v>328</v>
      </c>
      <c r="I4435" s="23">
        <v>278.66667</v>
      </c>
      <c r="J4435" s="24">
        <v>836.01</v>
      </c>
      <c r="K4435" s="21">
        <v>0</v>
      </c>
      <c r="L4435" s="21">
        <v>0</v>
      </c>
      <c r="M4435" s="21">
        <f>COUNTIF($A$2:$A$5481,A4435)</f>
        <v>1</v>
      </c>
      <c r="N4435" s="24">
        <f t="shared" si="69"/>
        <v>836.0104435</v>
      </c>
    </row>
    <row r="4436" spans="1:14">
      <c r="A4436" s="21" t="s">
        <v>4085</v>
      </c>
      <c r="B4436" s="21" t="s">
        <v>949</v>
      </c>
      <c r="C4436" s="21" t="s">
        <v>26</v>
      </c>
      <c r="D4436" s="21" t="s">
        <v>921</v>
      </c>
      <c r="E4436" s="21">
        <v>2</v>
      </c>
      <c r="F4436" s="22">
        <v>46006.3757986111</v>
      </c>
      <c r="G4436" s="22"/>
      <c r="H4436" s="23">
        <v>135.8</v>
      </c>
      <c r="I4436" s="23">
        <v>67.9</v>
      </c>
      <c r="J4436" s="24">
        <v>135.8</v>
      </c>
      <c r="K4436" s="21">
        <v>0</v>
      </c>
      <c r="L4436" s="21">
        <v>0</v>
      </c>
      <c r="M4436" s="21">
        <f>COUNTIF($A$2:$A$5481,A4436)</f>
        <v>1</v>
      </c>
      <c r="N4436" s="24">
        <f t="shared" si="69"/>
        <v>135.8004436</v>
      </c>
    </row>
    <row r="4437" spans="1:14">
      <c r="A4437" s="21" t="s">
        <v>4086</v>
      </c>
      <c r="B4437" s="21" t="s">
        <v>26</v>
      </c>
      <c r="C4437" s="21" t="s">
        <v>35</v>
      </c>
      <c r="D4437" s="21" t="s">
        <v>921</v>
      </c>
      <c r="E4437" s="21">
        <v>0</v>
      </c>
      <c r="F4437" s="22">
        <v>45617.381087963</v>
      </c>
      <c r="G4437" s="22">
        <v>45623.4690393519</v>
      </c>
      <c r="H4437" s="23">
        <v>6045.3</v>
      </c>
      <c r="I4437" s="23">
        <v>6045.3</v>
      </c>
      <c r="J4437" s="24">
        <v>0</v>
      </c>
      <c r="K4437" s="21">
        <v>0</v>
      </c>
      <c r="L4437" s="21">
        <v>0</v>
      </c>
      <c r="M4437" s="21">
        <f>COUNTIF($A$2:$A$5481,A4437)</f>
        <v>1</v>
      </c>
      <c r="N4437" s="24">
        <f t="shared" si="69"/>
        <v>0.0004437</v>
      </c>
    </row>
    <row r="4438" spans="1:14">
      <c r="A4438" s="21" t="s">
        <v>4087</v>
      </c>
      <c r="B4438" s="21" t="s">
        <v>1510</v>
      </c>
      <c r="C4438" s="21" t="s">
        <v>26</v>
      </c>
      <c r="D4438" s="21" t="s">
        <v>921</v>
      </c>
      <c r="E4438" s="21">
        <v>6</v>
      </c>
      <c r="F4438" s="22">
        <v>46168.6724421296</v>
      </c>
      <c r="G4438" s="22"/>
      <c r="H4438" s="23">
        <v>232.26</v>
      </c>
      <c r="I4438" s="23">
        <v>38.71</v>
      </c>
      <c r="J4438" s="24">
        <v>232.26</v>
      </c>
      <c r="K4438" s="21">
        <v>0</v>
      </c>
      <c r="L4438" s="21">
        <v>0</v>
      </c>
      <c r="M4438" s="21">
        <f>COUNTIF($A$2:$A$5481,A4438)</f>
        <v>1</v>
      </c>
      <c r="N4438" s="24">
        <f t="shared" si="69"/>
        <v>232.2604438</v>
      </c>
    </row>
    <row r="4439" spans="1:14">
      <c r="A4439" s="21" t="s">
        <v>4088</v>
      </c>
      <c r="B4439" s="21" t="s">
        <v>920</v>
      </c>
      <c r="C4439" s="21" t="s">
        <v>26</v>
      </c>
      <c r="D4439" s="21" t="s">
        <v>921</v>
      </c>
      <c r="E4439" s="21">
        <v>1</v>
      </c>
      <c r="F4439" s="22">
        <v>45835.7227199074</v>
      </c>
      <c r="G4439" s="22"/>
      <c r="H4439" s="23">
        <v>12</v>
      </c>
      <c r="I4439" s="23">
        <v>12</v>
      </c>
      <c r="J4439" s="24">
        <v>12</v>
      </c>
      <c r="K4439" s="21">
        <v>0</v>
      </c>
      <c r="L4439" s="21">
        <v>0</v>
      </c>
      <c r="M4439" s="21">
        <f>COUNTIF($A$2:$A$5481,A4439)</f>
        <v>1</v>
      </c>
      <c r="N4439" s="24">
        <f t="shared" si="69"/>
        <v>12.0004439</v>
      </c>
    </row>
    <row r="4440" spans="1:14">
      <c r="A4440" s="21" t="s">
        <v>4089</v>
      </c>
      <c r="B4440" s="21" t="s">
        <v>920</v>
      </c>
      <c r="C4440" s="21" t="s">
        <v>26</v>
      </c>
      <c r="D4440" s="21" t="s">
        <v>1584</v>
      </c>
      <c r="E4440" s="21">
        <v>1</v>
      </c>
      <c r="F4440" s="22">
        <v>45391.3097453704</v>
      </c>
      <c r="G4440" s="22"/>
      <c r="H4440" s="23">
        <v>1599.9</v>
      </c>
      <c r="I4440" s="23">
        <v>1599.9</v>
      </c>
      <c r="J4440" s="24">
        <v>1599.9</v>
      </c>
      <c r="K4440" s="21">
        <v>0</v>
      </c>
      <c r="L4440" s="21">
        <v>0</v>
      </c>
      <c r="M4440" s="21">
        <f>COUNTIF($A$2:$A$5481,A4440)</f>
        <v>1</v>
      </c>
      <c r="N4440" s="24">
        <f t="shared" si="69"/>
        <v>1599.900444</v>
      </c>
    </row>
    <row r="4441" spans="1:14">
      <c r="A4441" s="21" t="s">
        <v>4090</v>
      </c>
      <c r="B4441" s="21" t="s">
        <v>949</v>
      </c>
      <c r="C4441" s="21" t="s">
        <v>628</v>
      </c>
      <c r="D4441" s="21" t="s">
        <v>921</v>
      </c>
      <c r="E4441" s="21">
        <v>1</v>
      </c>
      <c r="F4441" s="22">
        <v>45859.5680208333</v>
      </c>
      <c r="G4441" s="22"/>
      <c r="H4441" s="23">
        <v>62.9</v>
      </c>
      <c r="I4441" s="23">
        <v>62.9</v>
      </c>
      <c r="J4441" s="24">
        <v>62.9</v>
      </c>
      <c r="K4441" s="21">
        <v>0</v>
      </c>
      <c r="L4441" s="21">
        <v>0</v>
      </c>
      <c r="M4441" s="21">
        <f>COUNTIF($A$2:$A$5481,A4441)</f>
        <v>1</v>
      </c>
      <c r="N4441" s="24">
        <f t="shared" si="69"/>
        <v>62.9004441</v>
      </c>
    </row>
    <row r="4442" spans="1:14">
      <c r="A4442" s="21" t="s">
        <v>4091</v>
      </c>
      <c r="B4442" s="21" t="s">
        <v>26</v>
      </c>
      <c r="C4442" s="21" t="s">
        <v>26</v>
      </c>
      <c r="D4442" s="21" t="s">
        <v>921</v>
      </c>
      <c r="E4442" s="21">
        <v>0</v>
      </c>
      <c r="F4442" s="22">
        <v>45850.4699305556</v>
      </c>
      <c r="G4442" s="22">
        <v>45856.4736921296</v>
      </c>
      <c r="H4442" s="23">
        <v>164</v>
      </c>
      <c r="I4442" s="23">
        <v>164</v>
      </c>
      <c r="J4442" s="24">
        <v>0</v>
      </c>
      <c r="K4442" s="21">
        <v>0</v>
      </c>
      <c r="L4442" s="21">
        <v>0</v>
      </c>
      <c r="M4442" s="21">
        <f>COUNTIF($A$2:$A$5481,A4442)</f>
        <v>1</v>
      </c>
      <c r="N4442" s="24">
        <f t="shared" si="69"/>
        <v>0.0004442</v>
      </c>
    </row>
    <row r="4443" spans="1:14">
      <c r="A4443" s="21" t="s">
        <v>4092</v>
      </c>
      <c r="B4443" s="21" t="s">
        <v>949</v>
      </c>
      <c r="C4443" s="21" t="s">
        <v>182</v>
      </c>
      <c r="D4443" s="21" t="s">
        <v>921</v>
      </c>
      <c r="E4443" s="21">
        <v>0</v>
      </c>
      <c r="F4443" s="22">
        <v>45317.40625</v>
      </c>
      <c r="G4443" s="22">
        <v>45322.4095949074</v>
      </c>
      <c r="H4443" s="23">
        <v>774</v>
      </c>
      <c r="I4443" s="23">
        <v>12.9</v>
      </c>
      <c r="J4443" s="24">
        <v>0</v>
      </c>
      <c r="K4443" s="21">
        <v>0</v>
      </c>
      <c r="L4443" s="21">
        <v>0</v>
      </c>
      <c r="M4443" s="21">
        <f>COUNTIF($A$2:$A$5481,A4443)</f>
        <v>2</v>
      </c>
      <c r="N4443" s="24">
        <f t="shared" si="69"/>
        <v>0.0004443</v>
      </c>
    </row>
    <row r="4444" spans="1:14">
      <c r="A4444" s="21" t="s">
        <v>4092</v>
      </c>
      <c r="B4444" s="21" t="s">
        <v>949</v>
      </c>
      <c r="C4444" s="21" t="s">
        <v>26</v>
      </c>
      <c r="D4444" s="21" t="s">
        <v>921</v>
      </c>
      <c r="E4444" s="21">
        <v>0</v>
      </c>
      <c r="F4444" s="22">
        <v>45330.39375</v>
      </c>
      <c r="G4444" s="22">
        <v>45331.4111458333</v>
      </c>
      <c r="H4444" s="23">
        <v>258</v>
      </c>
      <c r="I4444" s="23">
        <v>12.9</v>
      </c>
      <c r="J4444" s="24">
        <v>0</v>
      </c>
      <c r="K4444" s="21">
        <v>0</v>
      </c>
      <c r="L4444" s="21">
        <v>0</v>
      </c>
      <c r="M4444" s="21">
        <f>COUNTIF($A$2:$A$5481,A4444)</f>
        <v>2</v>
      </c>
      <c r="N4444" s="24">
        <f t="shared" si="69"/>
        <v>0.0004444</v>
      </c>
    </row>
    <row r="4445" spans="1:14">
      <c r="A4445" s="21" t="s">
        <v>780</v>
      </c>
      <c r="B4445" s="21" t="s">
        <v>26</v>
      </c>
      <c r="C4445" s="21" t="s">
        <v>26</v>
      </c>
      <c r="D4445" s="21" t="s">
        <v>921</v>
      </c>
      <c r="E4445" s="21">
        <v>4</v>
      </c>
      <c r="F4445" s="22">
        <v>45646.3497222222</v>
      </c>
      <c r="G4445" s="22">
        <v>46253.353287037</v>
      </c>
      <c r="H4445" s="23">
        <v>68.08</v>
      </c>
      <c r="I4445" s="23">
        <v>14.005</v>
      </c>
      <c r="J4445" s="24">
        <v>56.04</v>
      </c>
      <c r="K4445" s="21">
        <v>0</v>
      </c>
      <c r="L4445" s="21">
        <v>0</v>
      </c>
      <c r="M4445" s="21">
        <f>COUNTIF($A$2:$A$5481,A4445)</f>
        <v>1</v>
      </c>
      <c r="N4445" s="24">
        <f t="shared" si="69"/>
        <v>56.0404445</v>
      </c>
    </row>
    <row r="4446" spans="1:14">
      <c r="A4446" s="21" t="s">
        <v>4093</v>
      </c>
      <c r="B4446" s="21" t="s">
        <v>1895</v>
      </c>
      <c r="C4446" s="21" t="s">
        <v>414</v>
      </c>
      <c r="D4446" s="21" t="s">
        <v>931</v>
      </c>
      <c r="E4446" s="21">
        <v>6</v>
      </c>
      <c r="F4446" s="22">
        <v>45695.3833449074</v>
      </c>
      <c r="G4446" s="22"/>
      <c r="H4446" s="23">
        <v>2040</v>
      </c>
      <c r="I4446" s="23">
        <v>340</v>
      </c>
      <c r="J4446" s="24">
        <v>2040</v>
      </c>
      <c r="K4446" s="21">
        <v>0</v>
      </c>
      <c r="L4446" s="21">
        <v>0</v>
      </c>
      <c r="M4446" s="21">
        <f>COUNTIF($A$2:$A$5481,A4446)</f>
        <v>2</v>
      </c>
      <c r="N4446" s="24">
        <f t="shared" si="69"/>
        <v>2040.0004446</v>
      </c>
    </row>
    <row r="4447" spans="1:14">
      <c r="A4447" s="21" t="s">
        <v>4093</v>
      </c>
      <c r="B4447" s="21" t="s">
        <v>1895</v>
      </c>
      <c r="C4447" s="21" t="s">
        <v>182</v>
      </c>
      <c r="D4447" s="21" t="s">
        <v>931</v>
      </c>
      <c r="E4447" s="21">
        <v>6</v>
      </c>
      <c r="F4447" s="22">
        <v>45695.8187847222</v>
      </c>
      <c r="G4447" s="22"/>
      <c r="H4447" s="23">
        <v>2040</v>
      </c>
      <c r="I4447" s="23">
        <v>340</v>
      </c>
      <c r="J4447" s="24">
        <v>2040</v>
      </c>
      <c r="K4447" s="21">
        <v>0</v>
      </c>
      <c r="L4447" s="21">
        <v>0</v>
      </c>
      <c r="M4447" s="21">
        <f>COUNTIF($A$2:$A$5481,A4447)</f>
        <v>2</v>
      </c>
      <c r="N4447" s="24">
        <f t="shared" si="69"/>
        <v>2040.0004447</v>
      </c>
    </row>
    <row r="4448" spans="1:14">
      <c r="A4448" s="21" t="s">
        <v>4094</v>
      </c>
      <c r="B4448" s="21" t="s">
        <v>26</v>
      </c>
      <c r="C4448" s="21" t="s">
        <v>182</v>
      </c>
      <c r="D4448" s="21" t="s">
        <v>921</v>
      </c>
      <c r="E4448" s="21">
        <v>1</v>
      </c>
      <c r="F4448" s="22">
        <v>45279.6284375</v>
      </c>
      <c r="G4448" s="22"/>
      <c r="H4448" s="23">
        <v>2330</v>
      </c>
      <c r="I4448" s="23">
        <v>2330</v>
      </c>
      <c r="J4448" s="24">
        <v>2330</v>
      </c>
      <c r="K4448" s="21">
        <v>0</v>
      </c>
      <c r="L4448" s="21">
        <v>0</v>
      </c>
      <c r="M4448" s="21">
        <f>COUNTIF($A$2:$A$5481,A4448)</f>
        <v>1</v>
      </c>
      <c r="N4448" s="24">
        <f t="shared" si="69"/>
        <v>2330.0004448</v>
      </c>
    </row>
    <row r="4449" spans="1:14">
      <c r="A4449" s="21" t="s">
        <v>4095</v>
      </c>
      <c r="B4449" s="21" t="s">
        <v>966</v>
      </c>
      <c r="C4449" s="21" t="s">
        <v>182</v>
      </c>
      <c r="D4449" s="21" t="s">
        <v>921</v>
      </c>
      <c r="E4449" s="21">
        <v>1</v>
      </c>
      <c r="F4449" s="22">
        <v>46052.5682291667</v>
      </c>
      <c r="G4449" s="22"/>
      <c r="H4449" s="23">
        <v>781</v>
      </c>
      <c r="I4449" s="23">
        <v>781</v>
      </c>
      <c r="J4449" s="24">
        <v>781</v>
      </c>
      <c r="K4449" s="21">
        <v>0</v>
      </c>
      <c r="L4449" s="21">
        <v>0</v>
      </c>
      <c r="M4449" s="21">
        <f>COUNTIF($A$2:$A$5481,A4449)</f>
        <v>1</v>
      </c>
      <c r="N4449" s="24">
        <f t="shared" si="69"/>
        <v>781.0004449</v>
      </c>
    </row>
    <row r="4450" spans="1:14">
      <c r="A4450" s="21" t="s">
        <v>4096</v>
      </c>
      <c r="B4450" s="21" t="s">
        <v>966</v>
      </c>
      <c r="C4450" s="21" t="s">
        <v>182</v>
      </c>
      <c r="D4450" s="21" t="s">
        <v>921</v>
      </c>
      <c r="E4450" s="21">
        <v>1</v>
      </c>
      <c r="F4450" s="22">
        <v>45987.4368518519</v>
      </c>
      <c r="G4450" s="22"/>
      <c r="H4450" s="23">
        <v>520</v>
      </c>
      <c r="I4450" s="23">
        <v>520</v>
      </c>
      <c r="J4450" s="24">
        <v>520</v>
      </c>
      <c r="K4450" s="21">
        <v>0</v>
      </c>
      <c r="L4450" s="21">
        <v>0</v>
      </c>
      <c r="M4450" s="21">
        <f>COUNTIF($A$2:$A$5481,A4450)</f>
        <v>1</v>
      </c>
      <c r="N4450" s="24">
        <f t="shared" si="69"/>
        <v>520.000445</v>
      </c>
    </row>
    <row r="4451" spans="1:14">
      <c r="A4451" s="21" t="s">
        <v>4097</v>
      </c>
      <c r="B4451" s="21" t="s">
        <v>966</v>
      </c>
      <c r="C4451" s="21" t="s">
        <v>182</v>
      </c>
      <c r="D4451" s="21" t="s">
        <v>921</v>
      </c>
      <c r="E4451" s="21">
        <v>1</v>
      </c>
      <c r="F4451" s="22">
        <v>45987.4368518519</v>
      </c>
      <c r="G4451" s="22"/>
      <c r="H4451" s="23">
        <v>680</v>
      </c>
      <c r="I4451" s="23">
        <v>680</v>
      </c>
      <c r="J4451" s="24">
        <v>680</v>
      </c>
      <c r="K4451" s="21">
        <v>0</v>
      </c>
      <c r="L4451" s="21">
        <v>0</v>
      </c>
      <c r="M4451" s="21">
        <f>COUNTIF($A$2:$A$5481,A4451)</f>
        <v>1</v>
      </c>
      <c r="N4451" s="24">
        <f t="shared" si="69"/>
        <v>680.0004451</v>
      </c>
    </row>
    <row r="4452" spans="1:14">
      <c r="A4452" s="21" t="s">
        <v>4098</v>
      </c>
      <c r="B4452" s="21" t="s">
        <v>966</v>
      </c>
      <c r="C4452" s="21" t="s">
        <v>182</v>
      </c>
      <c r="D4452" s="21" t="s">
        <v>921</v>
      </c>
      <c r="E4452" s="21">
        <v>4</v>
      </c>
      <c r="F4452" s="22">
        <v>45540.7955208333</v>
      </c>
      <c r="G4452" s="22"/>
      <c r="H4452" s="23">
        <v>2000</v>
      </c>
      <c r="I4452" s="23">
        <v>500</v>
      </c>
      <c r="J4452" s="24">
        <v>2000</v>
      </c>
      <c r="K4452" s="21">
        <v>0</v>
      </c>
      <c r="L4452" s="21">
        <v>0</v>
      </c>
      <c r="M4452" s="21">
        <f>COUNTIF($A$2:$A$5481,A4452)</f>
        <v>1</v>
      </c>
      <c r="N4452" s="24">
        <f t="shared" si="69"/>
        <v>2000.0004452</v>
      </c>
    </row>
    <row r="4453" spans="1:14">
      <c r="A4453" s="21" t="s">
        <v>759</v>
      </c>
      <c r="B4453" s="21" t="s">
        <v>26</v>
      </c>
      <c r="C4453" s="21" t="s">
        <v>182</v>
      </c>
      <c r="D4453" s="21" t="s">
        <v>921</v>
      </c>
      <c r="E4453" s="21">
        <v>2</v>
      </c>
      <c r="F4453" s="22">
        <v>45301.3458333333</v>
      </c>
      <c r="G4453" s="22"/>
      <c r="H4453" s="23">
        <v>368</v>
      </c>
      <c r="I4453" s="23">
        <v>184</v>
      </c>
      <c r="J4453" s="24">
        <v>368</v>
      </c>
      <c r="K4453" s="21">
        <v>0</v>
      </c>
      <c r="L4453" s="21">
        <v>0</v>
      </c>
      <c r="M4453" s="21">
        <f>COUNTIF($A$2:$A$5481,A4453)</f>
        <v>2</v>
      </c>
      <c r="N4453" s="24">
        <f t="shared" si="69"/>
        <v>368.0004453</v>
      </c>
    </row>
    <row r="4454" spans="1:14">
      <c r="A4454" s="21" t="s">
        <v>759</v>
      </c>
      <c r="B4454" s="21" t="s">
        <v>26</v>
      </c>
      <c r="C4454" s="21" t="s">
        <v>26</v>
      </c>
      <c r="D4454" s="21" t="s">
        <v>921</v>
      </c>
      <c r="E4454" s="21">
        <v>0</v>
      </c>
      <c r="F4454" s="22">
        <v>45860.6498611111</v>
      </c>
      <c r="G4454" s="22">
        <v>46252.6095833333</v>
      </c>
      <c r="H4454" s="23">
        <v>887.9</v>
      </c>
      <c r="I4454" s="23">
        <v>887.9</v>
      </c>
      <c r="J4454" s="24">
        <v>0</v>
      </c>
      <c r="K4454" s="21">
        <v>0</v>
      </c>
      <c r="L4454" s="21">
        <v>0</v>
      </c>
      <c r="M4454" s="21">
        <f>COUNTIF($A$2:$A$5481,A4454)</f>
        <v>2</v>
      </c>
      <c r="N4454" s="24">
        <f t="shared" si="69"/>
        <v>0.0004454</v>
      </c>
    </row>
    <row r="4455" spans="1:14">
      <c r="A4455" s="21" t="s">
        <v>4099</v>
      </c>
      <c r="B4455" s="21" t="s">
        <v>26</v>
      </c>
      <c r="C4455" s="21" t="s">
        <v>26</v>
      </c>
      <c r="D4455" s="21" t="s">
        <v>921</v>
      </c>
      <c r="E4455" s="21">
        <v>3</v>
      </c>
      <c r="F4455" s="22">
        <v>45999.3674652778</v>
      </c>
      <c r="G4455" s="22"/>
      <c r="H4455" s="23">
        <v>54.75</v>
      </c>
      <c r="I4455" s="23">
        <v>18.25</v>
      </c>
      <c r="J4455" s="24">
        <v>54.75</v>
      </c>
      <c r="K4455" s="21">
        <v>0</v>
      </c>
      <c r="L4455" s="21">
        <v>0</v>
      </c>
      <c r="M4455" s="21">
        <f>COUNTIF($A$2:$A$5481,A4455)</f>
        <v>1</v>
      </c>
      <c r="N4455" s="24">
        <f t="shared" si="69"/>
        <v>54.7504455</v>
      </c>
    </row>
    <row r="4456" spans="1:14">
      <c r="A4456" s="21" t="s">
        <v>4100</v>
      </c>
      <c r="B4456" s="21" t="s">
        <v>26</v>
      </c>
      <c r="C4456" s="21" t="s">
        <v>26</v>
      </c>
      <c r="D4456" s="21" t="s">
        <v>921</v>
      </c>
      <c r="E4456" s="21">
        <v>6</v>
      </c>
      <c r="F4456" s="22">
        <v>45826.8091782407</v>
      </c>
      <c r="G4456" s="22"/>
      <c r="H4456" s="23">
        <v>270</v>
      </c>
      <c r="I4456" s="23">
        <v>52.31667</v>
      </c>
      <c r="J4456" s="24">
        <v>313.92</v>
      </c>
      <c r="K4456" s="21">
        <v>0</v>
      </c>
      <c r="L4456" s="21">
        <v>0</v>
      </c>
      <c r="M4456" s="21">
        <f>COUNTIF($A$2:$A$5481,A4456)</f>
        <v>1</v>
      </c>
      <c r="N4456" s="24">
        <f t="shared" si="69"/>
        <v>313.9204456</v>
      </c>
    </row>
    <row r="4457" spans="1:14">
      <c r="A4457" s="21" t="s">
        <v>4101</v>
      </c>
      <c r="B4457" s="21" t="s">
        <v>929</v>
      </c>
      <c r="C4457" s="21" t="s">
        <v>182</v>
      </c>
      <c r="D4457" s="21" t="s">
        <v>921</v>
      </c>
      <c r="E4457" s="21">
        <v>4</v>
      </c>
      <c r="F4457" s="22">
        <v>45434.3576388889</v>
      </c>
      <c r="G4457" s="22">
        <v>45365.380775463</v>
      </c>
      <c r="H4457" s="23">
        <v>189.72</v>
      </c>
      <c r="I4457" s="23">
        <v>47.43</v>
      </c>
      <c r="J4457" s="24">
        <v>189.72</v>
      </c>
      <c r="K4457" s="21">
        <v>0</v>
      </c>
      <c r="L4457" s="21">
        <v>0</v>
      </c>
      <c r="M4457" s="21">
        <f>COUNTIF($A$2:$A$5481,A4457)</f>
        <v>2</v>
      </c>
      <c r="N4457" s="24">
        <f t="shared" si="69"/>
        <v>189.7204457</v>
      </c>
    </row>
    <row r="4458" spans="1:14">
      <c r="A4458" s="21" t="s">
        <v>4101</v>
      </c>
      <c r="B4458" s="21" t="s">
        <v>929</v>
      </c>
      <c r="C4458" s="21" t="s">
        <v>26</v>
      </c>
      <c r="D4458" s="21" t="s">
        <v>921</v>
      </c>
      <c r="E4458" s="21">
        <v>4</v>
      </c>
      <c r="F4458" s="22">
        <v>45763.7984027778</v>
      </c>
      <c r="G4458" s="22"/>
      <c r="H4458" s="23">
        <v>187.76</v>
      </c>
      <c r="I4458" s="23">
        <v>46.94</v>
      </c>
      <c r="J4458" s="24">
        <v>187.76</v>
      </c>
      <c r="K4458" s="21">
        <v>0</v>
      </c>
      <c r="L4458" s="21">
        <v>0</v>
      </c>
      <c r="M4458" s="21">
        <f>COUNTIF($A$2:$A$5481,A4458)</f>
        <v>2</v>
      </c>
      <c r="N4458" s="24">
        <f t="shared" si="69"/>
        <v>187.7604458</v>
      </c>
    </row>
    <row r="4459" spans="1:14">
      <c r="A4459" s="21" t="s">
        <v>4102</v>
      </c>
      <c r="B4459" s="21" t="s">
        <v>26</v>
      </c>
      <c r="C4459" s="21" t="s">
        <v>26</v>
      </c>
      <c r="D4459" s="21" t="s">
        <v>921</v>
      </c>
      <c r="E4459" s="21">
        <v>4</v>
      </c>
      <c r="F4459" s="22">
        <v>45531.3684027778</v>
      </c>
      <c r="G4459" s="22"/>
      <c r="H4459" s="23">
        <v>140.16</v>
      </c>
      <c r="I4459" s="23">
        <v>35.04</v>
      </c>
      <c r="J4459" s="24">
        <v>140.16</v>
      </c>
      <c r="K4459" s="21">
        <v>0</v>
      </c>
      <c r="L4459" s="21">
        <v>0</v>
      </c>
      <c r="M4459" s="21">
        <f>COUNTIF($A$2:$A$5481,A4459)</f>
        <v>1</v>
      </c>
      <c r="N4459" s="24">
        <f t="shared" si="69"/>
        <v>140.1604459</v>
      </c>
    </row>
    <row r="4460" spans="1:14">
      <c r="A4460" s="21" t="s">
        <v>4103</v>
      </c>
      <c r="B4460" s="21" t="s">
        <v>26</v>
      </c>
      <c r="C4460" s="21" t="s">
        <v>26</v>
      </c>
      <c r="D4460" s="21" t="s">
        <v>921</v>
      </c>
      <c r="E4460" s="21">
        <v>5</v>
      </c>
      <c r="F4460" s="22">
        <v>45595.4982638889</v>
      </c>
      <c r="G4460" s="22"/>
      <c r="H4460" s="23">
        <v>130.95</v>
      </c>
      <c r="I4460" s="23">
        <v>26.19</v>
      </c>
      <c r="J4460" s="24">
        <v>130.95</v>
      </c>
      <c r="K4460" s="21">
        <v>0</v>
      </c>
      <c r="L4460" s="21">
        <v>0</v>
      </c>
      <c r="M4460" s="21">
        <f>COUNTIF($A$2:$A$5481,A4460)</f>
        <v>1</v>
      </c>
      <c r="N4460" s="24">
        <f t="shared" si="69"/>
        <v>130.950446</v>
      </c>
    </row>
    <row r="4461" spans="1:14">
      <c r="A4461" s="21" t="s">
        <v>4104</v>
      </c>
      <c r="B4461" s="21" t="s">
        <v>26</v>
      </c>
      <c r="C4461" s="21" t="s">
        <v>182</v>
      </c>
      <c r="D4461" s="21" t="s">
        <v>921</v>
      </c>
      <c r="E4461" s="21">
        <v>6</v>
      </c>
      <c r="F4461" s="22">
        <v>45434.3576388889</v>
      </c>
      <c r="G4461" s="22"/>
      <c r="H4461" s="23">
        <v>195.06</v>
      </c>
      <c r="I4461" s="23">
        <v>32.51</v>
      </c>
      <c r="J4461" s="24">
        <v>195.06</v>
      </c>
      <c r="K4461" s="21">
        <v>0</v>
      </c>
      <c r="L4461" s="21">
        <v>0</v>
      </c>
      <c r="M4461" s="21">
        <f>COUNTIF($A$2:$A$5481,A4461)</f>
        <v>2</v>
      </c>
      <c r="N4461" s="24">
        <f t="shared" si="69"/>
        <v>195.0604461</v>
      </c>
    </row>
    <row r="4462" spans="1:14">
      <c r="A4462" s="21" t="s">
        <v>4104</v>
      </c>
      <c r="B4462" s="21" t="s">
        <v>26</v>
      </c>
      <c r="C4462" s="21" t="s">
        <v>26</v>
      </c>
      <c r="D4462" s="21" t="s">
        <v>921</v>
      </c>
      <c r="E4462" s="21">
        <v>5</v>
      </c>
      <c r="F4462" s="22">
        <v>46239.7219791667</v>
      </c>
      <c r="G4462" s="22"/>
      <c r="H4462" s="23">
        <v>84.7</v>
      </c>
      <c r="I4462" s="23">
        <v>38.75</v>
      </c>
      <c r="J4462" s="24">
        <v>193.75</v>
      </c>
      <c r="K4462" s="21">
        <v>0</v>
      </c>
      <c r="L4462" s="21">
        <v>0</v>
      </c>
      <c r="M4462" s="21">
        <f>COUNTIF($A$2:$A$5481,A4462)</f>
        <v>2</v>
      </c>
      <c r="N4462" s="24">
        <f t="shared" si="69"/>
        <v>193.7504462</v>
      </c>
    </row>
    <row r="4463" spans="1:14">
      <c r="A4463" s="21" t="s">
        <v>4105</v>
      </c>
      <c r="B4463" s="21" t="s">
        <v>26</v>
      </c>
      <c r="C4463" s="21" t="s">
        <v>182</v>
      </c>
      <c r="D4463" s="21" t="s">
        <v>921</v>
      </c>
      <c r="E4463" s="21">
        <v>1</v>
      </c>
      <c r="F4463" s="22">
        <v>45303.6973726852</v>
      </c>
      <c r="G4463" s="22"/>
      <c r="H4463" s="23">
        <v>25</v>
      </c>
      <c r="I4463" s="23">
        <v>25</v>
      </c>
      <c r="J4463" s="24">
        <v>25</v>
      </c>
      <c r="K4463" s="21">
        <v>0</v>
      </c>
      <c r="L4463" s="21">
        <v>0</v>
      </c>
      <c r="M4463" s="21">
        <f>COUNTIF($A$2:$A$5481,A4463)</f>
        <v>2</v>
      </c>
      <c r="N4463" s="24">
        <f t="shared" si="69"/>
        <v>25.0004463</v>
      </c>
    </row>
    <row r="4464" spans="1:14">
      <c r="A4464" s="21" t="s">
        <v>4105</v>
      </c>
      <c r="B4464" s="21" t="s">
        <v>26</v>
      </c>
      <c r="C4464" s="21" t="s">
        <v>26</v>
      </c>
      <c r="D4464" s="21" t="s">
        <v>921</v>
      </c>
      <c r="E4464" s="21">
        <v>8</v>
      </c>
      <c r="F4464" s="22">
        <v>45860.6612847222</v>
      </c>
      <c r="G4464" s="22">
        <v>45876.4791087963</v>
      </c>
      <c r="H4464" s="23">
        <v>91.41</v>
      </c>
      <c r="I4464" s="23">
        <v>25.4611111111</v>
      </c>
      <c r="J4464" s="24">
        <v>203.68</v>
      </c>
      <c r="K4464" s="21">
        <v>0</v>
      </c>
      <c r="L4464" s="21">
        <v>0</v>
      </c>
      <c r="M4464" s="21">
        <f>COUNTIF($A$2:$A$5481,A4464)</f>
        <v>2</v>
      </c>
      <c r="N4464" s="24">
        <f t="shared" si="69"/>
        <v>203.6804464</v>
      </c>
    </row>
    <row r="4465" spans="1:14">
      <c r="A4465" s="21" t="s">
        <v>848</v>
      </c>
      <c r="B4465" s="21" t="s">
        <v>26</v>
      </c>
      <c r="C4465" s="21" t="s">
        <v>26</v>
      </c>
      <c r="D4465" s="21" t="s">
        <v>921</v>
      </c>
      <c r="E4465" s="21">
        <v>44</v>
      </c>
      <c r="F4465" s="22">
        <v>46234.5952430556</v>
      </c>
      <c r="G4465" s="22">
        <v>46267.3786689815</v>
      </c>
      <c r="H4465" s="23">
        <v>277.8</v>
      </c>
      <c r="I4465" s="23">
        <v>22.8344016461</v>
      </c>
      <c r="J4465" s="24">
        <v>1004.52</v>
      </c>
      <c r="K4465" s="21">
        <v>0</v>
      </c>
      <c r="L4465" s="21">
        <v>0</v>
      </c>
      <c r="M4465" s="21">
        <f>COUNTIF($A$2:$A$5481,A4465)</f>
        <v>1</v>
      </c>
      <c r="N4465" s="24">
        <f t="shared" si="69"/>
        <v>1004.5204465</v>
      </c>
    </row>
    <row r="4466" spans="1:14">
      <c r="A4466" s="21" t="s">
        <v>4106</v>
      </c>
      <c r="B4466" s="21" t="s">
        <v>26</v>
      </c>
      <c r="C4466" s="21" t="s">
        <v>26</v>
      </c>
      <c r="D4466" s="21" t="s">
        <v>921</v>
      </c>
      <c r="E4466" s="21">
        <v>69</v>
      </c>
      <c r="F4466" s="22">
        <v>46174.5658680556</v>
      </c>
      <c r="G4466" s="22">
        <v>45800.4877199074</v>
      </c>
      <c r="H4466" s="23">
        <v>210.7</v>
      </c>
      <c r="I4466" s="23">
        <v>18.6372617391</v>
      </c>
      <c r="J4466" s="24">
        <v>1286.16</v>
      </c>
      <c r="K4466" s="21">
        <v>0</v>
      </c>
      <c r="L4466" s="21">
        <v>0</v>
      </c>
      <c r="M4466" s="21">
        <f>COUNTIF($A$2:$A$5481,A4466)</f>
        <v>1</v>
      </c>
      <c r="N4466" s="24">
        <f t="shared" si="69"/>
        <v>1286.1604466</v>
      </c>
    </row>
    <row r="4467" spans="1:14">
      <c r="A4467" s="21" t="s">
        <v>4107</v>
      </c>
      <c r="B4467" s="21" t="s">
        <v>920</v>
      </c>
      <c r="C4467" s="21" t="s">
        <v>26</v>
      </c>
      <c r="D4467" s="21" t="s">
        <v>921</v>
      </c>
      <c r="E4467" s="21">
        <v>1</v>
      </c>
      <c r="F4467" s="22">
        <v>45407.7394444444</v>
      </c>
      <c r="G4467" s="22"/>
      <c r="H4467" s="23">
        <v>25</v>
      </c>
      <c r="I4467" s="23">
        <v>25</v>
      </c>
      <c r="J4467" s="24">
        <v>25</v>
      </c>
      <c r="K4467" s="21">
        <v>0</v>
      </c>
      <c r="L4467" s="21">
        <v>0</v>
      </c>
      <c r="M4467" s="21">
        <f>COUNTIF($A$2:$A$5481,A4467)</f>
        <v>1</v>
      </c>
      <c r="N4467" s="24">
        <f t="shared" si="69"/>
        <v>25.0004467</v>
      </c>
    </row>
    <row r="4468" spans="1:14">
      <c r="A4468" s="21" t="s">
        <v>4108</v>
      </c>
      <c r="B4468" s="21" t="s">
        <v>920</v>
      </c>
      <c r="C4468" s="21" t="s">
        <v>35</v>
      </c>
      <c r="D4468" s="21" t="s">
        <v>921</v>
      </c>
      <c r="E4468" s="21">
        <v>0.99</v>
      </c>
      <c r="F4468" s="22">
        <v>45590.4384375</v>
      </c>
      <c r="G4468" s="22">
        <v>45594.4477199074</v>
      </c>
      <c r="H4468" s="23">
        <v>160</v>
      </c>
      <c r="I4468" s="23">
        <v>160</v>
      </c>
      <c r="J4468" s="24">
        <v>158.4</v>
      </c>
      <c r="K4468" s="21">
        <v>0</v>
      </c>
      <c r="L4468" s="21">
        <v>0</v>
      </c>
      <c r="M4468" s="21">
        <f>COUNTIF($A$2:$A$5481,A4468)</f>
        <v>1</v>
      </c>
      <c r="N4468" s="24">
        <f t="shared" si="69"/>
        <v>158.4004468</v>
      </c>
    </row>
    <row r="4469" spans="1:14">
      <c r="A4469" s="21" t="s">
        <v>4109</v>
      </c>
      <c r="B4469" s="21" t="s">
        <v>929</v>
      </c>
      <c r="C4469" s="21" t="s">
        <v>26</v>
      </c>
      <c r="D4469" s="21" t="s">
        <v>921</v>
      </c>
      <c r="E4469" s="21">
        <v>1</v>
      </c>
      <c r="F4469" s="22">
        <v>46107.3451388889</v>
      </c>
      <c r="G4469" s="22"/>
      <c r="H4469" s="23">
        <v>4.38</v>
      </c>
      <c r="I4469" s="23">
        <v>4.38</v>
      </c>
      <c r="J4469" s="24">
        <v>4.38</v>
      </c>
      <c r="K4469" s="21">
        <v>0</v>
      </c>
      <c r="L4469" s="21">
        <v>0</v>
      </c>
      <c r="M4469" s="21">
        <f>COUNTIF($A$2:$A$5481,A4469)</f>
        <v>1</v>
      </c>
      <c r="N4469" s="24">
        <f t="shared" si="69"/>
        <v>4.3804469</v>
      </c>
    </row>
    <row r="4470" spans="1:14">
      <c r="A4470" s="21" t="s">
        <v>4110</v>
      </c>
      <c r="B4470" s="21" t="s">
        <v>1175</v>
      </c>
      <c r="C4470" s="21" t="s">
        <v>182</v>
      </c>
      <c r="D4470" s="21" t="s">
        <v>921</v>
      </c>
      <c r="E4470" s="21">
        <v>0</v>
      </c>
      <c r="F4470" s="22">
        <v>45321.7354166667</v>
      </c>
      <c r="G4470" s="22">
        <v>45330.4620717593</v>
      </c>
      <c r="H4470" s="23">
        <v>3771</v>
      </c>
      <c r="I4470" s="23">
        <v>1257</v>
      </c>
      <c r="J4470" s="24">
        <v>0</v>
      </c>
      <c r="K4470" s="21">
        <v>0</v>
      </c>
      <c r="L4470" s="21">
        <v>0</v>
      </c>
      <c r="M4470" s="21">
        <f>COUNTIF($A$2:$A$5481,A4470)</f>
        <v>1</v>
      </c>
      <c r="N4470" s="24">
        <f t="shared" si="69"/>
        <v>0.000447</v>
      </c>
    </row>
    <row r="4471" spans="1:14">
      <c r="A4471" s="21" t="s">
        <v>4111</v>
      </c>
      <c r="B4471" s="21" t="s">
        <v>26</v>
      </c>
      <c r="C4471" s="21" t="s">
        <v>26</v>
      </c>
      <c r="D4471" s="21" t="s">
        <v>921</v>
      </c>
      <c r="E4471" s="21">
        <v>0</v>
      </c>
      <c r="F4471" s="22">
        <v>45664.3908796296</v>
      </c>
      <c r="G4471" s="22">
        <v>45664.4472106482</v>
      </c>
      <c r="H4471" s="23">
        <v>65</v>
      </c>
      <c r="I4471" s="23">
        <v>0</v>
      </c>
      <c r="J4471" s="24">
        <v>0</v>
      </c>
      <c r="K4471" s="21">
        <v>0</v>
      </c>
      <c r="L4471" s="21">
        <v>0</v>
      </c>
      <c r="M4471" s="21">
        <f>COUNTIF($A$2:$A$5481,A4471)</f>
        <v>1</v>
      </c>
      <c r="N4471" s="24">
        <f t="shared" si="69"/>
        <v>0.0004471</v>
      </c>
    </row>
    <row r="4472" spans="1:14">
      <c r="A4472" s="21" t="s">
        <v>4112</v>
      </c>
      <c r="B4472" s="21" t="s">
        <v>26</v>
      </c>
      <c r="C4472" s="21" t="s">
        <v>26</v>
      </c>
      <c r="D4472" s="21" t="s">
        <v>921</v>
      </c>
      <c r="E4472" s="21">
        <v>1</v>
      </c>
      <c r="F4472" s="22">
        <v>45495.4059722222</v>
      </c>
      <c r="G4472" s="22"/>
      <c r="H4472" s="23">
        <v>63.13</v>
      </c>
      <c r="I4472" s="23">
        <v>63.13</v>
      </c>
      <c r="J4472" s="24">
        <v>63.13</v>
      </c>
      <c r="K4472" s="21">
        <v>0</v>
      </c>
      <c r="L4472" s="21">
        <v>0</v>
      </c>
      <c r="M4472" s="21">
        <f>COUNTIF($A$2:$A$5481,A4472)</f>
        <v>1</v>
      </c>
      <c r="N4472" s="24">
        <f t="shared" si="69"/>
        <v>63.1304472</v>
      </c>
    </row>
    <row r="4473" spans="1:14">
      <c r="A4473" s="21" t="s">
        <v>4113</v>
      </c>
      <c r="B4473" s="21" t="s">
        <v>920</v>
      </c>
      <c r="C4473" s="21" t="s">
        <v>26</v>
      </c>
      <c r="D4473" s="21" t="s">
        <v>1068</v>
      </c>
      <c r="E4473" s="21">
        <v>1</v>
      </c>
      <c r="F4473" s="22">
        <v>45869.6669907407</v>
      </c>
      <c r="G4473" s="22"/>
      <c r="H4473" s="23">
        <v>320.3</v>
      </c>
      <c r="I4473" s="23">
        <v>320.3</v>
      </c>
      <c r="J4473" s="24">
        <v>320.3</v>
      </c>
      <c r="K4473" s="21">
        <v>0</v>
      </c>
      <c r="L4473" s="21">
        <v>0</v>
      </c>
      <c r="M4473" s="21">
        <f>COUNTIF($A$2:$A$5481,A4473)</f>
        <v>1</v>
      </c>
      <c r="N4473" s="24">
        <f t="shared" si="69"/>
        <v>320.3004473</v>
      </c>
    </row>
    <row r="4474" spans="1:14">
      <c r="A4474" s="21" t="s">
        <v>4114</v>
      </c>
      <c r="B4474" s="21" t="s">
        <v>929</v>
      </c>
      <c r="C4474" s="21" t="s">
        <v>26</v>
      </c>
      <c r="D4474" s="21" t="s">
        <v>1068</v>
      </c>
      <c r="E4474" s="21">
        <v>50</v>
      </c>
      <c r="F4474" s="22">
        <v>46240.8037615741</v>
      </c>
      <c r="G4474" s="22"/>
      <c r="H4474" s="23">
        <v>610</v>
      </c>
      <c r="I4474" s="23">
        <v>12.2</v>
      </c>
      <c r="J4474" s="24">
        <v>610</v>
      </c>
      <c r="K4474" s="21">
        <v>0</v>
      </c>
      <c r="L4474" s="21">
        <v>0</v>
      </c>
      <c r="M4474" s="21">
        <f>COUNTIF($A$2:$A$5481,A4474)</f>
        <v>1</v>
      </c>
      <c r="N4474" s="24">
        <f t="shared" si="69"/>
        <v>610.0004474</v>
      </c>
    </row>
    <row r="4475" spans="1:14">
      <c r="A4475" s="21" t="s">
        <v>4115</v>
      </c>
      <c r="B4475" s="21" t="s">
        <v>920</v>
      </c>
      <c r="C4475" s="21" t="s">
        <v>26</v>
      </c>
      <c r="D4475" s="21" t="s">
        <v>921</v>
      </c>
      <c r="E4475" s="21">
        <v>1</v>
      </c>
      <c r="F4475" s="22">
        <v>45950.5788425926</v>
      </c>
      <c r="G4475" s="22">
        <v>45965.4507175926</v>
      </c>
      <c r="H4475" s="23">
        <v>120</v>
      </c>
      <c r="I4475" s="23">
        <v>60</v>
      </c>
      <c r="J4475" s="24">
        <v>60</v>
      </c>
      <c r="K4475" s="21">
        <v>0</v>
      </c>
      <c r="L4475" s="21">
        <v>0</v>
      </c>
      <c r="M4475" s="21">
        <f>COUNTIF($A$2:$A$5481,A4475)</f>
        <v>1</v>
      </c>
      <c r="N4475" s="24">
        <f t="shared" si="69"/>
        <v>60.0004475</v>
      </c>
    </row>
    <row r="4476" spans="1:14">
      <c r="A4476" s="21" t="s">
        <v>4116</v>
      </c>
      <c r="B4476" s="21" t="s">
        <v>26</v>
      </c>
      <c r="C4476" s="21" t="s">
        <v>26</v>
      </c>
      <c r="D4476" s="21" t="s">
        <v>1068</v>
      </c>
      <c r="E4476" s="21">
        <v>50</v>
      </c>
      <c r="F4476" s="22">
        <v>45595.8435416667</v>
      </c>
      <c r="G4476" s="22"/>
      <c r="H4476" s="23">
        <v>364.5</v>
      </c>
      <c r="I4476" s="23">
        <v>7.29</v>
      </c>
      <c r="J4476" s="24">
        <v>364.5</v>
      </c>
      <c r="K4476" s="21">
        <v>0</v>
      </c>
      <c r="L4476" s="21">
        <v>0</v>
      </c>
      <c r="M4476" s="21">
        <f>COUNTIF($A$2:$A$5481,A4476)</f>
        <v>1</v>
      </c>
      <c r="N4476" s="24">
        <f t="shared" si="69"/>
        <v>364.5004476</v>
      </c>
    </row>
    <row r="4477" spans="1:14">
      <c r="A4477" s="21" t="s">
        <v>242</v>
      </c>
      <c r="B4477" s="21" t="s">
        <v>920</v>
      </c>
      <c r="C4477" s="21" t="s">
        <v>35</v>
      </c>
      <c r="D4477" s="21" t="s">
        <v>921</v>
      </c>
      <c r="E4477" s="21">
        <v>3</v>
      </c>
      <c r="F4477" s="22">
        <v>45938.5693055556</v>
      </c>
      <c r="G4477" s="22"/>
      <c r="H4477" s="23">
        <v>540</v>
      </c>
      <c r="I4477" s="23">
        <v>180</v>
      </c>
      <c r="J4477" s="24">
        <v>540</v>
      </c>
      <c r="K4477" s="21">
        <v>0</v>
      </c>
      <c r="L4477" s="21">
        <v>0</v>
      </c>
      <c r="M4477" s="21">
        <f>COUNTIF($A$2:$A$5481,A4477)</f>
        <v>2</v>
      </c>
      <c r="N4477" s="24">
        <f t="shared" si="69"/>
        <v>540.0004477</v>
      </c>
    </row>
    <row r="4478" spans="1:14">
      <c r="A4478" s="21" t="s">
        <v>242</v>
      </c>
      <c r="B4478" s="21" t="s">
        <v>920</v>
      </c>
      <c r="C4478" s="21" t="s">
        <v>26</v>
      </c>
      <c r="D4478" s="21" t="s">
        <v>921</v>
      </c>
      <c r="E4478" s="21">
        <v>1</v>
      </c>
      <c r="F4478" s="22">
        <v>46051.6177083333</v>
      </c>
      <c r="G4478" s="22">
        <v>46064.35875</v>
      </c>
      <c r="H4478" s="23">
        <v>128</v>
      </c>
      <c r="I4478" s="23">
        <v>125.875</v>
      </c>
      <c r="J4478" s="24">
        <v>125.88</v>
      </c>
      <c r="K4478" s="21">
        <v>0</v>
      </c>
      <c r="L4478" s="21">
        <v>0</v>
      </c>
      <c r="M4478" s="21">
        <f>COUNTIF($A$2:$A$5481,A4478)</f>
        <v>2</v>
      </c>
      <c r="N4478" s="24">
        <f t="shared" si="69"/>
        <v>125.8804478</v>
      </c>
    </row>
    <row r="4479" spans="1:14">
      <c r="A4479" s="21" t="s">
        <v>4117</v>
      </c>
      <c r="B4479" s="21" t="s">
        <v>26</v>
      </c>
      <c r="C4479" s="21" t="s">
        <v>26</v>
      </c>
      <c r="D4479" s="21" t="s">
        <v>921</v>
      </c>
      <c r="E4479" s="21">
        <v>2</v>
      </c>
      <c r="F4479" s="22">
        <v>45524.4275694444</v>
      </c>
      <c r="G4479" s="22"/>
      <c r="H4479" s="23">
        <v>50</v>
      </c>
      <c r="I4479" s="23">
        <v>25</v>
      </c>
      <c r="J4479" s="24">
        <v>50</v>
      </c>
      <c r="K4479" s="21">
        <v>0</v>
      </c>
      <c r="L4479" s="21">
        <v>0</v>
      </c>
      <c r="M4479" s="21">
        <f>COUNTIF($A$2:$A$5481,A4479)</f>
        <v>1</v>
      </c>
      <c r="N4479" s="24">
        <f t="shared" si="69"/>
        <v>50.0004479</v>
      </c>
    </row>
    <row r="4480" spans="1:14">
      <c r="A4480" s="21" t="s">
        <v>744</v>
      </c>
      <c r="B4480" s="21" t="s">
        <v>1175</v>
      </c>
      <c r="C4480" s="21" t="s">
        <v>26</v>
      </c>
      <c r="D4480" s="21" t="s">
        <v>921</v>
      </c>
      <c r="E4480" s="21">
        <v>0</v>
      </c>
      <c r="F4480" s="22">
        <v>45471.3952662037</v>
      </c>
      <c r="G4480" s="22">
        <v>46252.6094097222</v>
      </c>
      <c r="H4480" s="23">
        <v>116.91</v>
      </c>
      <c r="I4480" s="23">
        <v>13.43</v>
      </c>
      <c r="J4480" s="24">
        <v>0</v>
      </c>
      <c r="K4480" s="21">
        <v>0</v>
      </c>
      <c r="L4480" s="21">
        <v>0</v>
      </c>
      <c r="M4480" s="21">
        <f>COUNTIF($A$2:$A$5481,A4480)</f>
        <v>1</v>
      </c>
      <c r="N4480" s="24">
        <f t="shared" si="69"/>
        <v>0.000448</v>
      </c>
    </row>
    <row r="4481" spans="1:14">
      <c r="A4481" s="21" t="s">
        <v>4118</v>
      </c>
      <c r="B4481" s="21" t="s">
        <v>1175</v>
      </c>
      <c r="C4481" s="21" t="s">
        <v>26</v>
      </c>
      <c r="D4481" s="21" t="s">
        <v>1068</v>
      </c>
      <c r="E4481" s="21">
        <v>30</v>
      </c>
      <c r="F4481" s="22">
        <v>46125.4506944444</v>
      </c>
      <c r="G4481" s="22"/>
      <c r="H4481" s="23">
        <v>186</v>
      </c>
      <c r="I4481" s="23">
        <v>6.2</v>
      </c>
      <c r="J4481" s="24">
        <v>186</v>
      </c>
      <c r="K4481" s="21">
        <v>0</v>
      </c>
      <c r="L4481" s="21">
        <v>0</v>
      </c>
      <c r="M4481" s="21">
        <f>COUNTIF($A$2:$A$5481,A4481)</f>
        <v>1</v>
      </c>
      <c r="N4481" s="24">
        <f t="shared" si="69"/>
        <v>186.0004481</v>
      </c>
    </row>
    <row r="4482" spans="1:14">
      <c r="A4482" s="21" t="s">
        <v>4119</v>
      </c>
      <c r="B4482" s="21" t="s">
        <v>920</v>
      </c>
      <c r="C4482" s="21" t="s">
        <v>35</v>
      </c>
      <c r="D4482" s="21" t="s">
        <v>921</v>
      </c>
      <c r="E4482" s="21">
        <v>0</v>
      </c>
      <c r="F4482" s="22">
        <v>45293.8092708333</v>
      </c>
      <c r="G4482" s="22">
        <v>45295.4140509259</v>
      </c>
      <c r="H4482" s="23">
        <v>96</v>
      </c>
      <c r="I4482" s="23">
        <v>48</v>
      </c>
      <c r="J4482" s="24">
        <v>0</v>
      </c>
      <c r="K4482" s="21">
        <v>1</v>
      </c>
      <c r="L4482" s="21">
        <v>5</v>
      </c>
      <c r="M4482" s="21">
        <f>COUNTIF($A$2:$A$5481,A4482)</f>
        <v>1</v>
      </c>
      <c r="N4482" s="24">
        <f t="shared" ref="N4482:N4545" si="70">J4482+ROW()/10000000</f>
        <v>0.0004482</v>
      </c>
    </row>
    <row r="4483" spans="1:14">
      <c r="A4483" s="21" t="s">
        <v>153</v>
      </c>
      <c r="B4483" s="21" t="s">
        <v>920</v>
      </c>
      <c r="C4483" s="21" t="s">
        <v>26</v>
      </c>
      <c r="D4483" s="21" t="s">
        <v>921</v>
      </c>
      <c r="E4483" s="21">
        <v>11</v>
      </c>
      <c r="F4483" s="22">
        <v>46049.5740625</v>
      </c>
      <c r="G4483" s="22">
        <v>46111.5355787037</v>
      </c>
      <c r="H4483" s="23">
        <v>175</v>
      </c>
      <c r="I4483" s="23">
        <v>18.5109848485</v>
      </c>
      <c r="J4483" s="24">
        <v>203.61</v>
      </c>
      <c r="K4483" s="21">
        <v>0</v>
      </c>
      <c r="L4483" s="21">
        <v>0</v>
      </c>
      <c r="M4483" s="21">
        <f>COUNTIF($A$2:$A$5481,A4483)</f>
        <v>1</v>
      </c>
      <c r="N4483" s="24">
        <f t="shared" si="70"/>
        <v>203.6104483</v>
      </c>
    </row>
    <row r="4484" spans="1:14">
      <c r="A4484" s="21" t="s">
        <v>4120</v>
      </c>
      <c r="B4484" s="21" t="s">
        <v>26</v>
      </c>
      <c r="C4484" s="21" t="s">
        <v>26</v>
      </c>
      <c r="D4484" s="21" t="s">
        <v>921</v>
      </c>
      <c r="E4484" s="21">
        <v>1</v>
      </c>
      <c r="F4484" s="22">
        <v>45617.3518171296</v>
      </c>
      <c r="G4484" s="22"/>
      <c r="H4484" s="23">
        <v>84.8</v>
      </c>
      <c r="I4484" s="23">
        <v>84.8</v>
      </c>
      <c r="J4484" s="24">
        <v>84.8</v>
      </c>
      <c r="K4484" s="21">
        <v>0</v>
      </c>
      <c r="L4484" s="21">
        <v>0</v>
      </c>
      <c r="M4484" s="21">
        <f>COUNTIF($A$2:$A$5481,A4484)</f>
        <v>1</v>
      </c>
      <c r="N4484" s="24">
        <f t="shared" si="70"/>
        <v>84.8004484</v>
      </c>
    </row>
    <row r="4485" spans="1:14">
      <c r="A4485" s="21" t="s">
        <v>4121</v>
      </c>
      <c r="B4485" s="21" t="s">
        <v>26</v>
      </c>
      <c r="C4485" s="21" t="s">
        <v>26</v>
      </c>
      <c r="D4485" s="21" t="s">
        <v>921</v>
      </c>
      <c r="E4485" s="21">
        <v>1</v>
      </c>
      <c r="F4485" s="22">
        <v>45617.3518171296</v>
      </c>
      <c r="G4485" s="22"/>
      <c r="H4485" s="23">
        <v>90.8</v>
      </c>
      <c r="I4485" s="23">
        <v>90.8</v>
      </c>
      <c r="J4485" s="24">
        <v>90.8</v>
      </c>
      <c r="K4485" s="21">
        <v>0</v>
      </c>
      <c r="L4485" s="21">
        <v>0</v>
      </c>
      <c r="M4485" s="21">
        <f>COUNTIF($A$2:$A$5481,A4485)</f>
        <v>1</v>
      </c>
      <c r="N4485" s="24">
        <f t="shared" si="70"/>
        <v>90.8004485</v>
      </c>
    </row>
    <row r="4486" spans="1:14">
      <c r="A4486" s="21" t="s">
        <v>4122</v>
      </c>
      <c r="B4486" s="21" t="s">
        <v>920</v>
      </c>
      <c r="C4486" s="21" t="s">
        <v>26</v>
      </c>
      <c r="D4486" s="21" t="s">
        <v>931</v>
      </c>
      <c r="E4486" s="21">
        <v>1</v>
      </c>
      <c r="F4486" s="22">
        <v>45586.6644212963</v>
      </c>
      <c r="G4486" s="22">
        <v>45586.8420138889</v>
      </c>
      <c r="H4486" s="23">
        <v>140</v>
      </c>
      <c r="I4486" s="23">
        <v>70</v>
      </c>
      <c r="J4486" s="24">
        <v>70</v>
      </c>
      <c r="K4486" s="21">
        <v>0</v>
      </c>
      <c r="L4486" s="21">
        <v>0</v>
      </c>
      <c r="M4486" s="21">
        <f>COUNTIF($A$2:$A$5481,A4486)</f>
        <v>1</v>
      </c>
      <c r="N4486" s="24">
        <f t="shared" si="70"/>
        <v>70.0004486</v>
      </c>
    </row>
    <row r="4487" spans="1:14">
      <c r="A4487" s="21" t="s">
        <v>4123</v>
      </c>
      <c r="B4487" s="21" t="s">
        <v>929</v>
      </c>
      <c r="C4487" s="21" t="s">
        <v>26</v>
      </c>
      <c r="D4487" s="21" t="s">
        <v>921</v>
      </c>
      <c r="E4487" s="21">
        <v>2</v>
      </c>
      <c r="F4487" s="22">
        <v>45966.5645486111</v>
      </c>
      <c r="G4487" s="22"/>
      <c r="H4487" s="23">
        <v>689.8</v>
      </c>
      <c r="I4487" s="23">
        <v>647.195</v>
      </c>
      <c r="J4487" s="24">
        <v>1294.4</v>
      </c>
      <c r="K4487" s="21">
        <v>0</v>
      </c>
      <c r="L4487" s="21">
        <v>0</v>
      </c>
      <c r="M4487" s="21">
        <f>COUNTIF($A$2:$A$5481,A4487)</f>
        <v>1</v>
      </c>
      <c r="N4487" s="24">
        <f t="shared" si="70"/>
        <v>1294.4004487</v>
      </c>
    </row>
    <row r="4488" spans="1:14">
      <c r="A4488" s="21" t="s">
        <v>4124</v>
      </c>
      <c r="B4488" s="21" t="s">
        <v>26</v>
      </c>
      <c r="C4488" s="21" t="s">
        <v>26</v>
      </c>
      <c r="D4488" s="21" t="s">
        <v>921</v>
      </c>
      <c r="E4488" s="21">
        <v>1</v>
      </c>
      <c r="F4488" s="22">
        <v>45664.3809375</v>
      </c>
      <c r="G4488" s="22"/>
      <c r="H4488" s="23">
        <v>462.24</v>
      </c>
      <c r="I4488" s="23">
        <v>462.24</v>
      </c>
      <c r="J4488" s="24">
        <v>462.24</v>
      </c>
      <c r="K4488" s="21">
        <v>0</v>
      </c>
      <c r="L4488" s="21">
        <v>0</v>
      </c>
      <c r="M4488" s="21">
        <f>COUNTIF($A$2:$A$5481,A4488)</f>
        <v>1</v>
      </c>
      <c r="N4488" s="24">
        <f t="shared" si="70"/>
        <v>462.2404488</v>
      </c>
    </row>
    <row r="4489" spans="1:14">
      <c r="A4489" s="21" t="s">
        <v>4125</v>
      </c>
      <c r="B4489" s="21" t="s">
        <v>26</v>
      </c>
      <c r="C4489" s="21" t="s">
        <v>26</v>
      </c>
      <c r="D4489" s="21" t="s">
        <v>921</v>
      </c>
      <c r="E4489" s="21">
        <v>4</v>
      </c>
      <c r="F4489" s="22">
        <v>46085.5339930556</v>
      </c>
      <c r="G4489" s="22"/>
      <c r="H4489" s="23">
        <v>330.47</v>
      </c>
      <c r="I4489" s="23">
        <v>286.5925</v>
      </c>
      <c r="J4489" s="24">
        <v>1146.36</v>
      </c>
      <c r="K4489" s="21">
        <v>0</v>
      </c>
      <c r="L4489" s="21">
        <v>0</v>
      </c>
      <c r="M4489" s="21">
        <f>COUNTIF($A$2:$A$5481,A4489)</f>
        <v>1</v>
      </c>
      <c r="N4489" s="24">
        <f t="shared" si="70"/>
        <v>1146.3604489</v>
      </c>
    </row>
    <row r="4490" spans="1:14">
      <c r="A4490" s="21" t="s">
        <v>4126</v>
      </c>
      <c r="B4490" s="21" t="s">
        <v>26</v>
      </c>
      <c r="C4490" s="21" t="s">
        <v>26</v>
      </c>
      <c r="D4490" s="21" t="s">
        <v>1068</v>
      </c>
      <c r="E4490" s="21">
        <v>108</v>
      </c>
      <c r="F4490" s="22">
        <v>46265.50625</v>
      </c>
      <c r="G4490" s="22"/>
      <c r="H4490" s="23">
        <v>883.7</v>
      </c>
      <c r="I4490" s="23">
        <v>17.5777777778</v>
      </c>
      <c r="J4490" s="24">
        <v>1898.64</v>
      </c>
      <c r="K4490" s="21">
        <v>0</v>
      </c>
      <c r="L4490" s="21">
        <v>0</v>
      </c>
      <c r="M4490" s="21">
        <f>COUNTIF($A$2:$A$5481,A4490)</f>
        <v>1</v>
      </c>
      <c r="N4490" s="24">
        <f t="shared" si="70"/>
        <v>1898.640449</v>
      </c>
    </row>
    <row r="4491" spans="1:14">
      <c r="A4491" s="21" t="s">
        <v>4127</v>
      </c>
      <c r="B4491" s="21" t="s">
        <v>26</v>
      </c>
      <c r="C4491" s="21" t="s">
        <v>26</v>
      </c>
      <c r="D4491" s="21" t="s">
        <v>921</v>
      </c>
      <c r="E4491" s="21">
        <v>107</v>
      </c>
      <c r="F4491" s="22">
        <v>45784.3849884259</v>
      </c>
      <c r="G4491" s="22"/>
      <c r="H4491" s="23">
        <v>572</v>
      </c>
      <c r="I4491" s="23">
        <v>5.81028</v>
      </c>
      <c r="J4491" s="24">
        <v>621.67</v>
      </c>
      <c r="K4491" s="21">
        <v>0</v>
      </c>
      <c r="L4491" s="21">
        <v>0</v>
      </c>
      <c r="M4491" s="21">
        <f>COUNTIF($A$2:$A$5481,A4491)</f>
        <v>1</v>
      </c>
      <c r="N4491" s="24">
        <f t="shared" si="70"/>
        <v>621.6704491</v>
      </c>
    </row>
    <row r="4492" spans="1:14">
      <c r="A4492" s="21" t="s">
        <v>4128</v>
      </c>
      <c r="B4492" s="21" t="s">
        <v>929</v>
      </c>
      <c r="C4492" s="21" t="s">
        <v>26</v>
      </c>
      <c r="D4492" s="21" t="s">
        <v>921</v>
      </c>
      <c r="E4492" s="21">
        <v>1</v>
      </c>
      <c r="F4492" s="22">
        <v>46174.5703125</v>
      </c>
      <c r="G4492" s="22"/>
      <c r="H4492" s="23">
        <v>32.62</v>
      </c>
      <c r="I4492" s="23">
        <v>32.62</v>
      </c>
      <c r="J4492" s="24">
        <v>32.62</v>
      </c>
      <c r="K4492" s="21">
        <v>0</v>
      </c>
      <c r="L4492" s="21">
        <v>0</v>
      </c>
      <c r="M4492" s="21">
        <f>COUNTIF($A$2:$A$5481,A4492)</f>
        <v>1</v>
      </c>
      <c r="N4492" s="24">
        <f t="shared" si="70"/>
        <v>32.6204492</v>
      </c>
    </row>
    <row r="4493" spans="1:14">
      <c r="A4493" s="21" t="s">
        <v>4129</v>
      </c>
      <c r="B4493" s="21" t="s">
        <v>929</v>
      </c>
      <c r="C4493" s="21" t="s">
        <v>26</v>
      </c>
      <c r="D4493" s="21" t="s">
        <v>921</v>
      </c>
      <c r="E4493" s="21">
        <v>5</v>
      </c>
      <c r="F4493" s="22">
        <v>45314.5194444444</v>
      </c>
      <c r="G4493" s="22"/>
      <c r="H4493" s="23">
        <v>59.7</v>
      </c>
      <c r="I4493" s="23">
        <v>11.94</v>
      </c>
      <c r="J4493" s="24">
        <v>59.7</v>
      </c>
      <c r="K4493" s="21">
        <v>0</v>
      </c>
      <c r="L4493" s="21">
        <v>0</v>
      </c>
      <c r="M4493" s="21">
        <f>COUNTIF($A$2:$A$5481,A4493)</f>
        <v>1</v>
      </c>
      <c r="N4493" s="24">
        <f t="shared" si="70"/>
        <v>59.7004493</v>
      </c>
    </row>
    <row r="4494" spans="1:14">
      <c r="A4494" s="21" t="s">
        <v>4130</v>
      </c>
      <c r="B4494" s="21" t="s">
        <v>920</v>
      </c>
      <c r="C4494" s="21" t="s">
        <v>26</v>
      </c>
      <c r="D4494" s="21" t="s">
        <v>921</v>
      </c>
      <c r="E4494" s="21">
        <v>1</v>
      </c>
      <c r="F4494" s="22">
        <v>45363.3909722222</v>
      </c>
      <c r="G4494" s="22"/>
      <c r="H4494" s="23">
        <v>1429</v>
      </c>
      <c r="I4494" s="23">
        <v>1429</v>
      </c>
      <c r="J4494" s="24">
        <v>1429</v>
      </c>
      <c r="K4494" s="21">
        <v>0</v>
      </c>
      <c r="L4494" s="21">
        <v>0</v>
      </c>
      <c r="M4494" s="21">
        <f>COUNTIF($A$2:$A$5481,A4494)</f>
        <v>1</v>
      </c>
      <c r="N4494" s="24">
        <f t="shared" si="70"/>
        <v>1429.0004494</v>
      </c>
    </row>
    <row r="4495" spans="1:14">
      <c r="A4495" s="21" t="s">
        <v>4131</v>
      </c>
      <c r="B4495" s="21" t="s">
        <v>920</v>
      </c>
      <c r="C4495" s="21" t="s">
        <v>26</v>
      </c>
      <c r="D4495" s="21" t="s">
        <v>931</v>
      </c>
      <c r="E4495" s="21">
        <v>2</v>
      </c>
      <c r="F4495" s="22">
        <v>45813.5686574074</v>
      </c>
      <c r="G4495" s="22"/>
      <c r="H4495" s="23">
        <v>2518</v>
      </c>
      <c r="I4495" s="23">
        <v>1259</v>
      </c>
      <c r="J4495" s="24">
        <v>2518</v>
      </c>
      <c r="K4495" s="21">
        <v>0</v>
      </c>
      <c r="L4495" s="21">
        <v>0</v>
      </c>
      <c r="M4495" s="21">
        <f>COUNTIF($A$2:$A$5481,A4495)</f>
        <v>1</v>
      </c>
      <c r="N4495" s="24">
        <f t="shared" si="70"/>
        <v>2518.0004495</v>
      </c>
    </row>
    <row r="4496" spans="1:14">
      <c r="A4496" s="21" t="s">
        <v>515</v>
      </c>
      <c r="B4496" s="21" t="s">
        <v>920</v>
      </c>
      <c r="C4496" s="21" t="s">
        <v>26</v>
      </c>
      <c r="D4496" s="21" t="s">
        <v>921</v>
      </c>
      <c r="E4496" s="21">
        <v>0</v>
      </c>
      <c r="F4496" s="22">
        <v>46227.6832060185</v>
      </c>
      <c r="G4496" s="22">
        <v>46241.556875</v>
      </c>
      <c r="H4496" s="23">
        <v>11.9</v>
      </c>
      <c r="I4496" s="23">
        <v>11.9</v>
      </c>
      <c r="J4496" s="24">
        <v>0</v>
      </c>
      <c r="K4496" s="21">
        <v>0</v>
      </c>
      <c r="L4496" s="21">
        <v>0</v>
      </c>
      <c r="M4496" s="21">
        <f>COUNTIF($A$2:$A$5481,A4496)</f>
        <v>1</v>
      </c>
      <c r="N4496" s="24">
        <f t="shared" si="70"/>
        <v>0.0004496</v>
      </c>
    </row>
    <row r="4497" spans="1:14">
      <c r="A4497" s="21" t="s">
        <v>4132</v>
      </c>
      <c r="B4497" s="21" t="s">
        <v>920</v>
      </c>
      <c r="C4497" s="21" t="s">
        <v>35</v>
      </c>
      <c r="D4497" s="21" t="s">
        <v>921</v>
      </c>
      <c r="E4497" s="21">
        <v>0</v>
      </c>
      <c r="F4497" s="22">
        <v>45370.5465277778</v>
      </c>
      <c r="G4497" s="22">
        <v>45372.4657291667</v>
      </c>
      <c r="H4497" s="23">
        <v>50</v>
      </c>
      <c r="I4497" s="23">
        <v>50</v>
      </c>
      <c r="J4497" s="24">
        <v>0</v>
      </c>
      <c r="K4497" s="21">
        <v>0</v>
      </c>
      <c r="L4497" s="21">
        <v>0</v>
      </c>
      <c r="M4497" s="21">
        <f>COUNTIF($A$2:$A$5481,A4497)</f>
        <v>1</v>
      </c>
      <c r="N4497" s="24">
        <f t="shared" si="70"/>
        <v>0.0004497</v>
      </c>
    </row>
    <row r="4498" spans="1:14">
      <c r="A4498" s="21" t="s">
        <v>4133</v>
      </c>
      <c r="B4498" s="21" t="s">
        <v>920</v>
      </c>
      <c r="C4498" s="21" t="s">
        <v>26</v>
      </c>
      <c r="D4498" s="21" t="s">
        <v>931</v>
      </c>
      <c r="E4498" s="21">
        <v>1</v>
      </c>
      <c r="F4498" s="22">
        <v>45784.4081134259</v>
      </c>
      <c r="G4498" s="22"/>
      <c r="H4498" s="23">
        <v>124</v>
      </c>
      <c r="I4498" s="23">
        <v>124</v>
      </c>
      <c r="J4498" s="24">
        <v>124</v>
      </c>
      <c r="K4498" s="21">
        <v>0</v>
      </c>
      <c r="L4498" s="21">
        <v>0</v>
      </c>
      <c r="M4498" s="21">
        <f>COUNTIF($A$2:$A$5481,A4498)</f>
        <v>1</v>
      </c>
      <c r="N4498" s="24">
        <f t="shared" si="70"/>
        <v>124.0004498</v>
      </c>
    </row>
    <row r="4499" spans="1:14">
      <c r="A4499" s="21" t="s">
        <v>4134</v>
      </c>
      <c r="B4499" s="21" t="s">
        <v>920</v>
      </c>
      <c r="C4499" s="21" t="s">
        <v>26</v>
      </c>
      <c r="D4499" s="21" t="s">
        <v>921</v>
      </c>
      <c r="E4499" s="21">
        <v>2</v>
      </c>
      <c r="F4499" s="22">
        <v>45407.7394444444</v>
      </c>
      <c r="G4499" s="22"/>
      <c r="H4499" s="23">
        <v>124</v>
      </c>
      <c r="I4499" s="23">
        <v>62</v>
      </c>
      <c r="J4499" s="24">
        <v>124</v>
      </c>
      <c r="K4499" s="21">
        <v>0</v>
      </c>
      <c r="L4499" s="21">
        <v>0</v>
      </c>
      <c r="M4499" s="21">
        <f>COUNTIF($A$2:$A$5481,A4499)</f>
        <v>1</v>
      </c>
      <c r="N4499" s="24">
        <f t="shared" si="70"/>
        <v>124.0004499</v>
      </c>
    </row>
    <row r="4500" spans="1:14">
      <c r="A4500" s="21" t="s">
        <v>4135</v>
      </c>
      <c r="B4500" s="21" t="s">
        <v>920</v>
      </c>
      <c r="C4500" s="21" t="s">
        <v>26</v>
      </c>
      <c r="D4500" s="21" t="s">
        <v>921</v>
      </c>
      <c r="E4500" s="21">
        <v>1</v>
      </c>
      <c r="F4500" s="22">
        <v>45553.8350115741</v>
      </c>
      <c r="G4500" s="22"/>
      <c r="H4500" s="23">
        <v>145</v>
      </c>
      <c r="I4500" s="23">
        <v>145</v>
      </c>
      <c r="J4500" s="24">
        <v>145</v>
      </c>
      <c r="K4500" s="21">
        <v>0</v>
      </c>
      <c r="L4500" s="21">
        <v>0</v>
      </c>
      <c r="M4500" s="21">
        <f>COUNTIF($A$2:$A$5481,A4500)</f>
        <v>1</v>
      </c>
      <c r="N4500" s="24">
        <f t="shared" si="70"/>
        <v>145.00045</v>
      </c>
    </row>
    <row r="4501" spans="1:14">
      <c r="A4501" s="21" t="s">
        <v>4136</v>
      </c>
      <c r="B4501" s="21" t="s">
        <v>920</v>
      </c>
      <c r="C4501" s="21" t="s">
        <v>26</v>
      </c>
      <c r="D4501" s="21" t="s">
        <v>921</v>
      </c>
      <c r="E4501" s="21">
        <v>1</v>
      </c>
      <c r="F4501" s="22">
        <v>46058.7130208333</v>
      </c>
      <c r="G4501" s="22"/>
      <c r="H4501" s="23">
        <v>46.3</v>
      </c>
      <c r="I4501" s="23">
        <v>46.3</v>
      </c>
      <c r="J4501" s="24">
        <v>46.3</v>
      </c>
      <c r="K4501" s="21">
        <v>0</v>
      </c>
      <c r="L4501" s="21">
        <v>0</v>
      </c>
      <c r="M4501" s="21">
        <f>COUNTIF($A$2:$A$5481,A4501)</f>
        <v>1</v>
      </c>
      <c r="N4501" s="24">
        <f t="shared" si="70"/>
        <v>46.3004501</v>
      </c>
    </row>
    <row r="4502" spans="1:14">
      <c r="A4502" s="21" t="s">
        <v>4137</v>
      </c>
      <c r="B4502" s="21" t="s">
        <v>948</v>
      </c>
      <c r="C4502" s="21" t="s">
        <v>26</v>
      </c>
      <c r="D4502" s="21" t="s">
        <v>921</v>
      </c>
      <c r="E4502" s="21">
        <v>1</v>
      </c>
      <c r="F4502" s="22">
        <v>46129.5444907407</v>
      </c>
      <c r="G4502" s="22"/>
      <c r="H4502" s="23">
        <v>20</v>
      </c>
      <c r="I4502" s="23">
        <v>20</v>
      </c>
      <c r="J4502" s="24">
        <v>20</v>
      </c>
      <c r="K4502" s="21">
        <v>0</v>
      </c>
      <c r="L4502" s="21">
        <v>0</v>
      </c>
      <c r="M4502" s="21">
        <f>COUNTIF($A$2:$A$5481,A4502)</f>
        <v>1</v>
      </c>
      <c r="N4502" s="24">
        <f t="shared" si="70"/>
        <v>20.0004502</v>
      </c>
    </row>
    <row r="4503" spans="1:14">
      <c r="A4503" s="21" t="s">
        <v>4138</v>
      </c>
      <c r="B4503" s="21" t="s">
        <v>920</v>
      </c>
      <c r="C4503" s="21" t="s">
        <v>35</v>
      </c>
      <c r="D4503" s="21" t="s">
        <v>921</v>
      </c>
      <c r="E4503" s="21">
        <v>2</v>
      </c>
      <c r="F4503" s="22">
        <v>45849.3919097222</v>
      </c>
      <c r="G4503" s="22">
        <v>45637.4198611111</v>
      </c>
      <c r="H4503" s="23">
        <v>1200</v>
      </c>
      <c r="I4503" s="23">
        <v>1225</v>
      </c>
      <c r="J4503" s="24">
        <v>2450</v>
      </c>
      <c r="K4503" s="21">
        <v>0</v>
      </c>
      <c r="L4503" s="21">
        <v>0</v>
      </c>
      <c r="M4503" s="21">
        <f>COUNTIF($A$2:$A$5481,A4503)</f>
        <v>1</v>
      </c>
      <c r="N4503" s="24">
        <f t="shared" si="70"/>
        <v>2450.0004503</v>
      </c>
    </row>
    <row r="4504" spans="1:14">
      <c r="A4504" s="21" t="s">
        <v>4139</v>
      </c>
      <c r="B4504" s="21" t="s">
        <v>920</v>
      </c>
      <c r="C4504" s="21" t="s">
        <v>35</v>
      </c>
      <c r="D4504" s="21" t="s">
        <v>921</v>
      </c>
      <c r="E4504" s="21">
        <v>3</v>
      </c>
      <c r="F4504" s="22">
        <v>45849.3919097222</v>
      </c>
      <c r="G4504" s="22"/>
      <c r="H4504" s="23">
        <v>1200</v>
      </c>
      <c r="I4504" s="23">
        <v>1055.33333</v>
      </c>
      <c r="J4504" s="24">
        <v>3165.99</v>
      </c>
      <c r="K4504" s="21">
        <v>0</v>
      </c>
      <c r="L4504" s="21">
        <v>0</v>
      </c>
      <c r="M4504" s="21">
        <f>COUNTIF($A$2:$A$5481,A4504)</f>
        <v>1</v>
      </c>
      <c r="N4504" s="24">
        <f t="shared" si="70"/>
        <v>3165.9904504</v>
      </c>
    </row>
    <row r="4505" spans="1:14">
      <c r="A4505" s="21" t="s">
        <v>4140</v>
      </c>
      <c r="B4505" s="21" t="s">
        <v>920</v>
      </c>
      <c r="C4505" s="21" t="s">
        <v>26</v>
      </c>
      <c r="D4505" s="21" t="s">
        <v>921</v>
      </c>
      <c r="E4505" s="21">
        <v>1</v>
      </c>
      <c r="F4505" s="22">
        <v>45922.5590162037</v>
      </c>
      <c r="G4505" s="22"/>
      <c r="H4505" s="23">
        <v>150</v>
      </c>
      <c r="I4505" s="23">
        <v>150</v>
      </c>
      <c r="J4505" s="24">
        <v>150</v>
      </c>
      <c r="K4505" s="21">
        <v>0</v>
      </c>
      <c r="L4505" s="21">
        <v>0</v>
      </c>
      <c r="M4505" s="21">
        <f>COUNTIF($A$2:$A$5481,A4505)</f>
        <v>1</v>
      </c>
      <c r="N4505" s="24">
        <f t="shared" si="70"/>
        <v>150.0004505</v>
      </c>
    </row>
    <row r="4506" spans="1:14">
      <c r="A4506" s="21" t="s">
        <v>253</v>
      </c>
      <c r="B4506" s="21" t="s">
        <v>920</v>
      </c>
      <c r="C4506" s="21" t="s">
        <v>26</v>
      </c>
      <c r="D4506" s="21" t="s">
        <v>921</v>
      </c>
      <c r="E4506" s="21">
        <v>1</v>
      </c>
      <c r="F4506" s="22">
        <v>46056.8098958333</v>
      </c>
      <c r="G4506" s="22">
        <v>46072.4136921296</v>
      </c>
      <c r="H4506" s="23">
        <v>349.6</v>
      </c>
      <c r="I4506" s="23">
        <v>174.8</v>
      </c>
      <c r="J4506" s="24">
        <v>174.8</v>
      </c>
      <c r="K4506" s="21">
        <v>0</v>
      </c>
      <c r="L4506" s="21">
        <v>0</v>
      </c>
      <c r="M4506" s="21">
        <f>COUNTIF($A$2:$A$5481,A4506)</f>
        <v>1</v>
      </c>
      <c r="N4506" s="24">
        <f t="shared" si="70"/>
        <v>174.8004506</v>
      </c>
    </row>
    <row r="4507" spans="1:14">
      <c r="A4507" s="21" t="s">
        <v>884</v>
      </c>
      <c r="B4507" s="21" t="s">
        <v>929</v>
      </c>
      <c r="C4507" s="21" t="s">
        <v>26</v>
      </c>
      <c r="D4507" s="21" t="s">
        <v>921</v>
      </c>
      <c r="E4507" s="21">
        <v>0</v>
      </c>
      <c r="F4507" s="22">
        <v>46268.6430555556</v>
      </c>
      <c r="G4507" s="22">
        <v>46273.6910069444</v>
      </c>
      <c r="H4507" s="23">
        <v>52.4</v>
      </c>
      <c r="I4507" s="23">
        <v>2.62</v>
      </c>
      <c r="J4507" s="24">
        <v>0</v>
      </c>
      <c r="K4507" s="21">
        <v>0</v>
      </c>
      <c r="L4507" s="21">
        <v>0</v>
      </c>
      <c r="M4507" s="21">
        <f>COUNTIF($A$2:$A$5481,A4507)</f>
        <v>1</v>
      </c>
      <c r="N4507" s="24">
        <f t="shared" si="70"/>
        <v>0.0004507</v>
      </c>
    </row>
    <row r="4508" spans="1:14">
      <c r="A4508" s="21" t="s">
        <v>4141</v>
      </c>
      <c r="B4508" s="21" t="s">
        <v>920</v>
      </c>
      <c r="C4508" s="21" t="s">
        <v>26</v>
      </c>
      <c r="D4508" s="21" t="s">
        <v>1068</v>
      </c>
      <c r="E4508" s="21">
        <v>13</v>
      </c>
      <c r="F4508" s="22">
        <v>46161.6176851852</v>
      </c>
      <c r="G4508" s="22"/>
      <c r="H4508" s="23">
        <v>73.2</v>
      </c>
      <c r="I4508" s="23">
        <v>6.3461538462</v>
      </c>
      <c r="J4508" s="24">
        <v>82.55</v>
      </c>
      <c r="K4508" s="21">
        <v>0</v>
      </c>
      <c r="L4508" s="21">
        <v>0</v>
      </c>
      <c r="M4508" s="21">
        <f>COUNTIF($A$2:$A$5481,A4508)</f>
        <v>1</v>
      </c>
      <c r="N4508" s="24">
        <f t="shared" si="70"/>
        <v>82.5504508</v>
      </c>
    </row>
    <row r="4509" spans="1:14">
      <c r="A4509" s="21" t="s">
        <v>4142</v>
      </c>
      <c r="B4509" s="21" t="s">
        <v>920</v>
      </c>
      <c r="C4509" s="21" t="s">
        <v>35</v>
      </c>
      <c r="D4509" s="21" t="s">
        <v>921</v>
      </c>
      <c r="E4509" s="21">
        <v>0</v>
      </c>
      <c r="F4509" s="22">
        <v>45954.3804282407</v>
      </c>
      <c r="G4509" s="22">
        <v>45958.4450694445</v>
      </c>
      <c r="H4509" s="23">
        <v>160</v>
      </c>
      <c r="I4509" s="23">
        <v>160</v>
      </c>
      <c r="J4509" s="24">
        <v>0</v>
      </c>
      <c r="K4509" s="21">
        <v>0</v>
      </c>
      <c r="L4509" s="21">
        <v>0</v>
      </c>
      <c r="M4509" s="21">
        <f>COUNTIF($A$2:$A$5481,A4509)</f>
        <v>1</v>
      </c>
      <c r="N4509" s="24">
        <f t="shared" si="70"/>
        <v>0.0004509</v>
      </c>
    </row>
    <row r="4510" spans="1:14">
      <c r="A4510" s="21" t="s">
        <v>4143</v>
      </c>
      <c r="B4510" s="21" t="s">
        <v>920</v>
      </c>
      <c r="C4510" s="21" t="s">
        <v>35</v>
      </c>
      <c r="D4510" s="21" t="s">
        <v>921</v>
      </c>
      <c r="E4510" s="21">
        <v>0</v>
      </c>
      <c r="F4510" s="22">
        <v>45954.3804282407</v>
      </c>
      <c r="G4510" s="22">
        <v>45958.4450578704</v>
      </c>
      <c r="H4510" s="23">
        <v>160</v>
      </c>
      <c r="I4510" s="23">
        <v>160</v>
      </c>
      <c r="J4510" s="24">
        <v>0</v>
      </c>
      <c r="K4510" s="21">
        <v>0</v>
      </c>
      <c r="L4510" s="21">
        <v>0</v>
      </c>
      <c r="M4510" s="21">
        <f>COUNTIF($A$2:$A$5481,A4510)</f>
        <v>1</v>
      </c>
      <c r="N4510" s="24">
        <f t="shared" si="70"/>
        <v>0.000451</v>
      </c>
    </row>
    <row r="4511" spans="1:14">
      <c r="A4511" s="21" t="s">
        <v>4144</v>
      </c>
      <c r="B4511" s="21" t="s">
        <v>929</v>
      </c>
      <c r="C4511" s="21" t="s">
        <v>26</v>
      </c>
      <c r="D4511" s="21" t="s">
        <v>921</v>
      </c>
      <c r="E4511" s="21">
        <v>10</v>
      </c>
      <c r="F4511" s="22">
        <v>45943.6782060185</v>
      </c>
      <c r="G4511" s="22"/>
      <c r="H4511" s="23">
        <v>45.4</v>
      </c>
      <c r="I4511" s="23">
        <v>4.54</v>
      </c>
      <c r="J4511" s="24">
        <v>45.4</v>
      </c>
      <c r="K4511" s="21">
        <v>0</v>
      </c>
      <c r="L4511" s="21">
        <v>0</v>
      </c>
      <c r="M4511" s="21">
        <f>COUNTIF($A$2:$A$5481,A4511)</f>
        <v>1</v>
      </c>
      <c r="N4511" s="24">
        <f t="shared" si="70"/>
        <v>45.4004511</v>
      </c>
    </row>
    <row r="4512" spans="1:14">
      <c r="A4512" s="21" t="s">
        <v>4145</v>
      </c>
      <c r="B4512" s="21" t="s">
        <v>929</v>
      </c>
      <c r="C4512" s="21" t="s">
        <v>26</v>
      </c>
      <c r="D4512" s="21" t="s">
        <v>921</v>
      </c>
      <c r="E4512" s="21">
        <v>30</v>
      </c>
      <c r="F4512" s="22">
        <v>45943.6782060185</v>
      </c>
      <c r="G4512" s="22"/>
      <c r="H4512" s="23">
        <v>163.8</v>
      </c>
      <c r="I4512" s="23">
        <v>5.46</v>
      </c>
      <c r="J4512" s="24">
        <v>163.8</v>
      </c>
      <c r="K4512" s="21">
        <v>0</v>
      </c>
      <c r="L4512" s="21">
        <v>0</v>
      </c>
      <c r="M4512" s="21">
        <f>COUNTIF($A$2:$A$5481,A4512)</f>
        <v>1</v>
      </c>
      <c r="N4512" s="24">
        <f t="shared" si="70"/>
        <v>163.8004512</v>
      </c>
    </row>
    <row r="4513" spans="1:14">
      <c r="A4513" s="21" t="s">
        <v>222</v>
      </c>
      <c r="B4513" s="21" t="s">
        <v>920</v>
      </c>
      <c r="C4513" s="21" t="s">
        <v>26</v>
      </c>
      <c r="D4513" s="21" t="s">
        <v>921</v>
      </c>
      <c r="E4513" s="21">
        <v>11</v>
      </c>
      <c r="F4513" s="22">
        <v>46056.8098958333</v>
      </c>
      <c r="G4513" s="22">
        <v>46057.3582291667</v>
      </c>
      <c r="H4513" s="23">
        <v>216</v>
      </c>
      <c r="I4513" s="23">
        <v>18</v>
      </c>
      <c r="J4513" s="24">
        <v>198</v>
      </c>
      <c r="K4513" s="21">
        <v>0</v>
      </c>
      <c r="L4513" s="21">
        <v>0</v>
      </c>
      <c r="M4513" s="21">
        <f>COUNTIF($A$2:$A$5481,A4513)</f>
        <v>1</v>
      </c>
      <c r="N4513" s="24">
        <f t="shared" si="70"/>
        <v>198.0004513</v>
      </c>
    </row>
    <row r="4514" spans="1:14">
      <c r="A4514" s="21" t="s">
        <v>4146</v>
      </c>
      <c r="B4514" s="21" t="s">
        <v>920</v>
      </c>
      <c r="C4514" s="21" t="s">
        <v>35</v>
      </c>
      <c r="D4514" s="21" t="s">
        <v>921</v>
      </c>
      <c r="E4514" s="21">
        <v>1</v>
      </c>
      <c r="F4514" s="22">
        <v>45322.8534837963</v>
      </c>
      <c r="G4514" s="22"/>
      <c r="H4514" s="23">
        <v>45</v>
      </c>
      <c r="I4514" s="23">
        <v>45</v>
      </c>
      <c r="J4514" s="24">
        <v>45</v>
      </c>
      <c r="K4514" s="21">
        <v>0</v>
      </c>
      <c r="L4514" s="21">
        <v>0</v>
      </c>
      <c r="M4514" s="21">
        <f>COUNTIF($A$2:$A$5481,A4514)</f>
        <v>1</v>
      </c>
      <c r="N4514" s="24">
        <f t="shared" si="70"/>
        <v>45.0004514</v>
      </c>
    </row>
    <row r="4515" spans="1:14">
      <c r="A4515" s="21" t="s">
        <v>4147</v>
      </c>
      <c r="B4515" s="21" t="s">
        <v>920</v>
      </c>
      <c r="C4515" s="21" t="s">
        <v>35</v>
      </c>
      <c r="D4515" s="21" t="s">
        <v>931</v>
      </c>
      <c r="E4515" s="21">
        <v>1</v>
      </c>
      <c r="F4515" s="22">
        <v>45791.3446643519</v>
      </c>
      <c r="G4515" s="22"/>
      <c r="H4515" s="23">
        <v>1200</v>
      </c>
      <c r="I4515" s="23">
        <v>1200</v>
      </c>
      <c r="J4515" s="24">
        <v>1200</v>
      </c>
      <c r="K4515" s="21">
        <v>0</v>
      </c>
      <c r="L4515" s="21">
        <v>0</v>
      </c>
      <c r="M4515" s="21">
        <f>COUNTIF($A$2:$A$5481,A4515)</f>
        <v>1</v>
      </c>
      <c r="N4515" s="24">
        <f t="shared" si="70"/>
        <v>1200.0004515</v>
      </c>
    </row>
    <row r="4516" spans="1:14">
      <c r="A4516" s="21" t="s">
        <v>4148</v>
      </c>
      <c r="B4516" s="21" t="s">
        <v>1175</v>
      </c>
      <c r="C4516" s="21" t="s">
        <v>26</v>
      </c>
      <c r="D4516" s="21" t="s">
        <v>921</v>
      </c>
      <c r="E4516" s="21">
        <v>7</v>
      </c>
      <c r="F4516" s="22">
        <v>45387.8504976852</v>
      </c>
      <c r="G4516" s="22"/>
      <c r="H4516" s="23">
        <v>121.66</v>
      </c>
      <c r="I4516" s="23">
        <v>17.38</v>
      </c>
      <c r="J4516" s="24">
        <v>121.66</v>
      </c>
      <c r="K4516" s="21">
        <v>0</v>
      </c>
      <c r="L4516" s="21">
        <v>0</v>
      </c>
      <c r="M4516" s="21">
        <f>COUNTIF($A$2:$A$5481,A4516)</f>
        <v>1</v>
      </c>
      <c r="N4516" s="24">
        <f t="shared" si="70"/>
        <v>121.6604516</v>
      </c>
    </row>
    <row r="4517" spans="1:14">
      <c r="A4517" s="21" t="s">
        <v>4149</v>
      </c>
      <c r="B4517" s="21" t="s">
        <v>26</v>
      </c>
      <c r="C4517" s="21" t="s">
        <v>182</v>
      </c>
      <c r="D4517" s="21" t="s">
        <v>921</v>
      </c>
      <c r="E4517" s="21">
        <v>0</v>
      </c>
      <c r="F4517" s="22">
        <v>45322.3472222222</v>
      </c>
      <c r="G4517" s="22">
        <v>45323.3961805556</v>
      </c>
      <c r="H4517" s="23">
        <v>40</v>
      </c>
      <c r="I4517" s="23">
        <v>20</v>
      </c>
      <c r="J4517" s="24">
        <v>0</v>
      </c>
      <c r="K4517" s="21">
        <v>0</v>
      </c>
      <c r="L4517" s="21">
        <v>0</v>
      </c>
      <c r="M4517" s="21">
        <f>COUNTIF($A$2:$A$5481,A4517)</f>
        <v>1</v>
      </c>
      <c r="N4517" s="24">
        <f t="shared" si="70"/>
        <v>0.0004517</v>
      </c>
    </row>
    <row r="4518" spans="1:14">
      <c r="A4518" s="21" t="s">
        <v>4150</v>
      </c>
      <c r="B4518" s="21" t="s">
        <v>920</v>
      </c>
      <c r="C4518" s="21" t="s">
        <v>26</v>
      </c>
      <c r="D4518" s="21" t="s">
        <v>921</v>
      </c>
      <c r="E4518" s="21">
        <v>1</v>
      </c>
      <c r="F4518" s="22">
        <v>45429.6017939815</v>
      </c>
      <c r="G4518" s="22"/>
      <c r="H4518" s="23">
        <v>4.62</v>
      </c>
      <c r="I4518" s="23">
        <v>4.62</v>
      </c>
      <c r="J4518" s="24">
        <v>4.62</v>
      </c>
      <c r="K4518" s="21">
        <v>0</v>
      </c>
      <c r="L4518" s="21">
        <v>0</v>
      </c>
      <c r="M4518" s="21">
        <f>COUNTIF($A$2:$A$5481,A4518)</f>
        <v>1</v>
      </c>
      <c r="N4518" s="24">
        <f t="shared" si="70"/>
        <v>4.6204518</v>
      </c>
    </row>
    <row r="4519" spans="1:14">
      <c r="A4519" s="21" t="s">
        <v>4151</v>
      </c>
      <c r="B4519" s="21" t="s">
        <v>920</v>
      </c>
      <c r="C4519" s="21" t="s">
        <v>26</v>
      </c>
      <c r="D4519" s="21" t="s">
        <v>921</v>
      </c>
      <c r="E4519" s="21">
        <v>2</v>
      </c>
      <c r="F4519" s="22">
        <v>46248.550775463</v>
      </c>
      <c r="G4519" s="22"/>
      <c r="H4519" s="23">
        <v>3.3</v>
      </c>
      <c r="I4519" s="23">
        <v>1.65</v>
      </c>
      <c r="J4519" s="24">
        <v>3.3</v>
      </c>
      <c r="K4519" s="21">
        <v>0</v>
      </c>
      <c r="L4519" s="21">
        <v>0</v>
      </c>
      <c r="M4519" s="21">
        <f>COUNTIF($A$2:$A$5481,A4519)</f>
        <v>1</v>
      </c>
      <c r="N4519" s="24">
        <f t="shared" si="70"/>
        <v>3.3004519</v>
      </c>
    </row>
    <row r="4520" spans="1:14">
      <c r="A4520" s="21" t="s">
        <v>4152</v>
      </c>
      <c r="B4520" s="21" t="s">
        <v>926</v>
      </c>
      <c r="C4520" s="21" t="s">
        <v>38</v>
      </c>
      <c r="D4520" s="21" t="s">
        <v>921</v>
      </c>
      <c r="E4520" s="21">
        <v>3</v>
      </c>
      <c r="F4520" s="22">
        <v>45314.4583333333</v>
      </c>
      <c r="G4520" s="22"/>
      <c r="H4520" s="23">
        <v>116.13</v>
      </c>
      <c r="I4520" s="23">
        <v>38.71</v>
      </c>
      <c r="J4520" s="24">
        <v>116.13</v>
      </c>
      <c r="K4520" s="21">
        <v>0</v>
      </c>
      <c r="L4520" s="21">
        <v>0</v>
      </c>
      <c r="M4520" s="21">
        <f>COUNTIF($A$2:$A$5481,A4520)</f>
        <v>1</v>
      </c>
      <c r="N4520" s="24">
        <f t="shared" si="70"/>
        <v>116.130452</v>
      </c>
    </row>
    <row r="4521" spans="1:14">
      <c r="A4521" s="21" t="s">
        <v>4153</v>
      </c>
      <c r="B4521" s="21" t="s">
        <v>920</v>
      </c>
      <c r="C4521" s="21" t="s">
        <v>35</v>
      </c>
      <c r="D4521" s="21" t="s">
        <v>921</v>
      </c>
      <c r="E4521" s="21">
        <v>1</v>
      </c>
      <c r="F4521" s="22">
        <v>45301.5140509259</v>
      </c>
      <c r="G4521" s="22"/>
      <c r="H4521" s="23">
        <v>19.9</v>
      </c>
      <c r="I4521" s="23">
        <v>19.9</v>
      </c>
      <c r="J4521" s="24">
        <v>19.9</v>
      </c>
      <c r="K4521" s="21">
        <v>0</v>
      </c>
      <c r="L4521" s="21">
        <v>0</v>
      </c>
      <c r="M4521" s="21">
        <f>COUNTIF($A$2:$A$5481,A4521)</f>
        <v>1</v>
      </c>
      <c r="N4521" s="24">
        <f t="shared" si="70"/>
        <v>19.9004521</v>
      </c>
    </row>
    <row r="4522" spans="1:14">
      <c r="A4522" s="21" t="s">
        <v>4154</v>
      </c>
      <c r="B4522" s="21" t="s">
        <v>920</v>
      </c>
      <c r="C4522" s="21" t="s">
        <v>35</v>
      </c>
      <c r="D4522" s="21" t="s">
        <v>921</v>
      </c>
      <c r="E4522" s="21">
        <v>1</v>
      </c>
      <c r="F4522" s="22">
        <v>45301.5140509259</v>
      </c>
      <c r="G4522" s="22"/>
      <c r="H4522" s="23">
        <v>19.9</v>
      </c>
      <c r="I4522" s="23">
        <v>19.9</v>
      </c>
      <c r="J4522" s="24">
        <v>19.9</v>
      </c>
      <c r="K4522" s="21">
        <v>0</v>
      </c>
      <c r="L4522" s="21">
        <v>0</v>
      </c>
      <c r="M4522" s="21">
        <f>COUNTIF($A$2:$A$5481,A4522)</f>
        <v>1</v>
      </c>
      <c r="N4522" s="24">
        <f t="shared" si="70"/>
        <v>19.9004522</v>
      </c>
    </row>
    <row r="4523" spans="1:14">
      <c r="A4523" s="21" t="s">
        <v>4155</v>
      </c>
      <c r="B4523" s="21" t="s">
        <v>920</v>
      </c>
      <c r="C4523" s="21" t="s">
        <v>26</v>
      </c>
      <c r="D4523" s="21" t="s">
        <v>921</v>
      </c>
      <c r="E4523" s="21">
        <v>0</v>
      </c>
      <c r="F4523" s="22">
        <v>45972.8437384259</v>
      </c>
      <c r="G4523" s="22">
        <v>45973.351400463</v>
      </c>
      <c r="H4523" s="23">
        <v>68.55</v>
      </c>
      <c r="I4523" s="23">
        <v>68.55</v>
      </c>
      <c r="J4523" s="24">
        <v>0</v>
      </c>
      <c r="K4523" s="21">
        <v>0</v>
      </c>
      <c r="L4523" s="21">
        <v>0</v>
      </c>
      <c r="M4523" s="21">
        <f>COUNTIF($A$2:$A$5481,A4523)</f>
        <v>1</v>
      </c>
      <c r="N4523" s="24">
        <f t="shared" si="70"/>
        <v>0.0004523</v>
      </c>
    </row>
    <row r="4524" spans="1:14">
      <c r="A4524" s="21" t="s">
        <v>4156</v>
      </c>
      <c r="B4524" s="21" t="s">
        <v>26</v>
      </c>
      <c r="C4524" s="21" t="s">
        <v>26</v>
      </c>
      <c r="D4524" s="21" t="s">
        <v>921</v>
      </c>
      <c r="E4524" s="21">
        <v>0</v>
      </c>
      <c r="F4524" s="22">
        <v>45576.488125</v>
      </c>
      <c r="G4524" s="22">
        <v>45586.8404398148</v>
      </c>
      <c r="H4524" s="23">
        <v>48.55</v>
      </c>
      <c r="I4524" s="23">
        <v>48.55</v>
      </c>
      <c r="J4524" s="24">
        <v>0</v>
      </c>
      <c r="K4524" s="21">
        <v>0</v>
      </c>
      <c r="L4524" s="21">
        <v>0</v>
      </c>
      <c r="M4524" s="21">
        <f>COUNTIF($A$2:$A$5481,A4524)</f>
        <v>1</v>
      </c>
      <c r="N4524" s="24">
        <f t="shared" si="70"/>
        <v>0.0004524</v>
      </c>
    </row>
    <row r="4525" spans="1:14">
      <c r="A4525" s="21" t="s">
        <v>4157</v>
      </c>
      <c r="B4525" s="21" t="s">
        <v>920</v>
      </c>
      <c r="C4525" s="21" t="s">
        <v>35</v>
      </c>
      <c r="D4525" s="21" t="s">
        <v>921</v>
      </c>
      <c r="E4525" s="21">
        <v>2</v>
      </c>
      <c r="F4525" s="22">
        <v>45699.3691435185</v>
      </c>
      <c r="G4525" s="22"/>
      <c r="H4525" s="23">
        <v>96.98</v>
      </c>
      <c r="I4525" s="23">
        <v>96.98</v>
      </c>
      <c r="J4525" s="24">
        <v>193.96</v>
      </c>
      <c r="K4525" s="21">
        <v>0</v>
      </c>
      <c r="L4525" s="21">
        <v>0</v>
      </c>
      <c r="M4525" s="21">
        <f>COUNTIF($A$2:$A$5481,A4525)</f>
        <v>1</v>
      </c>
      <c r="N4525" s="24">
        <f t="shared" si="70"/>
        <v>193.9604525</v>
      </c>
    </row>
    <row r="4526" spans="1:14">
      <c r="A4526" s="21" t="s">
        <v>4158</v>
      </c>
      <c r="B4526" s="21" t="s">
        <v>920</v>
      </c>
      <c r="C4526" s="21" t="s">
        <v>26</v>
      </c>
      <c r="D4526" s="21" t="s">
        <v>921</v>
      </c>
      <c r="E4526" s="21">
        <v>2</v>
      </c>
      <c r="F4526" s="22">
        <v>46034.6207060185</v>
      </c>
      <c r="G4526" s="22"/>
      <c r="H4526" s="23">
        <v>41.38</v>
      </c>
      <c r="I4526" s="23">
        <v>20.69</v>
      </c>
      <c r="J4526" s="24">
        <v>41.38</v>
      </c>
      <c r="K4526" s="21">
        <v>0</v>
      </c>
      <c r="L4526" s="21">
        <v>0</v>
      </c>
      <c r="M4526" s="21">
        <f>COUNTIF($A$2:$A$5481,A4526)</f>
        <v>1</v>
      </c>
      <c r="N4526" s="24">
        <f t="shared" si="70"/>
        <v>41.3804526</v>
      </c>
    </row>
    <row r="4527" spans="1:14">
      <c r="A4527" s="21" t="s">
        <v>4159</v>
      </c>
      <c r="B4527" s="21" t="s">
        <v>26</v>
      </c>
      <c r="C4527" s="21" t="s">
        <v>35</v>
      </c>
      <c r="D4527" s="21" t="s">
        <v>921</v>
      </c>
      <c r="E4527" s="21">
        <v>20</v>
      </c>
      <c r="F4527" s="22">
        <v>45497.3851157407</v>
      </c>
      <c r="G4527" s="22"/>
      <c r="H4527" s="23">
        <v>20</v>
      </c>
      <c r="I4527" s="23">
        <v>1</v>
      </c>
      <c r="J4527" s="24">
        <v>20</v>
      </c>
      <c r="K4527" s="21">
        <v>0</v>
      </c>
      <c r="L4527" s="21">
        <v>0</v>
      </c>
      <c r="M4527" s="21">
        <f>COUNTIF($A$2:$A$5481,A4527)</f>
        <v>1</v>
      </c>
      <c r="N4527" s="24">
        <f t="shared" si="70"/>
        <v>20.0004527</v>
      </c>
    </row>
    <row r="4528" spans="1:14">
      <c r="A4528" s="21" t="s">
        <v>4160</v>
      </c>
      <c r="B4528" s="21" t="s">
        <v>26</v>
      </c>
      <c r="C4528" s="21" t="s">
        <v>26</v>
      </c>
      <c r="D4528" s="21" t="s">
        <v>921</v>
      </c>
      <c r="E4528" s="21">
        <v>2</v>
      </c>
      <c r="F4528" s="22">
        <v>45664.3665625</v>
      </c>
      <c r="G4528" s="22"/>
      <c r="H4528" s="23">
        <v>599.8</v>
      </c>
      <c r="I4528" s="23">
        <v>299.9</v>
      </c>
      <c r="J4528" s="24">
        <v>599.8</v>
      </c>
      <c r="K4528" s="21">
        <v>0</v>
      </c>
      <c r="L4528" s="21">
        <v>0</v>
      </c>
      <c r="M4528" s="21">
        <f>COUNTIF($A$2:$A$5481,A4528)</f>
        <v>1</v>
      </c>
      <c r="N4528" s="24">
        <f t="shared" si="70"/>
        <v>599.8004528</v>
      </c>
    </row>
    <row r="4529" spans="1:14">
      <c r="A4529" s="21" t="s">
        <v>4161</v>
      </c>
      <c r="B4529" s="21" t="s">
        <v>929</v>
      </c>
      <c r="C4529" s="21" t="s">
        <v>26</v>
      </c>
      <c r="D4529" s="21" t="s">
        <v>921</v>
      </c>
      <c r="E4529" s="21">
        <v>1</v>
      </c>
      <c r="F4529" s="22">
        <v>45432.8410300926</v>
      </c>
      <c r="G4529" s="22"/>
      <c r="H4529" s="23">
        <v>87.95</v>
      </c>
      <c r="I4529" s="23">
        <v>87.95</v>
      </c>
      <c r="J4529" s="24">
        <v>87.95</v>
      </c>
      <c r="K4529" s="21">
        <v>0</v>
      </c>
      <c r="L4529" s="21">
        <v>0</v>
      </c>
      <c r="M4529" s="21">
        <f>COUNTIF($A$2:$A$5481,A4529)</f>
        <v>1</v>
      </c>
      <c r="N4529" s="24">
        <f t="shared" si="70"/>
        <v>87.9504529</v>
      </c>
    </row>
    <row r="4530" spans="1:14">
      <c r="A4530" s="21" t="s">
        <v>4162</v>
      </c>
      <c r="B4530" s="21" t="s">
        <v>26</v>
      </c>
      <c r="C4530" s="21" t="s">
        <v>26</v>
      </c>
      <c r="D4530" s="21" t="s">
        <v>921</v>
      </c>
      <c r="E4530" s="21">
        <v>11</v>
      </c>
      <c r="F4530" s="22">
        <v>45744.4147685185</v>
      </c>
      <c r="G4530" s="22"/>
      <c r="H4530" s="23">
        <v>275.2</v>
      </c>
      <c r="I4530" s="23">
        <v>27.65455</v>
      </c>
      <c r="J4530" s="24">
        <v>304.15</v>
      </c>
      <c r="K4530" s="21">
        <v>0</v>
      </c>
      <c r="L4530" s="21">
        <v>0</v>
      </c>
      <c r="M4530" s="21">
        <f>COUNTIF($A$2:$A$5481,A4530)</f>
        <v>1</v>
      </c>
      <c r="N4530" s="24">
        <f t="shared" si="70"/>
        <v>304.150453</v>
      </c>
    </row>
    <row r="4531" spans="1:14">
      <c r="A4531" s="21" t="s">
        <v>4163</v>
      </c>
      <c r="B4531" s="21" t="s">
        <v>26</v>
      </c>
      <c r="C4531" s="21" t="s">
        <v>26</v>
      </c>
      <c r="D4531" s="21" t="s">
        <v>921</v>
      </c>
      <c r="E4531" s="21">
        <v>20</v>
      </c>
      <c r="F4531" s="22">
        <v>45680.383275463</v>
      </c>
      <c r="G4531" s="22"/>
      <c r="H4531" s="23">
        <v>58</v>
      </c>
      <c r="I4531" s="23">
        <v>2.9</v>
      </c>
      <c r="J4531" s="24">
        <v>58</v>
      </c>
      <c r="K4531" s="21">
        <v>0</v>
      </c>
      <c r="L4531" s="21">
        <v>0</v>
      </c>
      <c r="M4531" s="21">
        <f>COUNTIF($A$2:$A$5481,A4531)</f>
        <v>1</v>
      </c>
      <c r="N4531" s="24">
        <f t="shared" si="70"/>
        <v>58.0004531</v>
      </c>
    </row>
    <row r="4532" spans="1:14">
      <c r="A4532" s="21" t="s">
        <v>4164</v>
      </c>
      <c r="B4532" s="21" t="s">
        <v>26</v>
      </c>
      <c r="C4532" s="21" t="s">
        <v>26</v>
      </c>
      <c r="D4532" s="21" t="s">
        <v>921</v>
      </c>
      <c r="E4532" s="21">
        <v>7</v>
      </c>
      <c r="F4532" s="22">
        <v>45744.4147685185</v>
      </c>
      <c r="G4532" s="22"/>
      <c r="H4532" s="23">
        <v>275.2</v>
      </c>
      <c r="I4532" s="23">
        <v>41.8</v>
      </c>
      <c r="J4532" s="24">
        <v>292.6</v>
      </c>
      <c r="K4532" s="21">
        <v>0</v>
      </c>
      <c r="L4532" s="21">
        <v>0</v>
      </c>
      <c r="M4532" s="21">
        <f>COUNTIF($A$2:$A$5481,A4532)</f>
        <v>1</v>
      </c>
      <c r="N4532" s="24">
        <f t="shared" si="70"/>
        <v>292.6004532</v>
      </c>
    </row>
    <row r="4533" spans="1:14">
      <c r="A4533" s="21" t="s">
        <v>4165</v>
      </c>
      <c r="B4533" s="21" t="s">
        <v>26</v>
      </c>
      <c r="C4533" s="21" t="s">
        <v>26</v>
      </c>
      <c r="D4533" s="21" t="s">
        <v>921</v>
      </c>
      <c r="E4533" s="21">
        <v>2</v>
      </c>
      <c r="F4533" s="22">
        <v>45680.383275463</v>
      </c>
      <c r="G4533" s="22"/>
      <c r="H4533" s="23">
        <v>5.8</v>
      </c>
      <c r="I4533" s="23">
        <v>2.9</v>
      </c>
      <c r="J4533" s="24">
        <v>5.8</v>
      </c>
      <c r="K4533" s="21">
        <v>0</v>
      </c>
      <c r="L4533" s="21">
        <v>0</v>
      </c>
      <c r="M4533" s="21">
        <f>COUNTIF($A$2:$A$5481,A4533)</f>
        <v>1</v>
      </c>
      <c r="N4533" s="24">
        <f t="shared" si="70"/>
        <v>5.8004533</v>
      </c>
    </row>
    <row r="4534" spans="1:14">
      <c r="A4534" s="21" t="s">
        <v>4166</v>
      </c>
      <c r="B4534" s="21" t="s">
        <v>920</v>
      </c>
      <c r="C4534" s="21" t="s">
        <v>26</v>
      </c>
      <c r="D4534" s="21" t="s">
        <v>1068</v>
      </c>
      <c r="E4534" s="21">
        <v>24</v>
      </c>
      <c r="F4534" s="22">
        <v>45786.3834259259</v>
      </c>
      <c r="G4534" s="22"/>
      <c r="H4534" s="23">
        <v>435.6</v>
      </c>
      <c r="I4534" s="23">
        <v>18.15</v>
      </c>
      <c r="J4534" s="24">
        <v>435.6</v>
      </c>
      <c r="K4534" s="21">
        <v>0</v>
      </c>
      <c r="L4534" s="21">
        <v>0</v>
      </c>
      <c r="M4534" s="21">
        <f>COUNTIF($A$2:$A$5481,A4534)</f>
        <v>1</v>
      </c>
      <c r="N4534" s="24">
        <f t="shared" si="70"/>
        <v>435.6004534</v>
      </c>
    </row>
    <row r="4535" spans="1:14">
      <c r="A4535" s="21" t="s">
        <v>4167</v>
      </c>
      <c r="B4535" s="21" t="s">
        <v>26</v>
      </c>
      <c r="C4535" s="21" t="s">
        <v>26</v>
      </c>
      <c r="D4535" s="21" t="s">
        <v>921</v>
      </c>
      <c r="E4535" s="21">
        <v>7</v>
      </c>
      <c r="F4535" s="22">
        <v>46006.5991898148</v>
      </c>
      <c r="G4535" s="22"/>
      <c r="H4535" s="23">
        <v>278.72</v>
      </c>
      <c r="I4535" s="23">
        <v>49.6742857143</v>
      </c>
      <c r="J4535" s="24">
        <v>347.69</v>
      </c>
      <c r="K4535" s="21">
        <v>0</v>
      </c>
      <c r="L4535" s="21">
        <v>0</v>
      </c>
      <c r="M4535" s="21">
        <f>COUNTIF($A$2:$A$5481,A4535)</f>
        <v>1</v>
      </c>
      <c r="N4535" s="24">
        <f t="shared" si="70"/>
        <v>347.6904535</v>
      </c>
    </row>
    <row r="4536" spans="1:14">
      <c r="A4536" s="21" t="s">
        <v>4168</v>
      </c>
      <c r="B4536" s="21" t="s">
        <v>26</v>
      </c>
      <c r="C4536" s="21" t="s">
        <v>26</v>
      </c>
      <c r="D4536" s="21" t="s">
        <v>921</v>
      </c>
      <c r="E4536" s="21">
        <v>6</v>
      </c>
      <c r="F4536" s="22">
        <v>45680.383275463</v>
      </c>
      <c r="G4536" s="22"/>
      <c r="H4536" s="23">
        <v>69</v>
      </c>
      <c r="I4536" s="23">
        <v>11.5</v>
      </c>
      <c r="J4536" s="24">
        <v>69</v>
      </c>
      <c r="K4536" s="21">
        <v>0</v>
      </c>
      <c r="L4536" s="21">
        <v>0</v>
      </c>
      <c r="M4536" s="21">
        <f>COUNTIF($A$2:$A$5481,A4536)</f>
        <v>1</v>
      </c>
      <c r="N4536" s="24">
        <f t="shared" si="70"/>
        <v>69.0004536</v>
      </c>
    </row>
    <row r="4537" spans="1:14">
      <c r="A4537" s="21" t="s">
        <v>4169</v>
      </c>
      <c r="B4537" s="21" t="s">
        <v>26</v>
      </c>
      <c r="C4537" s="21" t="s">
        <v>26</v>
      </c>
      <c r="D4537" s="21" t="s">
        <v>921</v>
      </c>
      <c r="E4537" s="21">
        <v>30</v>
      </c>
      <c r="F4537" s="22">
        <v>45709.5736111111</v>
      </c>
      <c r="G4537" s="22"/>
      <c r="H4537" s="23">
        <v>127.4</v>
      </c>
      <c r="I4537" s="23">
        <v>6.37</v>
      </c>
      <c r="J4537" s="24">
        <v>191.1</v>
      </c>
      <c r="K4537" s="21">
        <v>0</v>
      </c>
      <c r="L4537" s="21">
        <v>0</v>
      </c>
      <c r="M4537" s="21">
        <f>COUNTIF($A$2:$A$5481,A4537)</f>
        <v>1</v>
      </c>
      <c r="N4537" s="24">
        <f t="shared" si="70"/>
        <v>191.1004537</v>
      </c>
    </row>
    <row r="4538" spans="1:14">
      <c r="A4538" s="21" t="s">
        <v>4170</v>
      </c>
      <c r="B4538" s="21" t="s">
        <v>26</v>
      </c>
      <c r="C4538" s="21" t="s">
        <v>26</v>
      </c>
      <c r="D4538" s="21" t="s">
        <v>921</v>
      </c>
      <c r="E4538" s="21">
        <v>9</v>
      </c>
      <c r="F4538" s="22">
        <v>45939.4383912037</v>
      </c>
      <c r="G4538" s="22"/>
      <c r="H4538" s="23">
        <v>48.6</v>
      </c>
      <c r="I4538" s="23">
        <v>5.4</v>
      </c>
      <c r="J4538" s="24">
        <v>48.6</v>
      </c>
      <c r="K4538" s="21">
        <v>0</v>
      </c>
      <c r="L4538" s="21">
        <v>0</v>
      </c>
      <c r="M4538" s="21">
        <f>COUNTIF($A$2:$A$5481,A4538)</f>
        <v>1</v>
      </c>
      <c r="N4538" s="24">
        <f t="shared" si="70"/>
        <v>48.6004538</v>
      </c>
    </row>
    <row r="4539" spans="1:14">
      <c r="A4539" s="21" t="s">
        <v>4171</v>
      </c>
      <c r="B4539" s="21" t="s">
        <v>920</v>
      </c>
      <c r="C4539" s="21" t="s">
        <v>26</v>
      </c>
      <c r="D4539" s="21" t="s">
        <v>931</v>
      </c>
      <c r="E4539" s="21">
        <v>0</v>
      </c>
      <c r="F4539" s="22">
        <v>45762.806087963</v>
      </c>
      <c r="G4539" s="22">
        <v>45779.8458101852</v>
      </c>
      <c r="H4539" s="23">
        <v>259</v>
      </c>
      <c r="I4539" s="23">
        <v>259</v>
      </c>
      <c r="J4539" s="24">
        <v>0</v>
      </c>
      <c r="K4539" s="21">
        <v>0</v>
      </c>
      <c r="L4539" s="21">
        <v>0</v>
      </c>
      <c r="M4539" s="21">
        <f>COUNTIF($A$2:$A$5481,A4539)</f>
        <v>1</v>
      </c>
      <c r="N4539" s="24">
        <f t="shared" si="70"/>
        <v>0.0004539</v>
      </c>
    </row>
    <row r="4540" spans="1:14">
      <c r="A4540" s="21" t="s">
        <v>4172</v>
      </c>
      <c r="B4540" s="21" t="s">
        <v>920</v>
      </c>
      <c r="C4540" s="21" t="s">
        <v>35</v>
      </c>
      <c r="D4540" s="21" t="s">
        <v>921</v>
      </c>
      <c r="E4540" s="21">
        <v>1</v>
      </c>
      <c r="F4540" s="22">
        <v>45289.5909606482</v>
      </c>
      <c r="G4540" s="22"/>
      <c r="H4540" s="23">
        <v>18</v>
      </c>
      <c r="I4540" s="23">
        <v>18</v>
      </c>
      <c r="J4540" s="24">
        <v>18</v>
      </c>
      <c r="K4540" s="21">
        <v>0</v>
      </c>
      <c r="L4540" s="21">
        <v>0</v>
      </c>
      <c r="M4540" s="21">
        <f>COUNTIF($A$2:$A$5481,A4540)</f>
        <v>2</v>
      </c>
      <c r="N4540" s="24">
        <f t="shared" si="70"/>
        <v>18.000454</v>
      </c>
    </row>
    <row r="4541" spans="1:14">
      <c r="A4541" s="21" t="s">
        <v>4172</v>
      </c>
      <c r="B4541" s="21" t="s">
        <v>920</v>
      </c>
      <c r="C4541" s="21" t="s">
        <v>26</v>
      </c>
      <c r="D4541" s="21" t="s">
        <v>921</v>
      </c>
      <c r="E4541" s="21">
        <v>1</v>
      </c>
      <c r="F4541" s="22">
        <v>45310.6798611111</v>
      </c>
      <c r="G4541" s="22"/>
      <c r="H4541" s="23">
        <v>18</v>
      </c>
      <c r="I4541" s="23">
        <v>18</v>
      </c>
      <c r="J4541" s="24">
        <v>18</v>
      </c>
      <c r="K4541" s="21">
        <v>0</v>
      </c>
      <c r="L4541" s="21">
        <v>0</v>
      </c>
      <c r="M4541" s="21">
        <f>COUNTIF($A$2:$A$5481,A4541)</f>
        <v>2</v>
      </c>
      <c r="N4541" s="24">
        <f t="shared" si="70"/>
        <v>18.0004541</v>
      </c>
    </row>
    <row r="4542" spans="1:14">
      <c r="A4542" s="21" t="s">
        <v>732</v>
      </c>
      <c r="B4542" s="21" t="s">
        <v>1175</v>
      </c>
      <c r="C4542" s="21" t="s">
        <v>26</v>
      </c>
      <c r="D4542" s="21" t="s">
        <v>931</v>
      </c>
      <c r="E4542" s="21">
        <v>0</v>
      </c>
      <c r="F4542" s="22">
        <v>45784.3509259259</v>
      </c>
      <c r="G4542" s="22">
        <v>46252.5693287037</v>
      </c>
      <c r="H4542" s="23">
        <v>1210</v>
      </c>
      <c r="I4542" s="23">
        <v>1225</v>
      </c>
      <c r="J4542" s="24">
        <v>0</v>
      </c>
      <c r="K4542" s="21">
        <v>0</v>
      </c>
      <c r="L4542" s="21">
        <v>0</v>
      </c>
      <c r="M4542" s="21">
        <f>COUNTIF($A$2:$A$5481,A4542)</f>
        <v>1</v>
      </c>
      <c r="N4542" s="24">
        <f t="shared" si="70"/>
        <v>0.0004542</v>
      </c>
    </row>
    <row r="4543" spans="1:14">
      <c r="A4543" s="21" t="s">
        <v>4173</v>
      </c>
      <c r="B4543" s="21" t="s">
        <v>26</v>
      </c>
      <c r="C4543" s="21" t="s">
        <v>26</v>
      </c>
      <c r="D4543" s="21" t="s">
        <v>921</v>
      </c>
      <c r="E4543" s="21">
        <v>3</v>
      </c>
      <c r="F4543" s="22">
        <v>46001.5578356482</v>
      </c>
      <c r="G4543" s="22"/>
      <c r="H4543" s="23">
        <v>20</v>
      </c>
      <c r="I4543" s="23">
        <v>19</v>
      </c>
      <c r="J4543" s="24">
        <v>57</v>
      </c>
      <c r="K4543" s="21">
        <v>0</v>
      </c>
      <c r="L4543" s="21">
        <v>0</v>
      </c>
      <c r="M4543" s="21">
        <f>COUNTIF($A$2:$A$5481,A4543)</f>
        <v>1</v>
      </c>
      <c r="N4543" s="24">
        <f t="shared" si="70"/>
        <v>57.0004543</v>
      </c>
    </row>
    <row r="4544" spans="1:14">
      <c r="A4544" s="21" t="s">
        <v>523</v>
      </c>
      <c r="B4544" s="21" t="s">
        <v>920</v>
      </c>
      <c r="C4544" s="21" t="s">
        <v>26</v>
      </c>
      <c r="D4544" s="21" t="s">
        <v>921</v>
      </c>
      <c r="E4544" s="21">
        <v>0</v>
      </c>
      <c r="F4544" s="22">
        <v>46188.694224537</v>
      </c>
      <c r="G4544" s="22">
        <v>46244.6859375</v>
      </c>
      <c r="H4544" s="23">
        <v>29.5</v>
      </c>
      <c r="I4544" s="23">
        <v>29.5</v>
      </c>
      <c r="J4544" s="24">
        <v>0</v>
      </c>
      <c r="K4544" s="21">
        <v>0</v>
      </c>
      <c r="L4544" s="21">
        <v>0</v>
      </c>
      <c r="M4544" s="21">
        <f>COUNTIF($A$2:$A$5481,A4544)</f>
        <v>1</v>
      </c>
      <c r="N4544" s="24">
        <f t="shared" si="70"/>
        <v>0.0004544</v>
      </c>
    </row>
    <row r="4545" spans="1:14">
      <c r="A4545" s="21" t="s">
        <v>28</v>
      </c>
      <c r="B4545" s="21" t="s">
        <v>920</v>
      </c>
      <c r="C4545" s="21" t="s">
        <v>26</v>
      </c>
      <c r="D4545" s="21" t="s">
        <v>921</v>
      </c>
      <c r="E4545" s="21">
        <v>1</v>
      </c>
      <c r="F4545" s="22">
        <v>46274.6173611111</v>
      </c>
      <c r="G4545" s="22">
        <v>46283.6559259259</v>
      </c>
      <c r="H4545" s="23">
        <v>85</v>
      </c>
      <c r="I4545" s="23">
        <v>70.475</v>
      </c>
      <c r="J4545" s="24">
        <v>70.48</v>
      </c>
      <c r="K4545" s="21">
        <v>0</v>
      </c>
      <c r="L4545" s="21">
        <v>0</v>
      </c>
      <c r="M4545" s="21">
        <f>COUNTIF($A$2:$A$5481,A4545)</f>
        <v>1</v>
      </c>
      <c r="N4545" s="24">
        <f t="shared" si="70"/>
        <v>70.4804545</v>
      </c>
    </row>
    <row r="4546" spans="1:14">
      <c r="A4546" s="21" t="s">
        <v>331</v>
      </c>
      <c r="B4546" s="21" t="s">
        <v>920</v>
      </c>
      <c r="C4546" s="21" t="s">
        <v>26</v>
      </c>
      <c r="D4546" s="21" t="s">
        <v>931</v>
      </c>
      <c r="E4546" s="21">
        <v>3</v>
      </c>
      <c r="F4546" s="22">
        <v>46134.428125</v>
      </c>
      <c r="G4546" s="22">
        <v>46142.5631481482</v>
      </c>
      <c r="H4546" s="23">
        <v>120</v>
      </c>
      <c r="I4546" s="23">
        <v>58</v>
      </c>
      <c r="J4546" s="24">
        <v>174</v>
      </c>
      <c r="K4546" s="21">
        <v>0</v>
      </c>
      <c r="L4546" s="21">
        <v>0</v>
      </c>
      <c r="M4546" s="21">
        <f>COUNTIF($A$2:$A$5481,A4546)</f>
        <v>1</v>
      </c>
      <c r="N4546" s="24">
        <f t="shared" ref="N4546:N4609" si="71">J4546+ROW()/10000000</f>
        <v>174.0004546</v>
      </c>
    </row>
    <row r="4547" spans="1:14">
      <c r="A4547" s="21" t="s">
        <v>645</v>
      </c>
      <c r="B4547" s="21" t="s">
        <v>26</v>
      </c>
      <c r="C4547" s="21" t="s">
        <v>26</v>
      </c>
      <c r="D4547" s="21" t="s">
        <v>921</v>
      </c>
      <c r="E4547" s="21">
        <v>0</v>
      </c>
      <c r="F4547" s="22">
        <v>45394.7116782407</v>
      </c>
      <c r="G4547" s="22">
        <v>46252.4962152778</v>
      </c>
      <c r="H4547" s="23">
        <v>54.96</v>
      </c>
      <c r="I4547" s="23">
        <v>27.48</v>
      </c>
      <c r="J4547" s="24">
        <v>0</v>
      </c>
      <c r="K4547" s="21">
        <v>0</v>
      </c>
      <c r="L4547" s="21">
        <v>0</v>
      </c>
      <c r="M4547" s="21">
        <f>COUNTIF($A$2:$A$5481,A4547)</f>
        <v>1</v>
      </c>
      <c r="N4547" s="24">
        <f t="shared" si="71"/>
        <v>0.0004547</v>
      </c>
    </row>
    <row r="4548" spans="1:14">
      <c r="A4548" s="21" t="s">
        <v>4174</v>
      </c>
      <c r="B4548" s="21" t="s">
        <v>26</v>
      </c>
      <c r="C4548" s="21" t="s">
        <v>26</v>
      </c>
      <c r="D4548" s="21" t="s">
        <v>921</v>
      </c>
      <c r="E4548" s="21">
        <v>1</v>
      </c>
      <c r="F4548" s="22">
        <v>45741.8334837963</v>
      </c>
      <c r="G4548" s="22"/>
      <c r="H4548" s="23">
        <v>30.49</v>
      </c>
      <c r="I4548" s="23">
        <v>30.49</v>
      </c>
      <c r="J4548" s="24">
        <v>30.49</v>
      </c>
      <c r="K4548" s="21">
        <v>0</v>
      </c>
      <c r="L4548" s="21">
        <v>0</v>
      </c>
      <c r="M4548" s="21">
        <f>COUNTIF($A$2:$A$5481,A4548)</f>
        <v>1</v>
      </c>
      <c r="N4548" s="24">
        <f t="shared" si="71"/>
        <v>30.4904548</v>
      </c>
    </row>
    <row r="4549" spans="1:14">
      <c r="A4549" s="21" t="s">
        <v>4175</v>
      </c>
      <c r="B4549" s="21" t="s">
        <v>920</v>
      </c>
      <c r="C4549" s="21" t="s">
        <v>26</v>
      </c>
      <c r="D4549" s="21" t="s">
        <v>921</v>
      </c>
      <c r="E4549" s="21">
        <v>2</v>
      </c>
      <c r="F4549" s="22">
        <v>46099.5333333333</v>
      </c>
      <c r="G4549" s="22"/>
      <c r="H4549" s="23">
        <v>120</v>
      </c>
      <c r="I4549" s="23">
        <v>60</v>
      </c>
      <c r="J4549" s="24">
        <v>120</v>
      </c>
      <c r="K4549" s="21">
        <v>0</v>
      </c>
      <c r="L4549" s="21">
        <v>0</v>
      </c>
      <c r="M4549" s="21">
        <f>COUNTIF($A$2:$A$5481,A4549)</f>
        <v>1</v>
      </c>
      <c r="N4549" s="24">
        <f t="shared" si="71"/>
        <v>120.0004549</v>
      </c>
    </row>
    <row r="4550" spans="1:14">
      <c r="A4550" s="21" t="s">
        <v>4176</v>
      </c>
      <c r="B4550" s="21" t="s">
        <v>920</v>
      </c>
      <c r="C4550" s="21" t="s">
        <v>26</v>
      </c>
      <c r="D4550" s="21" t="s">
        <v>921</v>
      </c>
      <c r="E4550" s="21">
        <v>4</v>
      </c>
      <c r="F4550" s="22">
        <v>45348.4171759259</v>
      </c>
      <c r="G4550" s="22"/>
      <c r="H4550" s="23">
        <v>7</v>
      </c>
      <c r="I4550" s="23">
        <v>3.425</v>
      </c>
      <c r="J4550" s="24">
        <v>13.72</v>
      </c>
      <c r="K4550" s="21">
        <v>0</v>
      </c>
      <c r="L4550" s="21">
        <v>0</v>
      </c>
      <c r="M4550" s="21">
        <f>COUNTIF($A$2:$A$5481,A4550)</f>
        <v>1</v>
      </c>
      <c r="N4550" s="24">
        <f t="shared" si="71"/>
        <v>13.720455</v>
      </c>
    </row>
    <row r="4551" spans="1:14">
      <c r="A4551" s="21" t="s">
        <v>883</v>
      </c>
      <c r="B4551" s="21" t="s">
        <v>929</v>
      </c>
      <c r="C4551" s="21" t="s">
        <v>26</v>
      </c>
      <c r="D4551" s="21" t="s">
        <v>921</v>
      </c>
      <c r="E4551" s="21">
        <v>0</v>
      </c>
      <c r="F4551" s="22">
        <v>46268.6430555556</v>
      </c>
      <c r="G4551" s="22">
        <v>46273.6909953704</v>
      </c>
      <c r="H4551" s="23">
        <v>0.36</v>
      </c>
      <c r="I4551" s="23">
        <v>0.09</v>
      </c>
      <c r="J4551" s="24">
        <v>0</v>
      </c>
      <c r="K4551" s="21">
        <v>0</v>
      </c>
      <c r="L4551" s="21">
        <v>0</v>
      </c>
      <c r="M4551" s="21">
        <f>COUNTIF($A$2:$A$5481,A4551)</f>
        <v>1</v>
      </c>
      <c r="N4551" s="24">
        <f t="shared" si="71"/>
        <v>0.0004551</v>
      </c>
    </row>
    <row r="4552" spans="1:14">
      <c r="A4552" s="21" t="s">
        <v>4177</v>
      </c>
      <c r="B4552" s="21" t="s">
        <v>920</v>
      </c>
      <c r="C4552" s="21" t="s">
        <v>26</v>
      </c>
      <c r="D4552" s="21" t="s">
        <v>931</v>
      </c>
      <c r="E4552" s="21">
        <v>4</v>
      </c>
      <c r="F4552" s="22">
        <v>45791.3490509259</v>
      </c>
      <c r="G4552" s="22"/>
      <c r="H4552" s="23">
        <v>316.8</v>
      </c>
      <c r="I4552" s="23">
        <v>79.2</v>
      </c>
      <c r="J4552" s="24">
        <v>316.8</v>
      </c>
      <c r="K4552" s="21">
        <v>0</v>
      </c>
      <c r="L4552" s="21">
        <v>0</v>
      </c>
      <c r="M4552" s="21">
        <f>COUNTIF($A$2:$A$5481,A4552)</f>
        <v>1</v>
      </c>
      <c r="N4552" s="24">
        <f t="shared" si="71"/>
        <v>316.8004552</v>
      </c>
    </row>
    <row r="4553" spans="1:14">
      <c r="A4553" s="21" t="s">
        <v>4178</v>
      </c>
      <c r="B4553" s="21" t="s">
        <v>920</v>
      </c>
      <c r="C4553" s="21" t="s">
        <v>26</v>
      </c>
      <c r="D4553" s="21" t="s">
        <v>931</v>
      </c>
      <c r="E4553" s="21">
        <v>2</v>
      </c>
      <c r="F4553" s="22">
        <v>45789.4220138889</v>
      </c>
      <c r="G4553" s="22"/>
      <c r="H4553" s="23">
        <v>158.4</v>
      </c>
      <c r="I4553" s="23">
        <v>79.2</v>
      </c>
      <c r="J4553" s="24">
        <v>158.4</v>
      </c>
      <c r="K4553" s="21">
        <v>0</v>
      </c>
      <c r="L4553" s="21">
        <v>0</v>
      </c>
      <c r="M4553" s="21">
        <f>COUNTIF($A$2:$A$5481,A4553)</f>
        <v>1</v>
      </c>
      <c r="N4553" s="24">
        <f t="shared" si="71"/>
        <v>158.4004553</v>
      </c>
    </row>
    <row r="4554" spans="1:14">
      <c r="A4554" s="21" t="s">
        <v>4179</v>
      </c>
      <c r="B4554" s="21" t="s">
        <v>929</v>
      </c>
      <c r="C4554" s="21" t="s">
        <v>26</v>
      </c>
      <c r="D4554" s="21" t="s">
        <v>921</v>
      </c>
      <c r="E4554" s="21">
        <v>3</v>
      </c>
      <c r="F4554" s="22">
        <v>46239.5992013889</v>
      </c>
      <c r="G4554" s="22"/>
      <c r="H4554" s="23">
        <v>5.36</v>
      </c>
      <c r="I4554" s="23">
        <v>14.1466666667</v>
      </c>
      <c r="J4554" s="24">
        <v>42.45</v>
      </c>
      <c r="K4554" s="21">
        <v>0</v>
      </c>
      <c r="L4554" s="21">
        <v>0</v>
      </c>
      <c r="M4554" s="21">
        <f>COUNTIF($A$2:$A$5481,A4554)</f>
        <v>1</v>
      </c>
      <c r="N4554" s="24">
        <f t="shared" si="71"/>
        <v>42.4504554</v>
      </c>
    </row>
    <row r="4555" spans="1:14">
      <c r="A4555" s="21" t="s">
        <v>4180</v>
      </c>
      <c r="B4555" s="21" t="s">
        <v>929</v>
      </c>
      <c r="C4555" s="21" t="s">
        <v>414</v>
      </c>
      <c r="D4555" s="21" t="s">
        <v>921</v>
      </c>
      <c r="E4555" s="21">
        <v>6</v>
      </c>
      <c r="F4555" s="22">
        <v>45308.6041666667</v>
      </c>
      <c r="G4555" s="22"/>
      <c r="H4555" s="23">
        <v>25.5</v>
      </c>
      <c r="I4555" s="23">
        <v>4.25</v>
      </c>
      <c r="J4555" s="24">
        <v>25.5</v>
      </c>
      <c r="K4555" s="21">
        <v>0</v>
      </c>
      <c r="L4555" s="21">
        <v>0</v>
      </c>
      <c r="M4555" s="21">
        <f>COUNTIF($A$2:$A$5481,A4555)</f>
        <v>1</v>
      </c>
      <c r="N4555" s="24">
        <f t="shared" si="71"/>
        <v>25.5004555</v>
      </c>
    </row>
    <row r="4556" spans="1:14">
      <c r="A4556" s="21" t="s">
        <v>4181</v>
      </c>
      <c r="B4556" s="21" t="s">
        <v>929</v>
      </c>
      <c r="C4556" s="21" t="s">
        <v>26</v>
      </c>
      <c r="D4556" s="21" t="s">
        <v>921</v>
      </c>
      <c r="E4556" s="21">
        <v>6</v>
      </c>
      <c r="F4556" s="22">
        <v>46035.6929282407</v>
      </c>
      <c r="G4556" s="22"/>
      <c r="H4556" s="23">
        <v>3.92</v>
      </c>
      <c r="I4556" s="23">
        <v>0.98</v>
      </c>
      <c r="J4556" s="24">
        <v>5.88</v>
      </c>
      <c r="K4556" s="21">
        <v>0</v>
      </c>
      <c r="L4556" s="21">
        <v>0</v>
      </c>
      <c r="M4556" s="21">
        <f>COUNTIF($A$2:$A$5481,A4556)</f>
        <v>1</v>
      </c>
      <c r="N4556" s="24">
        <f t="shared" si="71"/>
        <v>5.8804556</v>
      </c>
    </row>
    <row r="4557" spans="1:14">
      <c r="A4557" s="21" t="s">
        <v>4182</v>
      </c>
      <c r="B4557" s="21" t="s">
        <v>920</v>
      </c>
      <c r="C4557" s="21" t="s">
        <v>26</v>
      </c>
      <c r="D4557" s="21" t="s">
        <v>921</v>
      </c>
      <c r="E4557" s="21">
        <v>6</v>
      </c>
      <c r="F4557" s="22">
        <v>45414.8034722222</v>
      </c>
      <c r="G4557" s="22"/>
      <c r="H4557" s="23">
        <v>43.38</v>
      </c>
      <c r="I4557" s="23">
        <v>7.23</v>
      </c>
      <c r="J4557" s="24">
        <v>43.38</v>
      </c>
      <c r="K4557" s="21">
        <v>0</v>
      </c>
      <c r="L4557" s="21">
        <v>0</v>
      </c>
      <c r="M4557" s="21">
        <f>COUNTIF($A$2:$A$5481,A4557)</f>
        <v>1</v>
      </c>
      <c r="N4557" s="24">
        <f t="shared" si="71"/>
        <v>43.3804557</v>
      </c>
    </row>
    <row r="4558" spans="1:14">
      <c r="A4558" s="21" t="s">
        <v>598</v>
      </c>
      <c r="B4558" s="21" t="s">
        <v>920</v>
      </c>
      <c r="C4558" s="21" t="s">
        <v>26</v>
      </c>
      <c r="D4558" s="21" t="s">
        <v>921</v>
      </c>
      <c r="E4558" s="21">
        <v>0</v>
      </c>
      <c r="F4558" s="22">
        <v>45414.8034722222</v>
      </c>
      <c r="G4558" s="22">
        <v>46252.3629976852</v>
      </c>
      <c r="H4558" s="23">
        <v>32.16</v>
      </c>
      <c r="I4558" s="23">
        <v>4.02</v>
      </c>
      <c r="J4558" s="24">
        <v>0</v>
      </c>
      <c r="K4558" s="21">
        <v>0</v>
      </c>
      <c r="L4558" s="21">
        <v>0</v>
      </c>
      <c r="M4558" s="21">
        <f>COUNTIF($A$2:$A$5481,A4558)</f>
        <v>1</v>
      </c>
      <c r="N4558" s="24">
        <f t="shared" si="71"/>
        <v>0.0004558</v>
      </c>
    </row>
    <row r="4559" spans="1:14">
      <c r="A4559" s="21" t="s">
        <v>4183</v>
      </c>
      <c r="B4559" s="21" t="s">
        <v>920</v>
      </c>
      <c r="C4559" s="21" t="s">
        <v>26</v>
      </c>
      <c r="D4559" s="21" t="s">
        <v>931</v>
      </c>
      <c r="E4559" s="21">
        <v>2</v>
      </c>
      <c r="F4559" s="22">
        <v>45791.3490509259</v>
      </c>
      <c r="G4559" s="22"/>
      <c r="H4559" s="23">
        <v>12.32</v>
      </c>
      <c r="I4559" s="23">
        <v>6.16</v>
      </c>
      <c r="J4559" s="24">
        <v>12.32</v>
      </c>
      <c r="K4559" s="21">
        <v>0</v>
      </c>
      <c r="L4559" s="21">
        <v>0</v>
      </c>
      <c r="M4559" s="21">
        <f>COUNTIF($A$2:$A$5481,A4559)</f>
        <v>1</v>
      </c>
      <c r="N4559" s="24">
        <f t="shared" si="71"/>
        <v>12.3204559</v>
      </c>
    </row>
    <row r="4560" spans="1:14">
      <c r="A4560" s="21" t="s">
        <v>4184</v>
      </c>
      <c r="B4560" s="21" t="s">
        <v>920</v>
      </c>
      <c r="C4560" s="21" t="s">
        <v>26</v>
      </c>
      <c r="D4560" s="21" t="s">
        <v>931</v>
      </c>
      <c r="E4560" s="21">
        <v>2</v>
      </c>
      <c r="F4560" s="22">
        <v>45791.3490509259</v>
      </c>
      <c r="G4560" s="22"/>
      <c r="H4560" s="23">
        <v>49.38</v>
      </c>
      <c r="I4560" s="23">
        <v>24.69</v>
      </c>
      <c r="J4560" s="24">
        <v>49.38</v>
      </c>
      <c r="K4560" s="21">
        <v>0</v>
      </c>
      <c r="L4560" s="21">
        <v>0</v>
      </c>
      <c r="M4560" s="21">
        <f>COUNTIF($A$2:$A$5481,A4560)</f>
        <v>1</v>
      </c>
      <c r="N4560" s="24">
        <f t="shared" si="71"/>
        <v>49.380456</v>
      </c>
    </row>
    <row r="4561" spans="1:14">
      <c r="A4561" s="21" t="s">
        <v>207</v>
      </c>
      <c r="B4561" s="21" t="s">
        <v>920</v>
      </c>
      <c r="C4561" s="21" t="s">
        <v>35</v>
      </c>
      <c r="D4561" s="21" t="s">
        <v>921</v>
      </c>
      <c r="E4561" s="21">
        <v>4</v>
      </c>
      <c r="F4561" s="22">
        <v>45328.4198842593</v>
      </c>
      <c r="G4561" s="22"/>
      <c r="H4561" s="23">
        <v>77.6</v>
      </c>
      <c r="I4561" s="23">
        <v>19.4</v>
      </c>
      <c r="J4561" s="24">
        <v>77.6</v>
      </c>
      <c r="K4561" s="21">
        <v>0</v>
      </c>
      <c r="L4561" s="21">
        <v>0</v>
      </c>
      <c r="M4561" s="21">
        <f>COUNTIF($A$2:$A$5481,A4561)</f>
        <v>2</v>
      </c>
      <c r="N4561" s="24">
        <f t="shared" si="71"/>
        <v>77.6004561</v>
      </c>
    </row>
    <row r="4562" spans="1:14">
      <c r="A4562" s="21" t="s">
        <v>207</v>
      </c>
      <c r="B4562" s="21" t="s">
        <v>920</v>
      </c>
      <c r="C4562" s="21" t="s">
        <v>26</v>
      </c>
      <c r="D4562" s="21" t="s">
        <v>921</v>
      </c>
      <c r="E4562" s="21">
        <v>24</v>
      </c>
      <c r="F4562" s="22">
        <v>45744.4315162037</v>
      </c>
      <c r="G4562" s="22">
        <v>46050.4426851852</v>
      </c>
      <c r="H4562" s="23">
        <v>168</v>
      </c>
      <c r="I4562" s="23">
        <v>21.8461538462</v>
      </c>
      <c r="J4562" s="24">
        <v>524.4</v>
      </c>
      <c r="K4562" s="21">
        <v>0</v>
      </c>
      <c r="L4562" s="21">
        <v>0</v>
      </c>
      <c r="M4562" s="21">
        <f>COUNTIF($A$2:$A$5481,A4562)</f>
        <v>2</v>
      </c>
      <c r="N4562" s="24">
        <f t="shared" si="71"/>
        <v>524.4004562</v>
      </c>
    </row>
    <row r="4563" spans="1:14">
      <c r="A4563" s="21" t="s">
        <v>4185</v>
      </c>
      <c r="B4563" s="21" t="s">
        <v>920</v>
      </c>
      <c r="C4563" s="21" t="s">
        <v>35</v>
      </c>
      <c r="D4563" s="21" t="s">
        <v>921</v>
      </c>
      <c r="E4563" s="21">
        <v>4</v>
      </c>
      <c r="F4563" s="22">
        <v>45328.4198842593</v>
      </c>
      <c r="G4563" s="22"/>
      <c r="H4563" s="23">
        <v>78.4</v>
      </c>
      <c r="I4563" s="23">
        <v>19.6</v>
      </c>
      <c r="J4563" s="24">
        <v>78.4</v>
      </c>
      <c r="K4563" s="21">
        <v>0</v>
      </c>
      <c r="L4563" s="21">
        <v>0</v>
      </c>
      <c r="M4563" s="21">
        <f>COUNTIF($A$2:$A$5481,A4563)</f>
        <v>1</v>
      </c>
      <c r="N4563" s="24">
        <f t="shared" si="71"/>
        <v>78.4004563</v>
      </c>
    </row>
    <row r="4564" spans="1:14">
      <c r="A4564" s="21" t="s">
        <v>4186</v>
      </c>
      <c r="B4564" s="21" t="s">
        <v>920</v>
      </c>
      <c r="C4564" s="21" t="s">
        <v>35</v>
      </c>
      <c r="D4564" s="21" t="s">
        <v>921</v>
      </c>
      <c r="E4564" s="21">
        <v>8</v>
      </c>
      <c r="F4564" s="22">
        <v>45328.4198842593</v>
      </c>
      <c r="G4564" s="22"/>
      <c r="H4564" s="23">
        <v>238.4</v>
      </c>
      <c r="I4564" s="23">
        <v>29.8</v>
      </c>
      <c r="J4564" s="24">
        <v>238.4</v>
      </c>
      <c r="K4564" s="21">
        <v>0</v>
      </c>
      <c r="L4564" s="21">
        <v>0</v>
      </c>
      <c r="M4564" s="21">
        <f>COUNTIF($A$2:$A$5481,A4564)</f>
        <v>1</v>
      </c>
      <c r="N4564" s="24">
        <f t="shared" si="71"/>
        <v>238.4004564</v>
      </c>
    </row>
    <row r="4565" spans="1:14">
      <c r="A4565" s="21" t="s">
        <v>4187</v>
      </c>
      <c r="B4565" s="21" t="s">
        <v>920</v>
      </c>
      <c r="C4565" s="21" t="s">
        <v>35</v>
      </c>
      <c r="D4565" s="21" t="s">
        <v>921</v>
      </c>
      <c r="E4565" s="21">
        <v>8</v>
      </c>
      <c r="F4565" s="22">
        <v>45328.4198842593</v>
      </c>
      <c r="G4565" s="22"/>
      <c r="H4565" s="23">
        <v>168</v>
      </c>
      <c r="I4565" s="23">
        <v>21</v>
      </c>
      <c r="J4565" s="24">
        <v>168</v>
      </c>
      <c r="K4565" s="21">
        <v>0</v>
      </c>
      <c r="L4565" s="21">
        <v>0</v>
      </c>
      <c r="M4565" s="21">
        <f>COUNTIF($A$2:$A$5481,A4565)</f>
        <v>1</v>
      </c>
      <c r="N4565" s="24">
        <f t="shared" si="71"/>
        <v>168.0004565</v>
      </c>
    </row>
    <row r="4566" spans="1:14">
      <c r="A4566" s="21" t="s">
        <v>4188</v>
      </c>
      <c r="B4566" s="21" t="s">
        <v>920</v>
      </c>
      <c r="C4566" s="21" t="s">
        <v>26</v>
      </c>
      <c r="D4566" s="21" t="s">
        <v>931</v>
      </c>
      <c r="E4566" s="21">
        <v>4</v>
      </c>
      <c r="F4566" s="22">
        <v>45742.4445486111</v>
      </c>
      <c r="G4566" s="22"/>
      <c r="H4566" s="23">
        <v>120</v>
      </c>
      <c r="I4566" s="23">
        <v>30</v>
      </c>
      <c r="J4566" s="24">
        <v>120</v>
      </c>
      <c r="K4566" s="21">
        <v>0</v>
      </c>
      <c r="L4566" s="21">
        <v>0</v>
      </c>
      <c r="M4566" s="21">
        <f>COUNTIF($A$2:$A$5481,A4566)</f>
        <v>1</v>
      </c>
      <c r="N4566" s="24">
        <f t="shared" si="71"/>
        <v>120.0004566</v>
      </c>
    </row>
    <row r="4567" spans="1:14">
      <c r="A4567" s="21" t="s">
        <v>4189</v>
      </c>
      <c r="B4567" s="21" t="s">
        <v>920</v>
      </c>
      <c r="C4567" s="21" t="s">
        <v>26</v>
      </c>
      <c r="D4567" s="21" t="s">
        <v>931</v>
      </c>
      <c r="E4567" s="21">
        <v>10</v>
      </c>
      <c r="F4567" s="22">
        <v>46233.5314467593</v>
      </c>
      <c r="G4567" s="22"/>
      <c r="H4567" s="23">
        <v>326</v>
      </c>
      <c r="I4567" s="23">
        <v>32.6</v>
      </c>
      <c r="J4567" s="24">
        <v>326</v>
      </c>
      <c r="K4567" s="21">
        <v>0</v>
      </c>
      <c r="L4567" s="21">
        <v>0</v>
      </c>
      <c r="M4567" s="21">
        <f>COUNTIF($A$2:$A$5481,A4567)</f>
        <v>1</v>
      </c>
      <c r="N4567" s="24">
        <f t="shared" si="71"/>
        <v>326.0004567</v>
      </c>
    </row>
    <row r="4568" spans="1:14">
      <c r="A4568" s="21" t="s">
        <v>4190</v>
      </c>
      <c r="B4568" s="21" t="s">
        <v>920</v>
      </c>
      <c r="C4568" s="21" t="s">
        <v>26</v>
      </c>
      <c r="D4568" s="21" t="s">
        <v>931</v>
      </c>
      <c r="E4568" s="21">
        <v>0</v>
      </c>
      <c r="F4568" s="22">
        <v>45736.4490046296</v>
      </c>
      <c r="G4568" s="22">
        <v>45747.4619907407</v>
      </c>
      <c r="H4568" s="23">
        <v>180.82</v>
      </c>
      <c r="I4568" s="23">
        <v>180.82</v>
      </c>
      <c r="J4568" s="24">
        <v>0</v>
      </c>
      <c r="K4568" s="21">
        <v>0</v>
      </c>
      <c r="L4568" s="21">
        <v>0</v>
      </c>
      <c r="M4568" s="21">
        <f>COUNTIF($A$2:$A$5481,A4568)</f>
        <v>1</v>
      </c>
      <c r="N4568" s="24">
        <f t="shared" si="71"/>
        <v>0.0004568</v>
      </c>
    </row>
    <row r="4569" spans="1:14">
      <c r="A4569" s="21" t="s">
        <v>4191</v>
      </c>
      <c r="B4569" s="21" t="s">
        <v>929</v>
      </c>
      <c r="C4569" s="21" t="s">
        <v>35</v>
      </c>
      <c r="D4569" s="21" t="s">
        <v>921</v>
      </c>
      <c r="E4569" s="21">
        <v>2</v>
      </c>
      <c r="F4569" s="22">
        <v>45314.7838888889</v>
      </c>
      <c r="G4569" s="22"/>
      <c r="H4569" s="23">
        <v>22</v>
      </c>
      <c r="I4569" s="23">
        <v>11</v>
      </c>
      <c r="J4569" s="24">
        <v>22</v>
      </c>
      <c r="K4569" s="21">
        <v>0</v>
      </c>
      <c r="L4569" s="21">
        <v>0</v>
      </c>
      <c r="M4569" s="21">
        <f>COUNTIF($A$2:$A$5481,A4569)</f>
        <v>1</v>
      </c>
      <c r="N4569" s="24">
        <f t="shared" si="71"/>
        <v>22.0004569</v>
      </c>
    </row>
    <row r="4570" spans="1:14">
      <c r="A4570" s="21" t="s">
        <v>4192</v>
      </c>
      <c r="B4570" s="21" t="s">
        <v>920</v>
      </c>
      <c r="C4570" s="21" t="s">
        <v>26</v>
      </c>
      <c r="D4570" s="21" t="s">
        <v>921</v>
      </c>
      <c r="E4570" s="21">
        <v>2</v>
      </c>
      <c r="F4570" s="22">
        <v>45387.8543055556</v>
      </c>
      <c r="G4570" s="22"/>
      <c r="H4570" s="23">
        <v>40</v>
      </c>
      <c r="I4570" s="23">
        <v>20</v>
      </c>
      <c r="J4570" s="24">
        <v>40</v>
      </c>
      <c r="K4570" s="21">
        <v>0</v>
      </c>
      <c r="L4570" s="21">
        <v>0</v>
      </c>
      <c r="M4570" s="21">
        <f>COUNTIF($A$2:$A$5481,A4570)</f>
        <v>1</v>
      </c>
      <c r="N4570" s="24">
        <f t="shared" si="71"/>
        <v>40.000457</v>
      </c>
    </row>
    <row r="4571" spans="1:14">
      <c r="A4571" s="21" t="s">
        <v>4193</v>
      </c>
      <c r="B4571" s="21" t="s">
        <v>920</v>
      </c>
      <c r="C4571" s="21" t="s">
        <v>26</v>
      </c>
      <c r="D4571" s="21" t="s">
        <v>921</v>
      </c>
      <c r="E4571" s="21">
        <v>7</v>
      </c>
      <c r="F4571" s="22">
        <v>45600.4477430556</v>
      </c>
      <c r="G4571" s="22">
        <v>45601.4873726852</v>
      </c>
      <c r="H4571" s="23">
        <v>384</v>
      </c>
      <c r="I4571" s="23">
        <v>48</v>
      </c>
      <c r="J4571" s="24">
        <v>336</v>
      </c>
      <c r="K4571" s="21">
        <v>0</v>
      </c>
      <c r="L4571" s="21">
        <v>0</v>
      </c>
      <c r="M4571" s="21">
        <f>COUNTIF($A$2:$A$5481,A4571)</f>
        <v>1</v>
      </c>
      <c r="N4571" s="24">
        <f t="shared" si="71"/>
        <v>336.0004571</v>
      </c>
    </row>
    <row r="4572" spans="1:14">
      <c r="A4572" s="21" t="s">
        <v>4194</v>
      </c>
      <c r="B4572" s="21" t="s">
        <v>920</v>
      </c>
      <c r="C4572" s="21" t="s">
        <v>35</v>
      </c>
      <c r="D4572" s="21" t="s">
        <v>921</v>
      </c>
      <c r="E4572" s="21">
        <v>0</v>
      </c>
      <c r="F4572" s="22">
        <v>45915.5961458333</v>
      </c>
      <c r="G4572" s="22">
        <v>45923.4677893519</v>
      </c>
      <c r="H4572" s="23">
        <v>1180</v>
      </c>
      <c r="I4572" s="23">
        <v>295</v>
      </c>
      <c r="J4572" s="24">
        <v>0</v>
      </c>
      <c r="K4572" s="21">
        <v>0</v>
      </c>
      <c r="L4572" s="21">
        <v>0</v>
      </c>
      <c r="M4572" s="21">
        <f>COUNTIF($A$2:$A$5481,A4572)</f>
        <v>1</v>
      </c>
      <c r="N4572" s="24">
        <f t="shared" si="71"/>
        <v>0.0004572</v>
      </c>
    </row>
    <row r="4573" spans="1:14">
      <c r="A4573" s="21" t="s">
        <v>4195</v>
      </c>
      <c r="B4573" s="21" t="s">
        <v>920</v>
      </c>
      <c r="C4573" s="21" t="s">
        <v>35</v>
      </c>
      <c r="D4573" s="21" t="s">
        <v>921</v>
      </c>
      <c r="E4573" s="21">
        <v>0</v>
      </c>
      <c r="F4573" s="22">
        <v>45915.5961458333</v>
      </c>
      <c r="G4573" s="22">
        <v>45923.4678009259</v>
      </c>
      <c r="H4573" s="23">
        <v>272</v>
      </c>
      <c r="I4573" s="23">
        <v>272</v>
      </c>
      <c r="J4573" s="24">
        <v>0</v>
      </c>
      <c r="K4573" s="21">
        <v>0</v>
      </c>
      <c r="L4573" s="21">
        <v>0</v>
      </c>
      <c r="M4573" s="21">
        <f>COUNTIF($A$2:$A$5481,A4573)</f>
        <v>1</v>
      </c>
      <c r="N4573" s="24">
        <f t="shared" si="71"/>
        <v>0.0004573</v>
      </c>
    </row>
    <row r="4574" spans="1:14">
      <c r="A4574" s="21" t="s">
        <v>841</v>
      </c>
      <c r="B4574" s="21" t="s">
        <v>920</v>
      </c>
      <c r="C4574" s="21" t="s">
        <v>26</v>
      </c>
      <c r="D4574" s="21" t="s">
        <v>931</v>
      </c>
      <c r="E4574" s="21">
        <v>7</v>
      </c>
      <c r="F4574" s="22">
        <v>45791.3490509259</v>
      </c>
      <c r="G4574" s="22">
        <v>46266.6993518519</v>
      </c>
      <c r="H4574" s="23">
        <v>187.68</v>
      </c>
      <c r="I4574" s="23">
        <v>23.46</v>
      </c>
      <c r="J4574" s="24">
        <v>164.22</v>
      </c>
      <c r="K4574" s="21">
        <v>0</v>
      </c>
      <c r="L4574" s="21">
        <v>0</v>
      </c>
      <c r="M4574" s="21">
        <f>COUNTIF($A$2:$A$5481,A4574)</f>
        <v>1</v>
      </c>
      <c r="N4574" s="24">
        <f t="shared" si="71"/>
        <v>164.2204574</v>
      </c>
    </row>
    <row r="4575" spans="1:14">
      <c r="A4575" s="21" t="s">
        <v>4196</v>
      </c>
      <c r="B4575" s="21" t="s">
        <v>920</v>
      </c>
      <c r="C4575" s="21" t="s">
        <v>26</v>
      </c>
      <c r="D4575" s="21" t="s">
        <v>921</v>
      </c>
      <c r="E4575" s="21">
        <v>3</v>
      </c>
      <c r="F4575" s="22">
        <v>45596.5627314815</v>
      </c>
      <c r="G4575" s="22">
        <v>45596.6120601852</v>
      </c>
      <c r="H4575" s="23">
        <v>343.08</v>
      </c>
      <c r="I4575" s="23">
        <v>85.77</v>
      </c>
      <c r="J4575" s="24">
        <v>257.31</v>
      </c>
      <c r="K4575" s="21">
        <v>0</v>
      </c>
      <c r="L4575" s="21">
        <v>0</v>
      </c>
      <c r="M4575" s="21">
        <f>COUNTIF($A$2:$A$5481,A4575)</f>
        <v>2</v>
      </c>
      <c r="N4575" s="24">
        <f t="shared" si="71"/>
        <v>257.3104575</v>
      </c>
    </row>
    <row r="4576" spans="1:14">
      <c r="A4576" s="21" t="s">
        <v>4196</v>
      </c>
      <c r="B4576" s="21" t="s">
        <v>920</v>
      </c>
      <c r="C4576" s="21" t="s">
        <v>35</v>
      </c>
      <c r="D4576" s="21" t="s">
        <v>921</v>
      </c>
      <c r="E4576" s="21">
        <v>3</v>
      </c>
      <c r="F4576" s="22">
        <v>45604.4131944445</v>
      </c>
      <c r="G4576" s="22">
        <v>45604.4164583333</v>
      </c>
      <c r="H4576" s="23">
        <v>343.08</v>
      </c>
      <c r="I4576" s="23">
        <v>0</v>
      </c>
      <c r="J4576" s="24">
        <v>0</v>
      </c>
      <c r="K4576" s="21">
        <v>0</v>
      </c>
      <c r="L4576" s="21">
        <v>0</v>
      </c>
      <c r="M4576" s="21">
        <f>COUNTIF($A$2:$A$5481,A4576)</f>
        <v>2</v>
      </c>
      <c r="N4576" s="24">
        <f t="shared" si="71"/>
        <v>0.0004576</v>
      </c>
    </row>
    <row r="4577" spans="1:14">
      <c r="A4577" s="21" t="s">
        <v>4197</v>
      </c>
      <c r="B4577" s="21" t="s">
        <v>26</v>
      </c>
      <c r="C4577" s="21" t="s">
        <v>26</v>
      </c>
      <c r="D4577" s="21" t="s">
        <v>921</v>
      </c>
      <c r="E4577" s="21">
        <v>3</v>
      </c>
      <c r="F4577" s="22">
        <v>45574.8637037037</v>
      </c>
      <c r="G4577" s="22"/>
      <c r="H4577" s="23">
        <v>30</v>
      </c>
      <c r="I4577" s="23">
        <v>15</v>
      </c>
      <c r="J4577" s="24">
        <v>45</v>
      </c>
      <c r="K4577" s="21">
        <v>0</v>
      </c>
      <c r="L4577" s="21">
        <v>0</v>
      </c>
      <c r="M4577" s="21">
        <f>COUNTIF($A$2:$A$5481,A4577)</f>
        <v>1</v>
      </c>
      <c r="N4577" s="24">
        <f t="shared" si="71"/>
        <v>45.0004577</v>
      </c>
    </row>
    <row r="4578" spans="1:14">
      <c r="A4578" s="21" t="s">
        <v>4198</v>
      </c>
      <c r="B4578" s="21" t="s">
        <v>920</v>
      </c>
      <c r="C4578" s="21" t="s">
        <v>26</v>
      </c>
      <c r="D4578" s="21" t="s">
        <v>921</v>
      </c>
      <c r="E4578" s="21">
        <v>2</v>
      </c>
      <c r="F4578" s="22">
        <v>45838.7136689815</v>
      </c>
      <c r="G4578" s="22"/>
      <c r="H4578" s="23">
        <v>51.8</v>
      </c>
      <c r="I4578" s="23">
        <v>25.9</v>
      </c>
      <c r="J4578" s="24">
        <v>51.8</v>
      </c>
      <c r="K4578" s="21">
        <v>0</v>
      </c>
      <c r="L4578" s="21">
        <v>0</v>
      </c>
      <c r="M4578" s="21">
        <f>COUNTIF($A$2:$A$5481,A4578)</f>
        <v>1</v>
      </c>
      <c r="N4578" s="24">
        <f t="shared" si="71"/>
        <v>51.8004578</v>
      </c>
    </row>
    <row r="4579" spans="1:14">
      <c r="A4579" s="21" t="s">
        <v>4199</v>
      </c>
      <c r="B4579" s="21" t="s">
        <v>920</v>
      </c>
      <c r="C4579" s="21" t="s">
        <v>26</v>
      </c>
      <c r="D4579" s="21" t="s">
        <v>921</v>
      </c>
      <c r="E4579" s="21">
        <v>2</v>
      </c>
      <c r="F4579" s="22">
        <v>45615.5334837963</v>
      </c>
      <c r="G4579" s="22"/>
      <c r="H4579" s="23">
        <v>20</v>
      </c>
      <c r="I4579" s="23">
        <v>10</v>
      </c>
      <c r="J4579" s="24">
        <v>20</v>
      </c>
      <c r="K4579" s="21">
        <v>0</v>
      </c>
      <c r="L4579" s="21">
        <v>0</v>
      </c>
      <c r="M4579" s="21">
        <f>COUNTIF($A$2:$A$5481,A4579)</f>
        <v>1</v>
      </c>
      <c r="N4579" s="24">
        <f t="shared" si="71"/>
        <v>20.0004579</v>
      </c>
    </row>
    <row r="4580" spans="1:14">
      <c r="A4580" s="21" t="s">
        <v>4200</v>
      </c>
      <c r="B4580" s="21" t="s">
        <v>920</v>
      </c>
      <c r="C4580" s="21" t="s">
        <v>35</v>
      </c>
      <c r="D4580" s="21" t="s">
        <v>921</v>
      </c>
      <c r="E4580" s="21">
        <v>0</v>
      </c>
      <c r="F4580" s="22">
        <v>45267.5950347222</v>
      </c>
      <c r="G4580" s="22">
        <v>45267.598125</v>
      </c>
      <c r="H4580" s="23">
        <v>36</v>
      </c>
      <c r="I4580" s="23">
        <v>18</v>
      </c>
      <c r="J4580" s="24">
        <v>0</v>
      </c>
      <c r="K4580" s="21">
        <v>0</v>
      </c>
      <c r="L4580" s="21">
        <v>0</v>
      </c>
      <c r="M4580" s="21">
        <f>COUNTIF($A$2:$A$5481,A4580)</f>
        <v>2</v>
      </c>
      <c r="N4580" s="24">
        <f t="shared" si="71"/>
        <v>0.000458</v>
      </c>
    </row>
    <row r="4581" spans="1:14">
      <c r="A4581" s="21" t="s">
        <v>4200</v>
      </c>
      <c r="B4581" s="21" t="s">
        <v>920</v>
      </c>
      <c r="C4581" s="21" t="s">
        <v>26</v>
      </c>
      <c r="D4581" s="21" t="s">
        <v>921</v>
      </c>
      <c r="E4581" s="21">
        <v>9</v>
      </c>
      <c r="F4581" s="22">
        <v>45895.5767824074</v>
      </c>
      <c r="G4581" s="22"/>
      <c r="H4581" s="23">
        <v>160</v>
      </c>
      <c r="I4581" s="23">
        <v>21.1111111111</v>
      </c>
      <c r="J4581" s="24">
        <v>189.99</v>
      </c>
      <c r="K4581" s="21">
        <v>0</v>
      </c>
      <c r="L4581" s="21">
        <v>0</v>
      </c>
      <c r="M4581" s="21">
        <f>COUNTIF($A$2:$A$5481,A4581)</f>
        <v>2</v>
      </c>
      <c r="N4581" s="24">
        <f t="shared" si="71"/>
        <v>189.9904581</v>
      </c>
    </row>
    <row r="4582" spans="1:14">
      <c r="A4582" s="21" t="s">
        <v>4201</v>
      </c>
      <c r="B4582" s="21" t="s">
        <v>920</v>
      </c>
      <c r="C4582" s="21" t="s">
        <v>26</v>
      </c>
      <c r="D4582" s="21" t="s">
        <v>921</v>
      </c>
      <c r="E4582" s="21">
        <v>4</v>
      </c>
      <c r="F4582" s="22">
        <v>45895.5767824074</v>
      </c>
      <c r="G4582" s="22"/>
      <c r="H4582" s="23">
        <v>384</v>
      </c>
      <c r="I4582" s="23">
        <v>96</v>
      </c>
      <c r="J4582" s="24">
        <v>384</v>
      </c>
      <c r="K4582" s="21">
        <v>0</v>
      </c>
      <c r="L4582" s="21">
        <v>0</v>
      </c>
      <c r="M4582" s="21">
        <f>COUNTIF($A$2:$A$5481,A4582)</f>
        <v>1</v>
      </c>
      <c r="N4582" s="24">
        <f t="shared" si="71"/>
        <v>384.0004582</v>
      </c>
    </row>
    <row r="4583" spans="1:14">
      <c r="A4583" s="21" t="s">
        <v>4202</v>
      </c>
      <c r="B4583" s="21" t="s">
        <v>920</v>
      </c>
      <c r="C4583" s="21" t="s">
        <v>35</v>
      </c>
      <c r="D4583" s="21" t="s">
        <v>921</v>
      </c>
      <c r="E4583" s="21">
        <v>2</v>
      </c>
      <c r="F4583" s="22">
        <v>45383.5534722222</v>
      </c>
      <c r="G4583" s="22">
        <v>45384.8756944445</v>
      </c>
      <c r="H4583" s="23">
        <v>160</v>
      </c>
      <c r="I4583" s="23">
        <v>40</v>
      </c>
      <c r="J4583" s="24">
        <v>80</v>
      </c>
      <c r="K4583" s="21">
        <v>0</v>
      </c>
      <c r="L4583" s="21">
        <v>0</v>
      </c>
      <c r="M4583" s="21">
        <f>COUNTIF($A$2:$A$5481,A4583)</f>
        <v>1</v>
      </c>
      <c r="N4583" s="24">
        <f t="shared" si="71"/>
        <v>80.0004583</v>
      </c>
    </row>
    <row r="4584" spans="1:14">
      <c r="A4584" s="21" t="s">
        <v>4203</v>
      </c>
      <c r="B4584" s="21" t="s">
        <v>920</v>
      </c>
      <c r="C4584" s="21" t="s">
        <v>26</v>
      </c>
      <c r="D4584" s="21" t="s">
        <v>931</v>
      </c>
      <c r="E4584" s="21">
        <v>2</v>
      </c>
      <c r="F4584" s="22">
        <v>45855.3562847222</v>
      </c>
      <c r="G4584" s="22"/>
      <c r="H4584" s="23">
        <v>41</v>
      </c>
      <c r="I4584" s="23">
        <v>20.5</v>
      </c>
      <c r="J4584" s="24">
        <v>41</v>
      </c>
      <c r="K4584" s="21">
        <v>0</v>
      </c>
      <c r="L4584" s="21">
        <v>0</v>
      </c>
      <c r="M4584" s="21">
        <f>COUNTIF($A$2:$A$5481,A4584)</f>
        <v>1</v>
      </c>
      <c r="N4584" s="24">
        <f t="shared" si="71"/>
        <v>41.0004584</v>
      </c>
    </row>
    <row r="4585" spans="1:14">
      <c r="A4585" s="21" t="s">
        <v>4204</v>
      </c>
      <c r="B4585" s="21" t="s">
        <v>26</v>
      </c>
      <c r="C4585" s="21" t="s">
        <v>35</v>
      </c>
      <c r="D4585" s="21" t="s">
        <v>921</v>
      </c>
      <c r="E4585" s="21">
        <v>9</v>
      </c>
      <c r="F4585" s="22">
        <v>45667.4464930556</v>
      </c>
      <c r="G4585" s="22">
        <v>45933.3903935185</v>
      </c>
      <c r="H4585" s="23">
        <v>210</v>
      </c>
      <c r="I4585" s="23">
        <v>70.7272727273</v>
      </c>
      <c r="J4585" s="24">
        <v>636.57</v>
      </c>
      <c r="K4585" s="21">
        <v>0</v>
      </c>
      <c r="L4585" s="21">
        <v>0</v>
      </c>
      <c r="M4585" s="21">
        <f>COUNTIF($A$2:$A$5481,A4585)</f>
        <v>1</v>
      </c>
      <c r="N4585" s="24">
        <f t="shared" si="71"/>
        <v>636.5704585</v>
      </c>
    </row>
    <row r="4586" spans="1:14">
      <c r="A4586" s="21" t="s">
        <v>4205</v>
      </c>
      <c r="B4586" s="21" t="s">
        <v>920</v>
      </c>
      <c r="C4586" s="21" t="s">
        <v>26</v>
      </c>
      <c r="D4586" s="21" t="s">
        <v>921</v>
      </c>
      <c r="E4586" s="21">
        <v>2</v>
      </c>
      <c r="F4586" s="22">
        <v>45615.5421643519</v>
      </c>
      <c r="G4586" s="22">
        <v>45615.5444097222</v>
      </c>
      <c r="H4586" s="23">
        <v>100</v>
      </c>
      <c r="I4586" s="23">
        <v>25</v>
      </c>
      <c r="J4586" s="24">
        <v>50</v>
      </c>
      <c r="K4586" s="21">
        <v>1</v>
      </c>
      <c r="L4586" s="21">
        <v>10</v>
      </c>
      <c r="M4586" s="21">
        <f>COUNTIF($A$2:$A$5481,A4586)</f>
        <v>2</v>
      </c>
      <c r="N4586" s="24">
        <f t="shared" si="71"/>
        <v>50.0004586</v>
      </c>
    </row>
    <row r="4587" spans="1:14">
      <c r="A4587" s="21" t="s">
        <v>4205</v>
      </c>
      <c r="B4587" s="21" t="s">
        <v>920</v>
      </c>
      <c r="C4587" s="21" t="s">
        <v>35</v>
      </c>
      <c r="D4587" s="21" t="s">
        <v>921</v>
      </c>
      <c r="E4587" s="21">
        <v>8</v>
      </c>
      <c r="F4587" s="22">
        <v>45761.7698032407</v>
      </c>
      <c r="G4587" s="22">
        <v>45601.4946990741</v>
      </c>
      <c r="H4587" s="23">
        <v>224</v>
      </c>
      <c r="I4587" s="23">
        <v>66.4273</v>
      </c>
      <c r="J4587" s="24">
        <v>531.44</v>
      </c>
      <c r="K4587" s="21">
        <v>1</v>
      </c>
      <c r="L4587" s="21">
        <v>10</v>
      </c>
      <c r="M4587" s="21">
        <f>COUNTIF($A$2:$A$5481,A4587)</f>
        <v>2</v>
      </c>
      <c r="N4587" s="24">
        <f t="shared" si="71"/>
        <v>531.4404587</v>
      </c>
    </row>
    <row r="4588" spans="1:14">
      <c r="A4588" s="21" t="s">
        <v>4206</v>
      </c>
      <c r="B4588" s="21" t="s">
        <v>920</v>
      </c>
      <c r="C4588" s="21" t="s">
        <v>35</v>
      </c>
      <c r="D4588" s="21" t="s">
        <v>921</v>
      </c>
      <c r="E4588" s="21">
        <v>6</v>
      </c>
      <c r="F4588" s="22">
        <v>45608.3634259259</v>
      </c>
      <c r="G4588" s="22">
        <v>45933.3904050926</v>
      </c>
      <c r="H4588" s="23">
        <v>900</v>
      </c>
      <c r="I4588" s="23">
        <v>85</v>
      </c>
      <c r="J4588" s="24">
        <v>510</v>
      </c>
      <c r="K4588" s="21">
        <v>1</v>
      </c>
      <c r="L4588" s="21">
        <v>10</v>
      </c>
      <c r="M4588" s="21">
        <f>COUNTIF($A$2:$A$5481,A4588)</f>
        <v>1</v>
      </c>
      <c r="N4588" s="24">
        <f t="shared" si="71"/>
        <v>510.0004588</v>
      </c>
    </row>
    <row r="4589" spans="1:14">
      <c r="A4589" s="21" t="s">
        <v>4207</v>
      </c>
      <c r="B4589" s="21" t="s">
        <v>26</v>
      </c>
      <c r="C4589" s="21" t="s">
        <v>26</v>
      </c>
      <c r="D4589" s="21" t="s">
        <v>921</v>
      </c>
      <c r="E4589" s="21">
        <v>50</v>
      </c>
      <c r="F4589" s="22">
        <v>46107.3618055556</v>
      </c>
      <c r="G4589" s="22"/>
      <c r="H4589" s="23">
        <v>12</v>
      </c>
      <c r="I4589" s="23">
        <v>0.24</v>
      </c>
      <c r="J4589" s="24">
        <v>12</v>
      </c>
      <c r="K4589" s="21">
        <v>0</v>
      </c>
      <c r="L4589" s="21">
        <v>0</v>
      </c>
      <c r="M4589" s="21">
        <f>COUNTIF($A$2:$A$5481,A4589)</f>
        <v>1</v>
      </c>
      <c r="N4589" s="24">
        <f t="shared" si="71"/>
        <v>12.0004589</v>
      </c>
    </row>
    <row r="4590" spans="1:14">
      <c r="A4590" s="21" t="s">
        <v>4208</v>
      </c>
      <c r="B4590" s="21" t="s">
        <v>920</v>
      </c>
      <c r="C4590" s="21" t="s">
        <v>26</v>
      </c>
      <c r="D4590" s="21" t="s">
        <v>931</v>
      </c>
      <c r="E4590" s="21">
        <v>10</v>
      </c>
      <c r="F4590" s="22">
        <v>45777.3848611111</v>
      </c>
      <c r="G4590" s="22"/>
      <c r="H4590" s="23">
        <v>29.4</v>
      </c>
      <c r="I4590" s="23">
        <v>2.94</v>
      </c>
      <c r="J4590" s="24">
        <v>29.4</v>
      </c>
      <c r="K4590" s="21">
        <v>0</v>
      </c>
      <c r="L4590" s="21">
        <v>0</v>
      </c>
      <c r="M4590" s="21">
        <f>COUNTIF($A$2:$A$5481,A4590)</f>
        <v>1</v>
      </c>
      <c r="N4590" s="24">
        <f t="shared" si="71"/>
        <v>29.400459</v>
      </c>
    </row>
    <row r="4591" spans="1:14">
      <c r="A4591" s="21" t="s">
        <v>4209</v>
      </c>
      <c r="B4591" s="21" t="s">
        <v>26</v>
      </c>
      <c r="C4591" s="21" t="s">
        <v>26</v>
      </c>
      <c r="D4591" s="21" t="s">
        <v>921</v>
      </c>
      <c r="E4591" s="21">
        <v>110</v>
      </c>
      <c r="F4591" s="22">
        <v>46248.6009837963</v>
      </c>
      <c r="G4591" s="22"/>
      <c r="H4591" s="23">
        <v>1.6</v>
      </c>
      <c r="I4591" s="23">
        <v>0.16</v>
      </c>
      <c r="J4591" s="24">
        <v>17.6</v>
      </c>
      <c r="K4591" s="21">
        <v>0</v>
      </c>
      <c r="L4591" s="21">
        <v>0</v>
      </c>
      <c r="M4591" s="21">
        <f>COUNTIF($A$2:$A$5481,A4591)</f>
        <v>1</v>
      </c>
      <c r="N4591" s="24">
        <f t="shared" si="71"/>
        <v>17.6004591</v>
      </c>
    </row>
    <row r="4592" spans="1:14">
      <c r="A4592" s="21" t="s">
        <v>4210</v>
      </c>
      <c r="B4592" s="21" t="s">
        <v>26</v>
      </c>
      <c r="C4592" s="21" t="s">
        <v>26</v>
      </c>
      <c r="D4592" s="21" t="s">
        <v>921</v>
      </c>
      <c r="E4592" s="21">
        <v>50</v>
      </c>
      <c r="F4592" s="22">
        <v>46239.7219791667</v>
      </c>
      <c r="G4592" s="22"/>
      <c r="H4592" s="23">
        <v>5</v>
      </c>
      <c r="I4592" s="23">
        <v>0.1</v>
      </c>
      <c r="J4592" s="24">
        <v>5</v>
      </c>
      <c r="K4592" s="21">
        <v>0</v>
      </c>
      <c r="L4592" s="21">
        <v>0</v>
      </c>
      <c r="M4592" s="21">
        <f>COUNTIF($A$2:$A$5481,A4592)</f>
        <v>1</v>
      </c>
      <c r="N4592" s="24">
        <f t="shared" si="71"/>
        <v>5.0004592</v>
      </c>
    </row>
    <row r="4593" spans="1:14">
      <c r="A4593" s="21" t="s">
        <v>4211</v>
      </c>
      <c r="B4593" s="21" t="s">
        <v>929</v>
      </c>
      <c r="C4593" s="21" t="s">
        <v>26</v>
      </c>
      <c r="D4593" s="21" t="s">
        <v>921</v>
      </c>
      <c r="E4593" s="21">
        <v>3</v>
      </c>
      <c r="F4593" s="22">
        <v>45478.5946527778</v>
      </c>
      <c r="G4593" s="22"/>
      <c r="H4593" s="23">
        <v>34.95</v>
      </c>
      <c r="I4593" s="23">
        <v>11.65</v>
      </c>
      <c r="J4593" s="24">
        <v>34.95</v>
      </c>
      <c r="K4593" s="21">
        <v>0</v>
      </c>
      <c r="L4593" s="21">
        <v>0</v>
      </c>
      <c r="M4593" s="21">
        <f>COUNTIF($A$2:$A$5481,A4593)</f>
        <v>1</v>
      </c>
      <c r="N4593" s="24">
        <f t="shared" si="71"/>
        <v>34.9504593</v>
      </c>
    </row>
    <row r="4594" spans="1:14">
      <c r="A4594" s="21" t="s">
        <v>4212</v>
      </c>
      <c r="B4594" s="21" t="s">
        <v>948</v>
      </c>
      <c r="C4594" s="21" t="s">
        <v>641</v>
      </c>
      <c r="D4594" s="21" t="s">
        <v>921</v>
      </c>
      <c r="E4594" s="21">
        <v>1</v>
      </c>
      <c r="F4594" s="22">
        <v>45441.4573611111</v>
      </c>
      <c r="G4594" s="22"/>
      <c r="H4594" s="23">
        <v>100</v>
      </c>
      <c r="I4594" s="23">
        <v>100</v>
      </c>
      <c r="J4594" s="24">
        <v>100</v>
      </c>
      <c r="K4594" s="21">
        <v>0</v>
      </c>
      <c r="L4594" s="21">
        <v>0</v>
      </c>
      <c r="M4594" s="21">
        <f>COUNTIF($A$2:$A$5481,A4594)</f>
        <v>2</v>
      </c>
      <c r="N4594" s="24">
        <f t="shared" si="71"/>
        <v>100.0004594</v>
      </c>
    </row>
    <row r="4595" spans="1:14">
      <c r="A4595" s="21" t="s">
        <v>4212</v>
      </c>
      <c r="B4595" s="21" t="s">
        <v>948</v>
      </c>
      <c r="C4595" s="21" t="s">
        <v>26</v>
      </c>
      <c r="D4595" s="21" t="s">
        <v>921</v>
      </c>
      <c r="E4595" s="21">
        <v>3</v>
      </c>
      <c r="F4595" s="22">
        <v>46134.6002546296</v>
      </c>
      <c r="G4595" s="22"/>
      <c r="H4595" s="23">
        <v>96</v>
      </c>
      <c r="I4595" s="23">
        <v>32</v>
      </c>
      <c r="J4595" s="24">
        <v>96</v>
      </c>
      <c r="K4595" s="21">
        <v>0</v>
      </c>
      <c r="L4595" s="21">
        <v>0</v>
      </c>
      <c r="M4595" s="21">
        <f>COUNTIF($A$2:$A$5481,A4595)</f>
        <v>2</v>
      </c>
      <c r="N4595" s="24">
        <f t="shared" si="71"/>
        <v>96.0004595</v>
      </c>
    </row>
    <row r="4596" spans="1:14">
      <c r="A4596" s="21" t="s">
        <v>4213</v>
      </c>
      <c r="B4596" s="21" t="s">
        <v>26</v>
      </c>
      <c r="C4596" s="21" t="s">
        <v>26</v>
      </c>
      <c r="D4596" s="21" t="s">
        <v>921</v>
      </c>
      <c r="E4596" s="21">
        <v>2</v>
      </c>
      <c r="F4596" s="22">
        <v>46107.3451388889</v>
      </c>
      <c r="G4596" s="22"/>
      <c r="H4596" s="23">
        <v>17.66</v>
      </c>
      <c r="I4596" s="23">
        <v>8.83</v>
      </c>
      <c r="J4596" s="24">
        <v>17.66</v>
      </c>
      <c r="K4596" s="21">
        <v>0</v>
      </c>
      <c r="L4596" s="21">
        <v>0</v>
      </c>
      <c r="M4596" s="21">
        <f>COUNTIF($A$2:$A$5481,A4596)</f>
        <v>1</v>
      </c>
      <c r="N4596" s="24">
        <f t="shared" si="71"/>
        <v>17.6604596</v>
      </c>
    </row>
    <row r="4597" spans="1:14">
      <c r="A4597" s="21" t="s">
        <v>4214</v>
      </c>
      <c r="B4597" s="21" t="s">
        <v>929</v>
      </c>
      <c r="C4597" s="21" t="s">
        <v>26</v>
      </c>
      <c r="D4597" s="21" t="s">
        <v>921</v>
      </c>
      <c r="E4597" s="21">
        <v>1</v>
      </c>
      <c r="F4597" s="22">
        <v>46127.4447916667</v>
      </c>
      <c r="G4597" s="22"/>
      <c r="H4597" s="23">
        <v>31.6</v>
      </c>
      <c r="I4597" s="23">
        <v>31.6</v>
      </c>
      <c r="J4597" s="24">
        <v>31.6</v>
      </c>
      <c r="K4597" s="21">
        <v>0</v>
      </c>
      <c r="L4597" s="21">
        <v>0</v>
      </c>
      <c r="M4597" s="21">
        <f>COUNTIF($A$2:$A$5481,A4597)</f>
        <v>1</v>
      </c>
      <c r="N4597" s="24">
        <f t="shared" si="71"/>
        <v>31.6004597</v>
      </c>
    </row>
    <row r="4598" spans="1:14">
      <c r="A4598" s="21" t="s">
        <v>4215</v>
      </c>
      <c r="B4598" s="21" t="s">
        <v>920</v>
      </c>
      <c r="C4598" s="21" t="s">
        <v>26</v>
      </c>
      <c r="D4598" s="21" t="s">
        <v>921</v>
      </c>
      <c r="E4598" s="21">
        <v>3</v>
      </c>
      <c r="F4598" s="22">
        <v>45702.3500810185</v>
      </c>
      <c r="G4598" s="22"/>
      <c r="H4598" s="23">
        <v>51.5</v>
      </c>
      <c r="I4598" s="23">
        <v>28.95333</v>
      </c>
      <c r="J4598" s="24">
        <v>86.85</v>
      </c>
      <c r="K4598" s="21">
        <v>0</v>
      </c>
      <c r="L4598" s="21">
        <v>0</v>
      </c>
      <c r="M4598" s="21">
        <f>COUNTIF($A$2:$A$5481,A4598)</f>
        <v>1</v>
      </c>
      <c r="N4598" s="24">
        <f t="shared" si="71"/>
        <v>86.8504598</v>
      </c>
    </row>
    <row r="4599" spans="1:14">
      <c r="A4599" s="21" t="s">
        <v>605</v>
      </c>
      <c r="B4599" s="21" t="s">
        <v>26</v>
      </c>
      <c r="C4599" s="21" t="s">
        <v>26</v>
      </c>
      <c r="D4599" s="21" t="s">
        <v>921</v>
      </c>
      <c r="E4599" s="21">
        <v>0</v>
      </c>
      <c r="F4599" s="22">
        <v>45492.3810185185</v>
      </c>
      <c r="G4599" s="22">
        <v>46252.3676041667</v>
      </c>
      <c r="H4599" s="23">
        <v>23.7</v>
      </c>
      <c r="I4599" s="23">
        <v>7.9</v>
      </c>
      <c r="J4599" s="24">
        <v>0</v>
      </c>
      <c r="K4599" s="21">
        <v>0</v>
      </c>
      <c r="L4599" s="21">
        <v>0</v>
      </c>
      <c r="M4599" s="21">
        <f>COUNTIF($A$2:$A$5481,A4599)</f>
        <v>1</v>
      </c>
      <c r="N4599" s="24">
        <f t="shared" si="71"/>
        <v>0.0004599</v>
      </c>
    </row>
    <row r="4600" spans="1:14">
      <c r="A4600" s="21" t="s">
        <v>4216</v>
      </c>
      <c r="B4600" s="21" t="s">
        <v>26</v>
      </c>
      <c r="C4600" s="21" t="s">
        <v>26</v>
      </c>
      <c r="D4600" s="21" t="s">
        <v>921</v>
      </c>
      <c r="E4600" s="21">
        <v>1</v>
      </c>
      <c r="F4600" s="22">
        <v>45763.8152083333</v>
      </c>
      <c r="G4600" s="22"/>
      <c r="H4600" s="23">
        <v>54</v>
      </c>
      <c r="I4600" s="23">
        <v>54</v>
      </c>
      <c r="J4600" s="24">
        <v>54</v>
      </c>
      <c r="K4600" s="21">
        <v>0</v>
      </c>
      <c r="L4600" s="21">
        <v>0</v>
      </c>
      <c r="M4600" s="21">
        <f>COUNTIF($A$2:$A$5481,A4600)</f>
        <v>1</v>
      </c>
      <c r="N4600" s="24">
        <f t="shared" si="71"/>
        <v>54.00046</v>
      </c>
    </row>
    <row r="4601" spans="1:14">
      <c r="A4601" s="21" t="s">
        <v>4217</v>
      </c>
      <c r="B4601" s="21" t="s">
        <v>26</v>
      </c>
      <c r="C4601" s="21" t="s">
        <v>26</v>
      </c>
      <c r="D4601" s="21" t="s">
        <v>921</v>
      </c>
      <c r="E4601" s="21">
        <v>6</v>
      </c>
      <c r="F4601" s="22">
        <v>46107.3451388889</v>
      </c>
      <c r="G4601" s="22"/>
      <c r="H4601" s="23">
        <v>12.62</v>
      </c>
      <c r="I4601" s="23">
        <v>16.84</v>
      </c>
      <c r="J4601" s="24">
        <v>101.04</v>
      </c>
      <c r="K4601" s="21">
        <v>0</v>
      </c>
      <c r="L4601" s="21">
        <v>0</v>
      </c>
      <c r="M4601" s="21">
        <f>COUNTIF($A$2:$A$5481,A4601)</f>
        <v>1</v>
      </c>
      <c r="N4601" s="24">
        <f t="shared" si="71"/>
        <v>101.0404601</v>
      </c>
    </row>
    <row r="4602" spans="1:14">
      <c r="A4602" s="21" t="s">
        <v>4218</v>
      </c>
      <c r="B4602" s="21" t="s">
        <v>26</v>
      </c>
      <c r="C4602" s="21" t="s">
        <v>26</v>
      </c>
      <c r="D4602" s="21" t="s">
        <v>921</v>
      </c>
      <c r="E4602" s="21">
        <v>3</v>
      </c>
      <c r="F4602" s="22">
        <v>45436.3963078704</v>
      </c>
      <c r="G4602" s="22"/>
      <c r="H4602" s="23">
        <v>27.87</v>
      </c>
      <c r="I4602" s="23">
        <v>9.29</v>
      </c>
      <c r="J4602" s="24">
        <v>27.87</v>
      </c>
      <c r="K4602" s="21">
        <v>0</v>
      </c>
      <c r="L4602" s="21">
        <v>0</v>
      </c>
      <c r="M4602" s="21">
        <f>COUNTIF($A$2:$A$5481,A4602)</f>
        <v>1</v>
      </c>
      <c r="N4602" s="24">
        <f t="shared" si="71"/>
        <v>27.8704602</v>
      </c>
    </row>
    <row r="4603" spans="1:14">
      <c r="A4603" s="21" t="s">
        <v>4219</v>
      </c>
      <c r="B4603" s="21" t="s">
        <v>26</v>
      </c>
      <c r="C4603" s="21" t="s">
        <v>26</v>
      </c>
      <c r="D4603" s="21" t="s">
        <v>921</v>
      </c>
      <c r="E4603" s="21">
        <v>5</v>
      </c>
      <c r="F4603" s="22">
        <v>46107.3451388889</v>
      </c>
      <c r="G4603" s="22"/>
      <c r="H4603" s="23">
        <v>8.18</v>
      </c>
      <c r="I4603" s="23">
        <v>5.8</v>
      </c>
      <c r="J4603" s="24">
        <v>29</v>
      </c>
      <c r="K4603" s="21">
        <v>0</v>
      </c>
      <c r="L4603" s="21">
        <v>0</v>
      </c>
      <c r="M4603" s="21">
        <f>COUNTIF($A$2:$A$5481,A4603)</f>
        <v>1</v>
      </c>
      <c r="N4603" s="24">
        <f t="shared" si="71"/>
        <v>29.0004603</v>
      </c>
    </row>
    <row r="4604" spans="1:14">
      <c r="A4604" s="21" t="s">
        <v>4220</v>
      </c>
      <c r="B4604" s="21" t="s">
        <v>920</v>
      </c>
      <c r="C4604" s="21" t="s">
        <v>26</v>
      </c>
      <c r="D4604" s="21" t="s">
        <v>921</v>
      </c>
      <c r="E4604" s="21">
        <v>6</v>
      </c>
      <c r="F4604" s="22">
        <v>45932.3627662037</v>
      </c>
      <c r="G4604" s="22"/>
      <c r="H4604" s="23">
        <v>29.72</v>
      </c>
      <c r="I4604" s="23">
        <v>30.2466666667</v>
      </c>
      <c r="J4604" s="24">
        <v>181.5</v>
      </c>
      <c r="K4604" s="21">
        <v>0</v>
      </c>
      <c r="L4604" s="21">
        <v>0</v>
      </c>
      <c r="M4604" s="21">
        <f>COUNTIF($A$2:$A$5481,A4604)</f>
        <v>1</v>
      </c>
      <c r="N4604" s="24">
        <f t="shared" si="71"/>
        <v>181.5004604</v>
      </c>
    </row>
    <row r="4605" spans="1:14">
      <c r="A4605" s="21" t="s">
        <v>4221</v>
      </c>
      <c r="B4605" s="21" t="s">
        <v>26</v>
      </c>
      <c r="C4605" s="21" t="s">
        <v>26</v>
      </c>
      <c r="D4605" s="21" t="s">
        <v>921</v>
      </c>
      <c r="E4605" s="21">
        <v>5</v>
      </c>
      <c r="F4605" s="22">
        <v>45957.3443634259</v>
      </c>
      <c r="G4605" s="22"/>
      <c r="H4605" s="23">
        <v>25.36</v>
      </c>
      <c r="I4605" s="23">
        <v>11.032</v>
      </c>
      <c r="J4605" s="24">
        <v>55.15</v>
      </c>
      <c r="K4605" s="21">
        <v>0</v>
      </c>
      <c r="L4605" s="21">
        <v>0</v>
      </c>
      <c r="M4605" s="21">
        <f>COUNTIF($A$2:$A$5481,A4605)</f>
        <v>1</v>
      </c>
      <c r="N4605" s="24">
        <f t="shared" si="71"/>
        <v>55.1504605</v>
      </c>
    </row>
    <row r="4606" spans="1:14">
      <c r="A4606" s="21" t="s">
        <v>4222</v>
      </c>
      <c r="B4606" s="21" t="s">
        <v>920</v>
      </c>
      <c r="C4606" s="21" t="s">
        <v>26</v>
      </c>
      <c r="D4606" s="21" t="s">
        <v>921</v>
      </c>
      <c r="E4606" s="21">
        <v>6</v>
      </c>
      <c r="F4606" s="22">
        <v>45569.7170601852</v>
      </c>
      <c r="G4606" s="22"/>
      <c r="H4606" s="23">
        <v>20.82</v>
      </c>
      <c r="I4606" s="23">
        <v>7.74</v>
      </c>
      <c r="J4606" s="24">
        <v>46.44</v>
      </c>
      <c r="K4606" s="21">
        <v>0</v>
      </c>
      <c r="L4606" s="21">
        <v>0</v>
      </c>
      <c r="M4606" s="21">
        <f>COUNTIF($A$2:$A$5481,A4606)</f>
        <v>1</v>
      </c>
      <c r="N4606" s="24">
        <f t="shared" si="71"/>
        <v>46.4404606</v>
      </c>
    </row>
    <row r="4607" spans="1:14">
      <c r="A4607" s="21" t="s">
        <v>4223</v>
      </c>
      <c r="B4607" s="21" t="s">
        <v>920</v>
      </c>
      <c r="C4607" s="21" t="s">
        <v>26</v>
      </c>
      <c r="D4607" s="21" t="s">
        <v>921</v>
      </c>
      <c r="E4607" s="21">
        <v>2</v>
      </c>
      <c r="F4607" s="22">
        <v>45397.8536689815</v>
      </c>
      <c r="G4607" s="22"/>
      <c r="H4607" s="23">
        <v>24.14</v>
      </c>
      <c r="I4607" s="23">
        <v>12.07</v>
      </c>
      <c r="J4607" s="24">
        <v>24.14</v>
      </c>
      <c r="K4607" s="21">
        <v>0</v>
      </c>
      <c r="L4607" s="21">
        <v>0</v>
      </c>
      <c r="M4607" s="21">
        <f>COUNTIF($A$2:$A$5481,A4607)</f>
        <v>1</v>
      </c>
      <c r="N4607" s="24">
        <f t="shared" si="71"/>
        <v>24.1404607</v>
      </c>
    </row>
    <row r="4608" spans="1:14">
      <c r="A4608" s="21" t="s">
        <v>4224</v>
      </c>
      <c r="B4608" s="21" t="s">
        <v>920</v>
      </c>
      <c r="C4608" s="21" t="s">
        <v>26</v>
      </c>
      <c r="D4608" s="21" t="s">
        <v>921</v>
      </c>
      <c r="E4608" s="21">
        <v>6</v>
      </c>
      <c r="F4608" s="22">
        <v>45957.3443634259</v>
      </c>
      <c r="G4608" s="22"/>
      <c r="H4608" s="23">
        <v>15.5</v>
      </c>
      <c r="I4608" s="23">
        <v>6.0483333333</v>
      </c>
      <c r="J4608" s="24">
        <v>36.3</v>
      </c>
      <c r="K4608" s="21">
        <v>0</v>
      </c>
      <c r="L4608" s="21">
        <v>0</v>
      </c>
      <c r="M4608" s="21">
        <f>COUNTIF($A$2:$A$5481,A4608)</f>
        <v>1</v>
      </c>
      <c r="N4608" s="24">
        <f t="shared" si="71"/>
        <v>36.3004608</v>
      </c>
    </row>
    <row r="4609" spans="1:14">
      <c r="A4609" s="21" t="s">
        <v>4225</v>
      </c>
      <c r="B4609" s="21" t="s">
        <v>920</v>
      </c>
      <c r="C4609" s="21" t="s">
        <v>26</v>
      </c>
      <c r="D4609" s="21" t="s">
        <v>921</v>
      </c>
      <c r="E4609" s="21">
        <v>9</v>
      </c>
      <c r="F4609" s="22">
        <v>45957.3443634259</v>
      </c>
      <c r="G4609" s="22"/>
      <c r="H4609" s="23">
        <v>9.88</v>
      </c>
      <c r="I4609" s="23">
        <v>6.7222222222</v>
      </c>
      <c r="J4609" s="24">
        <v>60.48</v>
      </c>
      <c r="K4609" s="21">
        <v>0</v>
      </c>
      <c r="L4609" s="21">
        <v>0</v>
      </c>
      <c r="M4609" s="21">
        <f>COUNTIF($A$2:$A$5481,A4609)</f>
        <v>1</v>
      </c>
      <c r="N4609" s="24">
        <f t="shared" si="71"/>
        <v>60.4804609</v>
      </c>
    </row>
    <row r="4610" spans="1:14">
      <c r="A4610" s="21" t="s">
        <v>4226</v>
      </c>
      <c r="B4610" s="21" t="s">
        <v>26</v>
      </c>
      <c r="C4610" s="21" t="s">
        <v>26</v>
      </c>
      <c r="D4610" s="21" t="s">
        <v>921</v>
      </c>
      <c r="E4610" s="21">
        <v>1</v>
      </c>
      <c r="F4610" s="22">
        <v>45677.7667476852</v>
      </c>
      <c r="G4610" s="22"/>
      <c r="H4610" s="23">
        <v>52.65</v>
      </c>
      <c r="I4610" s="23">
        <v>52.65</v>
      </c>
      <c r="J4610" s="24">
        <v>52.65</v>
      </c>
      <c r="K4610" s="21">
        <v>0</v>
      </c>
      <c r="L4610" s="21">
        <v>0</v>
      </c>
      <c r="M4610" s="21">
        <f>COUNTIF($A$2:$A$5481,A4610)</f>
        <v>1</v>
      </c>
      <c r="N4610" s="24">
        <f t="shared" ref="N4610:N4673" si="72">J4610+ROW()/10000000</f>
        <v>52.650461</v>
      </c>
    </row>
    <row r="4611" spans="1:14">
      <c r="A4611" s="21" t="s">
        <v>4227</v>
      </c>
      <c r="B4611" s="21" t="s">
        <v>26</v>
      </c>
      <c r="C4611" s="21" t="s">
        <v>26</v>
      </c>
      <c r="D4611" s="21" t="s">
        <v>921</v>
      </c>
      <c r="E4611" s="21">
        <v>2</v>
      </c>
      <c r="F4611" s="22">
        <v>46063.5946296296</v>
      </c>
      <c r="G4611" s="22"/>
      <c r="H4611" s="23">
        <v>55.94</v>
      </c>
      <c r="I4611" s="23">
        <v>32.42</v>
      </c>
      <c r="J4611" s="24">
        <v>64.84</v>
      </c>
      <c r="K4611" s="21">
        <v>0</v>
      </c>
      <c r="L4611" s="21">
        <v>0</v>
      </c>
      <c r="M4611" s="21">
        <f>COUNTIF($A$2:$A$5481,A4611)</f>
        <v>1</v>
      </c>
      <c r="N4611" s="24">
        <f t="shared" si="72"/>
        <v>64.8404611</v>
      </c>
    </row>
    <row r="4612" spans="1:14">
      <c r="A4612" s="21" t="s">
        <v>4228</v>
      </c>
      <c r="B4612" s="21" t="s">
        <v>26</v>
      </c>
      <c r="C4612" s="21" t="s">
        <v>26</v>
      </c>
      <c r="D4612" s="21" t="s">
        <v>921</v>
      </c>
      <c r="E4612" s="21">
        <v>6</v>
      </c>
      <c r="F4612" s="22">
        <v>45796.823587963</v>
      </c>
      <c r="G4612" s="22"/>
      <c r="H4612" s="23">
        <v>27.03</v>
      </c>
      <c r="I4612" s="23">
        <v>5.955</v>
      </c>
      <c r="J4612" s="24">
        <v>35.76</v>
      </c>
      <c r="K4612" s="21">
        <v>0</v>
      </c>
      <c r="L4612" s="21">
        <v>0</v>
      </c>
      <c r="M4612" s="21">
        <f>COUNTIF($A$2:$A$5481,A4612)</f>
        <v>1</v>
      </c>
      <c r="N4612" s="24">
        <f t="shared" si="72"/>
        <v>35.7604612</v>
      </c>
    </row>
    <row r="4613" spans="1:14">
      <c r="A4613" s="21" t="s">
        <v>4229</v>
      </c>
      <c r="B4613" s="21" t="s">
        <v>26</v>
      </c>
      <c r="C4613" s="21" t="s">
        <v>182</v>
      </c>
      <c r="D4613" s="21" t="s">
        <v>921</v>
      </c>
      <c r="E4613" s="21">
        <v>2</v>
      </c>
      <c r="F4613" s="22">
        <v>45274.4453125</v>
      </c>
      <c r="G4613" s="22"/>
      <c r="H4613" s="23">
        <v>20</v>
      </c>
      <c r="I4613" s="23">
        <v>10</v>
      </c>
      <c r="J4613" s="24">
        <v>20</v>
      </c>
      <c r="K4613" s="21">
        <v>0</v>
      </c>
      <c r="L4613" s="21">
        <v>0</v>
      </c>
      <c r="M4613" s="21">
        <f>COUNTIF($A$2:$A$5481,A4613)</f>
        <v>2</v>
      </c>
      <c r="N4613" s="24">
        <f t="shared" si="72"/>
        <v>20.0004613</v>
      </c>
    </row>
    <row r="4614" spans="1:14">
      <c r="A4614" s="21" t="s">
        <v>4229</v>
      </c>
      <c r="B4614" s="21" t="s">
        <v>26</v>
      </c>
      <c r="C4614" s="21" t="s">
        <v>26</v>
      </c>
      <c r="D4614" s="21" t="s">
        <v>921</v>
      </c>
      <c r="E4614" s="21">
        <v>7</v>
      </c>
      <c r="F4614" s="22">
        <v>45932.3627662037</v>
      </c>
      <c r="G4614" s="22"/>
      <c r="H4614" s="23">
        <v>15.56</v>
      </c>
      <c r="I4614" s="23">
        <v>8.0628571429</v>
      </c>
      <c r="J4614" s="24">
        <v>56.42</v>
      </c>
      <c r="K4614" s="21">
        <v>0</v>
      </c>
      <c r="L4614" s="21">
        <v>0</v>
      </c>
      <c r="M4614" s="21">
        <f>COUNTIF($A$2:$A$5481,A4614)</f>
        <v>2</v>
      </c>
      <c r="N4614" s="24">
        <f t="shared" si="72"/>
        <v>56.4204614</v>
      </c>
    </row>
    <row r="4615" spans="1:14">
      <c r="A4615" s="21" t="s">
        <v>4230</v>
      </c>
      <c r="B4615" s="21" t="s">
        <v>26</v>
      </c>
      <c r="C4615" s="21" t="s">
        <v>182</v>
      </c>
      <c r="D4615" s="21" t="s">
        <v>921</v>
      </c>
      <c r="E4615" s="21">
        <v>2</v>
      </c>
      <c r="F4615" s="22">
        <v>45274.4453125</v>
      </c>
      <c r="G4615" s="22"/>
      <c r="H4615" s="23">
        <v>48</v>
      </c>
      <c r="I4615" s="23">
        <v>24</v>
      </c>
      <c r="J4615" s="24">
        <v>48</v>
      </c>
      <c r="K4615" s="21">
        <v>0</v>
      </c>
      <c r="L4615" s="21">
        <v>0</v>
      </c>
      <c r="M4615" s="21">
        <f>COUNTIF($A$2:$A$5481,A4615)</f>
        <v>2</v>
      </c>
      <c r="N4615" s="24">
        <f t="shared" si="72"/>
        <v>48.0004615</v>
      </c>
    </row>
    <row r="4616" spans="1:14">
      <c r="A4616" s="21" t="s">
        <v>4230</v>
      </c>
      <c r="B4616" s="21" t="s">
        <v>26</v>
      </c>
      <c r="C4616" s="21" t="s">
        <v>26</v>
      </c>
      <c r="D4616" s="21" t="s">
        <v>921</v>
      </c>
      <c r="E4616" s="21">
        <v>12</v>
      </c>
      <c r="F4616" s="22">
        <v>45840.3513078704</v>
      </c>
      <c r="G4616" s="22"/>
      <c r="H4616" s="23">
        <v>28.89</v>
      </c>
      <c r="I4616" s="23">
        <v>15.20417</v>
      </c>
      <c r="J4616" s="24">
        <v>182.4</v>
      </c>
      <c r="K4616" s="21">
        <v>0</v>
      </c>
      <c r="L4616" s="21">
        <v>0</v>
      </c>
      <c r="M4616" s="21">
        <f>COUNTIF($A$2:$A$5481,A4616)</f>
        <v>2</v>
      </c>
      <c r="N4616" s="24">
        <f t="shared" si="72"/>
        <v>182.4004616</v>
      </c>
    </row>
    <row r="4617" spans="1:14">
      <c r="A4617" s="21" t="s">
        <v>4231</v>
      </c>
      <c r="B4617" s="21" t="s">
        <v>26</v>
      </c>
      <c r="C4617" s="21" t="s">
        <v>26</v>
      </c>
      <c r="D4617" s="21" t="s">
        <v>921</v>
      </c>
      <c r="E4617" s="21">
        <v>14</v>
      </c>
      <c r="F4617" s="22">
        <v>45957.3443634259</v>
      </c>
      <c r="G4617" s="22"/>
      <c r="H4617" s="23">
        <v>23.3</v>
      </c>
      <c r="I4617" s="23">
        <v>12.5692857143</v>
      </c>
      <c r="J4617" s="24">
        <v>175.98</v>
      </c>
      <c r="K4617" s="21">
        <v>0</v>
      </c>
      <c r="L4617" s="21">
        <v>0</v>
      </c>
      <c r="M4617" s="21">
        <f>COUNTIF($A$2:$A$5481,A4617)</f>
        <v>1</v>
      </c>
      <c r="N4617" s="24">
        <f t="shared" si="72"/>
        <v>175.9804617</v>
      </c>
    </row>
    <row r="4618" spans="1:14">
      <c r="A4618" s="21" t="s">
        <v>4232</v>
      </c>
      <c r="B4618" s="21" t="s">
        <v>26</v>
      </c>
      <c r="C4618" s="21" t="s">
        <v>26</v>
      </c>
      <c r="D4618" s="21" t="s">
        <v>921</v>
      </c>
      <c r="E4618" s="21">
        <v>18</v>
      </c>
      <c r="F4618" s="22">
        <v>45957.3443634259</v>
      </c>
      <c r="G4618" s="22"/>
      <c r="H4618" s="23">
        <v>15.24</v>
      </c>
      <c r="I4618" s="23">
        <v>8.7929277778</v>
      </c>
      <c r="J4618" s="24">
        <v>158.22</v>
      </c>
      <c r="K4618" s="21">
        <v>0</v>
      </c>
      <c r="L4618" s="21">
        <v>0</v>
      </c>
      <c r="M4618" s="21">
        <f>COUNTIF($A$2:$A$5481,A4618)</f>
        <v>1</v>
      </c>
      <c r="N4618" s="24">
        <f t="shared" si="72"/>
        <v>158.2204618</v>
      </c>
    </row>
    <row r="4619" spans="1:14">
      <c r="A4619" s="21" t="s">
        <v>4233</v>
      </c>
      <c r="B4619" s="21" t="s">
        <v>26</v>
      </c>
      <c r="C4619" s="21" t="s">
        <v>182</v>
      </c>
      <c r="D4619" s="21" t="s">
        <v>921</v>
      </c>
      <c r="E4619" s="21">
        <v>2</v>
      </c>
      <c r="F4619" s="22">
        <v>45274.4453125</v>
      </c>
      <c r="G4619" s="22"/>
      <c r="H4619" s="23">
        <v>27.2</v>
      </c>
      <c r="I4619" s="23">
        <v>13.6</v>
      </c>
      <c r="J4619" s="24">
        <v>27.2</v>
      </c>
      <c r="K4619" s="21">
        <v>0</v>
      </c>
      <c r="L4619" s="21">
        <v>0</v>
      </c>
      <c r="M4619" s="21">
        <f>COUNTIF($A$2:$A$5481,A4619)</f>
        <v>2</v>
      </c>
      <c r="N4619" s="24">
        <f t="shared" si="72"/>
        <v>27.2004619</v>
      </c>
    </row>
    <row r="4620" spans="1:14">
      <c r="A4620" s="21" t="s">
        <v>4233</v>
      </c>
      <c r="B4620" s="21" t="s">
        <v>26</v>
      </c>
      <c r="C4620" s="21" t="s">
        <v>26</v>
      </c>
      <c r="D4620" s="21" t="s">
        <v>921</v>
      </c>
      <c r="E4620" s="21">
        <v>8</v>
      </c>
      <c r="F4620" s="22">
        <v>45957.3443634259</v>
      </c>
      <c r="G4620" s="22"/>
      <c r="H4620" s="23">
        <v>12.58</v>
      </c>
      <c r="I4620" s="23">
        <v>8.7975</v>
      </c>
      <c r="J4620" s="24">
        <v>70.4</v>
      </c>
      <c r="K4620" s="21">
        <v>0</v>
      </c>
      <c r="L4620" s="21">
        <v>0</v>
      </c>
      <c r="M4620" s="21">
        <f>COUNTIF($A$2:$A$5481,A4620)</f>
        <v>2</v>
      </c>
      <c r="N4620" s="24">
        <f t="shared" si="72"/>
        <v>70.400462</v>
      </c>
    </row>
    <row r="4621" spans="1:14">
      <c r="A4621" s="21" t="s">
        <v>4234</v>
      </c>
      <c r="B4621" s="21" t="s">
        <v>26</v>
      </c>
      <c r="C4621" s="21" t="s">
        <v>26</v>
      </c>
      <c r="D4621" s="21" t="s">
        <v>921</v>
      </c>
      <c r="E4621" s="21">
        <v>7</v>
      </c>
      <c r="F4621" s="22">
        <v>45932.3627662037</v>
      </c>
      <c r="G4621" s="22"/>
      <c r="H4621" s="23">
        <v>15.98</v>
      </c>
      <c r="I4621" s="23">
        <v>6.5085714286</v>
      </c>
      <c r="J4621" s="24">
        <v>45.57</v>
      </c>
      <c r="K4621" s="21">
        <v>0</v>
      </c>
      <c r="L4621" s="21">
        <v>0</v>
      </c>
      <c r="M4621" s="21">
        <f>COUNTIF($A$2:$A$5481,A4621)</f>
        <v>1</v>
      </c>
      <c r="N4621" s="24">
        <f t="shared" si="72"/>
        <v>45.5704621</v>
      </c>
    </row>
    <row r="4622" spans="1:14">
      <c r="A4622" s="21" t="s">
        <v>4235</v>
      </c>
      <c r="B4622" s="21" t="s">
        <v>26</v>
      </c>
      <c r="C4622" s="21" t="s">
        <v>26</v>
      </c>
      <c r="D4622" s="21" t="s">
        <v>921</v>
      </c>
      <c r="E4622" s="21">
        <v>9</v>
      </c>
      <c r="F4622" s="22">
        <v>45957.3443634259</v>
      </c>
      <c r="G4622" s="22"/>
      <c r="H4622" s="23">
        <v>10.24</v>
      </c>
      <c r="I4622" s="23">
        <v>7.5311111111</v>
      </c>
      <c r="J4622" s="24">
        <v>67.77</v>
      </c>
      <c r="K4622" s="21">
        <v>0</v>
      </c>
      <c r="L4622" s="21">
        <v>0</v>
      </c>
      <c r="M4622" s="21">
        <f>COUNTIF($A$2:$A$5481,A4622)</f>
        <v>1</v>
      </c>
      <c r="N4622" s="24">
        <f t="shared" si="72"/>
        <v>67.7704622</v>
      </c>
    </row>
    <row r="4623" spans="1:14">
      <c r="A4623" s="21" t="s">
        <v>4236</v>
      </c>
      <c r="B4623" s="21" t="s">
        <v>26</v>
      </c>
      <c r="C4623" s="21" t="s">
        <v>26</v>
      </c>
      <c r="D4623" s="21" t="s">
        <v>921</v>
      </c>
      <c r="E4623" s="21">
        <v>13</v>
      </c>
      <c r="F4623" s="22">
        <v>45957.3443634259</v>
      </c>
      <c r="G4623" s="22"/>
      <c r="H4623" s="23">
        <v>4.75</v>
      </c>
      <c r="I4623" s="23">
        <v>6.4189230769</v>
      </c>
      <c r="J4623" s="24">
        <v>83.46</v>
      </c>
      <c r="K4623" s="21">
        <v>0</v>
      </c>
      <c r="L4623" s="21">
        <v>0</v>
      </c>
      <c r="M4623" s="21">
        <f>COUNTIF($A$2:$A$5481,A4623)</f>
        <v>1</v>
      </c>
      <c r="N4623" s="24">
        <f t="shared" si="72"/>
        <v>83.4604623</v>
      </c>
    </row>
    <row r="4624" spans="1:14">
      <c r="A4624" s="21" t="s">
        <v>4237</v>
      </c>
      <c r="B4624" s="21" t="s">
        <v>26</v>
      </c>
      <c r="C4624" s="21" t="s">
        <v>182</v>
      </c>
      <c r="D4624" s="21" t="s">
        <v>921</v>
      </c>
      <c r="E4624" s="21">
        <v>3</v>
      </c>
      <c r="F4624" s="22">
        <v>45274.5756944444</v>
      </c>
      <c r="G4624" s="22"/>
      <c r="H4624" s="23">
        <v>11</v>
      </c>
      <c r="I4624" s="23">
        <v>16.48</v>
      </c>
      <c r="J4624" s="24">
        <v>49.44</v>
      </c>
      <c r="K4624" s="21">
        <v>0</v>
      </c>
      <c r="L4624" s="21">
        <v>0</v>
      </c>
      <c r="M4624" s="21">
        <f>COUNTIF($A$2:$A$5481,A4624)</f>
        <v>2</v>
      </c>
      <c r="N4624" s="24">
        <f t="shared" si="72"/>
        <v>49.4404624</v>
      </c>
    </row>
    <row r="4625" spans="1:14">
      <c r="A4625" s="21" t="s">
        <v>4237</v>
      </c>
      <c r="B4625" s="21" t="s">
        <v>26</v>
      </c>
      <c r="C4625" s="21" t="s">
        <v>26</v>
      </c>
      <c r="D4625" s="21" t="s">
        <v>921</v>
      </c>
      <c r="E4625" s="21">
        <v>13</v>
      </c>
      <c r="F4625" s="22">
        <v>46169.6148263889</v>
      </c>
      <c r="G4625" s="22"/>
      <c r="H4625" s="23">
        <v>12.3</v>
      </c>
      <c r="I4625" s="23">
        <v>7.8615384615</v>
      </c>
      <c r="J4625" s="24">
        <v>102.18</v>
      </c>
      <c r="K4625" s="21">
        <v>0</v>
      </c>
      <c r="L4625" s="21">
        <v>0</v>
      </c>
      <c r="M4625" s="21">
        <f>COUNTIF($A$2:$A$5481,A4625)</f>
        <v>2</v>
      </c>
      <c r="N4625" s="24">
        <f t="shared" si="72"/>
        <v>102.1804625</v>
      </c>
    </row>
    <row r="4626" spans="1:14">
      <c r="A4626" s="21" t="s">
        <v>4238</v>
      </c>
      <c r="B4626" s="21" t="s">
        <v>26</v>
      </c>
      <c r="C4626" s="21" t="s">
        <v>26</v>
      </c>
      <c r="D4626" s="21" t="s">
        <v>921</v>
      </c>
      <c r="E4626" s="21">
        <v>2</v>
      </c>
      <c r="F4626" s="22">
        <v>45343.6740162037</v>
      </c>
      <c r="G4626" s="22"/>
      <c r="H4626" s="23">
        <v>14.2</v>
      </c>
      <c r="I4626" s="23">
        <v>7.1</v>
      </c>
      <c r="J4626" s="24">
        <v>14.2</v>
      </c>
      <c r="K4626" s="21">
        <v>0</v>
      </c>
      <c r="L4626" s="21">
        <v>0</v>
      </c>
      <c r="M4626" s="21">
        <f>COUNTIF($A$2:$A$5481,A4626)</f>
        <v>1</v>
      </c>
      <c r="N4626" s="24">
        <f t="shared" si="72"/>
        <v>14.2004626</v>
      </c>
    </row>
    <row r="4627" spans="1:14">
      <c r="A4627" s="21" t="s">
        <v>4239</v>
      </c>
      <c r="B4627" s="21" t="s">
        <v>26</v>
      </c>
      <c r="C4627" s="21" t="s">
        <v>182</v>
      </c>
      <c r="D4627" s="21" t="s">
        <v>921</v>
      </c>
      <c r="E4627" s="21">
        <v>2</v>
      </c>
      <c r="F4627" s="22">
        <v>45274.4453125</v>
      </c>
      <c r="G4627" s="22"/>
      <c r="H4627" s="23">
        <v>33.6</v>
      </c>
      <c r="I4627" s="23">
        <v>16.8</v>
      </c>
      <c r="J4627" s="24">
        <v>33.6</v>
      </c>
      <c r="K4627" s="21">
        <v>0</v>
      </c>
      <c r="L4627" s="21">
        <v>0</v>
      </c>
      <c r="M4627" s="21">
        <f>COUNTIF($A$2:$A$5481,A4627)</f>
        <v>2</v>
      </c>
      <c r="N4627" s="24">
        <f t="shared" si="72"/>
        <v>33.6004627</v>
      </c>
    </row>
    <row r="4628" spans="1:14">
      <c r="A4628" s="21" t="s">
        <v>4239</v>
      </c>
      <c r="B4628" s="21" t="s">
        <v>26</v>
      </c>
      <c r="C4628" s="21" t="s">
        <v>26</v>
      </c>
      <c r="D4628" s="21" t="s">
        <v>921</v>
      </c>
      <c r="E4628" s="21">
        <v>2</v>
      </c>
      <c r="F4628" s="22">
        <v>45702.3500810185</v>
      </c>
      <c r="G4628" s="22"/>
      <c r="H4628" s="23">
        <v>28.74</v>
      </c>
      <c r="I4628" s="23">
        <v>14.37</v>
      </c>
      <c r="J4628" s="24">
        <v>28.74</v>
      </c>
      <c r="K4628" s="21">
        <v>0</v>
      </c>
      <c r="L4628" s="21">
        <v>0</v>
      </c>
      <c r="M4628" s="21">
        <f>COUNTIF($A$2:$A$5481,A4628)</f>
        <v>2</v>
      </c>
      <c r="N4628" s="24">
        <f t="shared" si="72"/>
        <v>28.7404628</v>
      </c>
    </row>
    <row r="4629" spans="1:14">
      <c r="A4629" s="21" t="s">
        <v>4240</v>
      </c>
      <c r="B4629" s="21" t="s">
        <v>26</v>
      </c>
      <c r="C4629" s="21" t="s">
        <v>182</v>
      </c>
      <c r="D4629" s="21" t="s">
        <v>921</v>
      </c>
      <c r="E4629" s="21">
        <v>2</v>
      </c>
      <c r="F4629" s="22">
        <v>45274.4453125</v>
      </c>
      <c r="G4629" s="22"/>
      <c r="H4629" s="23">
        <v>91.16</v>
      </c>
      <c r="I4629" s="23">
        <v>45.58</v>
      </c>
      <c r="J4629" s="24">
        <v>91.16</v>
      </c>
      <c r="K4629" s="21">
        <v>0</v>
      </c>
      <c r="L4629" s="21">
        <v>0</v>
      </c>
      <c r="M4629" s="21">
        <f>COUNTIF($A$2:$A$5481,A4629)</f>
        <v>2</v>
      </c>
      <c r="N4629" s="24">
        <f t="shared" si="72"/>
        <v>91.1604629</v>
      </c>
    </row>
    <row r="4630" spans="1:14">
      <c r="A4630" s="21" t="s">
        <v>4240</v>
      </c>
      <c r="B4630" s="21" t="s">
        <v>26</v>
      </c>
      <c r="C4630" s="21" t="s">
        <v>26</v>
      </c>
      <c r="D4630" s="21" t="s">
        <v>921</v>
      </c>
      <c r="E4630" s="21">
        <v>6</v>
      </c>
      <c r="F4630" s="22">
        <v>45840.3513078704</v>
      </c>
      <c r="G4630" s="22"/>
      <c r="H4630" s="23">
        <v>39.39</v>
      </c>
      <c r="I4630" s="23">
        <v>20.05</v>
      </c>
      <c r="J4630" s="24">
        <v>120.3</v>
      </c>
      <c r="K4630" s="21">
        <v>0</v>
      </c>
      <c r="L4630" s="21">
        <v>0</v>
      </c>
      <c r="M4630" s="21">
        <f>COUNTIF($A$2:$A$5481,A4630)</f>
        <v>2</v>
      </c>
      <c r="N4630" s="24">
        <f t="shared" si="72"/>
        <v>120.300463</v>
      </c>
    </row>
    <row r="4631" spans="1:14">
      <c r="A4631" s="21" t="s">
        <v>4241</v>
      </c>
      <c r="B4631" s="21" t="s">
        <v>26</v>
      </c>
      <c r="C4631" s="21" t="s">
        <v>26</v>
      </c>
      <c r="D4631" s="21" t="s">
        <v>921</v>
      </c>
      <c r="E4631" s="21">
        <v>3</v>
      </c>
      <c r="F4631" s="22">
        <v>45364.6798611111</v>
      </c>
      <c r="G4631" s="22"/>
      <c r="H4631" s="23">
        <v>14.94</v>
      </c>
      <c r="I4631" s="23">
        <v>4.98</v>
      </c>
      <c r="J4631" s="24">
        <v>14.94</v>
      </c>
      <c r="K4631" s="21">
        <v>0</v>
      </c>
      <c r="L4631" s="21">
        <v>0</v>
      </c>
      <c r="M4631" s="21">
        <f>COUNTIF($A$2:$A$5481,A4631)</f>
        <v>1</v>
      </c>
      <c r="N4631" s="24">
        <f t="shared" si="72"/>
        <v>14.9404631</v>
      </c>
    </row>
    <row r="4632" spans="1:14">
      <c r="A4632" s="21" t="s">
        <v>4242</v>
      </c>
      <c r="B4632" s="21" t="s">
        <v>26</v>
      </c>
      <c r="C4632" s="21" t="s">
        <v>182</v>
      </c>
      <c r="D4632" s="21" t="s">
        <v>921</v>
      </c>
      <c r="E4632" s="21">
        <v>2</v>
      </c>
      <c r="F4632" s="22">
        <v>45351.5527777778</v>
      </c>
      <c r="G4632" s="22"/>
      <c r="H4632" s="23">
        <v>18.3</v>
      </c>
      <c r="I4632" s="23">
        <v>9.15</v>
      </c>
      <c r="J4632" s="24">
        <v>18.3</v>
      </c>
      <c r="K4632" s="21">
        <v>0</v>
      </c>
      <c r="L4632" s="21">
        <v>0</v>
      </c>
      <c r="M4632" s="21">
        <f>COUNTIF($A$2:$A$5481,A4632)</f>
        <v>2</v>
      </c>
      <c r="N4632" s="24">
        <f t="shared" si="72"/>
        <v>18.3004632</v>
      </c>
    </row>
    <row r="4633" spans="1:14">
      <c r="A4633" s="21" t="s">
        <v>4242</v>
      </c>
      <c r="B4633" s="21" t="s">
        <v>26</v>
      </c>
      <c r="C4633" s="21" t="s">
        <v>26</v>
      </c>
      <c r="D4633" s="21" t="s">
        <v>921</v>
      </c>
      <c r="E4633" s="21">
        <v>8</v>
      </c>
      <c r="F4633" s="22">
        <v>46169.5992476852</v>
      </c>
      <c r="G4633" s="22"/>
      <c r="H4633" s="23">
        <v>26.76</v>
      </c>
      <c r="I4633" s="23">
        <v>14.19</v>
      </c>
      <c r="J4633" s="24">
        <v>113.52</v>
      </c>
      <c r="K4633" s="21">
        <v>0</v>
      </c>
      <c r="L4633" s="21">
        <v>0</v>
      </c>
      <c r="M4633" s="21">
        <f>COUNTIF($A$2:$A$5481,A4633)</f>
        <v>2</v>
      </c>
      <c r="N4633" s="24">
        <f t="shared" si="72"/>
        <v>113.5204633</v>
      </c>
    </row>
    <row r="4634" spans="1:14">
      <c r="A4634" s="21" t="s">
        <v>4243</v>
      </c>
      <c r="B4634" s="21" t="s">
        <v>26</v>
      </c>
      <c r="C4634" s="21" t="s">
        <v>26</v>
      </c>
      <c r="D4634" s="21" t="s">
        <v>921</v>
      </c>
      <c r="E4634" s="21">
        <v>1</v>
      </c>
      <c r="F4634" s="22">
        <v>45957.3443634259</v>
      </c>
      <c r="G4634" s="22"/>
      <c r="H4634" s="23">
        <v>17.32</v>
      </c>
      <c r="I4634" s="23">
        <v>17.32</v>
      </c>
      <c r="J4634" s="24">
        <v>17.32</v>
      </c>
      <c r="K4634" s="21">
        <v>0</v>
      </c>
      <c r="L4634" s="21">
        <v>0</v>
      </c>
      <c r="M4634" s="21">
        <f>COUNTIF($A$2:$A$5481,A4634)</f>
        <v>1</v>
      </c>
      <c r="N4634" s="24">
        <f t="shared" si="72"/>
        <v>17.3204634</v>
      </c>
    </row>
    <row r="4635" spans="1:14">
      <c r="A4635" s="21" t="s">
        <v>4244</v>
      </c>
      <c r="B4635" s="21" t="s">
        <v>26</v>
      </c>
      <c r="C4635" s="21" t="s">
        <v>26</v>
      </c>
      <c r="D4635" s="21" t="s">
        <v>921</v>
      </c>
      <c r="E4635" s="21">
        <v>1</v>
      </c>
      <c r="F4635" s="22">
        <v>45957.3443634259</v>
      </c>
      <c r="G4635" s="22"/>
      <c r="H4635" s="23">
        <v>15.93</v>
      </c>
      <c r="I4635" s="23">
        <v>15.93</v>
      </c>
      <c r="J4635" s="24">
        <v>15.93</v>
      </c>
      <c r="K4635" s="21">
        <v>0</v>
      </c>
      <c r="L4635" s="21">
        <v>0</v>
      </c>
      <c r="M4635" s="21">
        <f>COUNTIF($A$2:$A$5481,A4635)</f>
        <v>1</v>
      </c>
      <c r="N4635" s="24">
        <f t="shared" si="72"/>
        <v>15.9304635</v>
      </c>
    </row>
    <row r="4636" spans="1:14">
      <c r="A4636" s="21" t="s">
        <v>4245</v>
      </c>
      <c r="B4636" s="21" t="s">
        <v>26</v>
      </c>
      <c r="C4636" s="21" t="s">
        <v>26</v>
      </c>
      <c r="D4636" s="21" t="s">
        <v>921</v>
      </c>
      <c r="E4636" s="21">
        <v>2</v>
      </c>
      <c r="F4636" s="22">
        <v>45932.3627662037</v>
      </c>
      <c r="G4636" s="22"/>
      <c r="H4636" s="23">
        <v>14.78</v>
      </c>
      <c r="I4636" s="23">
        <v>7.39</v>
      </c>
      <c r="J4636" s="24">
        <v>14.78</v>
      </c>
      <c r="K4636" s="21">
        <v>0</v>
      </c>
      <c r="L4636" s="21">
        <v>0</v>
      </c>
      <c r="M4636" s="21">
        <f>COUNTIF($A$2:$A$5481,A4636)</f>
        <v>1</v>
      </c>
      <c r="N4636" s="24">
        <f t="shared" si="72"/>
        <v>14.7804636</v>
      </c>
    </row>
    <row r="4637" spans="1:14">
      <c r="A4637" s="21" t="s">
        <v>4246</v>
      </c>
      <c r="B4637" s="21" t="s">
        <v>26</v>
      </c>
      <c r="C4637" s="21" t="s">
        <v>26</v>
      </c>
      <c r="D4637" s="21" t="s">
        <v>921</v>
      </c>
      <c r="E4637" s="21">
        <v>1</v>
      </c>
      <c r="F4637" s="22">
        <v>45796.823587963</v>
      </c>
      <c r="G4637" s="22"/>
      <c r="H4637" s="23">
        <v>35.5</v>
      </c>
      <c r="I4637" s="23">
        <v>35.5</v>
      </c>
      <c r="J4637" s="24">
        <v>35.5</v>
      </c>
      <c r="K4637" s="21">
        <v>0</v>
      </c>
      <c r="L4637" s="21">
        <v>0</v>
      </c>
      <c r="M4637" s="21">
        <f>COUNTIF($A$2:$A$5481,A4637)</f>
        <v>1</v>
      </c>
      <c r="N4637" s="24">
        <f t="shared" si="72"/>
        <v>35.5004637</v>
      </c>
    </row>
    <row r="4638" spans="1:14">
      <c r="A4638" s="21" t="s">
        <v>4247</v>
      </c>
      <c r="B4638" s="21" t="s">
        <v>26</v>
      </c>
      <c r="C4638" s="21" t="s">
        <v>26</v>
      </c>
      <c r="D4638" s="21" t="s">
        <v>921</v>
      </c>
      <c r="E4638" s="21">
        <v>4</v>
      </c>
      <c r="F4638" s="22">
        <v>45957.3443634259</v>
      </c>
      <c r="G4638" s="22">
        <v>45861.4926388889</v>
      </c>
      <c r="H4638" s="23">
        <v>20.64</v>
      </c>
      <c r="I4638" s="23">
        <v>13.555</v>
      </c>
      <c r="J4638" s="24">
        <v>54.24</v>
      </c>
      <c r="K4638" s="21">
        <v>0</v>
      </c>
      <c r="L4638" s="21">
        <v>0</v>
      </c>
      <c r="M4638" s="21">
        <f>COUNTIF($A$2:$A$5481,A4638)</f>
        <v>1</v>
      </c>
      <c r="N4638" s="24">
        <f t="shared" si="72"/>
        <v>54.2404638</v>
      </c>
    </row>
    <row r="4639" spans="1:14">
      <c r="A4639" s="21" t="s">
        <v>4248</v>
      </c>
      <c r="B4639" s="21" t="s">
        <v>26</v>
      </c>
      <c r="C4639" s="21" t="s">
        <v>26</v>
      </c>
      <c r="D4639" s="21" t="s">
        <v>921</v>
      </c>
      <c r="E4639" s="21">
        <v>5</v>
      </c>
      <c r="F4639" s="22">
        <v>45796.823587963</v>
      </c>
      <c r="G4639" s="22"/>
      <c r="H4639" s="23">
        <v>39.34</v>
      </c>
      <c r="I4639" s="23">
        <v>13.988</v>
      </c>
      <c r="J4639" s="24">
        <v>69.95</v>
      </c>
      <c r="K4639" s="21">
        <v>0</v>
      </c>
      <c r="L4639" s="21">
        <v>0</v>
      </c>
      <c r="M4639" s="21">
        <f>COUNTIF($A$2:$A$5481,A4639)</f>
        <v>1</v>
      </c>
      <c r="N4639" s="24">
        <f t="shared" si="72"/>
        <v>69.9504639</v>
      </c>
    </row>
    <row r="4640" spans="1:14">
      <c r="A4640" s="21" t="s">
        <v>4249</v>
      </c>
      <c r="B4640" s="21" t="s">
        <v>26</v>
      </c>
      <c r="C4640" s="21" t="s">
        <v>26</v>
      </c>
      <c r="D4640" s="21" t="s">
        <v>921</v>
      </c>
      <c r="E4640" s="21">
        <v>5</v>
      </c>
      <c r="F4640" s="22">
        <v>45957.3443634259</v>
      </c>
      <c r="G4640" s="22"/>
      <c r="H4640" s="23">
        <v>11.76</v>
      </c>
      <c r="I4640" s="23">
        <v>7.926</v>
      </c>
      <c r="J4640" s="24">
        <v>39.65</v>
      </c>
      <c r="K4640" s="21">
        <v>0</v>
      </c>
      <c r="L4640" s="21">
        <v>0</v>
      </c>
      <c r="M4640" s="21">
        <f>COUNTIF($A$2:$A$5481,A4640)</f>
        <v>1</v>
      </c>
      <c r="N4640" s="24">
        <f t="shared" si="72"/>
        <v>39.650464</v>
      </c>
    </row>
    <row r="4641" spans="1:14">
      <c r="A4641" s="21" t="s">
        <v>4250</v>
      </c>
      <c r="B4641" s="21" t="s">
        <v>26</v>
      </c>
      <c r="C4641" s="21" t="s">
        <v>26</v>
      </c>
      <c r="D4641" s="21" t="s">
        <v>921</v>
      </c>
      <c r="E4641" s="21">
        <v>4</v>
      </c>
      <c r="F4641" s="22">
        <v>46063.5946296296</v>
      </c>
      <c r="G4641" s="22"/>
      <c r="H4641" s="23">
        <v>14.7</v>
      </c>
      <c r="I4641" s="23">
        <v>7.1175</v>
      </c>
      <c r="J4641" s="24">
        <v>28.48</v>
      </c>
      <c r="K4641" s="21">
        <v>0</v>
      </c>
      <c r="L4641" s="21">
        <v>0</v>
      </c>
      <c r="M4641" s="21">
        <f>COUNTIF($A$2:$A$5481,A4641)</f>
        <v>1</v>
      </c>
      <c r="N4641" s="24">
        <f t="shared" si="72"/>
        <v>28.4804641</v>
      </c>
    </row>
    <row r="4642" spans="1:14">
      <c r="A4642" s="21" t="s">
        <v>4251</v>
      </c>
      <c r="B4642" s="21" t="s">
        <v>26</v>
      </c>
      <c r="C4642" s="21" t="s">
        <v>26</v>
      </c>
      <c r="D4642" s="21" t="s">
        <v>921</v>
      </c>
      <c r="E4642" s="21">
        <v>3</v>
      </c>
      <c r="F4642" s="22">
        <v>45796.823587963</v>
      </c>
      <c r="G4642" s="22"/>
      <c r="H4642" s="23">
        <v>97.86</v>
      </c>
      <c r="I4642" s="23">
        <v>32.62</v>
      </c>
      <c r="J4642" s="24">
        <v>97.86</v>
      </c>
      <c r="K4642" s="21">
        <v>0</v>
      </c>
      <c r="L4642" s="21">
        <v>0</v>
      </c>
      <c r="M4642" s="21">
        <f>COUNTIF($A$2:$A$5481,A4642)</f>
        <v>1</v>
      </c>
      <c r="N4642" s="24">
        <f t="shared" si="72"/>
        <v>97.8604642</v>
      </c>
    </row>
    <row r="4643" spans="1:14">
      <c r="A4643" s="21" t="s">
        <v>4252</v>
      </c>
      <c r="B4643" s="21" t="s">
        <v>26</v>
      </c>
      <c r="C4643" s="21" t="s">
        <v>182</v>
      </c>
      <c r="D4643" s="21" t="s">
        <v>921</v>
      </c>
      <c r="E4643" s="21">
        <v>2</v>
      </c>
      <c r="F4643" s="22">
        <v>45274.4453125</v>
      </c>
      <c r="G4643" s="22"/>
      <c r="H4643" s="23">
        <v>30.8</v>
      </c>
      <c r="I4643" s="23">
        <v>15.4</v>
      </c>
      <c r="J4643" s="24">
        <v>30.8</v>
      </c>
      <c r="K4643" s="21">
        <v>0</v>
      </c>
      <c r="L4643" s="21">
        <v>0</v>
      </c>
      <c r="M4643" s="21">
        <f>COUNTIF($A$2:$A$5481,A4643)</f>
        <v>2</v>
      </c>
      <c r="N4643" s="24">
        <f t="shared" si="72"/>
        <v>30.8004643</v>
      </c>
    </row>
    <row r="4644" spans="1:14">
      <c r="A4644" s="21" t="s">
        <v>4252</v>
      </c>
      <c r="B4644" s="21" t="s">
        <v>26</v>
      </c>
      <c r="C4644" s="21" t="s">
        <v>26</v>
      </c>
      <c r="D4644" s="21" t="s">
        <v>921</v>
      </c>
      <c r="E4644" s="21">
        <v>2</v>
      </c>
      <c r="F4644" s="22">
        <v>45702.3500810185</v>
      </c>
      <c r="G4644" s="22"/>
      <c r="H4644" s="23">
        <v>57.14</v>
      </c>
      <c r="I4644" s="23">
        <v>28.57</v>
      </c>
      <c r="J4644" s="24">
        <v>57.14</v>
      </c>
      <c r="K4644" s="21">
        <v>0</v>
      </c>
      <c r="L4644" s="21">
        <v>0</v>
      </c>
      <c r="M4644" s="21">
        <f>COUNTIF($A$2:$A$5481,A4644)</f>
        <v>2</v>
      </c>
      <c r="N4644" s="24">
        <f t="shared" si="72"/>
        <v>57.1404644</v>
      </c>
    </row>
    <row r="4645" spans="1:14">
      <c r="A4645" s="21" t="s">
        <v>4253</v>
      </c>
      <c r="B4645" s="21" t="s">
        <v>26</v>
      </c>
      <c r="C4645" s="21" t="s">
        <v>26</v>
      </c>
      <c r="D4645" s="21" t="s">
        <v>921</v>
      </c>
      <c r="E4645" s="21">
        <v>2</v>
      </c>
      <c r="F4645" s="22">
        <v>45569.7170601852</v>
      </c>
      <c r="G4645" s="22"/>
      <c r="H4645" s="23">
        <v>32</v>
      </c>
      <c r="I4645" s="23">
        <v>16</v>
      </c>
      <c r="J4645" s="24">
        <v>32</v>
      </c>
      <c r="K4645" s="21">
        <v>0</v>
      </c>
      <c r="L4645" s="21">
        <v>0</v>
      </c>
      <c r="M4645" s="21">
        <f>COUNTIF($A$2:$A$5481,A4645)</f>
        <v>1</v>
      </c>
      <c r="N4645" s="24">
        <f t="shared" si="72"/>
        <v>32.0004645</v>
      </c>
    </row>
    <row r="4646" spans="1:14">
      <c r="A4646" s="21" t="s">
        <v>4254</v>
      </c>
      <c r="B4646" s="21" t="s">
        <v>26</v>
      </c>
      <c r="C4646" s="21" t="s">
        <v>26</v>
      </c>
      <c r="D4646" s="21" t="s">
        <v>921</v>
      </c>
      <c r="E4646" s="21">
        <v>1</v>
      </c>
      <c r="F4646" s="22">
        <v>45796.823587963</v>
      </c>
      <c r="G4646" s="22"/>
      <c r="H4646" s="23">
        <v>52.25</v>
      </c>
      <c r="I4646" s="23">
        <v>52.25</v>
      </c>
      <c r="J4646" s="24">
        <v>52.25</v>
      </c>
      <c r="K4646" s="21">
        <v>0</v>
      </c>
      <c r="L4646" s="21">
        <v>0</v>
      </c>
      <c r="M4646" s="21">
        <f>COUNTIF($A$2:$A$5481,A4646)</f>
        <v>1</v>
      </c>
      <c r="N4646" s="24">
        <f t="shared" si="72"/>
        <v>52.2504646</v>
      </c>
    </row>
    <row r="4647" spans="1:14">
      <c r="A4647" s="21" t="s">
        <v>4255</v>
      </c>
      <c r="B4647" s="21" t="s">
        <v>26</v>
      </c>
      <c r="C4647" s="21" t="s">
        <v>26</v>
      </c>
      <c r="D4647" s="21" t="s">
        <v>921</v>
      </c>
      <c r="E4647" s="21">
        <v>4</v>
      </c>
      <c r="F4647" s="22">
        <v>46099.5495601852</v>
      </c>
      <c r="G4647" s="22"/>
      <c r="H4647" s="23">
        <v>43.58</v>
      </c>
      <c r="I4647" s="23">
        <v>22.585</v>
      </c>
      <c r="J4647" s="24">
        <v>90.36</v>
      </c>
      <c r="K4647" s="21">
        <v>0</v>
      </c>
      <c r="L4647" s="21">
        <v>0</v>
      </c>
      <c r="M4647" s="21">
        <f>COUNTIF($A$2:$A$5481,A4647)</f>
        <v>1</v>
      </c>
      <c r="N4647" s="24">
        <f t="shared" si="72"/>
        <v>90.3604647</v>
      </c>
    </row>
    <row r="4648" spans="1:14">
      <c r="A4648" s="21" t="s">
        <v>4256</v>
      </c>
      <c r="B4648" s="21" t="s">
        <v>26</v>
      </c>
      <c r="C4648" s="21" t="s">
        <v>26</v>
      </c>
      <c r="D4648" s="21" t="s">
        <v>921</v>
      </c>
      <c r="E4648" s="21">
        <v>2</v>
      </c>
      <c r="F4648" s="22">
        <v>45932.3627662037</v>
      </c>
      <c r="G4648" s="22"/>
      <c r="H4648" s="23">
        <v>6.8</v>
      </c>
      <c r="I4648" s="23">
        <v>3.4</v>
      </c>
      <c r="J4648" s="24">
        <v>6.8</v>
      </c>
      <c r="K4648" s="21">
        <v>0</v>
      </c>
      <c r="L4648" s="21">
        <v>0</v>
      </c>
      <c r="M4648" s="21">
        <f>COUNTIF($A$2:$A$5481,A4648)</f>
        <v>1</v>
      </c>
      <c r="N4648" s="24">
        <f t="shared" si="72"/>
        <v>6.8004648</v>
      </c>
    </row>
    <row r="4649" spans="1:14">
      <c r="A4649" s="21" t="s">
        <v>4257</v>
      </c>
      <c r="B4649" s="21" t="s">
        <v>26</v>
      </c>
      <c r="C4649" s="21" t="s">
        <v>26</v>
      </c>
      <c r="D4649" s="21" t="s">
        <v>921</v>
      </c>
      <c r="E4649" s="21">
        <v>3</v>
      </c>
      <c r="F4649" s="22">
        <v>46099.5495601852</v>
      </c>
      <c r="G4649" s="22"/>
      <c r="H4649" s="23">
        <v>79.5</v>
      </c>
      <c r="I4649" s="23">
        <v>29.4666666667</v>
      </c>
      <c r="J4649" s="24">
        <v>88.41</v>
      </c>
      <c r="K4649" s="21">
        <v>0</v>
      </c>
      <c r="L4649" s="21">
        <v>0</v>
      </c>
      <c r="M4649" s="21">
        <f>COUNTIF($A$2:$A$5481,A4649)</f>
        <v>1</v>
      </c>
      <c r="N4649" s="24">
        <f t="shared" si="72"/>
        <v>88.4104649</v>
      </c>
    </row>
    <row r="4650" spans="1:14">
      <c r="A4650" s="21" t="s">
        <v>4258</v>
      </c>
      <c r="B4650" s="21" t="s">
        <v>26</v>
      </c>
      <c r="C4650" s="21" t="s">
        <v>26</v>
      </c>
      <c r="D4650" s="21" t="s">
        <v>921</v>
      </c>
      <c r="E4650" s="21">
        <v>3</v>
      </c>
      <c r="F4650" s="22">
        <v>45796.823587963</v>
      </c>
      <c r="G4650" s="22"/>
      <c r="H4650" s="23">
        <v>26.37</v>
      </c>
      <c r="I4650" s="23">
        <v>8.79</v>
      </c>
      <c r="J4650" s="24">
        <v>26.37</v>
      </c>
      <c r="K4650" s="21">
        <v>0</v>
      </c>
      <c r="L4650" s="21">
        <v>0</v>
      </c>
      <c r="M4650" s="21">
        <f>COUNTIF($A$2:$A$5481,A4650)</f>
        <v>1</v>
      </c>
      <c r="N4650" s="24">
        <f t="shared" si="72"/>
        <v>26.370465</v>
      </c>
    </row>
    <row r="4651" spans="1:14">
      <c r="A4651" s="21" t="s">
        <v>4259</v>
      </c>
      <c r="B4651" s="21" t="s">
        <v>26</v>
      </c>
      <c r="C4651" s="21" t="s">
        <v>26</v>
      </c>
      <c r="D4651" s="21" t="s">
        <v>921</v>
      </c>
      <c r="E4651" s="21">
        <v>3</v>
      </c>
      <c r="F4651" s="22">
        <v>45492.3810185185</v>
      </c>
      <c r="G4651" s="22"/>
      <c r="H4651" s="23">
        <v>98.7</v>
      </c>
      <c r="I4651" s="23">
        <v>32.9</v>
      </c>
      <c r="J4651" s="24">
        <v>98.7</v>
      </c>
      <c r="K4651" s="21">
        <v>0</v>
      </c>
      <c r="L4651" s="21">
        <v>0</v>
      </c>
      <c r="M4651" s="21">
        <f>COUNTIF($A$2:$A$5481,A4651)</f>
        <v>1</v>
      </c>
      <c r="N4651" s="24">
        <f t="shared" si="72"/>
        <v>98.7004651</v>
      </c>
    </row>
    <row r="4652" spans="1:14">
      <c r="A4652" s="21" t="s">
        <v>4260</v>
      </c>
      <c r="B4652" s="21" t="s">
        <v>26</v>
      </c>
      <c r="C4652" s="21" t="s">
        <v>26</v>
      </c>
      <c r="D4652" s="21" t="s">
        <v>921</v>
      </c>
      <c r="E4652" s="21">
        <v>3</v>
      </c>
      <c r="F4652" s="22">
        <v>45932.3627662037</v>
      </c>
      <c r="G4652" s="22"/>
      <c r="H4652" s="23">
        <v>16.92</v>
      </c>
      <c r="I4652" s="23">
        <v>7.9533333333</v>
      </c>
      <c r="J4652" s="24">
        <v>23.85</v>
      </c>
      <c r="K4652" s="21">
        <v>0</v>
      </c>
      <c r="L4652" s="21">
        <v>0</v>
      </c>
      <c r="M4652" s="21">
        <f>COUNTIF($A$2:$A$5481,A4652)</f>
        <v>1</v>
      </c>
      <c r="N4652" s="24">
        <f t="shared" si="72"/>
        <v>23.8504652</v>
      </c>
    </row>
    <row r="4653" spans="1:14">
      <c r="A4653" s="21" t="s">
        <v>4261</v>
      </c>
      <c r="B4653" s="21" t="s">
        <v>26</v>
      </c>
      <c r="C4653" s="21" t="s">
        <v>26</v>
      </c>
      <c r="D4653" s="21" t="s">
        <v>921</v>
      </c>
      <c r="E4653" s="21">
        <v>2</v>
      </c>
      <c r="F4653" s="22">
        <v>45492.3810185185</v>
      </c>
      <c r="G4653" s="22"/>
      <c r="H4653" s="23">
        <v>19.8</v>
      </c>
      <c r="I4653" s="23">
        <v>9.9</v>
      </c>
      <c r="J4653" s="24">
        <v>19.8</v>
      </c>
      <c r="K4653" s="21">
        <v>0</v>
      </c>
      <c r="L4653" s="21">
        <v>0</v>
      </c>
      <c r="M4653" s="21">
        <f>COUNTIF($A$2:$A$5481,A4653)</f>
        <v>1</v>
      </c>
      <c r="N4653" s="24">
        <f t="shared" si="72"/>
        <v>19.8004653</v>
      </c>
    </row>
    <row r="4654" spans="1:14">
      <c r="A4654" s="21" t="s">
        <v>4262</v>
      </c>
      <c r="B4654" s="21" t="s">
        <v>26</v>
      </c>
      <c r="C4654" s="21" t="s">
        <v>26</v>
      </c>
      <c r="D4654" s="21" t="s">
        <v>921</v>
      </c>
      <c r="E4654" s="21">
        <v>3</v>
      </c>
      <c r="F4654" s="22">
        <v>45702.3500810185</v>
      </c>
      <c r="G4654" s="22"/>
      <c r="H4654" s="23">
        <v>26.86</v>
      </c>
      <c r="I4654" s="23">
        <v>11.25333</v>
      </c>
      <c r="J4654" s="24">
        <v>33.75</v>
      </c>
      <c r="K4654" s="21">
        <v>0</v>
      </c>
      <c r="L4654" s="21">
        <v>0</v>
      </c>
      <c r="M4654" s="21">
        <f>COUNTIF($A$2:$A$5481,A4654)</f>
        <v>1</v>
      </c>
      <c r="N4654" s="24">
        <f t="shared" si="72"/>
        <v>33.7504654</v>
      </c>
    </row>
    <row r="4655" spans="1:14">
      <c r="A4655" s="21" t="s">
        <v>4263</v>
      </c>
      <c r="B4655" s="21" t="s">
        <v>26</v>
      </c>
      <c r="C4655" s="21" t="s">
        <v>26</v>
      </c>
      <c r="D4655" s="21" t="s">
        <v>921</v>
      </c>
      <c r="E4655" s="21">
        <v>9</v>
      </c>
      <c r="F4655" s="22">
        <v>45796.823587963</v>
      </c>
      <c r="G4655" s="22"/>
      <c r="H4655" s="23">
        <v>33.81</v>
      </c>
      <c r="I4655" s="23">
        <v>7.35667</v>
      </c>
      <c r="J4655" s="24">
        <v>66.24</v>
      </c>
      <c r="K4655" s="21">
        <v>0</v>
      </c>
      <c r="L4655" s="21">
        <v>0</v>
      </c>
      <c r="M4655" s="21">
        <f>COUNTIF($A$2:$A$5481,A4655)</f>
        <v>1</v>
      </c>
      <c r="N4655" s="24">
        <f t="shared" si="72"/>
        <v>66.2404655</v>
      </c>
    </row>
    <row r="4656" spans="1:14">
      <c r="A4656" s="21" t="s">
        <v>4264</v>
      </c>
      <c r="B4656" s="21" t="s">
        <v>26</v>
      </c>
      <c r="C4656" s="21" t="s">
        <v>26</v>
      </c>
      <c r="D4656" s="21" t="s">
        <v>921</v>
      </c>
      <c r="E4656" s="21">
        <v>6</v>
      </c>
      <c r="F4656" s="22">
        <v>45796.823587963</v>
      </c>
      <c r="G4656" s="22"/>
      <c r="H4656" s="23">
        <v>28.65</v>
      </c>
      <c r="I4656" s="23">
        <v>9.355</v>
      </c>
      <c r="J4656" s="24">
        <v>56.16</v>
      </c>
      <c r="K4656" s="21">
        <v>0</v>
      </c>
      <c r="L4656" s="21">
        <v>0</v>
      </c>
      <c r="M4656" s="21">
        <f>COUNTIF($A$2:$A$5481,A4656)</f>
        <v>1</v>
      </c>
      <c r="N4656" s="24">
        <f t="shared" si="72"/>
        <v>56.1604656</v>
      </c>
    </row>
    <row r="4657" spans="1:14">
      <c r="A4657" s="21" t="s">
        <v>4265</v>
      </c>
      <c r="B4657" s="21" t="s">
        <v>929</v>
      </c>
      <c r="C4657" s="21" t="s">
        <v>414</v>
      </c>
      <c r="D4657" s="21" t="s">
        <v>4266</v>
      </c>
      <c r="E4657" s="21">
        <v>84.21</v>
      </c>
      <c r="F4657" s="22">
        <v>45887.3993055556</v>
      </c>
      <c r="G4657" s="22">
        <v>45344.4621643519</v>
      </c>
      <c r="H4657" s="23">
        <v>1768.65</v>
      </c>
      <c r="I4657" s="23">
        <v>65</v>
      </c>
      <c r="J4657" s="24">
        <v>5473.65</v>
      </c>
      <c r="K4657" s="21">
        <v>0</v>
      </c>
      <c r="L4657" s="21">
        <v>0</v>
      </c>
      <c r="M4657" s="21">
        <f>COUNTIF($A$2:$A$5481,A4657)</f>
        <v>2</v>
      </c>
      <c r="N4657" s="24">
        <f t="shared" si="72"/>
        <v>5473.6504657</v>
      </c>
    </row>
    <row r="4658" spans="1:14">
      <c r="A4658" s="21" t="s">
        <v>4265</v>
      </c>
      <c r="B4658" s="21" t="s">
        <v>929</v>
      </c>
      <c r="C4658" s="21" t="s">
        <v>26</v>
      </c>
      <c r="D4658" s="21" t="s">
        <v>4266</v>
      </c>
      <c r="E4658" s="21">
        <v>53.38</v>
      </c>
      <c r="F4658" s="22">
        <v>46085.5409143519</v>
      </c>
      <c r="G4658" s="22"/>
      <c r="H4658" s="23">
        <v>1852.2</v>
      </c>
      <c r="I4658" s="23">
        <v>70</v>
      </c>
      <c r="J4658" s="24">
        <v>3736.6</v>
      </c>
      <c r="K4658" s="21">
        <v>0</v>
      </c>
      <c r="L4658" s="21">
        <v>0</v>
      </c>
      <c r="M4658" s="21">
        <f>COUNTIF($A$2:$A$5481,A4658)</f>
        <v>2</v>
      </c>
      <c r="N4658" s="24">
        <f t="shared" si="72"/>
        <v>3736.6004658</v>
      </c>
    </row>
    <row r="4659" spans="1:14">
      <c r="A4659" s="21" t="s">
        <v>4267</v>
      </c>
      <c r="B4659" s="21" t="s">
        <v>920</v>
      </c>
      <c r="C4659" s="21" t="s">
        <v>26</v>
      </c>
      <c r="D4659" s="21" t="s">
        <v>931</v>
      </c>
      <c r="E4659" s="21">
        <v>1</v>
      </c>
      <c r="F4659" s="22">
        <v>45784.3956481482</v>
      </c>
      <c r="G4659" s="22"/>
      <c r="H4659" s="23">
        <v>260</v>
      </c>
      <c r="I4659" s="23">
        <v>260</v>
      </c>
      <c r="J4659" s="24">
        <v>260</v>
      </c>
      <c r="K4659" s="21">
        <v>0</v>
      </c>
      <c r="L4659" s="21">
        <v>0</v>
      </c>
      <c r="M4659" s="21">
        <f>COUNTIF($A$2:$A$5481,A4659)</f>
        <v>1</v>
      </c>
      <c r="N4659" s="24">
        <f t="shared" si="72"/>
        <v>260.0004659</v>
      </c>
    </row>
    <row r="4660" spans="1:14">
      <c r="A4660" s="21" t="s">
        <v>379</v>
      </c>
      <c r="B4660" s="21" t="s">
        <v>920</v>
      </c>
      <c r="C4660" s="21" t="s">
        <v>35</v>
      </c>
      <c r="D4660" s="21" t="s">
        <v>921</v>
      </c>
      <c r="E4660" s="21">
        <v>0</v>
      </c>
      <c r="F4660" s="22">
        <v>45439.85625</v>
      </c>
      <c r="G4660" s="22">
        <v>45918.425775463</v>
      </c>
      <c r="H4660" s="23">
        <v>448</v>
      </c>
      <c r="I4660" s="23">
        <v>236</v>
      </c>
      <c r="J4660" s="24">
        <v>0</v>
      </c>
      <c r="K4660" s="21">
        <v>1</v>
      </c>
      <c r="L4660" s="21">
        <v>4</v>
      </c>
      <c r="M4660" s="21">
        <f>COUNTIF($A$2:$A$5481,A4660)</f>
        <v>2</v>
      </c>
      <c r="N4660" s="24">
        <f t="shared" si="72"/>
        <v>0.000466</v>
      </c>
    </row>
    <row r="4661" spans="1:14">
      <c r="A4661" s="21" t="s">
        <v>379</v>
      </c>
      <c r="B4661" s="21" t="s">
        <v>920</v>
      </c>
      <c r="C4661" s="21" t="s">
        <v>26</v>
      </c>
      <c r="D4661" s="21" t="s">
        <v>921</v>
      </c>
      <c r="E4661" s="21">
        <v>0</v>
      </c>
      <c r="F4661" s="22">
        <v>45917.6437384259</v>
      </c>
      <c r="G4661" s="22">
        <v>46149.6255671296</v>
      </c>
      <c r="H4661" s="23">
        <v>244.6</v>
      </c>
      <c r="I4661" s="23">
        <v>244.6</v>
      </c>
      <c r="J4661" s="24">
        <v>0</v>
      </c>
      <c r="K4661" s="21">
        <v>1</v>
      </c>
      <c r="L4661" s="21">
        <v>4</v>
      </c>
      <c r="M4661" s="21">
        <f>COUNTIF($A$2:$A$5481,A4661)</f>
        <v>2</v>
      </c>
      <c r="N4661" s="24">
        <f t="shared" si="72"/>
        <v>0.0004661</v>
      </c>
    </row>
    <row r="4662" spans="1:14">
      <c r="A4662" s="21" t="s">
        <v>383</v>
      </c>
      <c r="B4662" s="21" t="s">
        <v>920</v>
      </c>
      <c r="C4662" s="21" t="s">
        <v>35</v>
      </c>
      <c r="D4662" s="21" t="s">
        <v>921</v>
      </c>
      <c r="E4662" s="21">
        <v>0</v>
      </c>
      <c r="F4662" s="22">
        <v>45278.7913425926</v>
      </c>
      <c r="G4662" s="22">
        <v>45918.4257638889</v>
      </c>
      <c r="H4662" s="23">
        <v>496</v>
      </c>
      <c r="I4662" s="23">
        <v>248</v>
      </c>
      <c r="J4662" s="24">
        <v>0</v>
      </c>
      <c r="K4662" s="21">
        <v>1</v>
      </c>
      <c r="L4662" s="21">
        <v>4</v>
      </c>
      <c r="M4662" s="21">
        <f>COUNTIF($A$2:$A$5481,A4662)</f>
        <v>2</v>
      </c>
      <c r="N4662" s="24">
        <f t="shared" si="72"/>
        <v>0.0004662</v>
      </c>
    </row>
    <row r="4663" spans="1:14">
      <c r="A4663" s="21" t="s">
        <v>383</v>
      </c>
      <c r="B4663" s="21" t="s">
        <v>920</v>
      </c>
      <c r="C4663" s="21" t="s">
        <v>26</v>
      </c>
      <c r="D4663" s="21" t="s">
        <v>921</v>
      </c>
      <c r="E4663" s="21">
        <v>1</v>
      </c>
      <c r="F4663" s="22">
        <v>46275.6107407407</v>
      </c>
      <c r="G4663" s="22">
        <v>46162.6091319445</v>
      </c>
      <c r="H4663" s="23">
        <v>220</v>
      </c>
      <c r="I4663" s="23">
        <v>220</v>
      </c>
      <c r="J4663" s="24">
        <v>220</v>
      </c>
      <c r="K4663" s="21">
        <v>1</v>
      </c>
      <c r="L4663" s="21">
        <v>4</v>
      </c>
      <c r="M4663" s="21">
        <f>COUNTIF($A$2:$A$5481,A4663)</f>
        <v>2</v>
      </c>
      <c r="N4663" s="24">
        <f t="shared" si="72"/>
        <v>220.0004663</v>
      </c>
    </row>
    <row r="4664" spans="1:14">
      <c r="A4664" s="21" t="s">
        <v>4268</v>
      </c>
      <c r="B4664" s="21" t="s">
        <v>920</v>
      </c>
      <c r="C4664" s="21" t="s">
        <v>26</v>
      </c>
      <c r="D4664" s="21" t="s">
        <v>921</v>
      </c>
      <c r="E4664" s="21">
        <v>4</v>
      </c>
      <c r="F4664" s="22">
        <v>46148.3902777778</v>
      </c>
      <c r="G4664" s="22">
        <v>46007.4384259259</v>
      </c>
      <c r="H4664" s="23">
        <v>489.2</v>
      </c>
      <c r="I4664" s="23">
        <v>244.6</v>
      </c>
      <c r="J4664" s="24">
        <v>978.4</v>
      </c>
      <c r="K4664" s="21">
        <v>0</v>
      </c>
      <c r="L4664" s="21">
        <v>0</v>
      </c>
      <c r="M4664" s="21">
        <f>COUNTIF($A$2:$A$5481,A4664)</f>
        <v>1</v>
      </c>
      <c r="N4664" s="24">
        <f t="shared" si="72"/>
        <v>978.4004664</v>
      </c>
    </row>
    <row r="4665" spans="1:14">
      <c r="A4665" s="21" t="s">
        <v>4269</v>
      </c>
      <c r="B4665" s="21" t="s">
        <v>920</v>
      </c>
      <c r="C4665" s="21" t="s">
        <v>35</v>
      </c>
      <c r="D4665" s="21" t="s">
        <v>921</v>
      </c>
      <c r="E4665" s="21">
        <v>0</v>
      </c>
      <c r="F4665" s="22">
        <v>45439.85625</v>
      </c>
      <c r="G4665" s="22">
        <v>45488.62625</v>
      </c>
      <c r="H4665" s="23">
        <v>448</v>
      </c>
      <c r="I4665" s="23">
        <v>0</v>
      </c>
      <c r="J4665" s="24">
        <v>0</v>
      </c>
      <c r="K4665" s="21">
        <v>0</v>
      </c>
      <c r="L4665" s="21">
        <v>0</v>
      </c>
      <c r="M4665" s="21">
        <f>COUNTIF($A$2:$A$5481,A4665)</f>
        <v>1</v>
      </c>
      <c r="N4665" s="24">
        <f t="shared" si="72"/>
        <v>0.0004665</v>
      </c>
    </row>
    <row r="4666" spans="1:14">
      <c r="A4666" s="21" t="s">
        <v>4270</v>
      </c>
      <c r="B4666" s="21" t="s">
        <v>920</v>
      </c>
      <c r="C4666" s="21" t="s">
        <v>35</v>
      </c>
      <c r="D4666" s="21" t="s">
        <v>931</v>
      </c>
      <c r="E4666" s="21">
        <v>1</v>
      </c>
      <c r="F4666" s="22">
        <v>45868.6533680556</v>
      </c>
      <c r="G4666" s="22"/>
      <c r="H4666" s="23">
        <v>113.93</v>
      </c>
      <c r="I4666" s="23">
        <v>113.93</v>
      </c>
      <c r="J4666" s="24">
        <v>113.93</v>
      </c>
      <c r="K4666" s="21">
        <v>0</v>
      </c>
      <c r="L4666" s="21">
        <v>0</v>
      </c>
      <c r="M4666" s="21">
        <f>COUNTIF($A$2:$A$5481,A4666)</f>
        <v>1</v>
      </c>
      <c r="N4666" s="24">
        <f t="shared" si="72"/>
        <v>113.9304666</v>
      </c>
    </row>
    <row r="4667" spans="1:14">
      <c r="A4667" s="21" t="s">
        <v>4271</v>
      </c>
      <c r="B4667" s="21" t="s">
        <v>1510</v>
      </c>
      <c r="C4667" s="21" t="s">
        <v>390</v>
      </c>
      <c r="D4667" s="21" t="s">
        <v>1309</v>
      </c>
      <c r="E4667" s="21">
        <v>1</v>
      </c>
      <c r="F4667" s="22">
        <v>45747.3500925926</v>
      </c>
      <c r="G4667" s="22"/>
      <c r="H4667" s="23">
        <v>1074.4</v>
      </c>
      <c r="I4667" s="23">
        <v>1074.4</v>
      </c>
      <c r="J4667" s="24">
        <v>1074.4</v>
      </c>
      <c r="K4667" s="21">
        <v>0</v>
      </c>
      <c r="L4667" s="21">
        <v>0</v>
      </c>
      <c r="M4667" s="21">
        <f>COUNTIF($A$2:$A$5481,A4667)</f>
        <v>1</v>
      </c>
      <c r="N4667" s="24">
        <f t="shared" si="72"/>
        <v>1074.4004667</v>
      </c>
    </row>
    <row r="4668" spans="1:14">
      <c r="A4668" s="21" t="s">
        <v>4272</v>
      </c>
      <c r="B4668" s="21" t="s">
        <v>26</v>
      </c>
      <c r="C4668" s="21" t="s">
        <v>26</v>
      </c>
      <c r="D4668" s="21" t="s">
        <v>921</v>
      </c>
      <c r="E4668" s="21">
        <v>4</v>
      </c>
      <c r="F4668" s="22">
        <v>45798.4529861111</v>
      </c>
      <c r="G4668" s="22"/>
      <c r="H4668" s="23">
        <v>204.36</v>
      </c>
      <c r="I4668" s="23">
        <v>51.09</v>
      </c>
      <c r="J4668" s="24">
        <v>204.36</v>
      </c>
      <c r="K4668" s="21">
        <v>0</v>
      </c>
      <c r="L4668" s="21">
        <v>0</v>
      </c>
      <c r="M4668" s="21">
        <f>COUNTIF($A$2:$A$5481,A4668)</f>
        <v>1</v>
      </c>
      <c r="N4668" s="24">
        <f t="shared" si="72"/>
        <v>204.3604668</v>
      </c>
    </row>
    <row r="4669" spans="1:14">
      <c r="A4669" s="21" t="s">
        <v>4273</v>
      </c>
      <c r="B4669" s="21" t="s">
        <v>26</v>
      </c>
      <c r="C4669" s="21" t="s">
        <v>35</v>
      </c>
      <c r="D4669" s="21" t="s">
        <v>921</v>
      </c>
      <c r="E4669" s="21">
        <v>2</v>
      </c>
      <c r="F4669" s="22">
        <v>45483.387025463</v>
      </c>
      <c r="G4669" s="22"/>
      <c r="H4669" s="23">
        <v>160</v>
      </c>
      <c r="I4669" s="23">
        <v>80</v>
      </c>
      <c r="J4669" s="24">
        <v>160</v>
      </c>
      <c r="K4669" s="21">
        <v>0</v>
      </c>
      <c r="L4669" s="21">
        <v>0</v>
      </c>
      <c r="M4669" s="21">
        <f>COUNTIF($A$2:$A$5481,A4669)</f>
        <v>1</v>
      </c>
      <c r="N4669" s="24">
        <f t="shared" si="72"/>
        <v>160.0004669</v>
      </c>
    </row>
    <row r="4670" spans="1:14">
      <c r="A4670" s="21" t="s">
        <v>151</v>
      </c>
      <c r="B4670" s="21" t="s">
        <v>920</v>
      </c>
      <c r="C4670" s="21" t="s">
        <v>35</v>
      </c>
      <c r="D4670" s="21" t="s">
        <v>921</v>
      </c>
      <c r="E4670" s="21">
        <v>0</v>
      </c>
      <c r="F4670" s="22">
        <v>45376.7846180556</v>
      </c>
      <c r="G4670" s="22">
        <v>45474.8238425926</v>
      </c>
      <c r="H4670" s="23">
        <v>212.34</v>
      </c>
      <c r="I4670" s="23">
        <v>35.39</v>
      </c>
      <c r="J4670" s="24">
        <v>0</v>
      </c>
      <c r="K4670" s="21">
        <v>1</v>
      </c>
      <c r="L4670" s="21">
        <v>50</v>
      </c>
      <c r="M4670" s="21">
        <f>COUNTIF($A$2:$A$5481,A4670)</f>
        <v>2</v>
      </c>
      <c r="N4670" s="24">
        <f t="shared" si="72"/>
        <v>0.000467</v>
      </c>
    </row>
    <row r="4671" spans="1:14">
      <c r="A4671" s="21" t="s">
        <v>151</v>
      </c>
      <c r="B4671" s="21" t="s">
        <v>920</v>
      </c>
      <c r="C4671" s="21" t="s">
        <v>26</v>
      </c>
      <c r="D4671" s="21" t="s">
        <v>921</v>
      </c>
      <c r="E4671" s="21">
        <v>53</v>
      </c>
      <c r="F4671" s="22">
        <v>46140.7209722222</v>
      </c>
      <c r="G4671" s="22">
        <v>46162.6301967593</v>
      </c>
      <c r="H4671" s="23">
        <v>156</v>
      </c>
      <c r="I4671" s="23">
        <v>24.5378213462</v>
      </c>
      <c r="J4671" s="24">
        <v>1300.62</v>
      </c>
      <c r="K4671" s="21">
        <v>1</v>
      </c>
      <c r="L4671" s="21">
        <v>50</v>
      </c>
      <c r="M4671" s="21">
        <f>COUNTIF($A$2:$A$5481,A4671)</f>
        <v>2</v>
      </c>
      <c r="N4671" s="24">
        <f t="shared" si="72"/>
        <v>1300.6204671</v>
      </c>
    </row>
    <row r="4672" spans="1:14">
      <c r="A4672" s="21" t="s">
        <v>4274</v>
      </c>
      <c r="B4672" s="21" t="s">
        <v>920</v>
      </c>
      <c r="C4672" s="21" t="s">
        <v>26</v>
      </c>
      <c r="D4672" s="21" t="s">
        <v>921</v>
      </c>
      <c r="E4672" s="21">
        <v>10</v>
      </c>
      <c r="F4672" s="22">
        <v>46190.7021064815</v>
      </c>
      <c r="G4672" s="22"/>
      <c r="H4672" s="23">
        <v>250</v>
      </c>
      <c r="I4672" s="23">
        <v>25</v>
      </c>
      <c r="J4672" s="24">
        <v>250</v>
      </c>
      <c r="K4672" s="21">
        <v>0</v>
      </c>
      <c r="L4672" s="21">
        <v>0</v>
      </c>
      <c r="M4672" s="21">
        <f>COUNTIF($A$2:$A$5481,A4672)</f>
        <v>1</v>
      </c>
      <c r="N4672" s="24">
        <f t="shared" si="72"/>
        <v>250.0004672</v>
      </c>
    </row>
    <row r="4673" spans="1:14">
      <c r="A4673" s="21" t="s">
        <v>885</v>
      </c>
      <c r="B4673" s="21" t="s">
        <v>929</v>
      </c>
      <c r="C4673" s="21" t="s">
        <v>26</v>
      </c>
      <c r="D4673" s="21" t="s">
        <v>921</v>
      </c>
      <c r="E4673" s="21">
        <v>0</v>
      </c>
      <c r="F4673" s="22">
        <v>46268.6430555556</v>
      </c>
      <c r="G4673" s="22">
        <v>46273.6910185185</v>
      </c>
      <c r="H4673" s="23">
        <v>9.3</v>
      </c>
      <c r="I4673" s="23">
        <v>4.65</v>
      </c>
      <c r="J4673" s="24">
        <v>0</v>
      </c>
      <c r="K4673" s="21">
        <v>0</v>
      </c>
      <c r="L4673" s="21">
        <v>0</v>
      </c>
      <c r="M4673" s="21">
        <f>COUNTIF($A$2:$A$5481,A4673)</f>
        <v>1</v>
      </c>
      <c r="N4673" s="24">
        <f t="shared" si="72"/>
        <v>0.0004673</v>
      </c>
    </row>
    <row r="4674" spans="1:14">
      <c r="A4674" s="21" t="s">
        <v>801</v>
      </c>
      <c r="B4674" s="21" t="s">
        <v>26</v>
      </c>
      <c r="C4674" s="21" t="s">
        <v>547</v>
      </c>
      <c r="D4674" s="21" t="s">
        <v>921</v>
      </c>
      <c r="E4674" s="21">
        <v>0</v>
      </c>
      <c r="F4674" s="22">
        <v>45273.6494328704</v>
      </c>
      <c r="G4674" s="22">
        <v>45918.4172569444</v>
      </c>
      <c r="H4674" s="23">
        <v>679.2</v>
      </c>
      <c r="I4674" s="23">
        <v>22.64</v>
      </c>
      <c r="J4674" s="24">
        <v>0</v>
      </c>
      <c r="K4674" s="21">
        <v>0</v>
      </c>
      <c r="L4674" s="21">
        <v>0</v>
      </c>
      <c r="M4674" s="21">
        <f>COUNTIF($A$2:$A$5481,A4674)</f>
        <v>2</v>
      </c>
      <c r="N4674" s="24">
        <f t="shared" ref="N4674:N4737" si="73">J4674+ROW()/10000000</f>
        <v>0.0004674</v>
      </c>
    </row>
    <row r="4675" spans="1:14">
      <c r="A4675" s="21" t="s">
        <v>801</v>
      </c>
      <c r="B4675" s="21" t="s">
        <v>26</v>
      </c>
      <c r="C4675" s="21" t="s">
        <v>26</v>
      </c>
      <c r="D4675" s="21" t="s">
        <v>921</v>
      </c>
      <c r="E4675" s="21">
        <v>27</v>
      </c>
      <c r="F4675" s="22">
        <v>45882.817662037</v>
      </c>
      <c r="G4675" s="22">
        <v>46268.6382523148</v>
      </c>
      <c r="H4675" s="23">
        <v>719.7</v>
      </c>
      <c r="I4675" s="23">
        <v>23.99</v>
      </c>
      <c r="J4675" s="24">
        <v>647.73</v>
      </c>
      <c r="K4675" s="21">
        <v>0</v>
      </c>
      <c r="L4675" s="21">
        <v>0</v>
      </c>
      <c r="M4675" s="21">
        <f>COUNTIF($A$2:$A$5481,A4675)</f>
        <v>2</v>
      </c>
      <c r="N4675" s="24">
        <f t="shared" si="73"/>
        <v>647.7304675</v>
      </c>
    </row>
    <row r="4676" spans="1:14">
      <c r="A4676" s="21" t="s">
        <v>4275</v>
      </c>
      <c r="B4676" s="21" t="s">
        <v>26</v>
      </c>
      <c r="C4676" s="21" t="s">
        <v>26</v>
      </c>
      <c r="D4676" s="21" t="s">
        <v>921</v>
      </c>
      <c r="E4676" s="21">
        <v>0</v>
      </c>
      <c r="F4676" s="22">
        <v>45649.356875</v>
      </c>
      <c r="G4676" s="22">
        <v>45652.3605671296</v>
      </c>
      <c r="H4676" s="23">
        <v>198.95</v>
      </c>
      <c r="I4676" s="23">
        <v>0</v>
      </c>
      <c r="J4676" s="24">
        <v>0</v>
      </c>
      <c r="K4676" s="21">
        <v>0</v>
      </c>
      <c r="L4676" s="21">
        <v>0</v>
      </c>
      <c r="M4676" s="21">
        <f>COUNTIF($A$2:$A$5481,A4676)</f>
        <v>1</v>
      </c>
      <c r="N4676" s="24">
        <f t="shared" si="73"/>
        <v>0.0004676</v>
      </c>
    </row>
    <row r="4677" spans="1:14">
      <c r="A4677" s="21" t="s">
        <v>4276</v>
      </c>
      <c r="B4677" s="21" t="s">
        <v>1115</v>
      </c>
      <c r="C4677" s="21" t="s">
        <v>26</v>
      </c>
      <c r="D4677" s="21" t="s">
        <v>921</v>
      </c>
      <c r="E4677" s="21">
        <v>1</v>
      </c>
      <c r="F4677" s="22">
        <v>46064.3815046296</v>
      </c>
      <c r="G4677" s="22"/>
      <c r="H4677" s="23">
        <v>209.9</v>
      </c>
      <c r="I4677" s="23">
        <v>209.9</v>
      </c>
      <c r="J4677" s="24">
        <v>209.9</v>
      </c>
      <c r="K4677" s="21">
        <v>0</v>
      </c>
      <c r="L4677" s="21">
        <v>0</v>
      </c>
      <c r="M4677" s="21">
        <f>COUNTIF($A$2:$A$5481,A4677)</f>
        <v>1</v>
      </c>
      <c r="N4677" s="24">
        <f t="shared" si="73"/>
        <v>209.9004677</v>
      </c>
    </row>
    <row r="4678" spans="1:14">
      <c r="A4678" s="21" t="s">
        <v>4277</v>
      </c>
      <c r="B4678" s="21" t="s">
        <v>1115</v>
      </c>
      <c r="C4678" s="21" t="s">
        <v>26</v>
      </c>
      <c r="D4678" s="21" t="s">
        <v>921</v>
      </c>
      <c r="E4678" s="21">
        <v>1</v>
      </c>
      <c r="F4678" s="22">
        <v>46064.3815046296</v>
      </c>
      <c r="G4678" s="22"/>
      <c r="H4678" s="23">
        <v>189.9</v>
      </c>
      <c r="I4678" s="23">
        <v>189.9</v>
      </c>
      <c r="J4678" s="24">
        <v>189.9</v>
      </c>
      <c r="K4678" s="21">
        <v>0</v>
      </c>
      <c r="L4678" s="21">
        <v>0</v>
      </c>
      <c r="M4678" s="21">
        <f>COUNTIF($A$2:$A$5481,A4678)</f>
        <v>1</v>
      </c>
      <c r="N4678" s="24">
        <f t="shared" si="73"/>
        <v>189.9004678</v>
      </c>
    </row>
    <row r="4679" spans="1:14">
      <c r="A4679" s="21" t="s">
        <v>4278</v>
      </c>
      <c r="B4679" s="21" t="s">
        <v>949</v>
      </c>
      <c r="C4679" s="21" t="s">
        <v>182</v>
      </c>
      <c r="D4679" s="21" t="s">
        <v>921</v>
      </c>
      <c r="E4679" s="21">
        <v>1</v>
      </c>
      <c r="F4679" s="22">
        <v>45485.4412847222</v>
      </c>
      <c r="G4679" s="22"/>
      <c r="H4679" s="23">
        <v>146.89</v>
      </c>
      <c r="I4679" s="23">
        <v>146.89</v>
      </c>
      <c r="J4679" s="24">
        <v>146.89</v>
      </c>
      <c r="K4679" s="21">
        <v>0</v>
      </c>
      <c r="L4679" s="21">
        <v>0</v>
      </c>
      <c r="M4679" s="21">
        <f>COUNTIF($A$2:$A$5481,A4679)</f>
        <v>2</v>
      </c>
      <c r="N4679" s="24">
        <f t="shared" si="73"/>
        <v>146.8904679</v>
      </c>
    </row>
    <row r="4680" spans="1:14">
      <c r="A4680" s="21" t="s">
        <v>4278</v>
      </c>
      <c r="B4680" s="21" t="s">
        <v>949</v>
      </c>
      <c r="C4680" s="21" t="s">
        <v>26</v>
      </c>
      <c r="D4680" s="21" t="s">
        <v>921</v>
      </c>
      <c r="E4680" s="21">
        <v>1</v>
      </c>
      <c r="F4680" s="22">
        <v>46094.546099537</v>
      </c>
      <c r="G4680" s="22"/>
      <c r="H4680" s="23">
        <v>149.9</v>
      </c>
      <c r="I4680" s="23">
        <v>149.9</v>
      </c>
      <c r="J4680" s="24">
        <v>149.9</v>
      </c>
      <c r="K4680" s="21">
        <v>0</v>
      </c>
      <c r="L4680" s="21">
        <v>0</v>
      </c>
      <c r="M4680" s="21">
        <f>COUNTIF($A$2:$A$5481,A4680)</f>
        <v>2</v>
      </c>
      <c r="N4680" s="24">
        <f t="shared" si="73"/>
        <v>149.900468</v>
      </c>
    </row>
    <row r="4681" spans="1:14">
      <c r="A4681" s="21" t="s">
        <v>4279</v>
      </c>
      <c r="B4681" s="21" t="s">
        <v>920</v>
      </c>
      <c r="C4681" s="21" t="s">
        <v>26</v>
      </c>
      <c r="D4681" s="21" t="s">
        <v>921</v>
      </c>
      <c r="E4681" s="21">
        <v>7</v>
      </c>
      <c r="F4681" s="22">
        <v>46176.7325925926</v>
      </c>
      <c r="G4681" s="22"/>
      <c r="H4681" s="23">
        <v>273</v>
      </c>
      <c r="I4681" s="23">
        <v>39</v>
      </c>
      <c r="J4681" s="24">
        <v>273</v>
      </c>
      <c r="K4681" s="21">
        <v>0</v>
      </c>
      <c r="L4681" s="21">
        <v>0</v>
      </c>
      <c r="M4681" s="21">
        <f>COUNTIF($A$2:$A$5481,A4681)</f>
        <v>1</v>
      </c>
      <c r="N4681" s="24">
        <f t="shared" si="73"/>
        <v>273.0004681</v>
      </c>
    </row>
    <row r="4682" spans="1:14">
      <c r="A4682" s="21" t="s">
        <v>4280</v>
      </c>
      <c r="B4682" s="21" t="s">
        <v>26</v>
      </c>
      <c r="C4682" s="21" t="s">
        <v>26</v>
      </c>
      <c r="D4682" s="21" t="s">
        <v>921</v>
      </c>
      <c r="E4682" s="21">
        <v>20</v>
      </c>
      <c r="F4682" s="22">
        <v>46121.5595138889</v>
      </c>
      <c r="G4682" s="22"/>
      <c r="H4682" s="23">
        <v>132</v>
      </c>
      <c r="I4682" s="23">
        <v>16.261</v>
      </c>
      <c r="J4682" s="24">
        <v>325.2</v>
      </c>
      <c r="K4682" s="21">
        <v>0</v>
      </c>
      <c r="L4682" s="21">
        <v>0</v>
      </c>
      <c r="M4682" s="21">
        <f>COUNTIF($A$2:$A$5481,A4682)</f>
        <v>1</v>
      </c>
      <c r="N4682" s="24">
        <f t="shared" si="73"/>
        <v>325.2004682</v>
      </c>
    </row>
    <row r="4683" spans="1:14">
      <c r="A4683" s="21" t="s">
        <v>4281</v>
      </c>
      <c r="B4683" s="21" t="s">
        <v>920</v>
      </c>
      <c r="C4683" s="21" t="s">
        <v>35</v>
      </c>
      <c r="D4683" s="21" t="s">
        <v>921</v>
      </c>
      <c r="E4683" s="21">
        <v>8</v>
      </c>
      <c r="F4683" s="22">
        <v>45446.3498032407</v>
      </c>
      <c r="G4683" s="22"/>
      <c r="H4683" s="23">
        <v>20.8</v>
      </c>
      <c r="I4683" s="23">
        <v>2.6</v>
      </c>
      <c r="J4683" s="24">
        <v>20.8</v>
      </c>
      <c r="K4683" s="21">
        <v>0</v>
      </c>
      <c r="L4683" s="21">
        <v>0</v>
      </c>
      <c r="M4683" s="21">
        <f>COUNTIF($A$2:$A$5481,A4683)</f>
        <v>1</v>
      </c>
      <c r="N4683" s="24">
        <f t="shared" si="73"/>
        <v>20.8004683</v>
      </c>
    </row>
    <row r="4684" spans="1:14">
      <c r="A4684" s="21" t="s">
        <v>4282</v>
      </c>
      <c r="B4684" s="21" t="s">
        <v>929</v>
      </c>
      <c r="C4684" s="21" t="s">
        <v>26</v>
      </c>
      <c r="D4684" s="21" t="s">
        <v>921</v>
      </c>
      <c r="E4684" s="21">
        <v>2</v>
      </c>
      <c r="F4684" s="22">
        <v>45897.8327662037</v>
      </c>
      <c r="G4684" s="22"/>
      <c r="H4684" s="23">
        <v>75.08</v>
      </c>
      <c r="I4684" s="23">
        <v>37.54</v>
      </c>
      <c r="J4684" s="24">
        <v>75.08</v>
      </c>
      <c r="K4684" s="21">
        <v>0</v>
      </c>
      <c r="L4684" s="21">
        <v>0</v>
      </c>
      <c r="M4684" s="21">
        <f>COUNTIF($A$2:$A$5481,A4684)</f>
        <v>1</v>
      </c>
      <c r="N4684" s="24">
        <f t="shared" si="73"/>
        <v>75.0804684</v>
      </c>
    </row>
    <row r="4685" spans="1:14">
      <c r="A4685" s="21" t="s">
        <v>4283</v>
      </c>
      <c r="B4685" s="21" t="s">
        <v>26</v>
      </c>
      <c r="C4685" s="21" t="s">
        <v>26</v>
      </c>
      <c r="D4685" s="21" t="s">
        <v>921</v>
      </c>
      <c r="E4685" s="21">
        <v>1</v>
      </c>
      <c r="F4685" s="22">
        <v>45673.3566087963</v>
      </c>
      <c r="G4685" s="22"/>
      <c r="H4685" s="23">
        <v>102.3</v>
      </c>
      <c r="I4685" s="23">
        <v>102.3</v>
      </c>
      <c r="J4685" s="24">
        <v>102.3</v>
      </c>
      <c r="K4685" s="21">
        <v>0</v>
      </c>
      <c r="L4685" s="21">
        <v>0</v>
      </c>
      <c r="M4685" s="21">
        <f>COUNTIF($A$2:$A$5481,A4685)</f>
        <v>1</v>
      </c>
      <c r="N4685" s="24">
        <f t="shared" si="73"/>
        <v>102.3004685</v>
      </c>
    </row>
    <row r="4686" spans="1:14">
      <c r="A4686" s="21" t="s">
        <v>4284</v>
      </c>
      <c r="B4686" s="21" t="s">
        <v>1115</v>
      </c>
      <c r="C4686" s="21" t="s">
        <v>26</v>
      </c>
      <c r="D4686" s="21" t="s">
        <v>921</v>
      </c>
      <c r="E4686" s="21">
        <v>2</v>
      </c>
      <c r="F4686" s="22">
        <v>45953.7479861111</v>
      </c>
      <c r="G4686" s="22"/>
      <c r="H4686" s="23">
        <v>197.8</v>
      </c>
      <c r="I4686" s="23">
        <v>98.9</v>
      </c>
      <c r="J4686" s="24">
        <v>197.8</v>
      </c>
      <c r="K4686" s="21">
        <v>0</v>
      </c>
      <c r="L4686" s="21">
        <v>0</v>
      </c>
      <c r="M4686" s="21">
        <f>COUNTIF($A$2:$A$5481,A4686)</f>
        <v>1</v>
      </c>
      <c r="N4686" s="24">
        <f t="shared" si="73"/>
        <v>197.8004686</v>
      </c>
    </row>
    <row r="4687" spans="1:14">
      <c r="A4687" s="21" t="s">
        <v>4285</v>
      </c>
      <c r="B4687" s="21" t="s">
        <v>1346</v>
      </c>
      <c r="C4687" s="21" t="s">
        <v>26</v>
      </c>
      <c r="D4687" s="21" t="s">
        <v>921</v>
      </c>
      <c r="E4687" s="21">
        <v>2</v>
      </c>
      <c r="F4687" s="22">
        <v>45495.3808333333</v>
      </c>
      <c r="G4687" s="22">
        <v>45610.4159722222</v>
      </c>
      <c r="H4687" s="23">
        <v>391.6</v>
      </c>
      <c r="I4687" s="23">
        <v>97.9</v>
      </c>
      <c r="J4687" s="24">
        <v>195.8</v>
      </c>
      <c r="K4687" s="21">
        <v>0</v>
      </c>
      <c r="L4687" s="21">
        <v>0</v>
      </c>
      <c r="M4687" s="21">
        <f>COUNTIF($A$2:$A$5481,A4687)</f>
        <v>1</v>
      </c>
      <c r="N4687" s="24">
        <f t="shared" si="73"/>
        <v>195.8004687</v>
      </c>
    </row>
    <row r="4688" spans="1:14">
      <c r="A4688" s="21" t="s">
        <v>4286</v>
      </c>
      <c r="B4688" s="21" t="s">
        <v>1346</v>
      </c>
      <c r="C4688" s="21" t="s">
        <v>26</v>
      </c>
      <c r="D4688" s="21" t="s">
        <v>921</v>
      </c>
      <c r="E4688" s="21">
        <v>1</v>
      </c>
      <c r="F4688" s="22">
        <v>45495.3808333333</v>
      </c>
      <c r="G4688" s="22">
        <v>45846.4311226852</v>
      </c>
      <c r="H4688" s="23">
        <v>391.6</v>
      </c>
      <c r="I4688" s="23">
        <v>98.32857</v>
      </c>
      <c r="J4688" s="24">
        <v>98.33</v>
      </c>
      <c r="K4688" s="21">
        <v>0</v>
      </c>
      <c r="L4688" s="21">
        <v>0</v>
      </c>
      <c r="M4688" s="21">
        <f>COUNTIF($A$2:$A$5481,A4688)</f>
        <v>1</v>
      </c>
      <c r="N4688" s="24">
        <f t="shared" si="73"/>
        <v>98.3304688</v>
      </c>
    </row>
    <row r="4689" spans="1:14">
      <c r="A4689" s="21" t="s">
        <v>4287</v>
      </c>
      <c r="B4689" s="21" t="s">
        <v>1346</v>
      </c>
      <c r="C4689" s="21" t="s">
        <v>26</v>
      </c>
      <c r="D4689" s="21" t="s">
        <v>921</v>
      </c>
      <c r="E4689" s="21">
        <v>1</v>
      </c>
      <c r="F4689" s="22">
        <v>45499.4105439815</v>
      </c>
      <c r="G4689" s="22">
        <v>45846.4311111111</v>
      </c>
      <c r="H4689" s="23">
        <v>391.6</v>
      </c>
      <c r="I4689" s="23">
        <v>98.1</v>
      </c>
      <c r="J4689" s="24">
        <v>98.1</v>
      </c>
      <c r="K4689" s="21">
        <v>0</v>
      </c>
      <c r="L4689" s="21">
        <v>0</v>
      </c>
      <c r="M4689" s="21">
        <f>COUNTIF($A$2:$A$5481,A4689)</f>
        <v>1</v>
      </c>
      <c r="N4689" s="24">
        <f t="shared" si="73"/>
        <v>98.1004689</v>
      </c>
    </row>
    <row r="4690" spans="1:14">
      <c r="A4690" s="21" t="s">
        <v>4288</v>
      </c>
      <c r="B4690" s="21" t="s">
        <v>1346</v>
      </c>
      <c r="C4690" s="21" t="s">
        <v>26</v>
      </c>
      <c r="D4690" s="21" t="s">
        <v>921</v>
      </c>
      <c r="E4690" s="21">
        <v>3</v>
      </c>
      <c r="F4690" s="22">
        <v>45495.3808333333</v>
      </c>
      <c r="G4690" s="22">
        <v>45624.3843402778</v>
      </c>
      <c r="H4690" s="23">
        <v>391.6</v>
      </c>
      <c r="I4690" s="23">
        <v>97.9</v>
      </c>
      <c r="J4690" s="24">
        <v>293.7</v>
      </c>
      <c r="K4690" s="21">
        <v>0</v>
      </c>
      <c r="L4690" s="21">
        <v>0</v>
      </c>
      <c r="M4690" s="21">
        <f>COUNTIF($A$2:$A$5481,A4690)</f>
        <v>1</v>
      </c>
      <c r="N4690" s="24">
        <f t="shared" si="73"/>
        <v>293.700469</v>
      </c>
    </row>
    <row r="4691" spans="1:14">
      <c r="A4691" s="21" t="s">
        <v>4289</v>
      </c>
      <c r="B4691" s="21" t="s">
        <v>1346</v>
      </c>
      <c r="C4691" s="21" t="s">
        <v>26</v>
      </c>
      <c r="D4691" s="21" t="s">
        <v>921</v>
      </c>
      <c r="E4691" s="21">
        <v>1</v>
      </c>
      <c r="F4691" s="22">
        <v>45495.3808333333</v>
      </c>
      <c r="G4691" s="22">
        <v>45846.431099537</v>
      </c>
      <c r="H4691" s="23">
        <v>391.6</v>
      </c>
      <c r="I4691" s="23">
        <v>97.9</v>
      </c>
      <c r="J4691" s="24">
        <v>97.9</v>
      </c>
      <c r="K4691" s="21">
        <v>0</v>
      </c>
      <c r="L4691" s="21">
        <v>0</v>
      </c>
      <c r="M4691" s="21">
        <f>COUNTIF($A$2:$A$5481,A4691)</f>
        <v>1</v>
      </c>
      <c r="N4691" s="24">
        <f t="shared" si="73"/>
        <v>97.9004691</v>
      </c>
    </row>
    <row r="4692" spans="1:14">
      <c r="A4692" s="21" t="s">
        <v>4290</v>
      </c>
      <c r="B4692" s="21" t="s">
        <v>1346</v>
      </c>
      <c r="C4692" s="21" t="s">
        <v>26</v>
      </c>
      <c r="D4692" s="21" t="s">
        <v>921</v>
      </c>
      <c r="E4692" s="21">
        <v>1</v>
      </c>
      <c r="F4692" s="22">
        <v>45499.4105439815</v>
      </c>
      <c r="G4692" s="22">
        <v>45846.431087963</v>
      </c>
      <c r="H4692" s="23">
        <v>391.6</v>
      </c>
      <c r="I4692" s="23">
        <v>97.9</v>
      </c>
      <c r="J4692" s="24">
        <v>97.9</v>
      </c>
      <c r="K4692" s="21">
        <v>0</v>
      </c>
      <c r="L4692" s="21">
        <v>0</v>
      </c>
      <c r="M4692" s="21">
        <f>COUNTIF($A$2:$A$5481,A4692)</f>
        <v>1</v>
      </c>
      <c r="N4692" s="24">
        <f t="shared" si="73"/>
        <v>97.9004692</v>
      </c>
    </row>
    <row r="4693" spans="1:14">
      <c r="A4693" s="21" t="s">
        <v>820</v>
      </c>
      <c r="B4693" s="21" t="s">
        <v>1115</v>
      </c>
      <c r="C4693" s="21" t="s">
        <v>26</v>
      </c>
      <c r="D4693" s="21" t="s">
        <v>921</v>
      </c>
      <c r="E4693" s="21">
        <v>38</v>
      </c>
      <c r="F4693" s="22">
        <v>46142.4298611111</v>
      </c>
      <c r="G4693" s="22">
        <v>46265.5139236111</v>
      </c>
      <c r="H4693" s="23">
        <v>539.9</v>
      </c>
      <c r="I4693" s="23">
        <v>50.6427351282</v>
      </c>
      <c r="J4693" s="24">
        <v>1924.32</v>
      </c>
      <c r="K4693" s="21">
        <v>1</v>
      </c>
      <c r="L4693" s="21">
        <v>100</v>
      </c>
      <c r="M4693" s="21">
        <f>COUNTIF($A$2:$A$5481,A4693)</f>
        <v>1</v>
      </c>
      <c r="N4693" s="24">
        <f t="shared" si="73"/>
        <v>1924.3204693</v>
      </c>
    </row>
    <row r="4694" spans="1:14">
      <c r="A4694" s="21" t="s">
        <v>4291</v>
      </c>
      <c r="B4694" s="21" t="s">
        <v>1115</v>
      </c>
      <c r="C4694" s="21" t="s">
        <v>26</v>
      </c>
      <c r="D4694" s="21" t="s">
        <v>921</v>
      </c>
      <c r="E4694" s="21">
        <v>29</v>
      </c>
      <c r="F4694" s="22">
        <v>46142.4298611111</v>
      </c>
      <c r="G4694" s="22">
        <v>45846.4310763889</v>
      </c>
      <c r="H4694" s="23">
        <v>431.92</v>
      </c>
      <c r="I4694" s="23">
        <v>53.7174337931</v>
      </c>
      <c r="J4694" s="24">
        <v>1557.88</v>
      </c>
      <c r="K4694" s="21">
        <v>1</v>
      </c>
      <c r="L4694" s="21">
        <v>100</v>
      </c>
      <c r="M4694" s="21">
        <f>COUNTIF($A$2:$A$5481,A4694)</f>
        <v>1</v>
      </c>
      <c r="N4694" s="24">
        <f t="shared" si="73"/>
        <v>1557.8804694</v>
      </c>
    </row>
    <row r="4695" spans="1:14">
      <c r="A4695" s="21" t="s">
        <v>4292</v>
      </c>
      <c r="B4695" s="21" t="s">
        <v>1115</v>
      </c>
      <c r="C4695" s="21" t="s">
        <v>26</v>
      </c>
      <c r="D4695" s="21" t="s">
        <v>921</v>
      </c>
      <c r="E4695" s="21">
        <v>20</v>
      </c>
      <c r="F4695" s="22">
        <v>45946.712650463</v>
      </c>
      <c r="G4695" s="22">
        <v>45846.4310648148</v>
      </c>
      <c r="H4695" s="23">
        <v>529</v>
      </c>
      <c r="I4695" s="23">
        <v>50.8170405</v>
      </c>
      <c r="J4695" s="24">
        <v>1016.4</v>
      </c>
      <c r="K4695" s="21">
        <v>1</v>
      </c>
      <c r="L4695" s="21">
        <v>100</v>
      </c>
      <c r="M4695" s="21">
        <f>COUNTIF($A$2:$A$5481,A4695)</f>
        <v>1</v>
      </c>
      <c r="N4695" s="24">
        <f t="shared" si="73"/>
        <v>1016.4004695</v>
      </c>
    </row>
    <row r="4696" spans="1:14">
      <c r="A4696" s="21" t="s">
        <v>4293</v>
      </c>
      <c r="B4696" s="21" t="s">
        <v>26</v>
      </c>
      <c r="C4696" s="21" t="s">
        <v>51</v>
      </c>
      <c r="D4696" s="21" t="s">
        <v>921</v>
      </c>
      <c r="E4696" s="21">
        <v>0</v>
      </c>
      <c r="F4696" s="22">
        <v>45511.4785416667</v>
      </c>
      <c r="G4696" s="22">
        <v>45846.4821990741</v>
      </c>
      <c r="H4696" s="23">
        <v>224.09</v>
      </c>
      <c r="I4696" s="23">
        <v>224.09</v>
      </c>
      <c r="J4696" s="24">
        <v>0</v>
      </c>
      <c r="K4696" s="21">
        <v>0</v>
      </c>
      <c r="L4696" s="21">
        <v>0</v>
      </c>
      <c r="M4696" s="21">
        <f>COUNTIF($A$2:$A$5481,A4696)</f>
        <v>2</v>
      </c>
      <c r="N4696" s="24">
        <f t="shared" si="73"/>
        <v>0.0004696</v>
      </c>
    </row>
    <row r="4697" spans="1:14">
      <c r="A4697" s="21" t="s">
        <v>4293</v>
      </c>
      <c r="B4697" s="21" t="s">
        <v>26</v>
      </c>
      <c r="C4697" s="21" t="s">
        <v>26</v>
      </c>
      <c r="D4697" s="21" t="s">
        <v>921</v>
      </c>
      <c r="E4697" s="21">
        <v>14</v>
      </c>
      <c r="F4697" s="22">
        <v>46148.6493055556</v>
      </c>
      <c r="G4697" s="22">
        <v>45846.4312847222</v>
      </c>
      <c r="H4697" s="23">
        <v>868.84</v>
      </c>
      <c r="I4697" s="23">
        <v>197.7028571429</v>
      </c>
      <c r="J4697" s="24">
        <v>2767.8</v>
      </c>
      <c r="K4697" s="21">
        <v>0</v>
      </c>
      <c r="L4697" s="21">
        <v>0</v>
      </c>
      <c r="M4697" s="21">
        <f>COUNTIF($A$2:$A$5481,A4697)</f>
        <v>2</v>
      </c>
      <c r="N4697" s="24">
        <f t="shared" si="73"/>
        <v>2767.8004697</v>
      </c>
    </row>
    <row r="4698" spans="1:14">
      <c r="A4698" s="21" t="s">
        <v>4294</v>
      </c>
      <c r="B4698" s="21" t="s">
        <v>2944</v>
      </c>
      <c r="C4698" s="21" t="s">
        <v>51</v>
      </c>
      <c r="D4698" s="21" t="s">
        <v>921</v>
      </c>
      <c r="E4698" s="21">
        <v>0</v>
      </c>
      <c r="F4698" s="22">
        <v>45511.4785416667</v>
      </c>
      <c r="G4698" s="22">
        <v>45846.4822106482</v>
      </c>
      <c r="H4698" s="23">
        <v>896.36</v>
      </c>
      <c r="I4698" s="23">
        <v>224.09</v>
      </c>
      <c r="J4698" s="24">
        <v>0</v>
      </c>
      <c r="K4698" s="21">
        <v>0</v>
      </c>
      <c r="L4698" s="21">
        <v>0</v>
      </c>
      <c r="M4698" s="21">
        <f>COUNTIF($A$2:$A$5481,A4698)</f>
        <v>2</v>
      </c>
      <c r="N4698" s="24">
        <f t="shared" si="73"/>
        <v>0.0004698</v>
      </c>
    </row>
    <row r="4699" spans="1:14">
      <c r="A4699" s="21" t="s">
        <v>4294</v>
      </c>
      <c r="B4699" s="21" t="s">
        <v>2944</v>
      </c>
      <c r="C4699" s="21" t="s">
        <v>26</v>
      </c>
      <c r="D4699" s="21" t="s">
        <v>921</v>
      </c>
      <c r="E4699" s="21">
        <v>13</v>
      </c>
      <c r="F4699" s="22">
        <v>46148.6493055556</v>
      </c>
      <c r="G4699" s="22">
        <v>45853.355</v>
      </c>
      <c r="H4699" s="23">
        <v>868.84</v>
      </c>
      <c r="I4699" s="23">
        <v>198.1369230769</v>
      </c>
      <c r="J4699" s="24">
        <v>2575.82</v>
      </c>
      <c r="K4699" s="21">
        <v>0</v>
      </c>
      <c r="L4699" s="21">
        <v>0</v>
      </c>
      <c r="M4699" s="21">
        <f>COUNTIF($A$2:$A$5481,A4699)</f>
        <v>2</v>
      </c>
      <c r="N4699" s="24">
        <f t="shared" si="73"/>
        <v>2575.8204699</v>
      </c>
    </row>
    <row r="4700" spans="1:14">
      <c r="A4700" s="21" t="s">
        <v>4295</v>
      </c>
      <c r="B4700" s="21" t="s">
        <v>26</v>
      </c>
      <c r="C4700" s="21" t="s">
        <v>51</v>
      </c>
      <c r="D4700" s="21" t="s">
        <v>921</v>
      </c>
      <c r="E4700" s="21">
        <v>0</v>
      </c>
      <c r="F4700" s="22">
        <v>45511.4785416667</v>
      </c>
      <c r="G4700" s="22">
        <v>45846.4821875</v>
      </c>
      <c r="H4700" s="23">
        <v>448.18</v>
      </c>
      <c r="I4700" s="23">
        <v>224.09</v>
      </c>
      <c r="J4700" s="24">
        <v>0</v>
      </c>
      <c r="K4700" s="21">
        <v>0</v>
      </c>
      <c r="L4700" s="21">
        <v>0</v>
      </c>
      <c r="M4700" s="21">
        <f>COUNTIF($A$2:$A$5481,A4700)</f>
        <v>2</v>
      </c>
      <c r="N4700" s="24">
        <f t="shared" si="73"/>
        <v>0.00047</v>
      </c>
    </row>
    <row r="4701" spans="1:14">
      <c r="A4701" s="21" t="s">
        <v>4295</v>
      </c>
      <c r="B4701" s="21" t="s">
        <v>26</v>
      </c>
      <c r="C4701" s="21" t="s">
        <v>26</v>
      </c>
      <c r="D4701" s="21" t="s">
        <v>921</v>
      </c>
      <c r="E4701" s="21">
        <v>15</v>
      </c>
      <c r="F4701" s="22">
        <v>46036.7137731482</v>
      </c>
      <c r="G4701" s="22">
        <v>45846.4312615741</v>
      </c>
      <c r="H4701" s="23">
        <v>949.5</v>
      </c>
      <c r="I4701" s="23">
        <v>189.63</v>
      </c>
      <c r="J4701" s="24">
        <v>2844.45</v>
      </c>
      <c r="K4701" s="21">
        <v>0</v>
      </c>
      <c r="L4701" s="21">
        <v>0</v>
      </c>
      <c r="M4701" s="21">
        <f>COUNTIF($A$2:$A$5481,A4701)</f>
        <v>2</v>
      </c>
      <c r="N4701" s="24">
        <f t="shared" si="73"/>
        <v>2844.4504701</v>
      </c>
    </row>
    <row r="4702" spans="1:14">
      <c r="A4702" s="21" t="s">
        <v>535</v>
      </c>
      <c r="B4702" s="21" t="s">
        <v>26</v>
      </c>
      <c r="C4702" s="21" t="s">
        <v>51</v>
      </c>
      <c r="D4702" s="21" t="s">
        <v>921</v>
      </c>
      <c r="E4702" s="21">
        <v>0</v>
      </c>
      <c r="F4702" s="22">
        <v>45511.4785416667</v>
      </c>
      <c r="G4702" s="22">
        <v>45846.4821759259</v>
      </c>
      <c r="H4702" s="23">
        <v>1120.45</v>
      </c>
      <c r="I4702" s="23">
        <v>224.09</v>
      </c>
      <c r="J4702" s="24">
        <v>0</v>
      </c>
      <c r="K4702" s="21">
        <v>0</v>
      </c>
      <c r="L4702" s="21">
        <v>0</v>
      </c>
      <c r="M4702" s="21">
        <f>COUNTIF($A$2:$A$5481,A4702)</f>
        <v>2</v>
      </c>
      <c r="N4702" s="24">
        <f t="shared" si="73"/>
        <v>0.0004702</v>
      </c>
    </row>
    <row r="4703" spans="1:14">
      <c r="A4703" s="21" t="s">
        <v>535</v>
      </c>
      <c r="B4703" s="21" t="s">
        <v>26</v>
      </c>
      <c r="C4703" s="21" t="s">
        <v>26</v>
      </c>
      <c r="D4703" s="21" t="s">
        <v>921</v>
      </c>
      <c r="E4703" s="21">
        <v>17</v>
      </c>
      <c r="F4703" s="22">
        <v>46148.6493055556</v>
      </c>
      <c r="G4703" s="22">
        <v>46247.4791203704</v>
      </c>
      <c r="H4703" s="23">
        <v>868.84</v>
      </c>
      <c r="I4703" s="23">
        <v>195.8534922222</v>
      </c>
      <c r="J4703" s="24">
        <v>3329.45</v>
      </c>
      <c r="K4703" s="21">
        <v>0</v>
      </c>
      <c r="L4703" s="21">
        <v>0</v>
      </c>
      <c r="M4703" s="21">
        <f>COUNTIF($A$2:$A$5481,A4703)</f>
        <v>2</v>
      </c>
      <c r="N4703" s="24">
        <f t="shared" si="73"/>
        <v>3329.4504703</v>
      </c>
    </row>
    <row r="4704" spans="1:14">
      <c r="A4704" s="21" t="s">
        <v>4296</v>
      </c>
      <c r="B4704" s="21" t="s">
        <v>26</v>
      </c>
      <c r="C4704" s="21" t="s">
        <v>390</v>
      </c>
      <c r="D4704" s="21" t="s">
        <v>921</v>
      </c>
      <c r="E4704" s="21">
        <v>2</v>
      </c>
      <c r="F4704" s="22">
        <v>45321.7502430556</v>
      </c>
      <c r="G4704" s="22"/>
      <c r="H4704" s="23">
        <v>4308.9</v>
      </c>
      <c r="I4704" s="23">
        <v>2154.45</v>
      </c>
      <c r="J4704" s="24">
        <v>4308.9</v>
      </c>
      <c r="K4704" s="21">
        <v>0</v>
      </c>
      <c r="L4704" s="21">
        <v>0</v>
      </c>
      <c r="M4704" s="21">
        <f>COUNTIF($A$2:$A$5481,A4704)</f>
        <v>3</v>
      </c>
      <c r="N4704" s="24">
        <f t="shared" si="73"/>
        <v>4308.9004704</v>
      </c>
    </row>
    <row r="4705" spans="1:14">
      <c r="A4705" s="21" t="s">
        <v>4296</v>
      </c>
      <c r="B4705" s="21" t="s">
        <v>26</v>
      </c>
      <c r="C4705" s="21" t="s">
        <v>51</v>
      </c>
      <c r="D4705" s="21" t="s">
        <v>921</v>
      </c>
      <c r="E4705" s="21">
        <v>0</v>
      </c>
      <c r="F4705" s="22">
        <v>45511.4785416667</v>
      </c>
      <c r="G4705" s="22">
        <v>45846.4822222222</v>
      </c>
      <c r="H4705" s="23">
        <v>1120.45</v>
      </c>
      <c r="I4705" s="23">
        <v>224.09</v>
      </c>
      <c r="J4705" s="24">
        <v>0</v>
      </c>
      <c r="K4705" s="21">
        <v>0</v>
      </c>
      <c r="L4705" s="21">
        <v>0</v>
      </c>
      <c r="M4705" s="21">
        <f>COUNTIF($A$2:$A$5481,A4705)</f>
        <v>3</v>
      </c>
      <c r="N4705" s="24">
        <f t="shared" si="73"/>
        <v>0.0004705</v>
      </c>
    </row>
    <row r="4706" spans="1:14">
      <c r="A4706" s="21" t="s">
        <v>4296</v>
      </c>
      <c r="B4706" s="21" t="s">
        <v>26</v>
      </c>
      <c r="C4706" s="21" t="s">
        <v>26</v>
      </c>
      <c r="D4706" s="21" t="s">
        <v>921</v>
      </c>
      <c r="E4706" s="21">
        <v>15</v>
      </c>
      <c r="F4706" s="22">
        <v>46036.7137731482</v>
      </c>
      <c r="G4706" s="22">
        <v>45846.4312268519</v>
      </c>
      <c r="H4706" s="23">
        <v>949.5</v>
      </c>
      <c r="I4706" s="23">
        <v>189.73515</v>
      </c>
      <c r="J4706" s="24">
        <v>2846.1</v>
      </c>
      <c r="K4706" s="21">
        <v>0</v>
      </c>
      <c r="L4706" s="21">
        <v>0</v>
      </c>
      <c r="M4706" s="21">
        <f>COUNTIF($A$2:$A$5481,A4706)</f>
        <v>3</v>
      </c>
      <c r="N4706" s="24">
        <f t="shared" si="73"/>
        <v>2846.1004706</v>
      </c>
    </row>
    <row r="4707" spans="1:14">
      <c r="A4707" s="21" t="s">
        <v>4297</v>
      </c>
      <c r="B4707" s="21" t="s">
        <v>26</v>
      </c>
      <c r="C4707" s="21" t="s">
        <v>26</v>
      </c>
      <c r="D4707" s="21" t="s">
        <v>921</v>
      </c>
      <c r="E4707" s="21">
        <v>8</v>
      </c>
      <c r="F4707" s="22">
        <v>45961.5412037037</v>
      </c>
      <c r="G4707" s="22">
        <v>45918.4199074074</v>
      </c>
      <c r="H4707" s="23">
        <v>758.04</v>
      </c>
      <c r="I4707" s="23">
        <v>189.51214125</v>
      </c>
      <c r="J4707" s="24">
        <v>1516.08</v>
      </c>
      <c r="K4707" s="21">
        <v>0</v>
      </c>
      <c r="L4707" s="21">
        <v>0</v>
      </c>
      <c r="M4707" s="21">
        <f>COUNTIF($A$2:$A$5481,A4707)</f>
        <v>1</v>
      </c>
      <c r="N4707" s="24">
        <f t="shared" si="73"/>
        <v>1516.0804707</v>
      </c>
    </row>
    <row r="4708" spans="1:14">
      <c r="A4708" s="21" t="s">
        <v>4298</v>
      </c>
      <c r="B4708" s="21" t="s">
        <v>26</v>
      </c>
      <c r="C4708" s="21" t="s">
        <v>26</v>
      </c>
      <c r="D4708" s="21" t="s">
        <v>921</v>
      </c>
      <c r="E4708" s="21">
        <v>4</v>
      </c>
      <c r="F4708" s="22">
        <v>46036.7137731482</v>
      </c>
      <c r="G4708" s="22"/>
      <c r="H4708" s="23">
        <v>379.8</v>
      </c>
      <c r="I4708" s="23">
        <v>189.45</v>
      </c>
      <c r="J4708" s="24">
        <v>757.8</v>
      </c>
      <c r="K4708" s="21">
        <v>0</v>
      </c>
      <c r="L4708" s="21">
        <v>0</v>
      </c>
      <c r="M4708" s="21">
        <f>COUNTIF($A$2:$A$5481,A4708)</f>
        <v>1</v>
      </c>
      <c r="N4708" s="24">
        <f t="shared" si="73"/>
        <v>757.8004708</v>
      </c>
    </row>
    <row r="4709" spans="1:14">
      <c r="A4709" s="21" t="s">
        <v>4299</v>
      </c>
      <c r="B4709" s="21" t="s">
        <v>26</v>
      </c>
      <c r="C4709" s="21" t="s">
        <v>26</v>
      </c>
      <c r="D4709" s="21" t="s">
        <v>921</v>
      </c>
      <c r="E4709" s="21">
        <v>2</v>
      </c>
      <c r="F4709" s="22">
        <v>45726.5564236111</v>
      </c>
      <c r="G4709" s="22"/>
      <c r="H4709" s="23">
        <v>193.9</v>
      </c>
      <c r="I4709" s="23">
        <v>193.9</v>
      </c>
      <c r="J4709" s="24">
        <v>387.8</v>
      </c>
      <c r="K4709" s="21">
        <v>0</v>
      </c>
      <c r="L4709" s="21">
        <v>0</v>
      </c>
      <c r="M4709" s="21">
        <f>COUNTIF($A$2:$A$5481,A4709)</f>
        <v>1</v>
      </c>
      <c r="N4709" s="24">
        <f t="shared" si="73"/>
        <v>387.8004709</v>
      </c>
    </row>
    <row r="4710" spans="1:14">
      <c r="A4710" s="21" t="s">
        <v>4300</v>
      </c>
      <c r="B4710" s="21" t="s">
        <v>26</v>
      </c>
      <c r="C4710" s="21" t="s">
        <v>26</v>
      </c>
      <c r="D4710" s="21" t="s">
        <v>921</v>
      </c>
      <c r="E4710" s="21">
        <v>2</v>
      </c>
      <c r="F4710" s="22">
        <v>45988.3732638889</v>
      </c>
      <c r="G4710" s="22"/>
      <c r="H4710" s="23">
        <v>199.9</v>
      </c>
      <c r="I4710" s="23">
        <v>196.9</v>
      </c>
      <c r="J4710" s="24">
        <v>393.8</v>
      </c>
      <c r="K4710" s="21">
        <v>0</v>
      </c>
      <c r="L4710" s="21">
        <v>0</v>
      </c>
      <c r="M4710" s="21">
        <f>COUNTIF($A$2:$A$5481,A4710)</f>
        <v>1</v>
      </c>
      <c r="N4710" s="24">
        <f t="shared" si="73"/>
        <v>393.800471</v>
      </c>
    </row>
    <row r="4711" spans="1:14">
      <c r="A4711" s="21" t="s">
        <v>4301</v>
      </c>
      <c r="B4711" s="21" t="s">
        <v>26</v>
      </c>
      <c r="C4711" s="21" t="s">
        <v>26</v>
      </c>
      <c r="D4711" s="21" t="s">
        <v>921</v>
      </c>
      <c r="E4711" s="21">
        <v>1</v>
      </c>
      <c r="F4711" s="22">
        <v>45965.3678009259</v>
      </c>
      <c r="G4711" s="22"/>
      <c r="H4711" s="23">
        <v>199.9</v>
      </c>
      <c r="I4711" s="23">
        <v>199.9</v>
      </c>
      <c r="J4711" s="24">
        <v>199.9</v>
      </c>
      <c r="K4711" s="21">
        <v>0</v>
      </c>
      <c r="L4711" s="21">
        <v>0</v>
      </c>
      <c r="M4711" s="21">
        <f>COUNTIF($A$2:$A$5481,A4711)</f>
        <v>1</v>
      </c>
      <c r="N4711" s="24">
        <f t="shared" si="73"/>
        <v>199.9004711</v>
      </c>
    </row>
    <row r="4712" spans="1:14">
      <c r="A4712" s="21" t="s">
        <v>4302</v>
      </c>
      <c r="B4712" s="21" t="s">
        <v>26</v>
      </c>
      <c r="C4712" s="21" t="s">
        <v>26</v>
      </c>
      <c r="D4712" s="21" t="s">
        <v>921</v>
      </c>
      <c r="E4712" s="21">
        <v>2</v>
      </c>
      <c r="F4712" s="22">
        <v>45965.3678009259</v>
      </c>
      <c r="G4712" s="22"/>
      <c r="H4712" s="23">
        <v>199.9</v>
      </c>
      <c r="I4712" s="23">
        <v>196.9</v>
      </c>
      <c r="J4712" s="24">
        <v>393.8</v>
      </c>
      <c r="K4712" s="21">
        <v>0</v>
      </c>
      <c r="L4712" s="21">
        <v>0</v>
      </c>
      <c r="M4712" s="21">
        <f>COUNTIF($A$2:$A$5481,A4712)</f>
        <v>1</v>
      </c>
      <c r="N4712" s="24">
        <f t="shared" si="73"/>
        <v>393.8004712</v>
      </c>
    </row>
    <row r="4713" spans="1:14">
      <c r="A4713" s="21" t="s">
        <v>4303</v>
      </c>
      <c r="B4713" s="21" t="s">
        <v>929</v>
      </c>
      <c r="C4713" s="21" t="s">
        <v>26</v>
      </c>
      <c r="D4713" s="21" t="s">
        <v>921</v>
      </c>
      <c r="E4713" s="21">
        <v>1</v>
      </c>
      <c r="F4713" s="22">
        <v>46240.6113194445</v>
      </c>
      <c r="G4713" s="22"/>
      <c r="H4713" s="23">
        <v>204.95</v>
      </c>
      <c r="I4713" s="23">
        <v>204.95</v>
      </c>
      <c r="J4713" s="24">
        <v>204.95</v>
      </c>
      <c r="K4713" s="21">
        <v>0</v>
      </c>
      <c r="L4713" s="21">
        <v>0</v>
      </c>
      <c r="M4713" s="21">
        <f>COUNTIF($A$2:$A$5481,A4713)</f>
        <v>1</v>
      </c>
      <c r="N4713" s="24">
        <f t="shared" si="73"/>
        <v>204.9504713</v>
      </c>
    </row>
    <row r="4714" spans="1:14">
      <c r="A4714" s="21" t="s">
        <v>4304</v>
      </c>
      <c r="B4714" s="21" t="s">
        <v>1115</v>
      </c>
      <c r="C4714" s="21" t="s">
        <v>51</v>
      </c>
      <c r="D4714" s="21" t="s">
        <v>921</v>
      </c>
      <c r="E4714" s="21">
        <v>0</v>
      </c>
      <c r="F4714" s="22">
        <v>45511.4785416667</v>
      </c>
      <c r="G4714" s="22">
        <v>45846.4822337963</v>
      </c>
      <c r="H4714" s="23">
        <v>1120.45</v>
      </c>
      <c r="I4714" s="23">
        <v>224.09</v>
      </c>
      <c r="J4714" s="24">
        <v>0</v>
      </c>
      <c r="K4714" s="21">
        <v>0</v>
      </c>
      <c r="L4714" s="21">
        <v>0</v>
      </c>
      <c r="M4714" s="21">
        <f>COUNTIF($A$2:$A$5481,A4714)</f>
        <v>2</v>
      </c>
      <c r="N4714" s="24">
        <f t="shared" si="73"/>
        <v>0.0004714</v>
      </c>
    </row>
    <row r="4715" spans="1:14">
      <c r="A4715" s="21" t="s">
        <v>4304</v>
      </c>
      <c r="B4715" s="21" t="s">
        <v>1115</v>
      </c>
      <c r="C4715" s="21" t="s">
        <v>26</v>
      </c>
      <c r="D4715" s="21" t="s">
        <v>921</v>
      </c>
      <c r="E4715" s="21">
        <v>15</v>
      </c>
      <c r="F4715" s="22">
        <v>46148.6493055556</v>
      </c>
      <c r="G4715" s="22">
        <v>45846.43125</v>
      </c>
      <c r="H4715" s="23">
        <v>651.63</v>
      </c>
      <c r="I4715" s="23">
        <v>195.124</v>
      </c>
      <c r="J4715" s="24">
        <v>2926.8</v>
      </c>
      <c r="K4715" s="21">
        <v>0</v>
      </c>
      <c r="L4715" s="21">
        <v>0</v>
      </c>
      <c r="M4715" s="21">
        <f>COUNTIF($A$2:$A$5481,A4715)</f>
        <v>2</v>
      </c>
      <c r="N4715" s="24">
        <f t="shared" si="73"/>
        <v>2926.8004715</v>
      </c>
    </row>
    <row r="4716" spans="1:14">
      <c r="A4716" s="21" t="s">
        <v>4305</v>
      </c>
      <c r="B4716" s="21" t="s">
        <v>1115</v>
      </c>
      <c r="C4716" s="21" t="s">
        <v>51</v>
      </c>
      <c r="D4716" s="21" t="s">
        <v>921</v>
      </c>
      <c r="E4716" s="21">
        <v>0</v>
      </c>
      <c r="F4716" s="22">
        <v>45511.4785416667</v>
      </c>
      <c r="G4716" s="22">
        <v>45846.4822453704</v>
      </c>
      <c r="H4716" s="23">
        <v>448.18</v>
      </c>
      <c r="I4716" s="23">
        <v>224.09</v>
      </c>
      <c r="J4716" s="24">
        <v>0</v>
      </c>
      <c r="K4716" s="21">
        <v>0</v>
      </c>
      <c r="L4716" s="21">
        <v>0</v>
      </c>
      <c r="M4716" s="21">
        <f>COUNTIF($A$2:$A$5481,A4716)</f>
        <v>2</v>
      </c>
      <c r="N4716" s="24">
        <f t="shared" si="73"/>
        <v>0.0004716</v>
      </c>
    </row>
    <row r="4717" spans="1:14">
      <c r="A4717" s="21" t="s">
        <v>4305</v>
      </c>
      <c r="B4717" s="21" t="s">
        <v>1115</v>
      </c>
      <c r="C4717" s="21" t="s">
        <v>26</v>
      </c>
      <c r="D4717" s="21" t="s">
        <v>921</v>
      </c>
      <c r="E4717" s="21">
        <v>6</v>
      </c>
      <c r="F4717" s="22">
        <v>46036.7137731482</v>
      </c>
      <c r="G4717" s="22">
        <v>45846.4312152778</v>
      </c>
      <c r="H4717" s="23">
        <v>759.6</v>
      </c>
      <c r="I4717" s="23">
        <v>180.19</v>
      </c>
      <c r="J4717" s="24">
        <v>1081.14</v>
      </c>
      <c r="K4717" s="21">
        <v>0</v>
      </c>
      <c r="L4717" s="21">
        <v>0</v>
      </c>
      <c r="M4717" s="21">
        <f>COUNTIF($A$2:$A$5481,A4717)</f>
        <v>2</v>
      </c>
      <c r="N4717" s="24">
        <f t="shared" si="73"/>
        <v>1081.1404717</v>
      </c>
    </row>
    <row r="4718" spans="1:14">
      <c r="A4718" s="21" t="s">
        <v>4306</v>
      </c>
      <c r="B4718" s="21" t="s">
        <v>1115</v>
      </c>
      <c r="C4718" s="21" t="s">
        <v>26</v>
      </c>
      <c r="D4718" s="21" t="s">
        <v>921</v>
      </c>
      <c r="E4718" s="21">
        <v>1</v>
      </c>
      <c r="F4718" s="22">
        <v>45385.58125</v>
      </c>
      <c r="G4718" s="22"/>
      <c r="H4718" s="23">
        <v>184.8</v>
      </c>
      <c r="I4718" s="23">
        <v>184.8</v>
      </c>
      <c r="J4718" s="24">
        <v>184.8</v>
      </c>
      <c r="K4718" s="21">
        <v>0</v>
      </c>
      <c r="L4718" s="21">
        <v>0</v>
      </c>
      <c r="M4718" s="21">
        <f>COUNTIF($A$2:$A$5481,A4718)</f>
        <v>1</v>
      </c>
      <c r="N4718" s="24">
        <f t="shared" si="73"/>
        <v>184.8004718</v>
      </c>
    </row>
    <row r="4719" spans="1:14">
      <c r="A4719" s="21" t="s">
        <v>892</v>
      </c>
      <c r="B4719" s="21" t="s">
        <v>1115</v>
      </c>
      <c r="C4719" s="21" t="s">
        <v>26</v>
      </c>
      <c r="D4719" s="21" t="s">
        <v>921</v>
      </c>
      <c r="E4719" s="21">
        <v>24</v>
      </c>
      <c r="F4719" s="22">
        <v>46113.5412615741</v>
      </c>
      <c r="G4719" s="22">
        <v>46275.4918055556</v>
      </c>
      <c r="H4719" s="23">
        <v>52.05</v>
      </c>
      <c r="I4719" s="23">
        <v>51.9814272</v>
      </c>
      <c r="J4719" s="24">
        <v>1247.52</v>
      </c>
      <c r="K4719" s="21">
        <v>1</v>
      </c>
      <c r="L4719" s="21">
        <v>100</v>
      </c>
      <c r="M4719" s="21">
        <f>COUNTIF($A$2:$A$5481,A4719)</f>
        <v>1</v>
      </c>
      <c r="N4719" s="24">
        <f t="shared" si="73"/>
        <v>1247.5204719</v>
      </c>
    </row>
    <row r="4720" spans="1:14">
      <c r="A4720" s="21" t="s">
        <v>4307</v>
      </c>
      <c r="B4720" s="21" t="s">
        <v>1115</v>
      </c>
      <c r="C4720" s="21" t="s">
        <v>26</v>
      </c>
      <c r="D4720" s="21" t="s">
        <v>921</v>
      </c>
      <c r="E4720" s="21">
        <v>21</v>
      </c>
      <c r="F4720" s="22">
        <v>46142.4298611111</v>
      </c>
      <c r="G4720" s="22">
        <v>45846.4310416667</v>
      </c>
      <c r="H4720" s="23">
        <v>539.9</v>
      </c>
      <c r="I4720" s="23">
        <v>52.4183033333</v>
      </c>
      <c r="J4720" s="24">
        <v>1100.82</v>
      </c>
      <c r="K4720" s="21">
        <v>1</v>
      </c>
      <c r="L4720" s="21">
        <v>100</v>
      </c>
      <c r="M4720" s="21">
        <f>COUNTIF($A$2:$A$5481,A4720)</f>
        <v>1</v>
      </c>
      <c r="N4720" s="24">
        <f t="shared" si="73"/>
        <v>1100.820472</v>
      </c>
    </row>
    <row r="4721" spans="1:14">
      <c r="A4721" s="21" t="s">
        <v>4308</v>
      </c>
      <c r="B4721" s="21" t="s">
        <v>26</v>
      </c>
      <c r="C4721" s="21" t="s">
        <v>26</v>
      </c>
      <c r="D4721" s="21" t="s">
        <v>921</v>
      </c>
      <c r="E4721" s="21">
        <v>19</v>
      </c>
      <c r="F4721" s="22">
        <v>46196.5875</v>
      </c>
      <c r="G4721" s="22">
        <v>45846.4310300926</v>
      </c>
      <c r="H4721" s="23">
        <v>447.2</v>
      </c>
      <c r="I4721" s="23">
        <v>52.9</v>
      </c>
      <c r="J4721" s="24">
        <v>1005.1</v>
      </c>
      <c r="K4721" s="21">
        <v>0</v>
      </c>
      <c r="L4721" s="21">
        <v>0</v>
      </c>
      <c r="M4721" s="21">
        <f>COUNTIF($A$2:$A$5481,A4721)</f>
        <v>1</v>
      </c>
      <c r="N4721" s="24">
        <f t="shared" si="73"/>
        <v>1005.1004721</v>
      </c>
    </row>
    <row r="4722" spans="1:14">
      <c r="A4722" s="21" t="s">
        <v>4309</v>
      </c>
      <c r="B4722" s="21" t="s">
        <v>26</v>
      </c>
      <c r="C4722" s="21" t="s">
        <v>26</v>
      </c>
      <c r="D4722" s="21" t="s">
        <v>921</v>
      </c>
      <c r="E4722" s="21">
        <v>10</v>
      </c>
      <c r="F4722" s="22">
        <v>45946.712650463</v>
      </c>
      <c r="G4722" s="22">
        <v>45610.4116203704</v>
      </c>
      <c r="H4722" s="23">
        <v>264.5</v>
      </c>
      <c r="I4722" s="23">
        <v>50.9</v>
      </c>
      <c r="J4722" s="24">
        <v>509</v>
      </c>
      <c r="K4722" s="21">
        <v>0</v>
      </c>
      <c r="L4722" s="21">
        <v>0</v>
      </c>
      <c r="M4722" s="21">
        <f>COUNTIF($A$2:$A$5481,A4722)</f>
        <v>1</v>
      </c>
      <c r="N4722" s="24">
        <f t="shared" si="73"/>
        <v>509.0004722</v>
      </c>
    </row>
    <row r="4723" spans="1:14">
      <c r="A4723" s="21" t="s">
        <v>4310</v>
      </c>
      <c r="B4723" s="21" t="s">
        <v>26</v>
      </c>
      <c r="C4723" s="21" t="s">
        <v>26</v>
      </c>
      <c r="D4723" s="21" t="s">
        <v>921</v>
      </c>
      <c r="E4723" s="21">
        <v>4</v>
      </c>
      <c r="F4723" s="22">
        <v>46191.7298611111</v>
      </c>
      <c r="G4723" s="22"/>
      <c r="H4723" s="23">
        <v>651.63</v>
      </c>
      <c r="I4723" s="23">
        <v>217.21</v>
      </c>
      <c r="J4723" s="24">
        <v>868.84</v>
      </c>
      <c r="K4723" s="21">
        <v>0</v>
      </c>
      <c r="L4723" s="21">
        <v>0</v>
      </c>
      <c r="M4723" s="21">
        <f>COUNTIF($A$2:$A$5481,A4723)</f>
        <v>1</v>
      </c>
      <c r="N4723" s="24">
        <f t="shared" si="73"/>
        <v>868.8404723</v>
      </c>
    </row>
    <row r="4724" spans="1:14">
      <c r="A4724" s="21" t="s">
        <v>4311</v>
      </c>
      <c r="B4724" s="21" t="s">
        <v>1115</v>
      </c>
      <c r="C4724" s="21" t="s">
        <v>26</v>
      </c>
      <c r="D4724" s="21" t="s">
        <v>921</v>
      </c>
      <c r="E4724" s="21">
        <v>2</v>
      </c>
      <c r="F4724" s="22">
        <v>45986.5398611111</v>
      </c>
      <c r="G4724" s="22"/>
      <c r="H4724" s="23">
        <v>179.8</v>
      </c>
      <c r="I4724" s="23">
        <v>89.9</v>
      </c>
      <c r="J4724" s="24">
        <v>179.8</v>
      </c>
      <c r="K4724" s="21">
        <v>0</v>
      </c>
      <c r="L4724" s="21">
        <v>0</v>
      </c>
      <c r="M4724" s="21">
        <f>COUNTIF($A$2:$A$5481,A4724)</f>
        <v>1</v>
      </c>
      <c r="N4724" s="24">
        <f t="shared" si="73"/>
        <v>179.8004724</v>
      </c>
    </row>
    <row r="4725" spans="1:14">
      <c r="A4725" s="21" t="s">
        <v>4312</v>
      </c>
      <c r="B4725" s="21" t="s">
        <v>26</v>
      </c>
      <c r="C4725" s="21" t="s">
        <v>26</v>
      </c>
      <c r="D4725" s="21" t="s">
        <v>921</v>
      </c>
      <c r="E4725" s="21">
        <v>4</v>
      </c>
      <c r="F4725" s="22">
        <v>46198.5888888889</v>
      </c>
      <c r="G4725" s="22"/>
      <c r="H4725" s="23">
        <v>879.6</v>
      </c>
      <c r="I4725" s="23">
        <v>219.9</v>
      </c>
      <c r="J4725" s="24">
        <v>879.6</v>
      </c>
      <c r="K4725" s="21">
        <v>0</v>
      </c>
      <c r="L4725" s="21">
        <v>0</v>
      </c>
      <c r="M4725" s="21">
        <f>COUNTIF($A$2:$A$5481,A4725)</f>
        <v>1</v>
      </c>
      <c r="N4725" s="24">
        <f t="shared" si="73"/>
        <v>879.6004725</v>
      </c>
    </row>
    <row r="4726" spans="1:14">
      <c r="A4726" s="21" t="s">
        <v>4313</v>
      </c>
      <c r="B4726" s="21" t="s">
        <v>26</v>
      </c>
      <c r="C4726" s="21" t="s">
        <v>26</v>
      </c>
      <c r="D4726" s="21" t="s">
        <v>921</v>
      </c>
      <c r="E4726" s="21">
        <v>8</v>
      </c>
      <c r="F4726" s="22">
        <v>46198.5888888889</v>
      </c>
      <c r="G4726" s="22"/>
      <c r="H4726" s="23">
        <v>1759.2</v>
      </c>
      <c r="I4726" s="23">
        <v>219.9</v>
      </c>
      <c r="J4726" s="24">
        <v>1759.2</v>
      </c>
      <c r="K4726" s="21">
        <v>0</v>
      </c>
      <c r="L4726" s="21">
        <v>0</v>
      </c>
      <c r="M4726" s="21">
        <f>COUNTIF($A$2:$A$5481,A4726)</f>
        <v>1</v>
      </c>
      <c r="N4726" s="24">
        <f t="shared" si="73"/>
        <v>1759.2004726</v>
      </c>
    </row>
    <row r="4727" spans="1:14">
      <c r="A4727" s="21" t="s">
        <v>4314</v>
      </c>
      <c r="B4727" s="21" t="s">
        <v>26</v>
      </c>
      <c r="C4727" s="21" t="s">
        <v>26</v>
      </c>
      <c r="D4727" s="21" t="s">
        <v>921</v>
      </c>
      <c r="E4727" s="21">
        <v>8</v>
      </c>
      <c r="F4727" s="22">
        <v>46198.5888888889</v>
      </c>
      <c r="G4727" s="22"/>
      <c r="H4727" s="23">
        <v>1759.2</v>
      </c>
      <c r="I4727" s="23">
        <v>219.9</v>
      </c>
      <c r="J4727" s="24">
        <v>1759.2</v>
      </c>
      <c r="K4727" s="21">
        <v>0</v>
      </c>
      <c r="L4727" s="21">
        <v>0</v>
      </c>
      <c r="M4727" s="21">
        <f>COUNTIF($A$2:$A$5481,A4727)</f>
        <v>1</v>
      </c>
      <c r="N4727" s="24">
        <f t="shared" si="73"/>
        <v>1759.2004727</v>
      </c>
    </row>
    <row r="4728" spans="1:14">
      <c r="A4728" s="21" t="s">
        <v>845</v>
      </c>
      <c r="B4728" s="21" t="s">
        <v>26</v>
      </c>
      <c r="C4728" s="21" t="s">
        <v>26</v>
      </c>
      <c r="D4728" s="21" t="s">
        <v>921</v>
      </c>
      <c r="E4728" s="21">
        <v>2</v>
      </c>
      <c r="F4728" s="22">
        <v>46198.5888888889</v>
      </c>
      <c r="G4728" s="22">
        <v>46269.6130555556</v>
      </c>
      <c r="H4728" s="23">
        <v>879.6</v>
      </c>
      <c r="I4728" s="23">
        <v>219.9</v>
      </c>
      <c r="J4728" s="24">
        <v>439.8</v>
      </c>
      <c r="K4728" s="21">
        <v>0</v>
      </c>
      <c r="L4728" s="21">
        <v>0</v>
      </c>
      <c r="M4728" s="21">
        <f>COUNTIF($A$2:$A$5481,A4728)</f>
        <v>1</v>
      </c>
      <c r="N4728" s="24">
        <f t="shared" si="73"/>
        <v>439.8004728</v>
      </c>
    </row>
    <row r="4729" spans="1:14">
      <c r="A4729" s="21" t="s">
        <v>4315</v>
      </c>
      <c r="B4729" s="21" t="s">
        <v>26</v>
      </c>
      <c r="C4729" s="21" t="s">
        <v>26</v>
      </c>
      <c r="D4729" s="21" t="s">
        <v>921</v>
      </c>
      <c r="E4729" s="21">
        <v>8</v>
      </c>
      <c r="F4729" s="22">
        <v>46198.5888888889</v>
      </c>
      <c r="G4729" s="22"/>
      <c r="H4729" s="23">
        <v>1759.2</v>
      </c>
      <c r="I4729" s="23">
        <v>219.9</v>
      </c>
      <c r="J4729" s="24">
        <v>1759.2</v>
      </c>
      <c r="K4729" s="21">
        <v>0</v>
      </c>
      <c r="L4729" s="21">
        <v>0</v>
      </c>
      <c r="M4729" s="21">
        <f>COUNTIF($A$2:$A$5481,A4729)</f>
        <v>1</v>
      </c>
      <c r="N4729" s="24">
        <f t="shared" si="73"/>
        <v>1759.2004729</v>
      </c>
    </row>
    <row r="4730" spans="1:14">
      <c r="A4730" s="21" t="s">
        <v>4316</v>
      </c>
      <c r="B4730" s="21" t="s">
        <v>26</v>
      </c>
      <c r="C4730" s="21" t="s">
        <v>26</v>
      </c>
      <c r="D4730" s="21" t="s">
        <v>921</v>
      </c>
      <c r="E4730" s="21">
        <v>13</v>
      </c>
      <c r="F4730" s="22">
        <v>46084.6033449074</v>
      </c>
      <c r="G4730" s="22"/>
      <c r="H4730" s="23">
        <v>899</v>
      </c>
      <c r="I4730" s="23">
        <v>87.3615384615</v>
      </c>
      <c r="J4730" s="24">
        <v>1135.68</v>
      </c>
      <c r="K4730" s="21">
        <v>0</v>
      </c>
      <c r="L4730" s="21">
        <v>0</v>
      </c>
      <c r="M4730" s="21">
        <f>COUNTIF($A$2:$A$5481,A4730)</f>
        <v>1</v>
      </c>
      <c r="N4730" s="24">
        <f t="shared" si="73"/>
        <v>1135.680473</v>
      </c>
    </row>
    <row r="4731" spans="1:14">
      <c r="A4731" s="21" t="s">
        <v>4317</v>
      </c>
      <c r="B4731" s="21" t="s">
        <v>26</v>
      </c>
      <c r="C4731" s="21" t="s">
        <v>26</v>
      </c>
      <c r="D4731" s="21" t="s">
        <v>921</v>
      </c>
      <c r="E4731" s="21">
        <v>16</v>
      </c>
      <c r="F4731" s="22">
        <v>46036.7137731482</v>
      </c>
      <c r="G4731" s="22">
        <v>45846.4311921296</v>
      </c>
      <c r="H4731" s="23">
        <v>899</v>
      </c>
      <c r="I4731" s="23">
        <v>78.65</v>
      </c>
      <c r="J4731" s="24">
        <v>1258.4</v>
      </c>
      <c r="K4731" s="21">
        <v>0</v>
      </c>
      <c r="L4731" s="21">
        <v>0</v>
      </c>
      <c r="M4731" s="21">
        <f>COUNTIF($A$2:$A$5481,A4731)</f>
        <v>1</v>
      </c>
      <c r="N4731" s="24">
        <f t="shared" si="73"/>
        <v>1258.4004731</v>
      </c>
    </row>
    <row r="4732" spans="1:14">
      <c r="A4732" s="21" t="s">
        <v>4318</v>
      </c>
      <c r="B4732" s="21" t="s">
        <v>26</v>
      </c>
      <c r="C4732" s="21" t="s">
        <v>26</v>
      </c>
      <c r="D4732" s="21" t="s">
        <v>921</v>
      </c>
      <c r="E4732" s="21">
        <v>19</v>
      </c>
      <c r="F4732" s="22">
        <v>46036.7137731482</v>
      </c>
      <c r="G4732" s="22">
        <v>45846.4311805556</v>
      </c>
      <c r="H4732" s="23">
        <v>899</v>
      </c>
      <c r="I4732" s="23">
        <v>79.8999994737</v>
      </c>
      <c r="J4732" s="24">
        <v>1518.1</v>
      </c>
      <c r="K4732" s="21">
        <v>0</v>
      </c>
      <c r="L4732" s="21">
        <v>0</v>
      </c>
      <c r="M4732" s="21">
        <f>COUNTIF($A$2:$A$5481,A4732)</f>
        <v>1</v>
      </c>
      <c r="N4732" s="24">
        <f t="shared" si="73"/>
        <v>1518.1004732</v>
      </c>
    </row>
    <row r="4733" spans="1:14">
      <c r="A4733" s="21" t="s">
        <v>906</v>
      </c>
      <c r="B4733" s="21" t="s">
        <v>1115</v>
      </c>
      <c r="C4733" s="21" t="s">
        <v>26</v>
      </c>
      <c r="D4733" s="21" t="s">
        <v>921</v>
      </c>
      <c r="E4733" s="21">
        <v>10</v>
      </c>
      <c r="F4733" s="22">
        <v>45593.3589351852</v>
      </c>
      <c r="G4733" s="22">
        <v>45847.4145486111</v>
      </c>
      <c r="H4733" s="23">
        <v>599</v>
      </c>
      <c r="I4733" s="23">
        <v>59.9</v>
      </c>
      <c r="J4733" s="24">
        <v>599</v>
      </c>
      <c r="K4733" s="21">
        <v>0</v>
      </c>
      <c r="L4733" s="21">
        <v>0</v>
      </c>
      <c r="M4733" s="21">
        <f>COUNTIF($A$2:$A$5481,A4733)</f>
        <v>2</v>
      </c>
      <c r="N4733" s="24">
        <f t="shared" si="73"/>
        <v>599.0004733</v>
      </c>
    </row>
    <row r="4734" spans="1:14">
      <c r="A4734" s="21" t="s">
        <v>906</v>
      </c>
      <c r="B4734" s="21" t="s">
        <v>26</v>
      </c>
      <c r="C4734" s="21" t="s">
        <v>26</v>
      </c>
      <c r="D4734" s="21" t="s">
        <v>921</v>
      </c>
      <c r="E4734" s="21">
        <v>32</v>
      </c>
      <c r="F4734" s="22">
        <v>46196.5875</v>
      </c>
      <c r="G4734" s="22">
        <v>46283.7721759259</v>
      </c>
      <c r="H4734" s="23">
        <v>857.5</v>
      </c>
      <c r="I4734" s="23">
        <v>84.2631642424</v>
      </c>
      <c r="J4734" s="24">
        <v>2696.32</v>
      </c>
      <c r="K4734" s="21">
        <v>0</v>
      </c>
      <c r="L4734" s="21">
        <v>0</v>
      </c>
      <c r="M4734" s="21">
        <f>COUNTIF($A$2:$A$5481,A4734)</f>
        <v>2</v>
      </c>
      <c r="N4734" s="24">
        <f t="shared" si="73"/>
        <v>2696.3204734</v>
      </c>
    </row>
    <row r="4735" spans="1:14">
      <c r="A4735" s="21" t="s">
        <v>852</v>
      </c>
      <c r="B4735" s="21" t="s">
        <v>26</v>
      </c>
      <c r="C4735" s="21" t="s">
        <v>26</v>
      </c>
      <c r="D4735" s="21" t="s">
        <v>921</v>
      </c>
      <c r="E4735" s="21">
        <v>29</v>
      </c>
      <c r="F4735" s="22">
        <v>46196.5875</v>
      </c>
      <c r="G4735" s="22">
        <v>46283.7829398148</v>
      </c>
      <c r="H4735" s="23">
        <v>857.5</v>
      </c>
      <c r="I4735" s="23">
        <v>80.4796135484</v>
      </c>
      <c r="J4735" s="24">
        <v>2333.92</v>
      </c>
      <c r="K4735" s="21">
        <v>0</v>
      </c>
      <c r="L4735" s="21">
        <v>0</v>
      </c>
      <c r="M4735" s="21">
        <f>COUNTIF($A$2:$A$5481,A4735)</f>
        <v>1</v>
      </c>
      <c r="N4735" s="24">
        <f t="shared" si="73"/>
        <v>2333.9204735</v>
      </c>
    </row>
    <row r="4736" spans="1:14">
      <c r="A4736" s="21" t="s">
        <v>887</v>
      </c>
      <c r="B4736" s="21" t="s">
        <v>26</v>
      </c>
      <c r="C4736" s="21" t="s">
        <v>26</v>
      </c>
      <c r="D4736" s="21" t="s">
        <v>921</v>
      </c>
      <c r="E4736" s="21">
        <v>30.99</v>
      </c>
      <c r="F4736" s="22">
        <v>46196.5875</v>
      </c>
      <c r="G4736" s="22">
        <v>46273.703900463</v>
      </c>
      <c r="H4736" s="23">
        <v>857.5</v>
      </c>
      <c r="I4736" s="23">
        <v>84.1218158065</v>
      </c>
      <c r="J4736" s="24">
        <v>2606.8788</v>
      </c>
      <c r="K4736" s="21">
        <v>0</v>
      </c>
      <c r="L4736" s="21">
        <v>0</v>
      </c>
      <c r="M4736" s="21">
        <f>COUNTIF($A$2:$A$5481,A4736)</f>
        <v>1</v>
      </c>
      <c r="N4736" s="24">
        <f t="shared" si="73"/>
        <v>2606.8792736</v>
      </c>
    </row>
    <row r="4737" spans="1:14">
      <c r="A4737" s="21" t="s">
        <v>4319</v>
      </c>
      <c r="B4737" s="21" t="s">
        <v>26</v>
      </c>
      <c r="C4737" s="21" t="s">
        <v>26</v>
      </c>
      <c r="D4737" s="21" t="s">
        <v>921</v>
      </c>
      <c r="E4737" s="21">
        <v>26</v>
      </c>
      <c r="F4737" s="22">
        <v>46196.5875</v>
      </c>
      <c r="G4737" s="22">
        <v>45846.4311342593</v>
      </c>
      <c r="H4737" s="23">
        <v>685.76</v>
      </c>
      <c r="I4737" s="23">
        <v>82.6498907692</v>
      </c>
      <c r="J4737" s="24">
        <v>2148.9</v>
      </c>
      <c r="K4737" s="21">
        <v>0</v>
      </c>
      <c r="L4737" s="21">
        <v>0</v>
      </c>
      <c r="M4737" s="21">
        <f>COUNTIF($A$2:$A$5481,A4737)</f>
        <v>1</v>
      </c>
      <c r="N4737" s="24">
        <f t="shared" si="73"/>
        <v>2148.9004737</v>
      </c>
    </row>
    <row r="4738" spans="1:14">
      <c r="A4738" s="21" t="s">
        <v>4320</v>
      </c>
      <c r="B4738" s="21" t="s">
        <v>26</v>
      </c>
      <c r="C4738" s="21" t="s">
        <v>26</v>
      </c>
      <c r="D4738" s="21" t="s">
        <v>921</v>
      </c>
      <c r="E4738" s="21">
        <v>5</v>
      </c>
      <c r="F4738" s="22">
        <v>45825.4661689815</v>
      </c>
      <c r="G4738" s="22">
        <v>45834.3686111111</v>
      </c>
      <c r="H4738" s="23">
        <v>473.4</v>
      </c>
      <c r="I4738" s="23">
        <v>78.9</v>
      </c>
      <c r="J4738" s="24">
        <v>394.5</v>
      </c>
      <c r="K4738" s="21">
        <v>0</v>
      </c>
      <c r="L4738" s="21">
        <v>0</v>
      </c>
      <c r="M4738" s="21">
        <f>COUNTIF($A$2:$A$5481,A4738)</f>
        <v>1</v>
      </c>
      <c r="N4738" s="24">
        <f t="shared" ref="N4738:N4801" si="74">J4738+ROW()/10000000</f>
        <v>394.5004738</v>
      </c>
    </row>
    <row r="4739" spans="1:14">
      <c r="A4739" s="21" t="s">
        <v>866</v>
      </c>
      <c r="B4739" s="21" t="s">
        <v>26</v>
      </c>
      <c r="C4739" s="21" t="s">
        <v>26</v>
      </c>
      <c r="D4739" s="21" t="s">
        <v>921</v>
      </c>
      <c r="E4739" s="21">
        <v>0</v>
      </c>
      <c r="F4739" s="22">
        <v>46175.5841782407</v>
      </c>
      <c r="G4739" s="22">
        <v>46268.6382060185</v>
      </c>
      <c r="H4739" s="23">
        <v>217.21</v>
      </c>
      <c r="I4739" s="23">
        <v>217.21</v>
      </c>
      <c r="J4739" s="24">
        <v>0</v>
      </c>
      <c r="K4739" s="21">
        <v>0</v>
      </c>
      <c r="L4739" s="21">
        <v>0</v>
      </c>
      <c r="M4739" s="21">
        <f>COUNTIF($A$2:$A$5481,A4739)</f>
        <v>1</v>
      </c>
      <c r="N4739" s="24">
        <f t="shared" si="74"/>
        <v>0.0004739</v>
      </c>
    </row>
    <row r="4740" spans="1:14">
      <c r="A4740" s="21" t="s">
        <v>4321</v>
      </c>
      <c r="B4740" s="21" t="s">
        <v>26</v>
      </c>
      <c r="C4740" s="21" t="s">
        <v>26</v>
      </c>
      <c r="D4740" s="21" t="s">
        <v>921</v>
      </c>
      <c r="E4740" s="21">
        <v>20</v>
      </c>
      <c r="F4740" s="22">
        <v>46198.5888888889</v>
      </c>
      <c r="G4740" s="22"/>
      <c r="H4740" s="23">
        <v>559</v>
      </c>
      <c r="I4740" s="23">
        <v>55.9</v>
      </c>
      <c r="J4740" s="24">
        <v>1118</v>
      </c>
      <c r="K4740" s="21">
        <v>0</v>
      </c>
      <c r="L4740" s="21">
        <v>0</v>
      </c>
      <c r="M4740" s="21">
        <f>COUNTIF($A$2:$A$5481,A4740)</f>
        <v>1</v>
      </c>
      <c r="N4740" s="24">
        <f t="shared" si="74"/>
        <v>1118.000474</v>
      </c>
    </row>
    <row r="4741" spans="1:14">
      <c r="A4741" s="21" t="s">
        <v>4322</v>
      </c>
      <c r="B4741" s="21" t="s">
        <v>1115</v>
      </c>
      <c r="C4741" s="21" t="s">
        <v>26</v>
      </c>
      <c r="D4741" s="21" t="s">
        <v>921</v>
      </c>
      <c r="E4741" s="21">
        <v>2</v>
      </c>
      <c r="F4741" s="22">
        <v>45953.7479861111</v>
      </c>
      <c r="G4741" s="22"/>
      <c r="H4741" s="23">
        <v>239.8</v>
      </c>
      <c r="I4741" s="23">
        <v>119.9</v>
      </c>
      <c r="J4741" s="24">
        <v>239.8</v>
      </c>
      <c r="K4741" s="21">
        <v>0</v>
      </c>
      <c r="L4741" s="21">
        <v>0</v>
      </c>
      <c r="M4741" s="21">
        <f>COUNTIF($A$2:$A$5481,A4741)</f>
        <v>1</v>
      </c>
      <c r="N4741" s="24">
        <f t="shared" si="74"/>
        <v>239.8004741</v>
      </c>
    </row>
    <row r="4742" spans="1:14">
      <c r="A4742" s="21" t="s">
        <v>4323</v>
      </c>
      <c r="B4742" s="21" t="s">
        <v>26</v>
      </c>
      <c r="C4742" s="21" t="s">
        <v>547</v>
      </c>
      <c r="D4742" s="21" t="s">
        <v>921</v>
      </c>
      <c r="E4742" s="21">
        <v>1</v>
      </c>
      <c r="F4742" s="22">
        <v>45278.3565509259</v>
      </c>
      <c r="G4742" s="22"/>
      <c r="H4742" s="23">
        <v>115.9</v>
      </c>
      <c r="I4742" s="23">
        <v>115.9</v>
      </c>
      <c r="J4742" s="24">
        <v>115.9</v>
      </c>
      <c r="K4742" s="21">
        <v>0</v>
      </c>
      <c r="L4742" s="21">
        <v>0</v>
      </c>
      <c r="M4742" s="21">
        <f>COUNTIF($A$2:$A$5481,A4742)</f>
        <v>2</v>
      </c>
      <c r="N4742" s="24">
        <f t="shared" si="74"/>
        <v>115.9004742</v>
      </c>
    </row>
    <row r="4743" spans="1:14">
      <c r="A4743" s="21" t="s">
        <v>4323</v>
      </c>
      <c r="B4743" s="21" t="s">
        <v>26</v>
      </c>
      <c r="C4743" s="21" t="s">
        <v>26</v>
      </c>
      <c r="D4743" s="21" t="s">
        <v>921</v>
      </c>
      <c r="E4743" s="21">
        <v>0</v>
      </c>
      <c r="F4743" s="22">
        <v>45568.467962963</v>
      </c>
      <c r="G4743" s="22">
        <v>45568.4704861111</v>
      </c>
      <c r="H4743" s="23">
        <v>104.71</v>
      </c>
      <c r="I4743" s="23">
        <v>104.71</v>
      </c>
      <c r="J4743" s="24">
        <v>0</v>
      </c>
      <c r="K4743" s="21">
        <v>0</v>
      </c>
      <c r="L4743" s="21">
        <v>0</v>
      </c>
      <c r="M4743" s="21">
        <f>COUNTIF($A$2:$A$5481,A4743)</f>
        <v>2</v>
      </c>
      <c r="N4743" s="24">
        <f t="shared" si="74"/>
        <v>0.0004743</v>
      </c>
    </row>
    <row r="4744" spans="1:14">
      <c r="A4744" s="21" t="s">
        <v>4324</v>
      </c>
      <c r="B4744" s="21" t="s">
        <v>26</v>
      </c>
      <c r="C4744" s="21" t="s">
        <v>547</v>
      </c>
      <c r="D4744" s="21" t="s">
        <v>921</v>
      </c>
      <c r="E4744" s="21">
        <v>1</v>
      </c>
      <c r="F4744" s="22">
        <v>45278.3565509259</v>
      </c>
      <c r="G4744" s="22"/>
      <c r="H4744" s="23">
        <v>115.9</v>
      </c>
      <c r="I4744" s="23">
        <v>115.9</v>
      </c>
      <c r="J4744" s="24">
        <v>115.9</v>
      </c>
      <c r="K4744" s="21">
        <v>0</v>
      </c>
      <c r="L4744" s="21">
        <v>0</v>
      </c>
      <c r="M4744" s="21">
        <f>COUNTIF($A$2:$A$5481,A4744)</f>
        <v>1</v>
      </c>
      <c r="N4744" s="24">
        <f t="shared" si="74"/>
        <v>115.9004744</v>
      </c>
    </row>
    <row r="4745" spans="1:14">
      <c r="A4745" s="21" t="s">
        <v>771</v>
      </c>
      <c r="B4745" s="21" t="s">
        <v>26</v>
      </c>
      <c r="C4745" s="21" t="s">
        <v>26</v>
      </c>
      <c r="D4745" s="21" t="s">
        <v>921</v>
      </c>
      <c r="E4745" s="21">
        <v>1</v>
      </c>
      <c r="F4745" s="22">
        <v>46001.5925115741</v>
      </c>
      <c r="G4745" s="22">
        <v>46252.6360185185</v>
      </c>
      <c r="H4745" s="23">
        <v>84.83</v>
      </c>
      <c r="I4745" s="23">
        <v>106.585</v>
      </c>
      <c r="J4745" s="24">
        <v>106.59</v>
      </c>
      <c r="K4745" s="21">
        <v>0</v>
      </c>
      <c r="L4745" s="21">
        <v>0</v>
      </c>
      <c r="M4745" s="21">
        <f>COUNTIF($A$2:$A$5481,A4745)</f>
        <v>1</v>
      </c>
      <c r="N4745" s="24">
        <f t="shared" si="74"/>
        <v>106.5904745</v>
      </c>
    </row>
    <row r="4746" spans="1:14">
      <c r="A4746" s="21" t="s">
        <v>4325</v>
      </c>
      <c r="B4746" s="21" t="s">
        <v>926</v>
      </c>
      <c r="C4746" s="21" t="s">
        <v>38</v>
      </c>
      <c r="D4746" s="21" t="s">
        <v>921</v>
      </c>
      <c r="E4746" s="21">
        <v>3</v>
      </c>
      <c r="F4746" s="22">
        <v>45300.8407291667</v>
      </c>
      <c r="G4746" s="22">
        <v>45331.4275</v>
      </c>
      <c r="H4746" s="23">
        <v>94.5</v>
      </c>
      <c r="I4746" s="23">
        <v>10.5</v>
      </c>
      <c r="J4746" s="24">
        <v>31.5</v>
      </c>
      <c r="K4746" s="21">
        <v>1</v>
      </c>
      <c r="L4746" s="21">
        <v>10</v>
      </c>
      <c r="M4746" s="21">
        <f>COUNTIF($A$2:$A$5481,A4746)</f>
        <v>1</v>
      </c>
      <c r="N4746" s="24">
        <f t="shared" si="74"/>
        <v>31.5004746</v>
      </c>
    </row>
    <row r="4747" spans="1:14">
      <c r="A4747" s="21" t="s">
        <v>272</v>
      </c>
      <c r="B4747" s="21" t="s">
        <v>926</v>
      </c>
      <c r="C4747" s="21" t="s">
        <v>26</v>
      </c>
      <c r="D4747" s="21" t="s">
        <v>921</v>
      </c>
      <c r="E4747" s="21">
        <v>15.98</v>
      </c>
      <c r="F4747" s="22">
        <v>46141.4694444445</v>
      </c>
      <c r="G4747" s="22">
        <v>46073.3971180556</v>
      </c>
      <c r="H4747" s="23">
        <v>29</v>
      </c>
      <c r="I4747" s="23">
        <v>6.6260296524</v>
      </c>
      <c r="J4747" s="24">
        <v>105.9474</v>
      </c>
      <c r="K4747" s="21">
        <v>0</v>
      </c>
      <c r="L4747" s="21">
        <v>0</v>
      </c>
      <c r="M4747" s="21">
        <f>COUNTIF($A$2:$A$5481,A4747)</f>
        <v>1</v>
      </c>
      <c r="N4747" s="24">
        <f t="shared" si="74"/>
        <v>105.9478747</v>
      </c>
    </row>
    <row r="4748" spans="1:14">
      <c r="A4748" s="21" t="s">
        <v>4326</v>
      </c>
      <c r="B4748" s="21" t="s">
        <v>926</v>
      </c>
      <c r="C4748" s="21" t="s">
        <v>38</v>
      </c>
      <c r="D4748" s="21" t="s">
        <v>921</v>
      </c>
      <c r="E4748" s="21">
        <v>0</v>
      </c>
      <c r="F4748" s="22">
        <v>45300.8430439815</v>
      </c>
      <c r="G4748" s="22">
        <v>45331.4274884259</v>
      </c>
      <c r="H4748" s="23">
        <v>7.5</v>
      </c>
      <c r="I4748" s="23">
        <v>7.5</v>
      </c>
      <c r="J4748" s="24">
        <v>0</v>
      </c>
      <c r="K4748" s="21">
        <v>0</v>
      </c>
      <c r="L4748" s="21">
        <v>10</v>
      </c>
      <c r="M4748" s="21">
        <f>COUNTIF($A$2:$A$5481,A4748)</f>
        <v>2</v>
      </c>
      <c r="N4748" s="24">
        <f t="shared" si="74"/>
        <v>0.0004748</v>
      </c>
    </row>
    <row r="4749" spans="1:14">
      <c r="A4749" s="21" t="s">
        <v>4326</v>
      </c>
      <c r="B4749" s="21" t="s">
        <v>926</v>
      </c>
      <c r="C4749" s="21" t="s">
        <v>26</v>
      </c>
      <c r="D4749" s="21" t="s">
        <v>921</v>
      </c>
      <c r="E4749" s="21">
        <v>30</v>
      </c>
      <c r="F4749" s="22">
        <v>46141.4694444445</v>
      </c>
      <c r="G4749" s="22"/>
      <c r="H4749" s="23">
        <v>10.8</v>
      </c>
      <c r="I4749" s="23">
        <v>8.204</v>
      </c>
      <c r="J4749" s="24">
        <v>246</v>
      </c>
      <c r="K4749" s="21">
        <v>0</v>
      </c>
      <c r="L4749" s="21">
        <v>10</v>
      </c>
      <c r="M4749" s="21">
        <f>COUNTIF($A$2:$A$5481,A4749)</f>
        <v>2</v>
      </c>
      <c r="N4749" s="24">
        <f t="shared" si="74"/>
        <v>246.0004749</v>
      </c>
    </row>
    <row r="4750" spans="1:14">
      <c r="A4750" s="21" t="s">
        <v>4327</v>
      </c>
      <c r="B4750" s="21" t="s">
        <v>920</v>
      </c>
      <c r="C4750" s="21" t="s">
        <v>26</v>
      </c>
      <c r="D4750" s="21" t="s">
        <v>921</v>
      </c>
      <c r="E4750" s="21">
        <v>1</v>
      </c>
      <c r="F4750" s="22">
        <v>45549.5680555556</v>
      </c>
      <c r="G4750" s="22"/>
      <c r="H4750" s="23">
        <v>444.29</v>
      </c>
      <c r="I4750" s="23">
        <v>444.29</v>
      </c>
      <c r="J4750" s="24">
        <v>444.29</v>
      </c>
      <c r="K4750" s="21">
        <v>0</v>
      </c>
      <c r="L4750" s="21">
        <v>0</v>
      </c>
      <c r="M4750" s="21">
        <f>COUNTIF($A$2:$A$5481,A4750)</f>
        <v>1</v>
      </c>
      <c r="N4750" s="24">
        <f t="shared" si="74"/>
        <v>444.290475</v>
      </c>
    </row>
    <row r="4751" spans="1:14">
      <c r="A4751" s="21" t="s">
        <v>4328</v>
      </c>
      <c r="B4751" s="21" t="s">
        <v>920</v>
      </c>
      <c r="C4751" s="21" t="s">
        <v>35</v>
      </c>
      <c r="D4751" s="21" t="s">
        <v>921</v>
      </c>
      <c r="E4751" s="21">
        <v>0</v>
      </c>
      <c r="F4751" s="22">
        <v>45307.5042476852</v>
      </c>
      <c r="G4751" s="22">
        <v>45310.4324189815</v>
      </c>
      <c r="H4751" s="23">
        <v>250</v>
      </c>
      <c r="I4751" s="23">
        <v>250</v>
      </c>
      <c r="J4751" s="24">
        <v>0</v>
      </c>
      <c r="K4751" s="21">
        <v>0</v>
      </c>
      <c r="L4751" s="21">
        <v>0</v>
      </c>
      <c r="M4751" s="21">
        <f>COUNTIF($A$2:$A$5481,A4751)</f>
        <v>2</v>
      </c>
      <c r="N4751" s="24">
        <f t="shared" si="74"/>
        <v>0.0004751</v>
      </c>
    </row>
    <row r="4752" spans="1:14">
      <c r="A4752" s="21" t="s">
        <v>4328</v>
      </c>
      <c r="B4752" s="21" t="s">
        <v>920</v>
      </c>
      <c r="C4752" s="21" t="s">
        <v>26</v>
      </c>
      <c r="D4752" s="21" t="s">
        <v>921</v>
      </c>
      <c r="E4752" s="21">
        <v>2</v>
      </c>
      <c r="F4752" s="22">
        <v>45418.4125</v>
      </c>
      <c r="G4752" s="22"/>
      <c r="H4752" s="23">
        <v>30</v>
      </c>
      <c r="I4752" s="23">
        <v>15</v>
      </c>
      <c r="J4752" s="24">
        <v>30</v>
      </c>
      <c r="K4752" s="21">
        <v>0</v>
      </c>
      <c r="L4752" s="21">
        <v>0</v>
      </c>
      <c r="M4752" s="21">
        <f>COUNTIF($A$2:$A$5481,A4752)</f>
        <v>2</v>
      </c>
      <c r="N4752" s="24">
        <f t="shared" si="74"/>
        <v>30.0004752</v>
      </c>
    </row>
    <row r="4753" spans="1:14">
      <c r="A4753" s="21" t="s">
        <v>4329</v>
      </c>
      <c r="B4753" s="21" t="s">
        <v>26</v>
      </c>
      <c r="C4753" s="21" t="s">
        <v>390</v>
      </c>
      <c r="D4753" s="21" t="s">
        <v>921</v>
      </c>
      <c r="E4753" s="21">
        <v>4</v>
      </c>
      <c r="F4753" s="22">
        <v>45726.4181018519</v>
      </c>
      <c r="G4753" s="22"/>
      <c r="H4753" s="23">
        <v>1472</v>
      </c>
      <c r="I4753" s="23">
        <v>368</v>
      </c>
      <c r="J4753" s="24">
        <v>1472</v>
      </c>
      <c r="K4753" s="21">
        <v>0</v>
      </c>
      <c r="L4753" s="21">
        <v>0</v>
      </c>
      <c r="M4753" s="21">
        <f>COUNTIF($A$2:$A$5481,A4753)</f>
        <v>1</v>
      </c>
      <c r="N4753" s="24">
        <f t="shared" si="74"/>
        <v>1472.0004753</v>
      </c>
    </row>
    <row r="4754" spans="1:14">
      <c r="A4754" s="21" t="s">
        <v>4330</v>
      </c>
      <c r="B4754" s="21" t="s">
        <v>26</v>
      </c>
      <c r="C4754" s="21" t="s">
        <v>26</v>
      </c>
      <c r="D4754" s="21" t="s">
        <v>921</v>
      </c>
      <c r="E4754" s="21">
        <v>16</v>
      </c>
      <c r="F4754" s="22">
        <v>45560.5815740741</v>
      </c>
      <c r="G4754" s="22"/>
      <c r="H4754" s="23">
        <v>120</v>
      </c>
      <c r="I4754" s="23">
        <v>11.25</v>
      </c>
      <c r="J4754" s="24">
        <v>180</v>
      </c>
      <c r="K4754" s="21">
        <v>0</v>
      </c>
      <c r="L4754" s="21">
        <v>0</v>
      </c>
      <c r="M4754" s="21">
        <f>COUNTIF($A$2:$A$5481,A4754)</f>
        <v>1</v>
      </c>
      <c r="N4754" s="24">
        <f t="shared" si="74"/>
        <v>180.0004754</v>
      </c>
    </row>
    <row r="4755" spans="1:14">
      <c r="A4755" s="21" t="s">
        <v>4331</v>
      </c>
      <c r="B4755" s="21" t="s">
        <v>1898</v>
      </c>
      <c r="C4755" s="21" t="s">
        <v>182</v>
      </c>
      <c r="D4755" s="21" t="s">
        <v>921</v>
      </c>
      <c r="E4755" s="21">
        <v>8</v>
      </c>
      <c r="F4755" s="22">
        <v>46260.4125</v>
      </c>
      <c r="G4755" s="22"/>
      <c r="H4755" s="23">
        <v>6.4</v>
      </c>
      <c r="I4755" s="23">
        <v>0.8</v>
      </c>
      <c r="J4755" s="24">
        <v>6.4</v>
      </c>
      <c r="K4755" s="21">
        <v>0</v>
      </c>
      <c r="L4755" s="21">
        <v>0</v>
      </c>
      <c r="M4755" s="21">
        <f>COUNTIF($A$2:$A$5481,A4755)</f>
        <v>1</v>
      </c>
      <c r="N4755" s="24">
        <f t="shared" si="74"/>
        <v>6.4004755</v>
      </c>
    </row>
    <row r="4756" spans="1:14">
      <c r="A4756" s="21" t="s">
        <v>617</v>
      </c>
      <c r="B4756" s="21" t="s">
        <v>26</v>
      </c>
      <c r="C4756" s="21" t="s">
        <v>182</v>
      </c>
      <c r="D4756" s="21" t="s">
        <v>921</v>
      </c>
      <c r="E4756" s="21">
        <v>0</v>
      </c>
      <c r="F4756" s="22">
        <v>45273.5243055556</v>
      </c>
      <c r="G4756" s="22">
        <v>46252.4520138889</v>
      </c>
      <c r="H4756" s="23">
        <v>32</v>
      </c>
      <c r="I4756" s="23">
        <v>1.6</v>
      </c>
      <c r="J4756" s="24">
        <v>0</v>
      </c>
      <c r="K4756" s="21">
        <v>0</v>
      </c>
      <c r="L4756" s="21">
        <v>0</v>
      </c>
      <c r="M4756" s="21">
        <f>COUNTIF($A$2:$A$5481,A4756)</f>
        <v>1</v>
      </c>
      <c r="N4756" s="24">
        <f t="shared" si="74"/>
        <v>0.0004756</v>
      </c>
    </row>
    <row r="4757" spans="1:14">
      <c r="A4757" s="21" t="s">
        <v>4332</v>
      </c>
      <c r="B4757" s="21" t="s">
        <v>1115</v>
      </c>
      <c r="C4757" s="21" t="s">
        <v>51</v>
      </c>
      <c r="D4757" s="21" t="s">
        <v>921</v>
      </c>
      <c r="E4757" s="21">
        <v>7</v>
      </c>
      <c r="F4757" s="22">
        <v>45972.3400810185</v>
      </c>
      <c r="G4757" s="22"/>
      <c r="H4757" s="23">
        <v>84</v>
      </c>
      <c r="I4757" s="23">
        <v>12</v>
      </c>
      <c r="J4757" s="24">
        <v>84</v>
      </c>
      <c r="K4757" s="21">
        <v>0</v>
      </c>
      <c r="L4757" s="21">
        <v>0</v>
      </c>
      <c r="M4757" s="21">
        <f>COUNTIF($A$2:$A$5481,A4757)</f>
        <v>1</v>
      </c>
      <c r="N4757" s="24">
        <f t="shared" si="74"/>
        <v>84.0004757</v>
      </c>
    </row>
    <row r="4758" spans="1:14">
      <c r="A4758" s="21" t="s">
        <v>4333</v>
      </c>
      <c r="B4758" s="21" t="s">
        <v>26</v>
      </c>
      <c r="C4758" s="21" t="s">
        <v>783</v>
      </c>
      <c r="D4758" s="21" t="s">
        <v>921</v>
      </c>
      <c r="E4758" s="21">
        <v>23</v>
      </c>
      <c r="F4758" s="22">
        <v>45519.7354166667</v>
      </c>
      <c r="G4758" s="22"/>
      <c r="H4758" s="23">
        <v>133.4</v>
      </c>
      <c r="I4758" s="23">
        <v>5.8</v>
      </c>
      <c r="J4758" s="24">
        <v>133.4</v>
      </c>
      <c r="K4758" s="21">
        <v>0</v>
      </c>
      <c r="L4758" s="21">
        <v>0</v>
      </c>
      <c r="M4758" s="21">
        <f>COUNTIF($A$2:$A$5481,A4758)</f>
        <v>2</v>
      </c>
      <c r="N4758" s="24">
        <f t="shared" si="74"/>
        <v>133.4004758</v>
      </c>
    </row>
    <row r="4759" spans="1:14">
      <c r="A4759" s="21" t="s">
        <v>4333</v>
      </c>
      <c r="B4759" s="21" t="s">
        <v>26</v>
      </c>
      <c r="C4759" s="21" t="s">
        <v>51</v>
      </c>
      <c r="D4759" s="21" t="s">
        <v>921</v>
      </c>
      <c r="E4759" s="21">
        <v>134</v>
      </c>
      <c r="F4759" s="22">
        <v>46090.5263888889</v>
      </c>
      <c r="G4759" s="22"/>
      <c r="H4759" s="23">
        <v>360.4</v>
      </c>
      <c r="I4759" s="23">
        <v>6.8</v>
      </c>
      <c r="J4759" s="24">
        <v>911.2</v>
      </c>
      <c r="K4759" s="21">
        <v>0</v>
      </c>
      <c r="L4759" s="21">
        <v>0</v>
      </c>
      <c r="M4759" s="21">
        <f>COUNTIF($A$2:$A$5481,A4759)</f>
        <v>2</v>
      </c>
      <c r="N4759" s="24">
        <f t="shared" si="74"/>
        <v>911.2004759</v>
      </c>
    </row>
    <row r="4760" spans="1:14">
      <c r="A4760" s="21" t="s">
        <v>548</v>
      </c>
      <c r="B4760" s="21" t="s">
        <v>1115</v>
      </c>
      <c r="C4760" s="21" t="s">
        <v>414</v>
      </c>
      <c r="D4760" s="21" t="s">
        <v>921</v>
      </c>
      <c r="E4760" s="21">
        <v>100</v>
      </c>
      <c r="F4760" s="22">
        <v>45384.4573032407</v>
      </c>
      <c r="G4760" s="22"/>
      <c r="H4760" s="23">
        <v>8515</v>
      </c>
      <c r="I4760" s="23">
        <v>85.15</v>
      </c>
      <c r="J4760" s="24">
        <v>8515</v>
      </c>
      <c r="K4760" s="21">
        <v>0</v>
      </c>
      <c r="L4760" s="21">
        <v>0</v>
      </c>
      <c r="M4760" s="21">
        <f>COUNTIF($A$2:$A$5481,A4760)</f>
        <v>2</v>
      </c>
      <c r="N4760" s="24">
        <f t="shared" si="74"/>
        <v>8515.000476</v>
      </c>
    </row>
    <row r="4761" spans="1:14">
      <c r="A4761" s="21" t="s">
        <v>548</v>
      </c>
      <c r="B4761" s="21" t="s">
        <v>1115</v>
      </c>
      <c r="C4761" s="21" t="s">
        <v>51</v>
      </c>
      <c r="D4761" s="21" t="s">
        <v>921</v>
      </c>
      <c r="E4761" s="21">
        <v>329</v>
      </c>
      <c r="F4761" s="22">
        <v>46248.6013888889</v>
      </c>
      <c r="G4761" s="22">
        <v>46266.3532986111</v>
      </c>
      <c r="H4761" s="23">
        <v>8976</v>
      </c>
      <c r="I4761" s="23">
        <v>88.4469104956</v>
      </c>
      <c r="J4761" s="24">
        <v>29100.05</v>
      </c>
      <c r="K4761" s="21">
        <v>0</v>
      </c>
      <c r="L4761" s="21">
        <v>0</v>
      </c>
      <c r="M4761" s="21">
        <f>COUNTIF($A$2:$A$5481,A4761)</f>
        <v>2</v>
      </c>
      <c r="N4761" s="24">
        <f t="shared" si="74"/>
        <v>29100.0504761</v>
      </c>
    </row>
    <row r="4762" spans="1:14">
      <c r="A4762" s="21" t="s">
        <v>4334</v>
      </c>
      <c r="B4762" s="21" t="s">
        <v>949</v>
      </c>
      <c r="C4762" s="21" t="s">
        <v>182</v>
      </c>
      <c r="D4762" s="21" t="s">
        <v>921</v>
      </c>
      <c r="E4762" s="21">
        <v>0</v>
      </c>
      <c r="F4762" s="22">
        <v>45272.3479976852</v>
      </c>
      <c r="G4762" s="22">
        <v>45295.3909027778</v>
      </c>
      <c r="H4762" s="23">
        <v>252</v>
      </c>
      <c r="I4762" s="23">
        <v>252</v>
      </c>
      <c r="J4762" s="24">
        <v>0</v>
      </c>
      <c r="K4762" s="21">
        <v>0</v>
      </c>
      <c r="L4762" s="21">
        <v>0</v>
      </c>
      <c r="M4762" s="21">
        <f>COUNTIF($A$2:$A$5481,A4762)</f>
        <v>2</v>
      </c>
      <c r="N4762" s="24">
        <f t="shared" si="74"/>
        <v>0.0004762</v>
      </c>
    </row>
    <row r="4763" spans="1:14">
      <c r="A4763" s="21" t="s">
        <v>4334</v>
      </c>
      <c r="B4763" s="21" t="s">
        <v>949</v>
      </c>
      <c r="C4763" s="21" t="s">
        <v>35</v>
      </c>
      <c r="D4763" s="21" t="s">
        <v>921</v>
      </c>
      <c r="E4763" s="21">
        <v>1</v>
      </c>
      <c r="F4763" s="22">
        <v>45729.6268055556</v>
      </c>
      <c r="G4763" s="22"/>
      <c r="H4763" s="23">
        <v>364</v>
      </c>
      <c r="I4763" s="23">
        <v>364</v>
      </c>
      <c r="J4763" s="24">
        <v>364</v>
      </c>
      <c r="K4763" s="21">
        <v>0</v>
      </c>
      <c r="L4763" s="21">
        <v>0</v>
      </c>
      <c r="M4763" s="21">
        <f>COUNTIF($A$2:$A$5481,A4763)</f>
        <v>2</v>
      </c>
      <c r="N4763" s="24">
        <f t="shared" si="74"/>
        <v>364.0004763</v>
      </c>
    </row>
    <row r="4764" spans="1:14">
      <c r="A4764" s="21" t="s">
        <v>722</v>
      </c>
      <c r="B4764" s="21" t="s">
        <v>2944</v>
      </c>
      <c r="C4764" s="21" t="s">
        <v>35</v>
      </c>
      <c r="D4764" s="21" t="s">
        <v>931</v>
      </c>
      <c r="E4764" s="21">
        <v>2</v>
      </c>
      <c r="F4764" s="22">
        <v>45709.4223032407</v>
      </c>
      <c r="G4764" s="22"/>
      <c r="H4764" s="23">
        <v>322</v>
      </c>
      <c r="I4764" s="23">
        <v>161</v>
      </c>
      <c r="J4764" s="24">
        <v>322</v>
      </c>
      <c r="K4764" s="21">
        <v>0</v>
      </c>
      <c r="L4764" s="21">
        <v>0</v>
      </c>
      <c r="M4764" s="21">
        <f>COUNTIF($A$2:$A$5481,A4764)</f>
        <v>2</v>
      </c>
      <c r="N4764" s="24">
        <f t="shared" si="74"/>
        <v>322.0004764</v>
      </c>
    </row>
    <row r="4765" spans="1:14">
      <c r="A4765" s="21" t="s">
        <v>722</v>
      </c>
      <c r="B4765" s="21" t="s">
        <v>2944</v>
      </c>
      <c r="C4765" s="21" t="s">
        <v>26</v>
      </c>
      <c r="D4765" s="21" t="s">
        <v>931</v>
      </c>
      <c r="E4765" s="21">
        <v>0</v>
      </c>
      <c r="F4765" s="22">
        <v>45894.842962963</v>
      </c>
      <c r="G4765" s="22">
        <v>46252.569212963</v>
      </c>
      <c r="H4765" s="23">
        <v>251.85</v>
      </c>
      <c r="I4765" s="23">
        <v>237.8655555556</v>
      </c>
      <c r="J4765" s="24">
        <v>0</v>
      </c>
      <c r="K4765" s="21">
        <v>0</v>
      </c>
      <c r="L4765" s="21">
        <v>0</v>
      </c>
      <c r="M4765" s="21">
        <f>COUNTIF($A$2:$A$5481,A4765)</f>
        <v>2</v>
      </c>
      <c r="N4765" s="24">
        <f t="shared" si="74"/>
        <v>0.0004765</v>
      </c>
    </row>
    <row r="4766" spans="1:14">
      <c r="A4766" s="21" t="s">
        <v>4335</v>
      </c>
      <c r="B4766" s="21" t="s">
        <v>920</v>
      </c>
      <c r="C4766" s="21" t="s">
        <v>26</v>
      </c>
      <c r="D4766" s="21" t="s">
        <v>921</v>
      </c>
      <c r="E4766" s="21">
        <v>0</v>
      </c>
      <c r="F4766" s="22">
        <v>45889.5554513889</v>
      </c>
      <c r="G4766" s="22">
        <v>45909.3848611111</v>
      </c>
      <c r="H4766" s="23">
        <v>290</v>
      </c>
      <c r="I4766" s="23">
        <v>290</v>
      </c>
      <c r="J4766" s="24">
        <v>0</v>
      </c>
      <c r="K4766" s="21">
        <v>0</v>
      </c>
      <c r="L4766" s="21">
        <v>0</v>
      </c>
      <c r="M4766" s="21">
        <f>COUNTIF($A$2:$A$5481,A4766)</f>
        <v>1</v>
      </c>
      <c r="N4766" s="24">
        <f t="shared" si="74"/>
        <v>0.0004766</v>
      </c>
    </row>
    <row r="4767" spans="1:14">
      <c r="A4767" s="21" t="s">
        <v>317</v>
      </c>
      <c r="B4767" s="21" t="s">
        <v>920</v>
      </c>
      <c r="C4767" s="21" t="s">
        <v>26</v>
      </c>
      <c r="D4767" s="21" t="s">
        <v>921</v>
      </c>
      <c r="E4767" s="21">
        <v>2</v>
      </c>
      <c r="F4767" s="22">
        <v>46107.5602546296</v>
      </c>
      <c r="G4767" s="22">
        <v>46111.5408217593</v>
      </c>
      <c r="H4767" s="23">
        <v>396</v>
      </c>
      <c r="I4767" s="23">
        <v>396</v>
      </c>
      <c r="J4767" s="24">
        <v>792</v>
      </c>
      <c r="K4767" s="21">
        <v>0</v>
      </c>
      <c r="L4767" s="21">
        <v>0</v>
      </c>
      <c r="M4767" s="21">
        <f>COUNTIF($A$2:$A$5481,A4767)</f>
        <v>1</v>
      </c>
      <c r="N4767" s="24">
        <f t="shared" si="74"/>
        <v>792.0004767</v>
      </c>
    </row>
    <row r="4768" spans="1:14">
      <c r="A4768" s="21" t="s">
        <v>4336</v>
      </c>
      <c r="B4768" s="21" t="s">
        <v>920</v>
      </c>
      <c r="C4768" s="21" t="s">
        <v>26</v>
      </c>
      <c r="D4768" s="21" t="s">
        <v>921</v>
      </c>
      <c r="E4768" s="21">
        <v>1</v>
      </c>
      <c r="F4768" s="22">
        <v>46282.5756944444</v>
      </c>
      <c r="G4768" s="22">
        <v>45649.8401851852</v>
      </c>
      <c r="H4768" s="23">
        <v>1394</v>
      </c>
      <c r="I4768" s="23">
        <v>1394</v>
      </c>
      <c r="J4768" s="24">
        <v>1394</v>
      </c>
      <c r="K4768" s="21">
        <v>0</v>
      </c>
      <c r="L4768" s="21">
        <v>0</v>
      </c>
      <c r="M4768" s="21">
        <f>COUNTIF($A$2:$A$5481,A4768)</f>
        <v>1</v>
      </c>
      <c r="N4768" s="24">
        <f t="shared" si="74"/>
        <v>1394.0004768</v>
      </c>
    </row>
    <row r="4769" spans="1:14">
      <c r="A4769" s="21" t="s">
        <v>4337</v>
      </c>
      <c r="B4769" s="21" t="s">
        <v>920</v>
      </c>
      <c r="C4769" s="21" t="s">
        <v>35</v>
      </c>
      <c r="D4769" s="21" t="s">
        <v>921</v>
      </c>
      <c r="E4769" s="21">
        <v>0</v>
      </c>
      <c r="F4769" s="22">
        <v>45631.437662037</v>
      </c>
      <c r="G4769" s="22">
        <v>45632.4891782407</v>
      </c>
      <c r="H4769" s="23">
        <v>543</v>
      </c>
      <c r="I4769" s="23">
        <v>543</v>
      </c>
      <c r="J4769" s="24">
        <v>0</v>
      </c>
      <c r="K4769" s="21">
        <v>0</v>
      </c>
      <c r="L4769" s="21">
        <v>0</v>
      </c>
      <c r="M4769" s="21">
        <f>COUNTIF($A$2:$A$5481,A4769)</f>
        <v>1</v>
      </c>
      <c r="N4769" s="24">
        <f t="shared" si="74"/>
        <v>0.0004769</v>
      </c>
    </row>
    <row r="4770" spans="1:14">
      <c r="A4770" s="21" t="s">
        <v>36</v>
      </c>
      <c r="B4770" s="21" t="s">
        <v>920</v>
      </c>
      <c r="C4770" s="21" t="s">
        <v>35</v>
      </c>
      <c r="D4770" s="21" t="s">
        <v>921</v>
      </c>
      <c r="E4770" s="21">
        <v>1</v>
      </c>
      <c r="F4770" s="22">
        <v>45321.3895833333</v>
      </c>
      <c r="G4770" s="22"/>
      <c r="H4770" s="23">
        <v>689</v>
      </c>
      <c r="I4770" s="23">
        <v>689</v>
      </c>
      <c r="J4770" s="24">
        <v>689</v>
      </c>
      <c r="K4770" s="21">
        <v>0</v>
      </c>
      <c r="L4770" s="21">
        <v>0</v>
      </c>
      <c r="M4770" s="21">
        <f>COUNTIF($A$2:$A$5481,A4770)</f>
        <v>2</v>
      </c>
      <c r="N4770" s="24">
        <f t="shared" si="74"/>
        <v>689.000477</v>
      </c>
    </row>
    <row r="4771" spans="1:14">
      <c r="A4771" s="21" t="s">
        <v>36</v>
      </c>
      <c r="B4771" s="21" t="s">
        <v>920</v>
      </c>
      <c r="C4771" s="21" t="s">
        <v>26</v>
      </c>
      <c r="D4771" s="21" t="s">
        <v>921</v>
      </c>
      <c r="E4771" s="21">
        <v>4</v>
      </c>
      <c r="F4771" s="22">
        <v>45786.4525115741</v>
      </c>
      <c r="G4771" s="22">
        <v>45789.3885185185</v>
      </c>
      <c r="H4771" s="23">
        <v>1338</v>
      </c>
      <c r="I4771" s="23">
        <v>672</v>
      </c>
      <c r="J4771" s="24">
        <v>2688</v>
      </c>
      <c r="K4771" s="21">
        <v>0</v>
      </c>
      <c r="L4771" s="21">
        <v>0</v>
      </c>
      <c r="M4771" s="21">
        <f>COUNTIF($A$2:$A$5481,A4771)</f>
        <v>2</v>
      </c>
      <c r="N4771" s="24">
        <f t="shared" si="74"/>
        <v>2688.0004771</v>
      </c>
    </row>
    <row r="4772" spans="1:14">
      <c r="A4772" s="21" t="s">
        <v>4338</v>
      </c>
      <c r="B4772" s="21" t="s">
        <v>966</v>
      </c>
      <c r="C4772" s="21" t="s">
        <v>26</v>
      </c>
      <c r="D4772" s="21" t="s">
        <v>921</v>
      </c>
      <c r="E4772" s="21">
        <v>1</v>
      </c>
      <c r="F4772" s="22">
        <v>45800.7034606482</v>
      </c>
      <c r="G4772" s="22"/>
      <c r="H4772" s="23">
        <v>2598.2</v>
      </c>
      <c r="I4772" s="23">
        <v>2598.2</v>
      </c>
      <c r="J4772" s="24">
        <v>2598.2</v>
      </c>
      <c r="K4772" s="21">
        <v>0</v>
      </c>
      <c r="L4772" s="21">
        <v>0</v>
      </c>
      <c r="M4772" s="21">
        <f>COUNTIF($A$2:$A$5481,A4772)</f>
        <v>1</v>
      </c>
      <c r="N4772" s="24">
        <f t="shared" si="74"/>
        <v>2598.2004772</v>
      </c>
    </row>
    <row r="4773" spans="1:14">
      <c r="A4773" s="21" t="s">
        <v>4339</v>
      </c>
      <c r="B4773" s="21" t="s">
        <v>929</v>
      </c>
      <c r="C4773" s="21" t="s">
        <v>26</v>
      </c>
      <c r="D4773" s="21" t="s">
        <v>921</v>
      </c>
      <c r="E4773" s="21">
        <v>1</v>
      </c>
      <c r="F4773" s="22">
        <v>45589.60625</v>
      </c>
      <c r="G4773" s="22"/>
      <c r="H4773" s="23">
        <v>744</v>
      </c>
      <c r="I4773" s="23">
        <v>744</v>
      </c>
      <c r="J4773" s="24">
        <v>744</v>
      </c>
      <c r="K4773" s="21">
        <v>0</v>
      </c>
      <c r="L4773" s="21">
        <v>0</v>
      </c>
      <c r="M4773" s="21">
        <f>COUNTIF($A$2:$A$5481,A4773)</f>
        <v>1</v>
      </c>
      <c r="N4773" s="24">
        <f t="shared" si="74"/>
        <v>744.0004773</v>
      </c>
    </row>
    <row r="4774" spans="1:14">
      <c r="A4774" s="21" t="s">
        <v>685</v>
      </c>
      <c r="B4774" s="21" t="s">
        <v>26</v>
      </c>
      <c r="C4774" s="21" t="s">
        <v>26</v>
      </c>
      <c r="D4774" s="21" t="s">
        <v>921</v>
      </c>
      <c r="E4774" s="21">
        <v>0</v>
      </c>
      <c r="F4774" s="22">
        <v>45825.3785069444</v>
      </c>
      <c r="G4774" s="22">
        <v>46252.5687731481</v>
      </c>
      <c r="H4774" s="23">
        <v>87</v>
      </c>
      <c r="I4774" s="23">
        <v>14.75</v>
      </c>
      <c r="J4774" s="24">
        <v>0</v>
      </c>
      <c r="K4774" s="21">
        <v>0</v>
      </c>
      <c r="L4774" s="21">
        <v>0</v>
      </c>
      <c r="M4774" s="21">
        <f>COUNTIF($A$2:$A$5481,A4774)</f>
        <v>2</v>
      </c>
      <c r="N4774" s="24">
        <f t="shared" si="74"/>
        <v>0.0004774</v>
      </c>
    </row>
    <row r="4775" spans="1:14">
      <c r="A4775" s="21" t="s">
        <v>685</v>
      </c>
      <c r="B4775" s="21" t="s">
        <v>26</v>
      </c>
      <c r="C4775" s="21" t="s">
        <v>38</v>
      </c>
      <c r="D4775" s="21" t="s">
        <v>921</v>
      </c>
      <c r="E4775" s="21">
        <v>118</v>
      </c>
      <c r="F4775" s="22">
        <v>46161.4354166667</v>
      </c>
      <c r="G4775" s="22">
        <v>45470.4743518519</v>
      </c>
      <c r="H4775" s="23">
        <v>219.6</v>
      </c>
      <c r="I4775" s="23">
        <v>11.7110733898</v>
      </c>
      <c r="J4775" s="24">
        <v>1381.78</v>
      </c>
      <c r="K4775" s="21">
        <v>0</v>
      </c>
      <c r="L4775" s="21">
        <v>0</v>
      </c>
      <c r="M4775" s="21">
        <f>COUNTIF($A$2:$A$5481,A4775)</f>
        <v>2</v>
      </c>
      <c r="N4775" s="24">
        <f t="shared" si="74"/>
        <v>1381.7804775</v>
      </c>
    </row>
    <row r="4776" spans="1:14">
      <c r="A4776" s="21" t="s">
        <v>264</v>
      </c>
      <c r="B4776" s="21" t="s">
        <v>26</v>
      </c>
      <c r="C4776" s="21" t="s">
        <v>414</v>
      </c>
      <c r="D4776" s="21" t="s">
        <v>921</v>
      </c>
      <c r="E4776" s="21">
        <v>40</v>
      </c>
      <c r="F4776" s="22">
        <v>45411.3269328704</v>
      </c>
      <c r="G4776" s="22"/>
      <c r="H4776" s="23">
        <v>562</v>
      </c>
      <c r="I4776" s="23">
        <v>14.05</v>
      </c>
      <c r="J4776" s="24">
        <v>562</v>
      </c>
      <c r="K4776" s="21">
        <v>0</v>
      </c>
      <c r="L4776" s="21">
        <v>0</v>
      </c>
      <c r="M4776" s="21">
        <f>COUNTIF($A$2:$A$5481,A4776)</f>
        <v>3</v>
      </c>
      <c r="N4776" s="24">
        <f t="shared" si="74"/>
        <v>562.0004776</v>
      </c>
    </row>
    <row r="4777" spans="1:14">
      <c r="A4777" s="21" t="s">
        <v>264</v>
      </c>
      <c r="B4777" s="21" t="s">
        <v>26</v>
      </c>
      <c r="C4777" s="21" t="s">
        <v>38</v>
      </c>
      <c r="D4777" s="21" t="s">
        <v>921</v>
      </c>
      <c r="E4777" s="21">
        <v>38</v>
      </c>
      <c r="F4777" s="22">
        <v>45562.4842013889</v>
      </c>
      <c r="G4777" s="22">
        <v>46223.8705902778</v>
      </c>
      <c r="H4777" s="23">
        <v>104.8</v>
      </c>
      <c r="I4777" s="23">
        <v>13.0192614634</v>
      </c>
      <c r="J4777" s="24">
        <v>494.76</v>
      </c>
      <c r="K4777" s="21">
        <v>0</v>
      </c>
      <c r="L4777" s="21">
        <v>0</v>
      </c>
      <c r="M4777" s="21">
        <f>COUNTIF($A$2:$A$5481,A4777)</f>
        <v>3</v>
      </c>
      <c r="N4777" s="24">
        <f t="shared" si="74"/>
        <v>494.7604777</v>
      </c>
    </row>
    <row r="4778" spans="1:14">
      <c r="A4778" s="21" t="s">
        <v>264</v>
      </c>
      <c r="B4778" s="21" t="s">
        <v>26</v>
      </c>
      <c r="C4778" s="21" t="s">
        <v>26</v>
      </c>
      <c r="D4778" s="21" t="s">
        <v>921</v>
      </c>
      <c r="E4778" s="21">
        <v>0</v>
      </c>
      <c r="F4778" s="22">
        <v>45683.3646064815</v>
      </c>
      <c r="G4778" s="22">
        <v>46252.5687615741</v>
      </c>
      <c r="H4778" s="23">
        <v>202.8</v>
      </c>
      <c r="I4778" s="23">
        <v>15.7</v>
      </c>
      <c r="J4778" s="24">
        <v>0</v>
      </c>
      <c r="K4778" s="21">
        <v>0</v>
      </c>
      <c r="L4778" s="21">
        <v>0</v>
      </c>
      <c r="M4778" s="21">
        <f>COUNTIF($A$2:$A$5481,A4778)</f>
        <v>3</v>
      </c>
      <c r="N4778" s="24">
        <f t="shared" si="74"/>
        <v>0.0004778</v>
      </c>
    </row>
    <row r="4779" spans="1:14">
      <c r="A4779" s="21" t="s">
        <v>684</v>
      </c>
      <c r="B4779" s="21" t="s">
        <v>926</v>
      </c>
      <c r="C4779" s="21" t="s">
        <v>26</v>
      </c>
      <c r="D4779" s="21" t="s">
        <v>921</v>
      </c>
      <c r="E4779" s="21">
        <v>0</v>
      </c>
      <c r="F4779" s="22">
        <v>45366.4548611111</v>
      </c>
      <c r="G4779" s="22">
        <v>46252.56875</v>
      </c>
      <c r="H4779" s="23">
        <v>74.4</v>
      </c>
      <c r="I4779" s="23">
        <v>37.2</v>
      </c>
      <c r="J4779" s="24">
        <v>0</v>
      </c>
      <c r="K4779" s="21">
        <v>0</v>
      </c>
      <c r="L4779" s="21">
        <v>0</v>
      </c>
      <c r="M4779" s="21">
        <f>COUNTIF($A$2:$A$5481,A4779)</f>
        <v>1</v>
      </c>
      <c r="N4779" s="24">
        <f t="shared" si="74"/>
        <v>0.0004779</v>
      </c>
    </row>
    <row r="4780" spans="1:14">
      <c r="A4780" s="21" t="s">
        <v>4340</v>
      </c>
      <c r="B4780" s="21" t="s">
        <v>920</v>
      </c>
      <c r="C4780" s="21" t="s">
        <v>26</v>
      </c>
      <c r="D4780" s="21" t="s">
        <v>921</v>
      </c>
      <c r="E4780" s="21">
        <v>0</v>
      </c>
      <c r="F4780" s="22">
        <v>45357.4791666667</v>
      </c>
      <c r="G4780" s="22">
        <v>45484.7867939815</v>
      </c>
      <c r="H4780" s="23">
        <v>90</v>
      </c>
      <c r="I4780" s="23">
        <v>45</v>
      </c>
      <c r="J4780" s="24">
        <v>0</v>
      </c>
      <c r="K4780" s="21">
        <v>0</v>
      </c>
      <c r="L4780" s="21">
        <v>0</v>
      </c>
      <c r="M4780" s="21">
        <f>COUNTIF($A$2:$A$5481,A4780)</f>
        <v>2</v>
      </c>
      <c r="N4780" s="24">
        <f t="shared" si="74"/>
        <v>0.000478</v>
      </c>
    </row>
    <row r="4781" spans="1:14">
      <c r="A4781" s="21" t="s">
        <v>4340</v>
      </c>
      <c r="B4781" s="21" t="s">
        <v>920</v>
      </c>
      <c r="C4781" s="21" t="s">
        <v>35</v>
      </c>
      <c r="D4781" s="21" t="s">
        <v>921</v>
      </c>
      <c r="E4781" s="21">
        <v>3</v>
      </c>
      <c r="F4781" s="22">
        <v>45398.8381944444</v>
      </c>
      <c r="G4781" s="22">
        <v>45460.8622569444</v>
      </c>
      <c r="H4781" s="23">
        <v>104.52</v>
      </c>
      <c r="I4781" s="23">
        <v>26.13</v>
      </c>
      <c r="J4781" s="24">
        <v>78.39</v>
      </c>
      <c r="K4781" s="21">
        <v>0</v>
      </c>
      <c r="L4781" s="21">
        <v>0</v>
      </c>
      <c r="M4781" s="21">
        <f>COUNTIF($A$2:$A$5481,A4781)</f>
        <v>2</v>
      </c>
      <c r="N4781" s="24">
        <f t="shared" si="74"/>
        <v>78.3904781</v>
      </c>
    </row>
    <row r="4782" spans="1:14">
      <c r="A4782" s="21" t="s">
        <v>4341</v>
      </c>
      <c r="B4782" s="21" t="s">
        <v>920</v>
      </c>
      <c r="C4782" s="21" t="s">
        <v>26</v>
      </c>
      <c r="D4782" s="21" t="s">
        <v>921</v>
      </c>
      <c r="E4782" s="21">
        <v>1</v>
      </c>
      <c r="F4782" s="22">
        <v>45526.4375810185</v>
      </c>
      <c r="G4782" s="22"/>
      <c r="H4782" s="23">
        <v>91.74</v>
      </c>
      <c r="I4782" s="23">
        <v>91.74</v>
      </c>
      <c r="J4782" s="24">
        <v>91.74</v>
      </c>
      <c r="K4782" s="21">
        <v>0</v>
      </c>
      <c r="L4782" s="21">
        <v>0</v>
      </c>
      <c r="M4782" s="21">
        <f>COUNTIF($A$2:$A$5481,A4782)</f>
        <v>1</v>
      </c>
      <c r="N4782" s="24">
        <f t="shared" si="74"/>
        <v>91.7404782</v>
      </c>
    </row>
    <row r="4783" spans="1:14">
      <c r="A4783" s="21" t="s">
        <v>4342</v>
      </c>
      <c r="B4783" s="21" t="s">
        <v>920</v>
      </c>
      <c r="C4783" s="21" t="s">
        <v>26</v>
      </c>
      <c r="D4783" s="21" t="s">
        <v>921</v>
      </c>
      <c r="E4783" s="21">
        <v>1</v>
      </c>
      <c r="F4783" s="22">
        <v>45763.8030208333</v>
      </c>
      <c r="G4783" s="22"/>
      <c r="H4783" s="23">
        <v>107.93</v>
      </c>
      <c r="I4783" s="23">
        <v>107.93</v>
      </c>
      <c r="J4783" s="24">
        <v>107.93</v>
      </c>
      <c r="K4783" s="21">
        <v>0</v>
      </c>
      <c r="L4783" s="21">
        <v>0</v>
      </c>
      <c r="M4783" s="21">
        <f>COUNTIF($A$2:$A$5481,A4783)</f>
        <v>1</v>
      </c>
      <c r="N4783" s="24">
        <f t="shared" si="74"/>
        <v>107.9304783</v>
      </c>
    </row>
    <row r="4784" spans="1:14">
      <c r="A4784" s="21" t="s">
        <v>4343</v>
      </c>
      <c r="B4784" s="21" t="s">
        <v>920</v>
      </c>
      <c r="C4784" s="21" t="s">
        <v>26</v>
      </c>
      <c r="D4784" s="21" t="s">
        <v>921</v>
      </c>
      <c r="E4784" s="21">
        <v>2</v>
      </c>
      <c r="F4784" s="22">
        <v>45763.8030208333</v>
      </c>
      <c r="G4784" s="22">
        <v>45531.4553935185</v>
      </c>
      <c r="H4784" s="23">
        <v>86.33</v>
      </c>
      <c r="I4784" s="23">
        <v>86.64</v>
      </c>
      <c r="J4784" s="24">
        <v>173.28</v>
      </c>
      <c r="K4784" s="21">
        <v>0</v>
      </c>
      <c r="L4784" s="21">
        <v>0</v>
      </c>
      <c r="M4784" s="21">
        <f>COUNTIF($A$2:$A$5481,A4784)</f>
        <v>1</v>
      </c>
      <c r="N4784" s="24">
        <f t="shared" si="74"/>
        <v>173.2804784</v>
      </c>
    </row>
    <row r="4785" spans="1:14">
      <c r="A4785" s="21" t="s">
        <v>4344</v>
      </c>
      <c r="B4785" s="21" t="s">
        <v>1510</v>
      </c>
      <c r="C4785" s="21" t="s">
        <v>390</v>
      </c>
      <c r="D4785" s="21" t="s">
        <v>921</v>
      </c>
      <c r="E4785" s="21">
        <v>3000</v>
      </c>
      <c r="F4785" s="22">
        <v>45538.8416666667</v>
      </c>
      <c r="G4785" s="22"/>
      <c r="H4785" s="23">
        <v>1290</v>
      </c>
      <c r="I4785" s="23">
        <v>0.43</v>
      </c>
      <c r="J4785" s="24">
        <v>1290</v>
      </c>
      <c r="K4785" s="21">
        <v>0</v>
      </c>
      <c r="L4785" s="21">
        <v>0</v>
      </c>
      <c r="M4785" s="21">
        <f>COUNTIF($A$2:$A$5481,A4785)</f>
        <v>1</v>
      </c>
      <c r="N4785" s="24">
        <f t="shared" si="74"/>
        <v>1290.0004785</v>
      </c>
    </row>
    <row r="4786" spans="1:14">
      <c r="A4786" s="21" t="s">
        <v>4345</v>
      </c>
      <c r="B4786" s="21" t="s">
        <v>1510</v>
      </c>
      <c r="C4786" s="21" t="s">
        <v>390</v>
      </c>
      <c r="D4786" s="21" t="s">
        <v>921</v>
      </c>
      <c r="E4786" s="21">
        <v>3000</v>
      </c>
      <c r="F4786" s="22">
        <v>45538.8416666667</v>
      </c>
      <c r="G4786" s="22"/>
      <c r="H4786" s="23">
        <v>1290</v>
      </c>
      <c r="I4786" s="23">
        <v>0.43</v>
      </c>
      <c r="J4786" s="24">
        <v>1290</v>
      </c>
      <c r="K4786" s="21">
        <v>0</v>
      </c>
      <c r="L4786" s="21">
        <v>0</v>
      </c>
      <c r="M4786" s="21">
        <f>COUNTIF($A$2:$A$5481,A4786)</f>
        <v>1</v>
      </c>
      <c r="N4786" s="24">
        <f t="shared" si="74"/>
        <v>1290.0004786</v>
      </c>
    </row>
    <row r="4787" spans="1:14">
      <c r="A4787" s="21" t="s">
        <v>4346</v>
      </c>
      <c r="B4787" s="21" t="s">
        <v>929</v>
      </c>
      <c r="C4787" s="21" t="s">
        <v>26</v>
      </c>
      <c r="D4787" s="21" t="s">
        <v>921</v>
      </c>
      <c r="E4787" s="21">
        <v>1</v>
      </c>
      <c r="F4787" s="22">
        <v>45966.5645486111</v>
      </c>
      <c r="G4787" s="22"/>
      <c r="H4787" s="23">
        <v>106.94</v>
      </c>
      <c r="I4787" s="23">
        <v>106.94</v>
      </c>
      <c r="J4787" s="24">
        <v>106.94</v>
      </c>
      <c r="K4787" s="21">
        <v>0</v>
      </c>
      <c r="L4787" s="21">
        <v>0</v>
      </c>
      <c r="M4787" s="21">
        <f>COUNTIF($A$2:$A$5481,A4787)</f>
        <v>1</v>
      </c>
      <c r="N4787" s="24">
        <f t="shared" si="74"/>
        <v>106.9404787</v>
      </c>
    </row>
    <row r="4788" spans="1:14">
      <c r="A4788" s="21" t="s">
        <v>740</v>
      </c>
      <c r="B4788" s="21" t="s">
        <v>929</v>
      </c>
      <c r="C4788" s="21" t="s">
        <v>26</v>
      </c>
      <c r="D4788" s="21" t="s">
        <v>921</v>
      </c>
      <c r="E4788" s="21">
        <v>0</v>
      </c>
      <c r="F4788" s="22">
        <v>45733.5784490741</v>
      </c>
      <c r="G4788" s="22">
        <v>46252.5694212963</v>
      </c>
      <c r="H4788" s="23">
        <v>18.07</v>
      </c>
      <c r="I4788" s="23">
        <v>18.07</v>
      </c>
      <c r="J4788" s="24">
        <v>0</v>
      </c>
      <c r="K4788" s="21">
        <v>0</v>
      </c>
      <c r="L4788" s="21">
        <v>0</v>
      </c>
      <c r="M4788" s="21">
        <f>COUNTIF($A$2:$A$5481,A4788)</f>
        <v>1</v>
      </c>
      <c r="N4788" s="24">
        <f t="shared" si="74"/>
        <v>0.0004788</v>
      </c>
    </row>
    <row r="4789" spans="1:14">
      <c r="A4789" s="21" t="s">
        <v>4347</v>
      </c>
      <c r="B4789" s="21" t="s">
        <v>920</v>
      </c>
      <c r="C4789" s="21" t="s">
        <v>26</v>
      </c>
      <c r="D4789" s="21" t="s">
        <v>921</v>
      </c>
      <c r="E4789" s="21">
        <v>0</v>
      </c>
      <c r="F4789" s="22">
        <v>45960.5562615741</v>
      </c>
      <c r="G4789" s="22">
        <v>45964.5573263889</v>
      </c>
      <c r="H4789" s="23">
        <v>992.1</v>
      </c>
      <c r="I4789" s="23">
        <v>992.1</v>
      </c>
      <c r="J4789" s="24">
        <v>0</v>
      </c>
      <c r="K4789" s="21">
        <v>0</v>
      </c>
      <c r="L4789" s="21">
        <v>0</v>
      </c>
      <c r="M4789" s="21">
        <f>COUNTIF($A$2:$A$5481,A4789)</f>
        <v>1</v>
      </c>
      <c r="N4789" s="24">
        <f t="shared" si="74"/>
        <v>0.0004789</v>
      </c>
    </row>
    <row r="4790" spans="1:14">
      <c r="A4790" s="21" t="s">
        <v>4348</v>
      </c>
      <c r="B4790" s="21" t="s">
        <v>920</v>
      </c>
      <c r="C4790" s="21" t="s">
        <v>26</v>
      </c>
      <c r="D4790" s="21" t="s">
        <v>931</v>
      </c>
      <c r="E4790" s="21">
        <v>0</v>
      </c>
      <c r="F4790" s="22">
        <v>45707.3674421296</v>
      </c>
      <c r="G4790" s="22">
        <v>45714.8575578704</v>
      </c>
      <c r="H4790" s="23">
        <v>2849.05</v>
      </c>
      <c r="I4790" s="23">
        <v>2849.05</v>
      </c>
      <c r="J4790" s="24">
        <v>0</v>
      </c>
      <c r="K4790" s="21">
        <v>0</v>
      </c>
      <c r="L4790" s="21">
        <v>0</v>
      </c>
      <c r="M4790" s="21">
        <f>COUNTIF($A$2:$A$5481,A4790)</f>
        <v>1</v>
      </c>
      <c r="N4790" s="24">
        <f t="shared" si="74"/>
        <v>0.000479</v>
      </c>
    </row>
    <row r="4791" spans="1:14">
      <c r="A4791" s="21" t="s">
        <v>4349</v>
      </c>
      <c r="B4791" s="21" t="s">
        <v>920</v>
      </c>
      <c r="C4791" s="21" t="s">
        <v>26</v>
      </c>
      <c r="D4791" s="21" t="s">
        <v>931</v>
      </c>
      <c r="E4791" s="21">
        <v>0</v>
      </c>
      <c r="F4791" s="22">
        <v>45709.3459722222</v>
      </c>
      <c r="G4791" s="22">
        <v>46010.5628935185</v>
      </c>
      <c r="H4791" s="23">
        <v>430</v>
      </c>
      <c r="I4791" s="23">
        <v>215</v>
      </c>
      <c r="J4791" s="24">
        <v>0</v>
      </c>
      <c r="K4791" s="21">
        <v>0</v>
      </c>
      <c r="L4791" s="21">
        <v>0</v>
      </c>
      <c r="M4791" s="21">
        <f>COUNTIF($A$2:$A$5481,A4791)</f>
        <v>1</v>
      </c>
      <c r="N4791" s="24">
        <f t="shared" si="74"/>
        <v>0.0004791</v>
      </c>
    </row>
    <row r="4792" spans="1:14">
      <c r="A4792" s="21" t="s">
        <v>4350</v>
      </c>
      <c r="B4792" s="21" t="s">
        <v>26</v>
      </c>
      <c r="C4792" s="21" t="s">
        <v>26</v>
      </c>
      <c r="D4792" s="21" t="s">
        <v>921</v>
      </c>
      <c r="E4792" s="21">
        <v>1</v>
      </c>
      <c r="F4792" s="22">
        <v>46017.5594444444</v>
      </c>
      <c r="G4792" s="22"/>
      <c r="H4792" s="23">
        <v>19.88</v>
      </c>
      <c r="I4792" s="23">
        <v>19.88</v>
      </c>
      <c r="J4792" s="24">
        <v>19.88</v>
      </c>
      <c r="K4792" s="21">
        <v>0</v>
      </c>
      <c r="L4792" s="21">
        <v>0</v>
      </c>
      <c r="M4792" s="21">
        <f>COUNTIF($A$2:$A$5481,A4792)</f>
        <v>1</v>
      </c>
      <c r="N4792" s="24">
        <f t="shared" si="74"/>
        <v>19.8804792</v>
      </c>
    </row>
    <row r="4793" spans="1:14">
      <c r="A4793" s="21" t="s">
        <v>4351</v>
      </c>
      <c r="B4793" s="21" t="s">
        <v>920</v>
      </c>
      <c r="C4793" s="21" t="s">
        <v>26</v>
      </c>
      <c r="D4793" s="21" t="s">
        <v>931</v>
      </c>
      <c r="E4793" s="21">
        <v>2</v>
      </c>
      <c r="F4793" s="22">
        <v>45432.3800462963</v>
      </c>
      <c r="G4793" s="22"/>
      <c r="H4793" s="23">
        <v>30.48</v>
      </c>
      <c r="I4793" s="23">
        <v>15.24</v>
      </c>
      <c r="J4793" s="24">
        <v>30.48</v>
      </c>
      <c r="K4793" s="21">
        <v>0</v>
      </c>
      <c r="L4793" s="21">
        <v>0</v>
      </c>
      <c r="M4793" s="21">
        <f>COUNTIF($A$2:$A$5481,A4793)</f>
        <v>1</v>
      </c>
      <c r="N4793" s="24">
        <f t="shared" si="74"/>
        <v>30.4804793</v>
      </c>
    </row>
    <row r="4794" spans="1:14">
      <c r="A4794" s="21" t="s">
        <v>4352</v>
      </c>
      <c r="B4794" s="21" t="s">
        <v>929</v>
      </c>
      <c r="C4794" s="21" t="s">
        <v>414</v>
      </c>
      <c r="D4794" s="21" t="s">
        <v>921</v>
      </c>
      <c r="E4794" s="21">
        <v>10</v>
      </c>
      <c r="F4794" s="22">
        <v>45282.8120833333</v>
      </c>
      <c r="G4794" s="22"/>
      <c r="H4794" s="23">
        <v>42</v>
      </c>
      <c r="I4794" s="23">
        <v>4.2</v>
      </c>
      <c r="J4794" s="24">
        <v>42</v>
      </c>
      <c r="K4794" s="21">
        <v>1</v>
      </c>
      <c r="L4794" s="21">
        <v>10</v>
      </c>
      <c r="M4794" s="21">
        <f>COUNTIF($A$2:$A$5481,A4794)</f>
        <v>1</v>
      </c>
      <c r="N4794" s="24">
        <f t="shared" si="74"/>
        <v>42.0004794</v>
      </c>
    </row>
    <row r="4795" spans="1:14">
      <c r="A4795" s="21" t="s">
        <v>4353</v>
      </c>
      <c r="B4795" s="21" t="s">
        <v>929</v>
      </c>
      <c r="C4795" s="21" t="s">
        <v>26</v>
      </c>
      <c r="D4795" s="21" t="s">
        <v>921</v>
      </c>
      <c r="E4795" s="21">
        <v>14</v>
      </c>
      <c r="F4795" s="22">
        <v>46232.5832986111</v>
      </c>
      <c r="G4795" s="22"/>
      <c r="H4795" s="23">
        <v>30</v>
      </c>
      <c r="I4795" s="23">
        <v>4.3714285714</v>
      </c>
      <c r="J4795" s="24">
        <v>61.18</v>
      </c>
      <c r="K4795" s="21">
        <v>0</v>
      </c>
      <c r="L4795" s="21">
        <v>0</v>
      </c>
      <c r="M4795" s="21">
        <f>COUNTIF($A$2:$A$5481,A4795)</f>
        <v>1</v>
      </c>
      <c r="N4795" s="24">
        <f t="shared" si="74"/>
        <v>61.1804795</v>
      </c>
    </row>
    <row r="4796" spans="1:14">
      <c r="A4796" s="21" t="s">
        <v>4354</v>
      </c>
      <c r="B4796" s="21" t="s">
        <v>929</v>
      </c>
      <c r="C4796" s="21" t="s">
        <v>26</v>
      </c>
      <c r="D4796" s="21" t="s">
        <v>921</v>
      </c>
      <c r="E4796" s="21">
        <v>3</v>
      </c>
      <c r="F4796" s="22">
        <v>45966.3734606481</v>
      </c>
      <c r="G4796" s="22"/>
      <c r="H4796" s="23">
        <v>64.8</v>
      </c>
      <c r="I4796" s="23">
        <v>21.6</v>
      </c>
      <c r="J4796" s="24">
        <v>64.8</v>
      </c>
      <c r="K4796" s="21">
        <v>0</v>
      </c>
      <c r="L4796" s="21">
        <v>0</v>
      </c>
      <c r="M4796" s="21">
        <f>COUNTIF($A$2:$A$5481,A4796)</f>
        <v>1</v>
      </c>
      <c r="N4796" s="24">
        <f t="shared" si="74"/>
        <v>64.8004796</v>
      </c>
    </row>
    <row r="4797" spans="1:14">
      <c r="A4797" s="21" t="s">
        <v>4355</v>
      </c>
      <c r="B4797" s="21" t="s">
        <v>929</v>
      </c>
      <c r="C4797" s="21" t="s">
        <v>414</v>
      </c>
      <c r="D4797" s="21" t="s">
        <v>921</v>
      </c>
      <c r="E4797" s="21">
        <v>10</v>
      </c>
      <c r="F4797" s="22">
        <v>45282.8096990741</v>
      </c>
      <c r="G4797" s="22"/>
      <c r="H4797" s="23">
        <v>19.99</v>
      </c>
      <c r="I4797" s="23">
        <v>6.499</v>
      </c>
      <c r="J4797" s="24">
        <v>65</v>
      </c>
      <c r="K4797" s="21">
        <v>2</v>
      </c>
      <c r="L4797" s="21">
        <v>10</v>
      </c>
      <c r="M4797" s="21">
        <f>COUNTIF($A$2:$A$5481,A4797)</f>
        <v>2</v>
      </c>
      <c r="N4797" s="24">
        <f t="shared" si="74"/>
        <v>65.0004797</v>
      </c>
    </row>
    <row r="4798" spans="1:14">
      <c r="A4798" s="21" t="s">
        <v>4355</v>
      </c>
      <c r="B4798" s="21" t="s">
        <v>929</v>
      </c>
      <c r="C4798" s="21" t="s">
        <v>26</v>
      </c>
      <c r="D4798" s="21" t="s">
        <v>921</v>
      </c>
      <c r="E4798" s="21">
        <v>31</v>
      </c>
      <c r="F4798" s="22">
        <v>45866.6952662037</v>
      </c>
      <c r="G4798" s="22">
        <v>45932.3815162037</v>
      </c>
      <c r="H4798" s="23">
        <v>23.4</v>
      </c>
      <c r="I4798" s="23">
        <v>4.3986612576</v>
      </c>
      <c r="J4798" s="24">
        <v>136.4</v>
      </c>
      <c r="K4798" s="21">
        <v>2</v>
      </c>
      <c r="L4798" s="21">
        <v>10</v>
      </c>
      <c r="M4798" s="21">
        <f>COUNTIF($A$2:$A$5481,A4798)</f>
        <v>2</v>
      </c>
      <c r="N4798" s="24">
        <f t="shared" si="74"/>
        <v>136.4004798</v>
      </c>
    </row>
    <row r="4799" spans="1:14">
      <c r="A4799" s="21" t="s">
        <v>4356</v>
      </c>
      <c r="B4799" s="21" t="s">
        <v>26</v>
      </c>
      <c r="C4799" s="21" t="s">
        <v>26</v>
      </c>
      <c r="D4799" s="21" t="s">
        <v>921</v>
      </c>
      <c r="E4799" s="21">
        <v>21</v>
      </c>
      <c r="F4799" s="22">
        <v>46027.5492476852</v>
      </c>
      <c r="G4799" s="22"/>
      <c r="H4799" s="23">
        <v>48.5</v>
      </c>
      <c r="I4799" s="23">
        <v>4.8661904762</v>
      </c>
      <c r="J4799" s="24">
        <v>102.27</v>
      </c>
      <c r="K4799" s="21">
        <v>0</v>
      </c>
      <c r="L4799" s="21">
        <v>0</v>
      </c>
      <c r="M4799" s="21">
        <f>COUNTIF($A$2:$A$5481,A4799)</f>
        <v>1</v>
      </c>
      <c r="N4799" s="24">
        <f t="shared" si="74"/>
        <v>102.2704799</v>
      </c>
    </row>
    <row r="4800" spans="1:14">
      <c r="A4800" s="21" t="s">
        <v>4357</v>
      </c>
      <c r="B4800" s="21" t="s">
        <v>949</v>
      </c>
      <c r="C4800" s="21" t="s">
        <v>182</v>
      </c>
      <c r="D4800" s="21" t="s">
        <v>921</v>
      </c>
      <c r="E4800" s="21">
        <v>1</v>
      </c>
      <c r="F4800" s="22">
        <v>45275.4126157407</v>
      </c>
      <c r="G4800" s="22">
        <v>45278.4240162037</v>
      </c>
      <c r="H4800" s="23">
        <v>291.8</v>
      </c>
      <c r="I4800" s="23">
        <v>145.9</v>
      </c>
      <c r="J4800" s="24">
        <v>145.9</v>
      </c>
      <c r="K4800" s="21">
        <v>0</v>
      </c>
      <c r="L4800" s="21">
        <v>0</v>
      </c>
      <c r="M4800" s="21">
        <f>COUNTIF($A$2:$A$5481,A4800)</f>
        <v>3</v>
      </c>
      <c r="N4800" s="24">
        <f t="shared" si="74"/>
        <v>145.90048</v>
      </c>
    </row>
    <row r="4801" spans="1:14">
      <c r="A4801" s="21" t="s">
        <v>4357</v>
      </c>
      <c r="B4801" s="21" t="s">
        <v>949</v>
      </c>
      <c r="C4801" s="21" t="s">
        <v>38</v>
      </c>
      <c r="D4801" s="21" t="s">
        <v>921</v>
      </c>
      <c r="E4801" s="21">
        <v>1</v>
      </c>
      <c r="F4801" s="22">
        <v>45440.6015277778</v>
      </c>
      <c r="G4801" s="22"/>
      <c r="H4801" s="23">
        <v>59.99</v>
      </c>
      <c r="I4801" s="23">
        <v>59.99</v>
      </c>
      <c r="J4801" s="24">
        <v>59.99</v>
      </c>
      <c r="K4801" s="21">
        <v>0</v>
      </c>
      <c r="L4801" s="21">
        <v>0</v>
      </c>
      <c r="M4801" s="21">
        <f>COUNTIF($A$2:$A$5481,A4801)</f>
        <v>3</v>
      </c>
      <c r="N4801" s="24">
        <f t="shared" si="74"/>
        <v>59.9904801</v>
      </c>
    </row>
    <row r="4802" spans="1:14">
      <c r="A4802" s="21" t="s">
        <v>4357</v>
      </c>
      <c r="B4802" s="21" t="s">
        <v>949</v>
      </c>
      <c r="C4802" s="21" t="s">
        <v>51</v>
      </c>
      <c r="D4802" s="21" t="s">
        <v>921</v>
      </c>
      <c r="E4802" s="21">
        <v>63</v>
      </c>
      <c r="F4802" s="22">
        <v>46002.4391435185</v>
      </c>
      <c r="G4802" s="22"/>
      <c r="H4802" s="23">
        <v>1002.33</v>
      </c>
      <c r="I4802" s="23">
        <v>15.91</v>
      </c>
      <c r="J4802" s="24">
        <v>1002.33</v>
      </c>
      <c r="K4802" s="21">
        <v>0</v>
      </c>
      <c r="L4802" s="21">
        <v>0</v>
      </c>
      <c r="M4802" s="21">
        <f>COUNTIF($A$2:$A$5481,A4802)</f>
        <v>3</v>
      </c>
      <c r="N4802" s="24">
        <f t="shared" ref="N4802:N4865" si="75">J4802+ROW()/10000000</f>
        <v>1002.3304802</v>
      </c>
    </row>
    <row r="4803" spans="1:14">
      <c r="A4803" s="21" t="s">
        <v>4358</v>
      </c>
      <c r="B4803" s="21" t="s">
        <v>920</v>
      </c>
      <c r="C4803" s="21" t="s">
        <v>26</v>
      </c>
      <c r="D4803" s="21" t="s">
        <v>931</v>
      </c>
      <c r="E4803" s="21">
        <v>0</v>
      </c>
      <c r="F4803" s="22">
        <v>45404.6210763889</v>
      </c>
      <c r="G4803" s="22">
        <v>45404.8624768519</v>
      </c>
      <c r="H4803" s="23">
        <v>190</v>
      </c>
      <c r="I4803" s="23">
        <v>190</v>
      </c>
      <c r="J4803" s="24">
        <v>0</v>
      </c>
      <c r="K4803" s="21">
        <v>0</v>
      </c>
      <c r="L4803" s="21">
        <v>0</v>
      </c>
      <c r="M4803" s="21">
        <f>COUNTIF($A$2:$A$5481,A4803)</f>
        <v>1</v>
      </c>
      <c r="N4803" s="24">
        <f t="shared" si="75"/>
        <v>0.0004803</v>
      </c>
    </row>
    <row r="4804" spans="1:14">
      <c r="A4804" s="21" t="s">
        <v>4359</v>
      </c>
      <c r="B4804" s="21" t="s">
        <v>26</v>
      </c>
      <c r="C4804" s="21" t="s">
        <v>26</v>
      </c>
      <c r="D4804" s="21" t="s">
        <v>921</v>
      </c>
      <c r="E4804" s="21">
        <v>7</v>
      </c>
      <c r="F4804" s="22">
        <v>45961.545462963</v>
      </c>
      <c r="G4804" s="22">
        <v>45964.5989930556</v>
      </c>
      <c r="H4804" s="23">
        <v>59.6</v>
      </c>
      <c r="I4804" s="23">
        <v>14.95</v>
      </c>
      <c r="J4804" s="24">
        <v>104.65</v>
      </c>
      <c r="K4804" s="21">
        <v>0</v>
      </c>
      <c r="L4804" s="21">
        <v>0</v>
      </c>
      <c r="M4804" s="21">
        <f>COUNTIF($A$2:$A$5481,A4804)</f>
        <v>1</v>
      </c>
      <c r="N4804" s="24">
        <f t="shared" si="75"/>
        <v>104.6504804</v>
      </c>
    </row>
    <row r="4805" spans="1:14">
      <c r="A4805" s="21" t="s">
        <v>4360</v>
      </c>
      <c r="B4805" s="21" t="s">
        <v>949</v>
      </c>
      <c r="C4805" s="21" t="s">
        <v>182</v>
      </c>
      <c r="D4805" s="21" t="s">
        <v>1539</v>
      </c>
      <c r="E4805" s="21">
        <v>7.82</v>
      </c>
      <c r="F4805" s="22">
        <v>45385.5678703704</v>
      </c>
      <c r="G4805" s="22"/>
      <c r="H4805" s="23">
        <v>47.029</v>
      </c>
      <c r="I4805" s="23">
        <v>18.39747</v>
      </c>
      <c r="J4805" s="24">
        <v>143.888</v>
      </c>
      <c r="K4805" s="21">
        <v>0</v>
      </c>
      <c r="L4805" s="21">
        <v>0</v>
      </c>
      <c r="M4805" s="21">
        <f>COUNTIF($A$2:$A$5481,A4805)</f>
        <v>2</v>
      </c>
      <c r="N4805" s="24">
        <f t="shared" si="75"/>
        <v>143.8884805</v>
      </c>
    </row>
    <row r="4806" spans="1:14">
      <c r="A4806" s="21" t="s">
        <v>4360</v>
      </c>
      <c r="B4806" s="21" t="s">
        <v>949</v>
      </c>
      <c r="C4806" s="21" t="s">
        <v>26</v>
      </c>
      <c r="D4806" s="21" t="s">
        <v>1539</v>
      </c>
      <c r="E4806" s="21">
        <v>11.65</v>
      </c>
      <c r="F4806" s="22">
        <v>45904.4621296296</v>
      </c>
      <c r="G4806" s="22">
        <v>45932.3765856482</v>
      </c>
      <c r="H4806" s="23">
        <v>80.192</v>
      </c>
      <c r="I4806" s="23">
        <v>25.7395391304</v>
      </c>
      <c r="J4806" s="24">
        <v>299.871</v>
      </c>
      <c r="K4806" s="21">
        <v>0</v>
      </c>
      <c r="L4806" s="21">
        <v>0</v>
      </c>
      <c r="M4806" s="21">
        <f>COUNTIF($A$2:$A$5481,A4806)</f>
        <v>2</v>
      </c>
      <c r="N4806" s="24">
        <f t="shared" si="75"/>
        <v>299.8714806</v>
      </c>
    </row>
    <row r="4807" spans="1:14">
      <c r="A4807" s="21" t="s">
        <v>4361</v>
      </c>
      <c r="B4807" s="21" t="s">
        <v>949</v>
      </c>
      <c r="C4807" s="21" t="s">
        <v>182</v>
      </c>
      <c r="D4807" s="21" t="s">
        <v>1539</v>
      </c>
      <c r="E4807" s="21">
        <v>3</v>
      </c>
      <c r="F4807" s="22">
        <v>45317.7815856482</v>
      </c>
      <c r="G4807" s="22"/>
      <c r="H4807" s="23">
        <v>58.17</v>
      </c>
      <c r="I4807" s="23">
        <v>19.39</v>
      </c>
      <c r="J4807" s="24">
        <v>58.17</v>
      </c>
      <c r="K4807" s="21">
        <v>0</v>
      </c>
      <c r="L4807" s="21">
        <v>0</v>
      </c>
      <c r="M4807" s="21">
        <f>COUNTIF($A$2:$A$5481,A4807)</f>
        <v>3</v>
      </c>
      <c r="N4807" s="24">
        <f t="shared" si="75"/>
        <v>58.1704807</v>
      </c>
    </row>
    <row r="4808" spans="1:14">
      <c r="A4808" s="21" t="s">
        <v>4361</v>
      </c>
      <c r="B4808" s="21" t="s">
        <v>949</v>
      </c>
      <c r="C4808" s="21" t="s">
        <v>26</v>
      </c>
      <c r="D4808" s="21" t="s">
        <v>1539</v>
      </c>
      <c r="E4808" s="21">
        <v>8.04</v>
      </c>
      <c r="F4808" s="22">
        <v>45839.4940277778</v>
      </c>
      <c r="G4808" s="22">
        <v>45912.3976388889</v>
      </c>
      <c r="H4808" s="23">
        <v>55.014</v>
      </c>
      <c r="I4808" s="23">
        <v>21.421812749</v>
      </c>
      <c r="J4808" s="24">
        <v>172.2168</v>
      </c>
      <c r="K4808" s="21">
        <v>0</v>
      </c>
      <c r="L4808" s="21">
        <v>0</v>
      </c>
      <c r="M4808" s="21">
        <f>COUNTIF($A$2:$A$5481,A4808)</f>
        <v>3</v>
      </c>
      <c r="N4808" s="24">
        <f t="shared" si="75"/>
        <v>172.2172808</v>
      </c>
    </row>
    <row r="4809" spans="1:14">
      <c r="A4809" s="21" t="s">
        <v>4361</v>
      </c>
      <c r="B4809" s="21" t="s">
        <v>949</v>
      </c>
      <c r="C4809" s="21" t="s">
        <v>51</v>
      </c>
      <c r="D4809" s="21" t="s">
        <v>1539</v>
      </c>
      <c r="E4809" s="21">
        <v>70.7</v>
      </c>
      <c r="F4809" s="22">
        <v>46002.4391435185</v>
      </c>
      <c r="G4809" s="22"/>
      <c r="H4809" s="23">
        <v>1124.13</v>
      </c>
      <c r="I4809" s="23">
        <v>15.9</v>
      </c>
      <c r="J4809" s="24">
        <v>1124.13</v>
      </c>
      <c r="K4809" s="21">
        <v>0</v>
      </c>
      <c r="L4809" s="21">
        <v>0</v>
      </c>
      <c r="M4809" s="21">
        <f>COUNTIF($A$2:$A$5481,A4809)</f>
        <v>3</v>
      </c>
      <c r="N4809" s="24">
        <f t="shared" si="75"/>
        <v>1124.1304809</v>
      </c>
    </row>
    <row r="4810" spans="1:14">
      <c r="A4810" s="21" t="s">
        <v>4362</v>
      </c>
      <c r="B4810" s="21" t="s">
        <v>949</v>
      </c>
      <c r="C4810" s="21" t="s">
        <v>182</v>
      </c>
      <c r="D4810" s="21" t="s">
        <v>1539</v>
      </c>
      <c r="E4810" s="21">
        <v>1</v>
      </c>
      <c r="F4810" s="22">
        <v>45440.6015277778</v>
      </c>
      <c r="G4810" s="22"/>
      <c r="H4810" s="23">
        <v>47.5</v>
      </c>
      <c r="I4810" s="23">
        <v>47.5</v>
      </c>
      <c r="J4810" s="24">
        <v>47.5</v>
      </c>
      <c r="K4810" s="21">
        <v>0</v>
      </c>
      <c r="L4810" s="21">
        <v>0</v>
      </c>
      <c r="M4810" s="21">
        <f>COUNTIF($A$2:$A$5481,A4810)</f>
        <v>1</v>
      </c>
      <c r="N4810" s="24">
        <f t="shared" si="75"/>
        <v>47.500481</v>
      </c>
    </row>
    <row r="4811" spans="1:14">
      <c r="A4811" s="21" t="s">
        <v>4363</v>
      </c>
      <c r="B4811" s="21" t="s">
        <v>26</v>
      </c>
      <c r="C4811" s="21" t="s">
        <v>51</v>
      </c>
      <c r="D4811" s="21" t="s">
        <v>921</v>
      </c>
      <c r="E4811" s="21">
        <v>34.7</v>
      </c>
      <c r="F4811" s="22">
        <v>46002.4391435185</v>
      </c>
      <c r="G4811" s="22"/>
      <c r="H4811" s="23">
        <v>551.73</v>
      </c>
      <c r="I4811" s="23">
        <v>15.9</v>
      </c>
      <c r="J4811" s="24">
        <v>551.73</v>
      </c>
      <c r="K4811" s="21">
        <v>0</v>
      </c>
      <c r="L4811" s="21">
        <v>0</v>
      </c>
      <c r="M4811" s="21">
        <f>COUNTIF($A$2:$A$5481,A4811)</f>
        <v>1</v>
      </c>
      <c r="N4811" s="24">
        <f t="shared" si="75"/>
        <v>551.7304811</v>
      </c>
    </row>
    <row r="4812" spans="1:14">
      <c r="A4812" s="21" t="s">
        <v>4364</v>
      </c>
      <c r="B4812" s="21" t="s">
        <v>920</v>
      </c>
      <c r="C4812" s="21" t="s">
        <v>26</v>
      </c>
      <c r="D4812" s="21" t="s">
        <v>921</v>
      </c>
      <c r="E4812" s="21">
        <v>0</v>
      </c>
      <c r="F4812" s="22">
        <v>45819.3497569444</v>
      </c>
      <c r="G4812" s="22">
        <v>45825.4278009259</v>
      </c>
      <c r="H4812" s="23">
        <v>2968.5</v>
      </c>
      <c r="I4812" s="23">
        <v>989.5</v>
      </c>
      <c r="J4812" s="24">
        <v>0</v>
      </c>
      <c r="K4812" s="21">
        <v>0</v>
      </c>
      <c r="L4812" s="21">
        <v>0</v>
      </c>
      <c r="M4812" s="21">
        <f>COUNTIF($A$2:$A$5481,A4812)</f>
        <v>1</v>
      </c>
      <c r="N4812" s="24">
        <f t="shared" si="75"/>
        <v>0.0004812</v>
      </c>
    </row>
    <row r="4813" spans="1:14">
      <c r="A4813" s="21" t="s">
        <v>4365</v>
      </c>
      <c r="B4813" s="21" t="s">
        <v>929</v>
      </c>
      <c r="C4813" s="21" t="s">
        <v>26</v>
      </c>
      <c r="D4813" s="21" t="s">
        <v>1068</v>
      </c>
      <c r="E4813" s="21">
        <v>20</v>
      </c>
      <c r="F4813" s="22">
        <v>45547.7547453704</v>
      </c>
      <c r="G4813" s="22"/>
      <c r="H4813" s="23">
        <v>59</v>
      </c>
      <c r="I4813" s="23">
        <v>2.95</v>
      </c>
      <c r="J4813" s="24">
        <v>59</v>
      </c>
      <c r="K4813" s="21">
        <v>0</v>
      </c>
      <c r="L4813" s="21">
        <v>0</v>
      </c>
      <c r="M4813" s="21">
        <f>COUNTIF($A$2:$A$5481,A4813)</f>
        <v>1</v>
      </c>
      <c r="N4813" s="24">
        <f t="shared" si="75"/>
        <v>59.0004813</v>
      </c>
    </row>
    <row r="4814" spans="1:14">
      <c r="A4814" s="21" t="s">
        <v>4366</v>
      </c>
      <c r="B4814" s="21" t="s">
        <v>920</v>
      </c>
      <c r="C4814" s="21" t="s">
        <v>35</v>
      </c>
      <c r="D4814" s="21" t="s">
        <v>931</v>
      </c>
      <c r="E4814" s="21">
        <v>1</v>
      </c>
      <c r="F4814" s="22">
        <v>45590.4384375</v>
      </c>
      <c r="G4814" s="22"/>
      <c r="H4814" s="23">
        <v>230</v>
      </c>
      <c r="I4814" s="23">
        <v>230</v>
      </c>
      <c r="J4814" s="24">
        <v>230</v>
      </c>
      <c r="K4814" s="21">
        <v>0</v>
      </c>
      <c r="L4814" s="21">
        <v>0</v>
      </c>
      <c r="M4814" s="21">
        <f>COUNTIF($A$2:$A$5481,A4814)</f>
        <v>1</v>
      </c>
      <c r="N4814" s="24">
        <f t="shared" si="75"/>
        <v>230.0004814</v>
      </c>
    </row>
    <row r="4815" spans="1:14">
      <c r="A4815" s="21" t="s">
        <v>4367</v>
      </c>
      <c r="B4815" s="21" t="s">
        <v>26</v>
      </c>
      <c r="C4815" s="21" t="s">
        <v>783</v>
      </c>
      <c r="D4815" s="21" t="s">
        <v>921</v>
      </c>
      <c r="E4815" s="21">
        <v>13</v>
      </c>
      <c r="F4815" s="22">
        <v>45308.6166666667</v>
      </c>
      <c r="G4815" s="22">
        <v>45862.359212963</v>
      </c>
      <c r="H4815" s="23">
        <v>480</v>
      </c>
      <c r="I4815" s="23">
        <v>48</v>
      </c>
      <c r="J4815" s="24">
        <v>624</v>
      </c>
      <c r="K4815" s="21">
        <v>0</v>
      </c>
      <c r="L4815" s="21">
        <v>0</v>
      </c>
      <c r="M4815" s="21">
        <f>COUNTIF($A$2:$A$5481,A4815)</f>
        <v>1</v>
      </c>
      <c r="N4815" s="24">
        <f t="shared" si="75"/>
        <v>624.0004815</v>
      </c>
    </row>
    <row r="4816" spans="1:14">
      <c r="A4816" s="21" t="s">
        <v>4368</v>
      </c>
      <c r="B4816" s="21" t="s">
        <v>26</v>
      </c>
      <c r="C4816" s="21" t="s">
        <v>783</v>
      </c>
      <c r="D4816" s="21" t="s">
        <v>921</v>
      </c>
      <c r="E4816" s="21">
        <v>9</v>
      </c>
      <c r="F4816" s="22">
        <v>45308.6166666667</v>
      </c>
      <c r="G4816" s="22">
        <v>45643.5466203704</v>
      </c>
      <c r="H4816" s="23">
        <v>480</v>
      </c>
      <c r="I4816" s="23">
        <v>48</v>
      </c>
      <c r="J4816" s="24">
        <v>432</v>
      </c>
      <c r="K4816" s="21">
        <v>0</v>
      </c>
      <c r="L4816" s="21">
        <v>0</v>
      </c>
      <c r="M4816" s="21">
        <f>COUNTIF($A$2:$A$5481,A4816)</f>
        <v>2</v>
      </c>
      <c r="N4816" s="24">
        <f t="shared" si="75"/>
        <v>432.0004816</v>
      </c>
    </row>
    <row r="4817" spans="1:14">
      <c r="A4817" s="21" t="s">
        <v>4368</v>
      </c>
      <c r="B4817" s="21" t="s">
        <v>26</v>
      </c>
      <c r="C4817" s="21" t="s">
        <v>26</v>
      </c>
      <c r="D4817" s="21" t="s">
        <v>921</v>
      </c>
      <c r="E4817" s="21">
        <v>10</v>
      </c>
      <c r="F4817" s="22">
        <v>45649.5701388889</v>
      </c>
      <c r="G4817" s="22"/>
      <c r="H4817" s="23">
        <v>499</v>
      </c>
      <c r="I4817" s="23">
        <v>49.9</v>
      </c>
      <c r="J4817" s="24">
        <v>499</v>
      </c>
      <c r="K4817" s="21">
        <v>0</v>
      </c>
      <c r="L4817" s="21">
        <v>0</v>
      </c>
      <c r="M4817" s="21">
        <f>COUNTIF($A$2:$A$5481,A4817)</f>
        <v>2</v>
      </c>
      <c r="N4817" s="24">
        <f t="shared" si="75"/>
        <v>499.0004817</v>
      </c>
    </row>
    <row r="4818" spans="1:14">
      <c r="A4818" s="21" t="s">
        <v>4369</v>
      </c>
      <c r="B4818" s="21" t="s">
        <v>26</v>
      </c>
      <c r="C4818" s="21" t="s">
        <v>783</v>
      </c>
      <c r="D4818" s="21" t="s">
        <v>921</v>
      </c>
      <c r="E4818" s="21">
        <v>23</v>
      </c>
      <c r="F4818" s="22">
        <v>45308.6166666667</v>
      </c>
      <c r="G4818" s="22">
        <v>45568.4415393519</v>
      </c>
      <c r="H4818" s="23">
        <v>720</v>
      </c>
      <c r="I4818" s="23">
        <v>48</v>
      </c>
      <c r="J4818" s="24">
        <v>1104</v>
      </c>
      <c r="K4818" s="21">
        <v>0</v>
      </c>
      <c r="L4818" s="21">
        <v>0</v>
      </c>
      <c r="M4818" s="21">
        <f>COUNTIF($A$2:$A$5481,A4818)</f>
        <v>2</v>
      </c>
      <c r="N4818" s="24">
        <f t="shared" si="75"/>
        <v>1104.0004818</v>
      </c>
    </row>
    <row r="4819" spans="1:14">
      <c r="A4819" s="21" t="s">
        <v>4369</v>
      </c>
      <c r="B4819" s="21" t="s">
        <v>26</v>
      </c>
      <c r="C4819" s="21" t="s">
        <v>26</v>
      </c>
      <c r="D4819" s="21" t="s">
        <v>921</v>
      </c>
      <c r="E4819" s="21">
        <v>20</v>
      </c>
      <c r="F4819" s="22">
        <v>45649.5701388889</v>
      </c>
      <c r="G4819" s="22"/>
      <c r="H4819" s="23">
        <v>998</v>
      </c>
      <c r="I4819" s="23">
        <v>49.9</v>
      </c>
      <c r="J4819" s="24">
        <v>998</v>
      </c>
      <c r="K4819" s="21">
        <v>0</v>
      </c>
      <c r="L4819" s="21">
        <v>0</v>
      </c>
      <c r="M4819" s="21">
        <f>COUNTIF($A$2:$A$5481,A4819)</f>
        <v>2</v>
      </c>
      <c r="N4819" s="24">
        <f t="shared" si="75"/>
        <v>998.0004819</v>
      </c>
    </row>
    <row r="4820" spans="1:14">
      <c r="A4820" s="21" t="s">
        <v>4370</v>
      </c>
      <c r="B4820" s="21" t="s">
        <v>26</v>
      </c>
      <c r="C4820" s="21" t="s">
        <v>26</v>
      </c>
      <c r="D4820" s="21" t="s">
        <v>921</v>
      </c>
      <c r="E4820" s="21">
        <v>12</v>
      </c>
      <c r="F4820" s="22">
        <v>45336.6631944445</v>
      </c>
      <c r="G4820" s="22">
        <v>45547.7597569445</v>
      </c>
      <c r="H4820" s="23">
        <v>960</v>
      </c>
      <c r="I4820" s="23">
        <v>48</v>
      </c>
      <c r="J4820" s="24">
        <v>576</v>
      </c>
      <c r="K4820" s="21">
        <v>0</v>
      </c>
      <c r="L4820" s="21">
        <v>0</v>
      </c>
      <c r="M4820" s="21">
        <f>COUNTIF($A$2:$A$5481,A4820)</f>
        <v>2</v>
      </c>
      <c r="N4820" s="24">
        <f t="shared" si="75"/>
        <v>576.000482</v>
      </c>
    </row>
    <row r="4821" spans="1:14">
      <c r="A4821" s="21" t="s">
        <v>4370</v>
      </c>
      <c r="B4821" s="21" t="s">
        <v>26</v>
      </c>
      <c r="C4821" s="21" t="s">
        <v>783</v>
      </c>
      <c r="D4821" s="21" t="s">
        <v>921</v>
      </c>
      <c r="E4821" s="21">
        <v>5</v>
      </c>
      <c r="F4821" s="22">
        <v>45725.4101388889</v>
      </c>
      <c r="G4821" s="22"/>
      <c r="H4821" s="23">
        <v>240</v>
      </c>
      <c r="I4821" s="23">
        <v>48</v>
      </c>
      <c r="J4821" s="24">
        <v>240</v>
      </c>
      <c r="K4821" s="21">
        <v>0</v>
      </c>
      <c r="L4821" s="21">
        <v>0</v>
      </c>
      <c r="M4821" s="21">
        <f>COUNTIF($A$2:$A$5481,A4821)</f>
        <v>2</v>
      </c>
      <c r="N4821" s="24">
        <f t="shared" si="75"/>
        <v>240.0004821</v>
      </c>
    </row>
    <row r="4822" spans="1:14">
      <c r="A4822" s="21" t="s">
        <v>787</v>
      </c>
      <c r="B4822" s="21" t="s">
        <v>26</v>
      </c>
      <c r="C4822" s="21" t="s">
        <v>26</v>
      </c>
      <c r="D4822" s="21" t="s">
        <v>921</v>
      </c>
      <c r="E4822" s="21">
        <v>14</v>
      </c>
      <c r="F4822" s="22">
        <v>45576.4442708333</v>
      </c>
      <c r="G4822" s="22">
        <v>46258.6277777778</v>
      </c>
      <c r="H4822" s="23">
        <v>960</v>
      </c>
      <c r="I4822" s="23">
        <v>48</v>
      </c>
      <c r="J4822" s="24">
        <v>672</v>
      </c>
      <c r="K4822" s="21">
        <v>0</v>
      </c>
      <c r="L4822" s="21">
        <v>0</v>
      </c>
      <c r="M4822" s="21">
        <f>COUNTIF($A$2:$A$5481,A4822)</f>
        <v>2</v>
      </c>
      <c r="N4822" s="24">
        <f t="shared" si="75"/>
        <v>672.0004822</v>
      </c>
    </row>
    <row r="4823" spans="1:14">
      <c r="A4823" s="21" t="s">
        <v>787</v>
      </c>
      <c r="B4823" s="21" t="s">
        <v>26</v>
      </c>
      <c r="C4823" s="21" t="s">
        <v>783</v>
      </c>
      <c r="D4823" s="21" t="s">
        <v>921</v>
      </c>
      <c r="E4823" s="21">
        <v>51</v>
      </c>
      <c r="F4823" s="22">
        <v>45800.4188657407</v>
      </c>
      <c r="G4823" s="22">
        <v>46254.4006944444</v>
      </c>
      <c r="H4823" s="23">
        <v>1440</v>
      </c>
      <c r="I4823" s="23">
        <v>48</v>
      </c>
      <c r="J4823" s="24">
        <v>2448</v>
      </c>
      <c r="K4823" s="21">
        <v>0</v>
      </c>
      <c r="L4823" s="21">
        <v>0</v>
      </c>
      <c r="M4823" s="21">
        <f>COUNTIF($A$2:$A$5481,A4823)</f>
        <v>2</v>
      </c>
      <c r="N4823" s="24">
        <f t="shared" si="75"/>
        <v>2448.0004823</v>
      </c>
    </row>
    <row r="4824" spans="1:14">
      <c r="A4824" s="21" t="s">
        <v>4371</v>
      </c>
      <c r="B4824" s="21" t="s">
        <v>26</v>
      </c>
      <c r="C4824" s="21" t="s">
        <v>26</v>
      </c>
      <c r="D4824" s="21" t="s">
        <v>921</v>
      </c>
      <c r="E4824" s="21">
        <v>14</v>
      </c>
      <c r="F4824" s="22">
        <v>45576.4442708333</v>
      </c>
      <c r="G4824" s="22">
        <v>45803.3835648148</v>
      </c>
      <c r="H4824" s="23">
        <v>480</v>
      </c>
      <c r="I4824" s="23">
        <v>48.94737</v>
      </c>
      <c r="J4824" s="24">
        <v>685.3</v>
      </c>
      <c r="K4824" s="21">
        <v>0</v>
      </c>
      <c r="L4824" s="21">
        <v>0</v>
      </c>
      <c r="M4824" s="21">
        <f>COUNTIF($A$2:$A$5481,A4824)</f>
        <v>2</v>
      </c>
      <c r="N4824" s="24">
        <f t="shared" si="75"/>
        <v>685.3004824</v>
      </c>
    </row>
    <row r="4825" spans="1:14">
      <c r="A4825" s="21" t="s">
        <v>4371</v>
      </c>
      <c r="B4825" s="21" t="s">
        <v>26</v>
      </c>
      <c r="C4825" s="21" t="s">
        <v>783</v>
      </c>
      <c r="D4825" s="21" t="s">
        <v>921</v>
      </c>
      <c r="E4825" s="21">
        <v>34</v>
      </c>
      <c r="F4825" s="22">
        <v>45725.4101388889</v>
      </c>
      <c r="G4825" s="22">
        <v>45362.5022337963</v>
      </c>
      <c r="H4825" s="23">
        <v>960</v>
      </c>
      <c r="I4825" s="23">
        <v>48</v>
      </c>
      <c r="J4825" s="24">
        <v>1632</v>
      </c>
      <c r="K4825" s="21">
        <v>0</v>
      </c>
      <c r="L4825" s="21">
        <v>0</v>
      </c>
      <c r="M4825" s="21">
        <f>COUNTIF($A$2:$A$5481,A4825)</f>
        <v>2</v>
      </c>
      <c r="N4825" s="24">
        <f t="shared" si="75"/>
        <v>1632.0004825</v>
      </c>
    </row>
    <row r="4826" spans="1:14">
      <c r="A4826" s="21" t="s">
        <v>4372</v>
      </c>
      <c r="B4826" s="21" t="s">
        <v>26</v>
      </c>
      <c r="C4826" s="21" t="s">
        <v>26</v>
      </c>
      <c r="D4826" s="21" t="s">
        <v>921</v>
      </c>
      <c r="E4826" s="21">
        <v>11</v>
      </c>
      <c r="F4826" s="22">
        <v>45576.4442708333</v>
      </c>
      <c r="G4826" s="22">
        <v>45685.3821990741</v>
      </c>
      <c r="H4826" s="23">
        <v>960</v>
      </c>
      <c r="I4826" s="23">
        <v>48</v>
      </c>
      <c r="J4826" s="24">
        <v>528</v>
      </c>
      <c r="K4826" s="21">
        <v>0</v>
      </c>
      <c r="L4826" s="21">
        <v>0</v>
      </c>
      <c r="M4826" s="21">
        <f>COUNTIF($A$2:$A$5481,A4826)</f>
        <v>2</v>
      </c>
      <c r="N4826" s="24">
        <f t="shared" si="75"/>
        <v>528.0004826</v>
      </c>
    </row>
    <row r="4827" spans="1:14">
      <c r="A4827" s="21" t="s">
        <v>4372</v>
      </c>
      <c r="B4827" s="21" t="s">
        <v>26</v>
      </c>
      <c r="C4827" s="21" t="s">
        <v>783</v>
      </c>
      <c r="D4827" s="21" t="s">
        <v>921</v>
      </c>
      <c r="E4827" s="21">
        <v>60</v>
      </c>
      <c r="F4827" s="22">
        <v>45800.4188657407</v>
      </c>
      <c r="G4827" s="22">
        <v>45579.7439699074</v>
      </c>
      <c r="H4827" s="23">
        <v>1440</v>
      </c>
      <c r="I4827" s="23">
        <v>48.5369</v>
      </c>
      <c r="J4827" s="24">
        <v>2912.4</v>
      </c>
      <c r="K4827" s="21">
        <v>0</v>
      </c>
      <c r="L4827" s="21">
        <v>0</v>
      </c>
      <c r="M4827" s="21">
        <f>COUNTIF($A$2:$A$5481,A4827)</f>
        <v>2</v>
      </c>
      <c r="N4827" s="24">
        <f t="shared" si="75"/>
        <v>2912.4004827</v>
      </c>
    </row>
    <row r="4828" spans="1:14">
      <c r="A4828" s="21" t="s">
        <v>4373</v>
      </c>
      <c r="B4828" s="21" t="s">
        <v>26</v>
      </c>
      <c r="C4828" s="21" t="s">
        <v>26</v>
      </c>
      <c r="D4828" s="21" t="s">
        <v>921</v>
      </c>
      <c r="E4828" s="21">
        <v>5</v>
      </c>
      <c r="F4828" s="22">
        <v>45576.4442708333</v>
      </c>
      <c r="G4828" s="22"/>
      <c r="H4828" s="23">
        <v>290</v>
      </c>
      <c r="I4828" s="23">
        <v>58</v>
      </c>
      <c r="J4828" s="24">
        <v>290</v>
      </c>
      <c r="K4828" s="21">
        <v>0</v>
      </c>
      <c r="L4828" s="21">
        <v>0</v>
      </c>
      <c r="M4828" s="21">
        <f>COUNTIF($A$2:$A$5481,A4828)</f>
        <v>1</v>
      </c>
      <c r="N4828" s="24">
        <f t="shared" si="75"/>
        <v>290.0004828</v>
      </c>
    </row>
    <row r="4829" spans="1:14">
      <c r="A4829" s="21" t="s">
        <v>4374</v>
      </c>
      <c r="B4829" s="21" t="s">
        <v>26</v>
      </c>
      <c r="C4829" s="21" t="s">
        <v>783</v>
      </c>
      <c r="D4829" s="21" t="s">
        <v>921</v>
      </c>
      <c r="E4829" s="21">
        <v>1</v>
      </c>
      <c r="F4829" s="22">
        <v>45299.3865162037</v>
      </c>
      <c r="G4829" s="22">
        <v>45369.4933796296</v>
      </c>
      <c r="H4829" s="23">
        <v>624</v>
      </c>
      <c r="I4829" s="23">
        <v>48</v>
      </c>
      <c r="J4829" s="24">
        <v>48</v>
      </c>
      <c r="K4829" s="21">
        <v>0</v>
      </c>
      <c r="L4829" s="21">
        <v>0</v>
      </c>
      <c r="M4829" s="21">
        <f>COUNTIF($A$2:$A$5481,A4829)</f>
        <v>2</v>
      </c>
      <c r="N4829" s="24">
        <f t="shared" si="75"/>
        <v>48.0004829</v>
      </c>
    </row>
    <row r="4830" spans="1:14">
      <c r="A4830" s="21" t="s">
        <v>4374</v>
      </c>
      <c r="B4830" s="21" t="s">
        <v>26</v>
      </c>
      <c r="C4830" s="21" t="s">
        <v>26</v>
      </c>
      <c r="D4830" s="21" t="s">
        <v>921</v>
      </c>
      <c r="E4830" s="21">
        <v>52</v>
      </c>
      <c r="F4830" s="22">
        <v>46169.6471064815</v>
      </c>
      <c r="G4830" s="22">
        <v>45834.3544097222</v>
      </c>
      <c r="H4830" s="23">
        <v>2070</v>
      </c>
      <c r="I4830" s="23">
        <v>46.525</v>
      </c>
      <c r="J4830" s="24">
        <v>2419.56</v>
      </c>
      <c r="K4830" s="21">
        <v>0</v>
      </c>
      <c r="L4830" s="21">
        <v>0</v>
      </c>
      <c r="M4830" s="21">
        <f>COUNTIF($A$2:$A$5481,A4830)</f>
        <v>2</v>
      </c>
      <c r="N4830" s="24">
        <f t="shared" si="75"/>
        <v>2419.560483</v>
      </c>
    </row>
    <row r="4831" spans="1:14">
      <c r="A4831" s="21" t="s">
        <v>4375</v>
      </c>
      <c r="B4831" s="21" t="s">
        <v>26</v>
      </c>
      <c r="C4831" s="21" t="s">
        <v>783</v>
      </c>
      <c r="D4831" s="21" t="s">
        <v>921</v>
      </c>
      <c r="E4831" s="21">
        <v>6</v>
      </c>
      <c r="F4831" s="22">
        <v>45299.3865162037</v>
      </c>
      <c r="G4831" s="22">
        <v>45425.8506018519</v>
      </c>
      <c r="H4831" s="23">
        <v>1440</v>
      </c>
      <c r="I4831" s="23">
        <v>48</v>
      </c>
      <c r="J4831" s="24">
        <v>288</v>
      </c>
      <c r="K4831" s="21">
        <v>0</v>
      </c>
      <c r="L4831" s="21">
        <v>0</v>
      </c>
      <c r="M4831" s="21">
        <f>COUNTIF($A$2:$A$5481,A4831)</f>
        <v>1</v>
      </c>
      <c r="N4831" s="24">
        <f t="shared" si="75"/>
        <v>288.0004831</v>
      </c>
    </row>
    <row r="4832" spans="1:14">
      <c r="A4832" s="21" t="s">
        <v>4376</v>
      </c>
      <c r="B4832" s="21" t="s">
        <v>26</v>
      </c>
      <c r="C4832" s="21" t="s">
        <v>783</v>
      </c>
      <c r="D4832" s="21" t="s">
        <v>921</v>
      </c>
      <c r="E4832" s="21">
        <v>24</v>
      </c>
      <c r="F4832" s="22">
        <v>45299.3865162037</v>
      </c>
      <c r="G4832" s="22">
        <v>45566.861875</v>
      </c>
      <c r="H4832" s="23">
        <v>1440</v>
      </c>
      <c r="I4832" s="23">
        <v>48</v>
      </c>
      <c r="J4832" s="24">
        <v>1152</v>
      </c>
      <c r="K4832" s="21">
        <v>0</v>
      </c>
      <c r="L4832" s="21">
        <v>0</v>
      </c>
      <c r="M4832" s="21">
        <f>COUNTIF($A$2:$A$5481,A4832)</f>
        <v>2</v>
      </c>
      <c r="N4832" s="24">
        <f t="shared" si="75"/>
        <v>1152.0004832</v>
      </c>
    </row>
    <row r="4833" spans="1:14">
      <c r="A4833" s="21" t="s">
        <v>4376</v>
      </c>
      <c r="B4833" s="21" t="s">
        <v>26</v>
      </c>
      <c r="C4833" s="21" t="s">
        <v>26</v>
      </c>
      <c r="D4833" s="21" t="s">
        <v>921</v>
      </c>
      <c r="E4833" s="21">
        <v>17</v>
      </c>
      <c r="F4833" s="22">
        <v>45649.5701388889</v>
      </c>
      <c r="G4833" s="22">
        <v>45867.4321643519</v>
      </c>
      <c r="H4833" s="23">
        <v>998</v>
      </c>
      <c r="I4833" s="23">
        <v>49.9</v>
      </c>
      <c r="J4833" s="24">
        <v>848.3</v>
      </c>
      <c r="K4833" s="21">
        <v>0</v>
      </c>
      <c r="L4833" s="21">
        <v>0</v>
      </c>
      <c r="M4833" s="21">
        <f>COUNTIF($A$2:$A$5481,A4833)</f>
        <v>2</v>
      </c>
      <c r="N4833" s="24">
        <f t="shared" si="75"/>
        <v>848.3004833</v>
      </c>
    </row>
    <row r="4834" spans="1:14">
      <c r="A4834" s="21" t="s">
        <v>4377</v>
      </c>
      <c r="B4834" s="21" t="s">
        <v>26</v>
      </c>
      <c r="C4834" s="21" t="s">
        <v>783</v>
      </c>
      <c r="D4834" s="21" t="s">
        <v>921</v>
      </c>
      <c r="E4834" s="21">
        <v>10</v>
      </c>
      <c r="F4834" s="22">
        <v>45725.4101388889</v>
      </c>
      <c r="G4834" s="22"/>
      <c r="H4834" s="23">
        <v>400</v>
      </c>
      <c r="I4834" s="23">
        <v>40</v>
      </c>
      <c r="J4834" s="24">
        <v>400</v>
      </c>
      <c r="K4834" s="21">
        <v>0</v>
      </c>
      <c r="L4834" s="21">
        <v>0</v>
      </c>
      <c r="M4834" s="21">
        <f>COUNTIF($A$2:$A$5481,A4834)</f>
        <v>1</v>
      </c>
      <c r="N4834" s="24">
        <f t="shared" si="75"/>
        <v>400.0004834</v>
      </c>
    </row>
    <row r="4835" spans="1:14">
      <c r="A4835" s="21" t="s">
        <v>4378</v>
      </c>
      <c r="B4835" s="21" t="s">
        <v>26</v>
      </c>
      <c r="C4835" s="21" t="s">
        <v>783</v>
      </c>
      <c r="D4835" s="21" t="s">
        <v>921</v>
      </c>
      <c r="E4835" s="21">
        <v>20</v>
      </c>
      <c r="F4835" s="22">
        <v>45308.6166666667</v>
      </c>
      <c r="G4835" s="22"/>
      <c r="H4835" s="23">
        <v>480</v>
      </c>
      <c r="I4835" s="23">
        <v>48</v>
      </c>
      <c r="J4835" s="24">
        <v>960</v>
      </c>
      <c r="K4835" s="21">
        <v>0</v>
      </c>
      <c r="L4835" s="21">
        <v>0</v>
      </c>
      <c r="M4835" s="21">
        <f>COUNTIF($A$2:$A$5481,A4835)</f>
        <v>2</v>
      </c>
      <c r="N4835" s="24">
        <f t="shared" si="75"/>
        <v>960.0004835</v>
      </c>
    </row>
    <row r="4836" spans="1:14">
      <c r="A4836" s="21" t="s">
        <v>4378</v>
      </c>
      <c r="B4836" s="21" t="s">
        <v>26</v>
      </c>
      <c r="C4836" s="21" t="s">
        <v>26</v>
      </c>
      <c r="D4836" s="21" t="s">
        <v>921</v>
      </c>
      <c r="E4836" s="21">
        <v>20</v>
      </c>
      <c r="F4836" s="22">
        <v>45649.5701388889</v>
      </c>
      <c r="G4836" s="22"/>
      <c r="H4836" s="23">
        <v>998</v>
      </c>
      <c r="I4836" s="23">
        <v>49.9</v>
      </c>
      <c r="J4836" s="24">
        <v>998</v>
      </c>
      <c r="K4836" s="21">
        <v>0</v>
      </c>
      <c r="L4836" s="21">
        <v>0</v>
      </c>
      <c r="M4836" s="21">
        <f>COUNTIF($A$2:$A$5481,A4836)</f>
        <v>2</v>
      </c>
      <c r="N4836" s="24">
        <f t="shared" si="75"/>
        <v>998.0004836</v>
      </c>
    </row>
    <row r="4837" spans="1:14">
      <c r="A4837" s="21" t="s">
        <v>4379</v>
      </c>
      <c r="B4837" s="21" t="s">
        <v>26</v>
      </c>
      <c r="C4837" s="21" t="s">
        <v>783</v>
      </c>
      <c r="D4837" s="21" t="s">
        <v>921</v>
      </c>
      <c r="E4837" s="21">
        <v>10</v>
      </c>
      <c r="F4837" s="22">
        <v>45308.6166666667</v>
      </c>
      <c r="G4837" s="22"/>
      <c r="H4837" s="23">
        <v>480</v>
      </c>
      <c r="I4837" s="23">
        <v>48</v>
      </c>
      <c r="J4837" s="24">
        <v>480</v>
      </c>
      <c r="K4837" s="21">
        <v>0</v>
      </c>
      <c r="L4837" s="21">
        <v>0</v>
      </c>
      <c r="M4837" s="21">
        <f>COUNTIF($A$2:$A$5481,A4837)</f>
        <v>1</v>
      </c>
      <c r="N4837" s="24">
        <f t="shared" si="75"/>
        <v>480.0004837</v>
      </c>
    </row>
    <row r="4838" spans="1:14">
      <c r="A4838" s="21" t="s">
        <v>867</v>
      </c>
      <c r="B4838" s="21" t="s">
        <v>26</v>
      </c>
      <c r="C4838" s="21" t="s">
        <v>783</v>
      </c>
      <c r="D4838" s="21" t="s">
        <v>921</v>
      </c>
      <c r="E4838" s="21">
        <v>18</v>
      </c>
      <c r="F4838" s="22">
        <v>45308.6166666667</v>
      </c>
      <c r="G4838" s="22">
        <v>45539.4282175926</v>
      </c>
      <c r="H4838" s="23">
        <v>480</v>
      </c>
      <c r="I4838" s="23">
        <v>48</v>
      </c>
      <c r="J4838" s="24">
        <v>864</v>
      </c>
      <c r="K4838" s="21">
        <v>0</v>
      </c>
      <c r="L4838" s="21">
        <v>0</v>
      </c>
      <c r="M4838" s="21">
        <f>COUNTIF($A$2:$A$5481,A4838)</f>
        <v>2</v>
      </c>
      <c r="N4838" s="24">
        <f t="shared" si="75"/>
        <v>864.0004838</v>
      </c>
    </row>
    <row r="4839" spans="1:14">
      <c r="A4839" s="21" t="s">
        <v>867</v>
      </c>
      <c r="B4839" s="21" t="s">
        <v>26</v>
      </c>
      <c r="C4839" s="21" t="s">
        <v>26</v>
      </c>
      <c r="D4839" s="21" t="s">
        <v>921</v>
      </c>
      <c r="E4839" s="21">
        <v>8</v>
      </c>
      <c r="F4839" s="22">
        <v>45649.5701388889</v>
      </c>
      <c r="G4839" s="22">
        <v>46268.6382175926</v>
      </c>
      <c r="H4839" s="23">
        <v>499</v>
      </c>
      <c r="I4839" s="23">
        <v>49.9</v>
      </c>
      <c r="J4839" s="24">
        <v>399.2</v>
      </c>
      <c r="K4839" s="21">
        <v>0</v>
      </c>
      <c r="L4839" s="21">
        <v>0</v>
      </c>
      <c r="M4839" s="21">
        <f>COUNTIF($A$2:$A$5481,A4839)</f>
        <v>2</v>
      </c>
      <c r="N4839" s="24">
        <f t="shared" si="75"/>
        <v>399.2004839</v>
      </c>
    </row>
    <row r="4840" spans="1:14">
      <c r="A4840" s="21" t="s">
        <v>4380</v>
      </c>
      <c r="B4840" s="21" t="s">
        <v>26</v>
      </c>
      <c r="C4840" s="21" t="s">
        <v>26</v>
      </c>
      <c r="D4840" s="21" t="s">
        <v>921</v>
      </c>
      <c r="E4840" s="21">
        <v>20</v>
      </c>
      <c r="F4840" s="22">
        <v>45870.5410532407</v>
      </c>
      <c r="G4840" s="22"/>
      <c r="H4840" s="23">
        <v>960</v>
      </c>
      <c r="I4840" s="23">
        <v>48</v>
      </c>
      <c r="J4840" s="24">
        <v>960</v>
      </c>
      <c r="K4840" s="21">
        <v>0</v>
      </c>
      <c r="L4840" s="21">
        <v>0</v>
      </c>
      <c r="M4840" s="21">
        <f>COUNTIF($A$2:$A$5481,A4840)</f>
        <v>1</v>
      </c>
      <c r="N4840" s="24">
        <f t="shared" si="75"/>
        <v>960.000484</v>
      </c>
    </row>
    <row r="4841" spans="1:14">
      <c r="A4841" s="21" t="s">
        <v>4381</v>
      </c>
      <c r="B4841" s="21" t="s">
        <v>26</v>
      </c>
      <c r="C4841" s="21" t="s">
        <v>783</v>
      </c>
      <c r="D4841" s="21" t="s">
        <v>921</v>
      </c>
      <c r="E4841" s="21">
        <v>20</v>
      </c>
      <c r="F4841" s="22">
        <v>45308.6166666667</v>
      </c>
      <c r="G4841" s="22"/>
      <c r="H4841" s="23">
        <v>480</v>
      </c>
      <c r="I4841" s="23">
        <v>48</v>
      </c>
      <c r="J4841" s="24">
        <v>960</v>
      </c>
      <c r="K4841" s="21">
        <v>0</v>
      </c>
      <c r="L4841" s="21">
        <v>0</v>
      </c>
      <c r="M4841" s="21">
        <f>COUNTIF($A$2:$A$5481,A4841)</f>
        <v>2</v>
      </c>
      <c r="N4841" s="24">
        <f t="shared" si="75"/>
        <v>960.0004841</v>
      </c>
    </row>
    <row r="4842" spans="1:14">
      <c r="A4842" s="21" t="s">
        <v>4381</v>
      </c>
      <c r="B4842" s="21" t="s">
        <v>26</v>
      </c>
      <c r="C4842" s="21" t="s">
        <v>26</v>
      </c>
      <c r="D4842" s="21" t="s">
        <v>921</v>
      </c>
      <c r="E4842" s="21">
        <v>16</v>
      </c>
      <c r="F4842" s="22">
        <v>45649.5701388889</v>
      </c>
      <c r="G4842" s="22">
        <v>45863.5003819445</v>
      </c>
      <c r="H4842" s="23">
        <v>998</v>
      </c>
      <c r="I4842" s="23">
        <v>49.9</v>
      </c>
      <c r="J4842" s="24">
        <v>798.4</v>
      </c>
      <c r="K4842" s="21">
        <v>0</v>
      </c>
      <c r="L4842" s="21">
        <v>0</v>
      </c>
      <c r="M4842" s="21">
        <f>COUNTIF($A$2:$A$5481,A4842)</f>
        <v>2</v>
      </c>
      <c r="N4842" s="24">
        <f t="shared" si="75"/>
        <v>798.4004842</v>
      </c>
    </row>
    <row r="4843" spans="1:14">
      <c r="A4843" s="21" t="s">
        <v>4382</v>
      </c>
      <c r="B4843" s="21" t="s">
        <v>26</v>
      </c>
      <c r="C4843" s="21" t="s">
        <v>783</v>
      </c>
      <c r="D4843" s="21" t="s">
        <v>921</v>
      </c>
      <c r="E4843" s="21">
        <v>29</v>
      </c>
      <c r="F4843" s="22">
        <v>45800.4188657407</v>
      </c>
      <c r="G4843" s="22">
        <v>45352.4451736111</v>
      </c>
      <c r="H4843" s="23">
        <v>960</v>
      </c>
      <c r="I4843" s="23">
        <v>48</v>
      </c>
      <c r="J4843" s="24">
        <v>1392</v>
      </c>
      <c r="K4843" s="21">
        <v>0</v>
      </c>
      <c r="L4843" s="21">
        <v>0</v>
      </c>
      <c r="M4843" s="21">
        <f>COUNTIF($A$2:$A$5481,A4843)</f>
        <v>1</v>
      </c>
      <c r="N4843" s="24">
        <f t="shared" si="75"/>
        <v>1392.0004843</v>
      </c>
    </row>
    <row r="4844" spans="1:14">
      <c r="A4844" s="21" t="s">
        <v>4383</v>
      </c>
      <c r="B4844" s="21" t="s">
        <v>26</v>
      </c>
      <c r="C4844" s="21" t="s">
        <v>783</v>
      </c>
      <c r="D4844" s="21" t="s">
        <v>921</v>
      </c>
      <c r="E4844" s="21">
        <v>18</v>
      </c>
      <c r="F4844" s="22">
        <v>45308.6166666667</v>
      </c>
      <c r="G4844" s="22">
        <v>45643.549849537</v>
      </c>
      <c r="H4844" s="23">
        <v>720</v>
      </c>
      <c r="I4844" s="23">
        <v>48</v>
      </c>
      <c r="J4844" s="24">
        <v>864</v>
      </c>
      <c r="K4844" s="21">
        <v>0</v>
      </c>
      <c r="L4844" s="21">
        <v>0</v>
      </c>
      <c r="M4844" s="21">
        <f>COUNTIF($A$2:$A$5481,A4844)</f>
        <v>2</v>
      </c>
      <c r="N4844" s="24">
        <f t="shared" si="75"/>
        <v>864.0004844</v>
      </c>
    </row>
    <row r="4845" spans="1:14">
      <c r="A4845" s="21" t="s">
        <v>4383</v>
      </c>
      <c r="B4845" s="21" t="s">
        <v>26</v>
      </c>
      <c r="C4845" s="21" t="s">
        <v>26</v>
      </c>
      <c r="D4845" s="21" t="s">
        <v>921</v>
      </c>
      <c r="E4845" s="21">
        <v>15</v>
      </c>
      <c r="F4845" s="22">
        <v>45649.5701388889</v>
      </c>
      <c r="G4845" s="22"/>
      <c r="H4845" s="23">
        <v>748.5</v>
      </c>
      <c r="I4845" s="23">
        <v>49.9</v>
      </c>
      <c r="J4845" s="24">
        <v>748.5</v>
      </c>
      <c r="K4845" s="21">
        <v>0</v>
      </c>
      <c r="L4845" s="21">
        <v>0</v>
      </c>
      <c r="M4845" s="21">
        <f>COUNTIF($A$2:$A$5481,A4845)</f>
        <v>2</v>
      </c>
      <c r="N4845" s="24">
        <f t="shared" si="75"/>
        <v>748.5004845</v>
      </c>
    </row>
    <row r="4846" spans="1:14">
      <c r="A4846" s="21" t="s">
        <v>4384</v>
      </c>
      <c r="B4846" s="21" t="s">
        <v>1115</v>
      </c>
      <c r="C4846" s="21" t="s">
        <v>783</v>
      </c>
      <c r="D4846" s="21" t="s">
        <v>921</v>
      </c>
      <c r="E4846" s="21">
        <v>10</v>
      </c>
      <c r="F4846" s="22">
        <v>45725.4101388889</v>
      </c>
      <c r="G4846" s="22"/>
      <c r="H4846" s="23">
        <v>480</v>
      </c>
      <c r="I4846" s="23">
        <v>48</v>
      </c>
      <c r="J4846" s="24">
        <v>480</v>
      </c>
      <c r="K4846" s="21">
        <v>0</v>
      </c>
      <c r="L4846" s="21">
        <v>0</v>
      </c>
      <c r="M4846" s="21">
        <f>COUNTIF($A$2:$A$5481,A4846)</f>
        <v>1</v>
      </c>
      <c r="N4846" s="24">
        <f t="shared" si="75"/>
        <v>480.0004846</v>
      </c>
    </row>
    <row r="4847" spans="1:14">
      <c r="A4847" s="21" t="s">
        <v>4385</v>
      </c>
      <c r="B4847" s="21" t="s">
        <v>26</v>
      </c>
      <c r="C4847" s="21" t="s">
        <v>26</v>
      </c>
      <c r="D4847" s="21" t="s">
        <v>921</v>
      </c>
      <c r="E4847" s="21">
        <v>10</v>
      </c>
      <c r="F4847" s="22">
        <v>46254.625</v>
      </c>
      <c r="G4847" s="22"/>
      <c r="H4847" s="23">
        <v>640</v>
      </c>
      <c r="I4847" s="23">
        <v>64</v>
      </c>
      <c r="J4847" s="24">
        <v>640</v>
      </c>
      <c r="K4847" s="21">
        <v>0</v>
      </c>
      <c r="L4847" s="21">
        <v>0</v>
      </c>
      <c r="M4847" s="21">
        <f>COUNTIF($A$2:$A$5481,A4847)</f>
        <v>1</v>
      </c>
      <c r="N4847" s="24">
        <f t="shared" si="75"/>
        <v>640.0004847</v>
      </c>
    </row>
    <row r="4848" spans="1:14">
      <c r="A4848" s="21" t="s">
        <v>4386</v>
      </c>
      <c r="B4848" s="21" t="s">
        <v>26</v>
      </c>
      <c r="C4848" s="21" t="s">
        <v>26</v>
      </c>
      <c r="D4848" s="21" t="s">
        <v>921</v>
      </c>
      <c r="E4848" s="21">
        <v>5</v>
      </c>
      <c r="F4848" s="22">
        <v>46254.625</v>
      </c>
      <c r="G4848" s="22"/>
      <c r="H4848" s="23">
        <v>320</v>
      </c>
      <c r="I4848" s="23">
        <v>64</v>
      </c>
      <c r="J4848" s="24">
        <v>320</v>
      </c>
      <c r="K4848" s="21">
        <v>0</v>
      </c>
      <c r="L4848" s="21">
        <v>0</v>
      </c>
      <c r="M4848" s="21">
        <f>COUNTIF($A$2:$A$5481,A4848)</f>
        <v>1</v>
      </c>
      <c r="N4848" s="24">
        <f t="shared" si="75"/>
        <v>320.0004848</v>
      </c>
    </row>
    <row r="4849" spans="1:14">
      <c r="A4849" s="21" t="s">
        <v>4387</v>
      </c>
      <c r="B4849" s="21" t="s">
        <v>26</v>
      </c>
      <c r="C4849" s="21" t="s">
        <v>26</v>
      </c>
      <c r="D4849" s="21" t="s">
        <v>921</v>
      </c>
      <c r="E4849" s="21">
        <v>10</v>
      </c>
      <c r="F4849" s="22">
        <v>46254.625</v>
      </c>
      <c r="G4849" s="22"/>
      <c r="H4849" s="23">
        <v>640</v>
      </c>
      <c r="I4849" s="23">
        <v>64</v>
      </c>
      <c r="J4849" s="24">
        <v>640</v>
      </c>
      <c r="K4849" s="21">
        <v>0</v>
      </c>
      <c r="L4849" s="21">
        <v>0</v>
      </c>
      <c r="M4849" s="21">
        <f>COUNTIF($A$2:$A$5481,A4849)</f>
        <v>1</v>
      </c>
      <c r="N4849" s="24">
        <f t="shared" si="75"/>
        <v>640.0004849</v>
      </c>
    </row>
    <row r="4850" spans="1:14">
      <c r="A4850" s="21" t="s">
        <v>4388</v>
      </c>
      <c r="B4850" s="21" t="s">
        <v>26</v>
      </c>
      <c r="C4850" s="21" t="s">
        <v>26</v>
      </c>
      <c r="D4850" s="21" t="s">
        <v>921</v>
      </c>
      <c r="E4850" s="21">
        <v>10</v>
      </c>
      <c r="F4850" s="22">
        <v>46234.5565046296</v>
      </c>
      <c r="G4850" s="22"/>
      <c r="H4850" s="23">
        <v>16.24</v>
      </c>
      <c r="I4850" s="23">
        <v>10.595</v>
      </c>
      <c r="J4850" s="24">
        <v>106</v>
      </c>
      <c r="K4850" s="21">
        <v>0</v>
      </c>
      <c r="L4850" s="21">
        <v>0</v>
      </c>
      <c r="M4850" s="21">
        <f>COUNTIF($A$2:$A$5481,A4850)</f>
        <v>1</v>
      </c>
      <c r="N4850" s="24">
        <f t="shared" si="75"/>
        <v>106.000485</v>
      </c>
    </row>
    <row r="4851" spans="1:14">
      <c r="A4851" s="21" t="s">
        <v>4389</v>
      </c>
      <c r="B4851" s="21" t="s">
        <v>929</v>
      </c>
      <c r="C4851" s="21" t="s">
        <v>26</v>
      </c>
      <c r="D4851" s="21" t="s">
        <v>921</v>
      </c>
      <c r="E4851" s="21">
        <v>5</v>
      </c>
      <c r="F4851" s="22">
        <v>45951.668900463</v>
      </c>
      <c r="G4851" s="22"/>
      <c r="H4851" s="23">
        <v>77.92</v>
      </c>
      <c r="I4851" s="23">
        <v>29.914</v>
      </c>
      <c r="J4851" s="24">
        <v>149.55</v>
      </c>
      <c r="K4851" s="21">
        <v>0</v>
      </c>
      <c r="L4851" s="21">
        <v>0</v>
      </c>
      <c r="M4851" s="21">
        <f>COUNTIF($A$2:$A$5481,A4851)</f>
        <v>1</v>
      </c>
      <c r="N4851" s="24">
        <f t="shared" si="75"/>
        <v>149.5504851</v>
      </c>
    </row>
    <row r="4852" spans="1:14">
      <c r="A4852" s="21" t="s">
        <v>781</v>
      </c>
      <c r="B4852" s="21" t="s">
        <v>1115</v>
      </c>
      <c r="C4852" s="21" t="s">
        <v>26</v>
      </c>
      <c r="D4852" s="21" t="s">
        <v>921</v>
      </c>
      <c r="E4852" s="21">
        <v>6</v>
      </c>
      <c r="F4852" s="22">
        <v>45692.4096296296</v>
      </c>
      <c r="G4852" s="22">
        <v>46253.3532986111</v>
      </c>
      <c r="H4852" s="23">
        <v>263.2</v>
      </c>
      <c r="I4852" s="23">
        <v>32.9</v>
      </c>
      <c r="J4852" s="24">
        <v>197.4</v>
      </c>
      <c r="K4852" s="21">
        <v>0</v>
      </c>
      <c r="L4852" s="21">
        <v>0</v>
      </c>
      <c r="M4852" s="21">
        <f>COUNTIF($A$2:$A$5481,A4852)</f>
        <v>1</v>
      </c>
      <c r="N4852" s="24">
        <f t="shared" si="75"/>
        <v>197.4004852</v>
      </c>
    </row>
    <row r="4853" spans="1:14">
      <c r="A4853" s="21" t="s">
        <v>4390</v>
      </c>
      <c r="B4853" s="21" t="s">
        <v>926</v>
      </c>
      <c r="C4853" s="21" t="s">
        <v>38</v>
      </c>
      <c r="D4853" s="21" t="s">
        <v>921</v>
      </c>
      <c r="E4853" s="21">
        <v>116</v>
      </c>
      <c r="F4853" s="22">
        <v>46029.5292592593</v>
      </c>
      <c r="G4853" s="22">
        <v>45944.6197222222</v>
      </c>
      <c r="H4853" s="23">
        <v>337.2</v>
      </c>
      <c r="I4853" s="23">
        <v>7.715862069</v>
      </c>
      <c r="J4853" s="24">
        <v>895.52</v>
      </c>
      <c r="K4853" s="21">
        <v>0</v>
      </c>
      <c r="L4853" s="21">
        <v>0</v>
      </c>
      <c r="M4853" s="21">
        <f>COUNTIF($A$2:$A$5481,A4853)</f>
        <v>1</v>
      </c>
      <c r="N4853" s="24">
        <f t="shared" si="75"/>
        <v>895.5204853</v>
      </c>
    </row>
    <row r="4854" spans="1:14">
      <c r="A4854" s="21" t="s">
        <v>4391</v>
      </c>
      <c r="B4854" s="21" t="s">
        <v>926</v>
      </c>
      <c r="C4854" s="21" t="s">
        <v>38</v>
      </c>
      <c r="D4854" s="21" t="s">
        <v>921</v>
      </c>
      <c r="E4854" s="21">
        <v>32</v>
      </c>
      <c r="F4854" s="22">
        <v>45499.3518402778</v>
      </c>
      <c r="G4854" s="22"/>
      <c r="H4854" s="23">
        <v>136.2</v>
      </c>
      <c r="I4854" s="23">
        <v>7.065</v>
      </c>
      <c r="J4854" s="24">
        <v>226.24</v>
      </c>
      <c r="K4854" s="21">
        <v>0</v>
      </c>
      <c r="L4854" s="21">
        <v>0</v>
      </c>
      <c r="M4854" s="21">
        <f>COUNTIF($A$2:$A$5481,A4854)</f>
        <v>1</v>
      </c>
      <c r="N4854" s="24">
        <f t="shared" si="75"/>
        <v>226.2404854</v>
      </c>
    </row>
    <row r="4855" spans="1:14">
      <c r="A4855" s="21" t="s">
        <v>648</v>
      </c>
      <c r="B4855" s="21" t="s">
        <v>1115</v>
      </c>
      <c r="C4855" s="21" t="s">
        <v>26</v>
      </c>
      <c r="D4855" s="21" t="s">
        <v>921</v>
      </c>
      <c r="E4855" s="21">
        <v>0</v>
      </c>
      <c r="F4855" s="22">
        <v>45692.4096296296</v>
      </c>
      <c r="G4855" s="22">
        <v>46252.5049537037</v>
      </c>
      <c r="H4855" s="23">
        <v>61.98</v>
      </c>
      <c r="I4855" s="23">
        <v>30.99</v>
      </c>
      <c r="J4855" s="24">
        <v>0</v>
      </c>
      <c r="K4855" s="21">
        <v>0</v>
      </c>
      <c r="L4855" s="21">
        <v>0</v>
      </c>
      <c r="M4855" s="21">
        <f>COUNTIF($A$2:$A$5481,A4855)</f>
        <v>1</v>
      </c>
      <c r="N4855" s="24">
        <f t="shared" si="75"/>
        <v>0.0004855</v>
      </c>
    </row>
    <row r="4856" spans="1:14">
      <c r="A4856" s="21" t="s">
        <v>4392</v>
      </c>
      <c r="B4856" s="21" t="s">
        <v>26</v>
      </c>
      <c r="C4856" s="21" t="s">
        <v>182</v>
      </c>
      <c r="D4856" s="21" t="s">
        <v>921</v>
      </c>
      <c r="E4856" s="21">
        <v>50</v>
      </c>
      <c r="F4856" s="22">
        <v>45299.8245023148</v>
      </c>
      <c r="G4856" s="22"/>
      <c r="H4856" s="23">
        <v>350</v>
      </c>
      <c r="I4856" s="23">
        <v>7</v>
      </c>
      <c r="J4856" s="24">
        <v>350</v>
      </c>
      <c r="K4856" s="21">
        <v>5</v>
      </c>
      <c r="L4856" s="21">
        <v>100</v>
      </c>
      <c r="M4856" s="21">
        <f>COUNTIF($A$2:$A$5481,A4856)</f>
        <v>3</v>
      </c>
      <c r="N4856" s="24">
        <f t="shared" si="75"/>
        <v>350.0004856</v>
      </c>
    </row>
    <row r="4857" spans="1:14">
      <c r="A4857" s="21" t="s">
        <v>4392</v>
      </c>
      <c r="B4857" s="21" t="s">
        <v>26</v>
      </c>
      <c r="C4857" s="21" t="s">
        <v>26</v>
      </c>
      <c r="D4857" s="21" t="s">
        <v>921</v>
      </c>
      <c r="E4857" s="21">
        <v>17</v>
      </c>
      <c r="F4857" s="22">
        <v>45547.4085069444</v>
      </c>
      <c r="G4857" s="22">
        <v>45803.4669444444</v>
      </c>
      <c r="H4857" s="23">
        <v>385</v>
      </c>
      <c r="I4857" s="23">
        <v>19.25</v>
      </c>
      <c r="J4857" s="24">
        <v>327.25</v>
      </c>
      <c r="K4857" s="21">
        <v>5</v>
      </c>
      <c r="L4857" s="21">
        <v>100</v>
      </c>
      <c r="M4857" s="21">
        <f>COUNTIF($A$2:$A$5481,A4857)</f>
        <v>3</v>
      </c>
      <c r="N4857" s="24">
        <f t="shared" si="75"/>
        <v>327.2504857</v>
      </c>
    </row>
    <row r="4858" spans="1:14">
      <c r="A4858" s="21" t="s">
        <v>4392</v>
      </c>
      <c r="B4858" s="21" t="s">
        <v>26</v>
      </c>
      <c r="C4858" s="21" t="s">
        <v>51</v>
      </c>
      <c r="D4858" s="21" t="s">
        <v>921</v>
      </c>
      <c r="E4858" s="21">
        <v>30</v>
      </c>
      <c r="F4858" s="22">
        <v>46014.7233796296</v>
      </c>
      <c r="G4858" s="22"/>
      <c r="H4858" s="23">
        <v>750</v>
      </c>
      <c r="I4858" s="23">
        <v>25</v>
      </c>
      <c r="J4858" s="24">
        <v>750</v>
      </c>
      <c r="K4858" s="21">
        <v>5</v>
      </c>
      <c r="L4858" s="21">
        <v>100</v>
      </c>
      <c r="M4858" s="21">
        <f>COUNTIF($A$2:$A$5481,A4858)</f>
        <v>3</v>
      </c>
      <c r="N4858" s="24">
        <f t="shared" si="75"/>
        <v>750.0004858</v>
      </c>
    </row>
    <row r="4859" spans="1:14">
      <c r="A4859" s="21" t="s">
        <v>800</v>
      </c>
      <c r="B4859" s="21" t="s">
        <v>1898</v>
      </c>
      <c r="C4859" s="21" t="s">
        <v>182</v>
      </c>
      <c r="D4859" s="21" t="s">
        <v>921</v>
      </c>
      <c r="E4859" s="21">
        <v>6</v>
      </c>
      <c r="F4859" s="22">
        <v>46251.5368055556</v>
      </c>
      <c r="G4859" s="22">
        <v>46259.6576388889</v>
      </c>
      <c r="H4859" s="23">
        <v>46.8</v>
      </c>
      <c r="I4859" s="23">
        <v>4.68</v>
      </c>
      <c r="J4859" s="24">
        <v>28.08</v>
      </c>
      <c r="K4859" s="21">
        <v>0</v>
      </c>
      <c r="L4859" s="21">
        <v>0</v>
      </c>
      <c r="M4859" s="21">
        <f>COUNTIF($A$2:$A$5481,A4859)</f>
        <v>1</v>
      </c>
      <c r="N4859" s="24">
        <f t="shared" si="75"/>
        <v>28.0804859</v>
      </c>
    </row>
    <row r="4860" spans="1:14">
      <c r="A4860" s="21" t="s">
        <v>4393</v>
      </c>
      <c r="B4860" s="21" t="s">
        <v>920</v>
      </c>
      <c r="C4860" s="21" t="s">
        <v>26</v>
      </c>
      <c r="D4860" s="21" t="s">
        <v>921</v>
      </c>
      <c r="E4860" s="21">
        <v>0</v>
      </c>
      <c r="F4860" s="22">
        <v>45351.4194444444</v>
      </c>
      <c r="G4860" s="22">
        <v>45355.4209953704</v>
      </c>
      <c r="H4860" s="23">
        <v>97.96</v>
      </c>
      <c r="I4860" s="23">
        <v>48.98</v>
      </c>
      <c r="J4860" s="24">
        <v>0</v>
      </c>
      <c r="K4860" s="21">
        <v>0</v>
      </c>
      <c r="L4860" s="21">
        <v>0</v>
      </c>
      <c r="M4860" s="21">
        <f>COUNTIF($A$2:$A$5481,A4860)</f>
        <v>1</v>
      </c>
      <c r="N4860" s="24">
        <f t="shared" si="75"/>
        <v>0.000486</v>
      </c>
    </row>
    <row r="4861" spans="1:14">
      <c r="A4861" s="21" t="s">
        <v>4394</v>
      </c>
      <c r="B4861" s="21" t="s">
        <v>920</v>
      </c>
      <c r="C4861" s="21" t="s">
        <v>26</v>
      </c>
      <c r="D4861" s="21" t="s">
        <v>921</v>
      </c>
      <c r="E4861" s="21">
        <v>1</v>
      </c>
      <c r="F4861" s="22">
        <v>45916.709375</v>
      </c>
      <c r="G4861" s="22"/>
      <c r="H4861" s="23">
        <v>160.22</v>
      </c>
      <c r="I4861" s="23">
        <v>160.22</v>
      </c>
      <c r="J4861" s="24">
        <v>160.22</v>
      </c>
      <c r="K4861" s="21">
        <v>0</v>
      </c>
      <c r="L4861" s="21">
        <v>0</v>
      </c>
      <c r="M4861" s="21">
        <f>COUNTIF($A$2:$A$5481,A4861)</f>
        <v>1</v>
      </c>
      <c r="N4861" s="24">
        <f t="shared" si="75"/>
        <v>160.2204861</v>
      </c>
    </row>
    <row r="4862" spans="1:14">
      <c r="A4862" s="21" t="s">
        <v>427</v>
      </c>
      <c r="B4862" s="21" t="s">
        <v>926</v>
      </c>
      <c r="C4862" s="21" t="s">
        <v>38</v>
      </c>
      <c r="D4862" s="21" t="s">
        <v>921</v>
      </c>
      <c r="E4862" s="21">
        <v>2</v>
      </c>
      <c r="F4862" s="22">
        <v>45308.5895833333</v>
      </c>
      <c r="G4862" s="22">
        <v>46199.6722916667</v>
      </c>
      <c r="H4862" s="23">
        <v>2148</v>
      </c>
      <c r="I4862" s="23">
        <v>537</v>
      </c>
      <c r="J4862" s="24">
        <v>1074</v>
      </c>
      <c r="K4862" s="21">
        <v>0</v>
      </c>
      <c r="L4862" s="21">
        <v>0</v>
      </c>
      <c r="M4862" s="21">
        <f>COUNTIF($A$2:$A$5481,A4862)</f>
        <v>1</v>
      </c>
      <c r="N4862" s="24">
        <f t="shared" si="75"/>
        <v>1074.0004862</v>
      </c>
    </row>
    <row r="4863" spans="1:14">
      <c r="A4863" s="21" t="s">
        <v>4395</v>
      </c>
      <c r="B4863" s="21" t="s">
        <v>920</v>
      </c>
      <c r="C4863" s="21" t="s">
        <v>26</v>
      </c>
      <c r="D4863" s="21" t="s">
        <v>921</v>
      </c>
      <c r="E4863" s="21">
        <v>4</v>
      </c>
      <c r="F4863" s="22">
        <v>45742.4445486111</v>
      </c>
      <c r="G4863" s="22"/>
      <c r="H4863" s="23">
        <v>160</v>
      </c>
      <c r="I4863" s="23">
        <v>40</v>
      </c>
      <c r="J4863" s="24">
        <v>160</v>
      </c>
      <c r="K4863" s="21">
        <v>0</v>
      </c>
      <c r="L4863" s="21">
        <v>0</v>
      </c>
      <c r="M4863" s="21">
        <f>COUNTIF($A$2:$A$5481,A4863)</f>
        <v>1</v>
      </c>
      <c r="N4863" s="24">
        <f t="shared" si="75"/>
        <v>160.0004863</v>
      </c>
    </row>
    <row r="4864" spans="1:14">
      <c r="A4864" s="21" t="s">
        <v>4396</v>
      </c>
      <c r="B4864" s="21" t="s">
        <v>920</v>
      </c>
      <c r="C4864" s="21" t="s">
        <v>26</v>
      </c>
      <c r="D4864" s="21" t="s">
        <v>921</v>
      </c>
      <c r="E4864" s="21">
        <v>4</v>
      </c>
      <c r="F4864" s="22">
        <v>46168.6651851852</v>
      </c>
      <c r="G4864" s="22"/>
      <c r="H4864" s="23">
        <v>200</v>
      </c>
      <c r="I4864" s="23">
        <v>50</v>
      </c>
      <c r="J4864" s="24">
        <v>200</v>
      </c>
      <c r="K4864" s="21">
        <v>0</v>
      </c>
      <c r="L4864" s="21">
        <v>0</v>
      </c>
      <c r="M4864" s="21">
        <f>COUNTIF($A$2:$A$5481,A4864)</f>
        <v>1</v>
      </c>
      <c r="N4864" s="24">
        <f t="shared" si="75"/>
        <v>200.0004864</v>
      </c>
    </row>
    <row r="4865" spans="1:14">
      <c r="A4865" s="21" t="s">
        <v>4397</v>
      </c>
      <c r="B4865" s="21" t="s">
        <v>26</v>
      </c>
      <c r="C4865" s="21" t="s">
        <v>26</v>
      </c>
      <c r="D4865" s="21" t="s">
        <v>921</v>
      </c>
      <c r="E4865" s="21">
        <v>6</v>
      </c>
      <c r="F4865" s="22">
        <v>45852.5810300926</v>
      </c>
      <c r="G4865" s="22"/>
      <c r="H4865" s="23">
        <v>79.6</v>
      </c>
      <c r="I4865" s="23">
        <v>18.23333</v>
      </c>
      <c r="J4865" s="24">
        <v>109.38</v>
      </c>
      <c r="K4865" s="21">
        <v>0</v>
      </c>
      <c r="L4865" s="21">
        <v>0</v>
      </c>
      <c r="M4865" s="21">
        <f>COUNTIF($A$2:$A$5481,A4865)</f>
        <v>1</v>
      </c>
      <c r="N4865" s="24">
        <f t="shared" si="75"/>
        <v>109.3804865</v>
      </c>
    </row>
    <row r="4866" spans="1:14">
      <c r="A4866" s="21" t="s">
        <v>4398</v>
      </c>
      <c r="B4866" s="21" t="s">
        <v>920</v>
      </c>
      <c r="C4866" s="21" t="s">
        <v>26</v>
      </c>
      <c r="D4866" s="21" t="s">
        <v>921</v>
      </c>
      <c r="E4866" s="21">
        <v>2</v>
      </c>
      <c r="F4866" s="22">
        <v>46251.7298842593</v>
      </c>
      <c r="G4866" s="22"/>
      <c r="H4866" s="23">
        <v>59.54</v>
      </c>
      <c r="I4866" s="23">
        <v>29.77</v>
      </c>
      <c r="J4866" s="24">
        <v>59.54</v>
      </c>
      <c r="K4866" s="21">
        <v>0</v>
      </c>
      <c r="L4866" s="21">
        <v>0</v>
      </c>
      <c r="M4866" s="21">
        <f>COUNTIF($A$2:$A$5481,A4866)</f>
        <v>1</v>
      </c>
      <c r="N4866" s="24">
        <f t="shared" ref="N4866:N4929" si="76">J4866+ROW()/10000000</f>
        <v>59.5404866</v>
      </c>
    </row>
    <row r="4867" spans="1:14">
      <c r="A4867" s="21" t="s">
        <v>4399</v>
      </c>
      <c r="B4867" s="21" t="s">
        <v>920</v>
      </c>
      <c r="C4867" s="21" t="s">
        <v>26</v>
      </c>
      <c r="D4867" s="21" t="s">
        <v>921</v>
      </c>
      <c r="E4867" s="21">
        <v>5</v>
      </c>
      <c r="F4867" s="22">
        <v>46216.6901273148</v>
      </c>
      <c r="G4867" s="22"/>
      <c r="H4867" s="23">
        <v>110</v>
      </c>
      <c r="I4867" s="23">
        <v>22</v>
      </c>
      <c r="J4867" s="24">
        <v>110</v>
      </c>
      <c r="K4867" s="21">
        <v>0</v>
      </c>
      <c r="L4867" s="21">
        <v>0</v>
      </c>
      <c r="M4867" s="21">
        <f>COUNTIF($A$2:$A$5481,A4867)</f>
        <v>1</v>
      </c>
      <c r="N4867" s="24">
        <f t="shared" si="76"/>
        <v>110.0004867</v>
      </c>
    </row>
    <row r="4868" spans="1:14">
      <c r="A4868" s="21" t="s">
        <v>4400</v>
      </c>
      <c r="B4868" s="21" t="s">
        <v>26</v>
      </c>
      <c r="C4868" s="21" t="s">
        <v>26</v>
      </c>
      <c r="D4868" s="21" t="s">
        <v>921</v>
      </c>
      <c r="E4868" s="21">
        <v>1</v>
      </c>
      <c r="F4868" s="22">
        <v>45723.8263773148</v>
      </c>
      <c r="G4868" s="22"/>
      <c r="H4868" s="23">
        <v>185</v>
      </c>
      <c r="I4868" s="23">
        <v>185</v>
      </c>
      <c r="J4868" s="24">
        <v>185</v>
      </c>
      <c r="K4868" s="21">
        <v>0</v>
      </c>
      <c r="L4868" s="21">
        <v>0</v>
      </c>
      <c r="M4868" s="21">
        <f>COUNTIF($A$2:$A$5481,A4868)</f>
        <v>1</v>
      </c>
      <c r="N4868" s="24">
        <f t="shared" si="76"/>
        <v>185.0004868</v>
      </c>
    </row>
    <row r="4869" spans="1:14">
      <c r="A4869" s="21" t="s">
        <v>4401</v>
      </c>
      <c r="B4869" s="21" t="s">
        <v>929</v>
      </c>
      <c r="C4869" s="21" t="s">
        <v>414</v>
      </c>
      <c r="D4869" s="21" t="s">
        <v>921</v>
      </c>
      <c r="E4869" s="21">
        <v>1</v>
      </c>
      <c r="F4869" s="22">
        <v>45321.4652777778</v>
      </c>
      <c r="G4869" s="22"/>
      <c r="H4869" s="23">
        <v>15.47</v>
      </c>
      <c r="I4869" s="23">
        <v>15.47</v>
      </c>
      <c r="J4869" s="24">
        <v>15.47</v>
      </c>
      <c r="K4869" s="21">
        <v>0</v>
      </c>
      <c r="L4869" s="21">
        <v>0</v>
      </c>
      <c r="M4869" s="21">
        <f>COUNTIF($A$2:$A$5481,A4869)</f>
        <v>2</v>
      </c>
      <c r="N4869" s="24">
        <f t="shared" si="76"/>
        <v>15.4704869</v>
      </c>
    </row>
    <row r="4870" spans="1:14">
      <c r="A4870" s="21" t="s">
        <v>4401</v>
      </c>
      <c r="B4870" s="21" t="s">
        <v>929</v>
      </c>
      <c r="C4870" s="21" t="s">
        <v>26</v>
      </c>
      <c r="D4870" s="21" t="s">
        <v>921</v>
      </c>
      <c r="E4870" s="21">
        <v>1</v>
      </c>
      <c r="F4870" s="22">
        <v>45348.4737962963</v>
      </c>
      <c r="G4870" s="22"/>
      <c r="H4870" s="23">
        <v>65</v>
      </c>
      <c r="I4870" s="23">
        <v>65</v>
      </c>
      <c r="J4870" s="24">
        <v>65</v>
      </c>
      <c r="K4870" s="21">
        <v>0</v>
      </c>
      <c r="L4870" s="21">
        <v>0</v>
      </c>
      <c r="M4870" s="21">
        <f>COUNTIF($A$2:$A$5481,A4870)</f>
        <v>2</v>
      </c>
      <c r="N4870" s="24">
        <f t="shared" si="76"/>
        <v>65.000487</v>
      </c>
    </row>
    <row r="4871" spans="1:14">
      <c r="A4871" s="21" t="s">
        <v>4402</v>
      </c>
      <c r="B4871" s="21" t="s">
        <v>920</v>
      </c>
      <c r="C4871" s="21" t="s">
        <v>35</v>
      </c>
      <c r="D4871" s="21" t="s">
        <v>931</v>
      </c>
      <c r="E4871" s="21">
        <v>0</v>
      </c>
      <c r="F4871" s="22">
        <v>45939.6877083333</v>
      </c>
      <c r="G4871" s="22">
        <v>45940.4330902778</v>
      </c>
      <c r="H4871" s="23">
        <v>152</v>
      </c>
      <c r="I4871" s="23">
        <v>76</v>
      </c>
      <c r="J4871" s="24">
        <v>0</v>
      </c>
      <c r="K4871" s="21">
        <v>0</v>
      </c>
      <c r="L4871" s="21">
        <v>0</v>
      </c>
      <c r="M4871" s="21">
        <f>COUNTIF($A$2:$A$5481,A4871)</f>
        <v>1</v>
      </c>
      <c r="N4871" s="24">
        <f t="shared" si="76"/>
        <v>0.0004871</v>
      </c>
    </row>
    <row r="4872" spans="1:14">
      <c r="A4872" s="21" t="s">
        <v>4403</v>
      </c>
      <c r="B4872" s="21" t="s">
        <v>920</v>
      </c>
      <c r="C4872" s="21" t="s">
        <v>26</v>
      </c>
      <c r="D4872" s="21" t="s">
        <v>921</v>
      </c>
      <c r="E4872" s="21">
        <v>1</v>
      </c>
      <c r="F4872" s="22">
        <v>46248.550775463</v>
      </c>
      <c r="G4872" s="22"/>
      <c r="H4872" s="23">
        <v>24.58</v>
      </c>
      <c r="I4872" s="23">
        <v>24.58</v>
      </c>
      <c r="J4872" s="24">
        <v>24.58</v>
      </c>
      <c r="K4872" s="21">
        <v>0</v>
      </c>
      <c r="L4872" s="21">
        <v>0</v>
      </c>
      <c r="M4872" s="21">
        <f>COUNTIF($A$2:$A$5481,A4872)</f>
        <v>1</v>
      </c>
      <c r="N4872" s="24">
        <f t="shared" si="76"/>
        <v>24.5804872</v>
      </c>
    </row>
    <row r="4873" spans="1:14">
      <c r="A4873" s="21" t="s">
        <v>4404</v>
      </c>
      <c r="B4873" s="21" t="s">
        <v>920</v>
      </c>
      <c r="C4873" s="21" t="s">
        <v>26</v>
      </c>
      <c r="D4873" s="21" t="s">
        <v>921</v>
      </c>
      <c r="E4873" s="21">
        <v>13</v>
      </c>
      <c r="F4873" s="22">
        <v>45988.5865509259</v>
      </c>
      <c r="G4873" s="22">
        <v>45769.3759259259</v>
      </c>
      <c r="H4873" s="23">
        <v>75</v>
      </c>
      <c r="I4873" s="23">
        <v>23.4790207692</v>
      </c>
      <c r="J4873" s="24">
        <v>305.24</v>
      </c>
      <c r="K4873" s="21">
        <v>0</v>
      </c>
      <c r="L4873" s="21">
        <v>0</v>
      </c>
      <c r="M4873" s="21">
        <f>COUNTIF($A$2:$A$5481,A4873)</f>
        <v>1</v>
      </c>
      <c r="N4873" s="24">
        <f t="shared" si="76"/>
        <v>305.2404873</v>
      </c>
    </row>
    <row r="4874" spans="1:14">
      <c r="A4874" s="21" t="s">
        <v>4405</v>
      </c>
      <c r="B4874" s="21" t="s">
        <v>949</v>
      </c>
      <c r="C4874" s="21" t="s">
        <v>26</v>
      </c>
      <c r="D4874" s="21" t="s">
        <v>921</v>
      </c>
      <c r="E4874" s="21">
        <v>1</v>
      </c>
      <c r="F4874" s="22">
        <v>46006.3373842593</v>
      </c>
      <c r="G4874" s="22"/>
      <c r="H4874" s="23">
        <v>10</v>
      </c>
      <c r="I4874" s="23">
        <v>10</v>
      </c>
      <c r="J4874" s="24">
        <v>10</v>
      </c>
      <c r="K4874" s="21">
        <v>0</v>
      </c>
      <c r="L4874" s="21">
        <v>0</v>
      </c>
      <c r="M4874" s="21">
        <f>COUNTIF($A$2:$A$5481,A4874)</f>
        <v>1</v>
      </c>
      <c r="N4874" s="24">
        <f t="shared" si="76"/>
        <v>10.0004874</v>
      </c>
    </row>
    <row r="4875" spans="1:14">
      <c r="A4875" s="21" t="s">
        <v>4406</v>
      </c>
      <c r="B4875" s="21" t="s">
        <v>929</v>
      </c>
      <c r="C4875" s="21" t="s">
        <v>26</v>
      </c>
      <c r="D4875" s="21" t="s">
        <v>921</v>
      </c>
      <c r="E4875" s="21">
        <v>3</v>
      </c>
      <c r="F4875" s="22">
        <v>46136.6362384259</v>
      </c>
      <c r="G4875" s="22"/>
      <c r="H4875" s="23">
        <v>11.28</v>
      </c>
      <c r="I4875" s="23">
        <v>3.76</v>
      </c>
      <c r="J4875" s="24">
        <v>11.28</v>
      </c>
      <c r="K4875" s="21">
        <v>0</v>
      </c>
      <c r="L4875" s="21">
        <v>0</v>
      </c>
      <c r="M4875" s="21">
        <f>COUNTIF($A$2:$A$5481,A4875)</f>
        <v>1</v>
      </c>
      <c r="N4875" s="24">
        <f t="shared" si="76"/>
        <v>11.2804875</v>
      </c>
    </row>
    <row r="4876" spans="1:14">
      <c r="A4876" s="21" t="s">
        <v>4407</v>
      </c>
      <c r="B4876" s="21" t="s">
        <v>920</v>
      </c>
      <c r="C4876" s="21" t="s">
        <v>35</v>
      </c>
      <c r="D4876" s="21" t="s">
        <v>921</v>
      </c>
      <c r="E4876" s="21">
        <v>2</v>
      </c>
      <c r="F4876" s="22">
        <v>45425.4576388889</v>
      </c>
      <c r="G4876" s="22"/>
      <c r="H4876" s="23">
        <v>25.98</v>
      </c>
      <c r="I4876" s="23">
        <v>12.99</v>
      </c>
      <c r="J4876" s="24">
        <v>25.98</v>
      </c>
      <c r="K4876" s="21">
        <v>0</v>
      </c>
      <c r="L4876" s="21">
        <v>0</v>
      </c>
      <c r="M4876" s="21">
        <f>COUNTIF($A$2:$A$5481,A4876)</f>
        <v>1</v>
      </c>
      <c r="N4876" s="24">
        <f t="shared" si="76"/>
        <v>25.9804876</v>
      </c>
    </row>
    <row r="4877" spans="1:14">
      <c r="A4877" s="21" t="s">
        <v>4408</v>
      </c>
      <c r="B4877" s="21" t="s">
        <v>2944</v>
      </c>
      <c r="C4877" s="21" t="s">
        <v>26</v>
      </c>
      <c r="D4877" s="21" t="s">
        <v>931</v>
      </c>
      <c r="E4877" s="21">
        <v>3</v>
      </c>
      <c r="F4877" s="22">
        <v>45687.5280208333</v>
      </c>
      <c r="G4877" s="22"/>
      <c r="H4877" s="23">
        <v>210.12</v>
      </c>
      <c r="I4877" s="23">
        <v>161.85333</v>
      </c>
      <c r="J4877" s="24">
        <v>485.55</v>
      </c>
      <c r="K4877" s="21">
        <v>0</v>
      </c>
      <c r="L4877" s="21">
        <v>0</v>
      </c>
      <c r="M4877" s="21">
        <f>COUNTIF($A$2:$A$5481,A4877)</f>
        <v>1</v>
      </c>
      <c r="N4877" s="24">
        <f t="shared" si="76"/>
        <v>485.5504877</v>
      </c>
    </row>
    <row r="4878" spans="1:14">
      <c r="A4878" s="21" t="s">
        <v>4409</v>
      </c>
      <c r="B4878" s="21" t="s">
        <v>26</v>
      </c>
      <c r="C4878" s="21" t="s">
        <v>26</v>
      </c>
      <c r="D4878" s="21" t="s">
        <v>921</v>
      </c>
      <c r="E4878" s="21">
        <v>10</v>
      </c>
      <c r="F4878" s="22">
        <v>45699.84375</v>
      </c>
      <c r="G4878" s="22"/>
      <c r="H4878" s="23">
        <v>114.9</v>
      </c>
      <c r="I4878" s="23">
        <v>11.49</v>
      </c>
      <c r="J4878" s="24">
        <v>114.9</v>
      </c>
      <c r="K4878" s="21">
        <v>0</v>
      </c>
      <c r="L4878" s="21">
        <v>0</v>
      </c>
      <c r="M4878" s="21">
        <f>COUNTIF($A$2:$A$5481,A4878)</f>
        <v>1</v>
      </c>
      <c r="N4878" s="24">
        <f t="shared" si="76"/>
        <v>114.9004878</v>
      </c>
    </row>
    <row r="4879" spans="1:14">
      <c r="A4879" s="21" t="s">
        <v>4410</v>
      </c>
      <c r="B4879" s="21" t="s">
        <v>920</v>
      </c>
      <c r="C4879" s="21" t="s">
        <v>26</v>
      </c>
      <c r="D4879" s="21" t="s">
        <v>931</v>
      </c>
      <c r="E4879" s="21">
        <v>5</v>
      </c>
      <c r="F4879" s="22">
        <v>45432.3800462963</v>
      </c>
      <c r="G4879" s="22"/>
      <c r="H4879" s="23">
        <v>26.9</v>
      </c>
      <c r="I4879" s="23">
        <v>5.38</v>
      </c>
      <c r="J4879" s="24">
        <v>26.9</v>
      </c>
      <c r="K4879" s="21">
        <v>0</v>
      </c>
      <c r="L4879" s="21">
        <v>0</v>
      </c>
      <c r="M4879" s="21">
        <f>COUNTIF($A$2:$A$5481,A4879)</f>
        <v>1</v>
      </c>
      <c r="N4879" s="24">
        <f t="shared" si="76"/>
        <v>26.9004879</v>
      </c>
    </row>
    <row r="4880" spans="1:14">
      <c r="A4880" s="21" t="s">
        <v>4411</v>
      </c>
      <c r="B4880" s="21" t="s">
        <v>920</v>
      </c>
      <c r="C4880" s="21" t="s">
        <v>35</v>
      </c>
      <c r="D4880" s="21" t="s">
        <v>921</v>
      </c>
      <c r="E4880" s="21">
        <v>10</v>
      </c>
      <c r="F4880" s="22">
        <v>45370.8219097222</v>
      </c>
      <c r="G4880" s="22"/>
      <c r="H4880" s="23">
        <v>129</v>
      </c>
      <c r="I4880" s="23">
        <v>12.9</v>
      </c>
      <c r="J4880" s="24">
        <v>129</v>
      </c>
      <c r="K4880" s="21">
        <v>0</v>
      </c>
      <c r="L4880" s="21">
        <v>0</v>
      </c>
      <c r="M4880" s="21">
        <f>COUNTIF($A$2:$A$5481,A4880)</f>
        <v>2</v>
      </c>
      <c r="N4880" s="24">
        <f t="shared" si="76"/>
        <v>129.000488</v>
      </c>
    </row>
    <row r="4881" spans="1:14">
      <c r="A4881" s="21" t="s">
        <v>4411</v>
      </c>
      <c r="B4881" s="21" t="s">
        <v>920</v>
      </c>
      <c r="C4881" s="21" t="s">
        <v>26</v>
      </c>
      <c r="D4881" s="21" t="s">
        <v>921</v>
      </c>
      <c r="E4881" s="21">
        <v>10</v>
      </c>
      <c r="F4881" s="22">
        <v>45686.4293055556</v>
      </c>
      <c r="G4881" s="22"/>
      <c r="H4881" s="23">
        <v>90</v>
      </c>
      <c r="I4881" s="23">
        <v>9</v>
      </c>
      <c r="J4881" s="24">
        <v>90</v>
      </c>
      <c r="K4881" s="21">
        <v>0</v>
      </c>
      <c r="L4881" s="21">
        <v>0</v>
      </c>
      <c r="M4881" s="21">
        <f>COUNTIF($A$2:$A$5481,A4881)</f>
        <v>2</v>
      </c>
      <c r="N4881" s="24">
        <f t="shared" si="76"/>
        <v>90.0004881</v>
      </c>
    </row>
    <row r="4882" spans="1:14">
      <c r="A4882" s="21" t="s">
        <v>4412</v>
      </c>
      <c r="B4882" s="21" t="s">
        <v>920</v>
      </c>
      <c r="C4882" s="21" t="s">
        <v>35</v>
      </c>
      <c r="D4882" s="21" t="s">
        <v>931</v>
      </c>
      <c r="E4882" s="21">
        <v>0</v>
      </c>
      <c r="F4882" s="22">
        <v>45547.7583796296</v>
      </c>
      <c r="G4882" s="22">
        <v>45572.8183680556</v>
      </c>
      <c r="H4882" s="23">
        <v>2800</v>
      </c>
      <c r="I4882" s="23">
        <v>2800</v>
      </c>
      <c r="J4882" s="24">
        <v>0</v>
      </c>
      <c r="K4882" s="21">
        <v>0</v>
      </c>
      <c r="L4882" s="21">
        <v>0</v>
      </c>
      <c r="M4882" s="21">
        <f>COUNTIF($A$2:$A$5481,A4882)</f>
        <v>1</v>
      </c>
      <c r="N4882" s="24">
        <f t="shared" si="76"/>
        <v>0.0004882</v>
      </c>
    </row>
    <row r="4883" spans="1:14">
      <c r="A4883" s="21" t="s">
        <v>4413</v>
      </c>
      <c r="B4883" s="21" t="s">
        <v>26</v>
      </c>
      <c r="C4883" s="21" t="s">
        <v>26</v>
      </c>
      <c r="D4883" s="21" t="s">
        <v>1539</v>
      </c>
      <c r="E4883" s="21">
        <v>4.05</v>
      </c>
      <c r="F4883" s="22">
        <v>45888.5812268519</v>
      </c>
      <c r="G4883" s="22"/>
      <c r="H4883" s="23">
        <v>80.595</v>
      </c>
      <c r="I4883" s="23">
        <v>19.9</v>
      </c>
      <c r="J4883" s="24">
        <v>80.595</v>
      </c>
      <c r="K4883" s="21">
        <v>0</v>
      </c>
      <c r="L4883" s="21">
        <v>0</v>
      </c>
      <c r="M4883" s="21">
        <f>COUNTIF($A$2:$A$5481,A4883)</f>
        <v>1</v>
      </c>
      <c r="N4883" s="24">
        <f t="shared" si="76"/>
        <v>80.5954883</v>
      </c>
    </row>
    <row r="4884" spans="1:14">
      <c r="A4884" s="21" t="s">
        <v>4414</v>
      </c>
      <c r="B4884" s="21" t="s">
        <v>949</v>
      </c>
      <c r="C4884" s="21" t="s">
        <v>182</v>
      </c>
      <c r="D4884" s="21" t="s">
        <v>921</v>
      </c>
      <c r="E4884" s="21">
        <v>0</v>
      </c>
      <c r="F4884" s="22">
        <v>45307.3745601852</v>
      </c>
      <c r="G4884" s="22">
        <v>45310.42375</v>
      </c>
      <c r="H4884" s="23">
        <v>50.986</v>
      </c>
      <c r="I4884" s="23">
        <v>6.89</v>
      </c>
      <c r="J4884" s="24">
        <v>0</v>
      </c>
      <c r="K4884" s="21">
        <v>0</v>
      </c>
      <c r="L4884" s="21">
        <v>0</v>
      </c>
      <c r="M4884" s="21">
        <f>COUNTIF($A$2:$A$5481,A4884)</f>
        <v>1</v>
      </c>
      <c r="N4884" s="24">
        <f t="shared" si="76"/>
        <v>0.0004884</v>
      </c>
    </row>
    <row r="4885" spans="1:14">
      <c r="A4885" s="21" t="s">
        <v>4415</v>
      </c>
      <c r="B4885" s="21" t="s">
        <v>26</v>
      </c>
      <c r="C4885" s="21" t="s">
        <v>26</v>
      </c>
      <c r="D4885" s="21" t="s">
        <v>921</v>
      </c>
      <c r="E4885" s="21">
        <v>5</v>
      </c>
      <c r="F4885" s="22">
        <v>46111.3875</v>
      </c>
      <c r="G4885" s="22"/>
      <c r="H4885" s="23">
        <v>30.9</v>
      </c>
      <c r="I4885" s="23">
        <v>10.58</v>
      </c>
      <c r="J4885" s="24">
        <v>52.9</v>
      </c>
      <c r="K4885" s="21">
        <v>0</v>
      </c>
      <c r="L4885" s="21">
        <v>0</v>
      </c>
      <c r="M4885" s="21">
        <f>COUNTIF($A$2:$A$5481,A4885)</f>
        <v>1</v>
      </c>
      <c r="N4885" s="24">
        <f t="shared" si="76"/>
        <v>52.9004885</v>
      </c>
    </row>
    <row r="4886" spans="1:14">
      <c r="A4886" s="21" t="s">
        <v>4416</v>
      </c>
      <c r="B4886" s="21" t="s">
        <v>26</v>
      </c>
      <c r="C4886" s="21" t="s">
        <v>26</v>
      </c>
      <c r="D4886" s="21" t="s">
        <v>921</v>
      </c>
      <c r="E4886" s="21">
        <v>1</v>
      </c>
      <c r="F4886" s="22">
        <v>45491.3676157407</v>
      </c>
      <c r="G4886" s="22"/>
      <c r="H4886" s="23">
        <v>242.24</v>
      </c>
      <c r="I4886" s="23">
        <v>242.24</v>
      </c>
      <c r="J4886" s="24">
        <v>242.24</v>
      </c>
      <c r="K4886" s="21">
        <v>0</v>
      </c>
      <c r="L4886" s="21">
        <v>0</v>
      </c>
      <c r="M4886" s="21">
        <f>COUNTIF($A$2:$A$5481,A4886)</f>
        <v>1</v>
      </c>
      <c r="N4886" s="24">
        <f t="shared" si="76"/>
        <v>242.2404886</v>
      </c>
    </row>
    <row r="4887" spans="1:14">
      <c r="A4887" s="21" t="s">
        <v>4417</v>
      </c>
      <c r="B4887" s="21" t="s">
        <v>948</v>
      </c>
      <c r="C4887" s="21" t="s">
        <v>26</v>
      </c>
      <c r="D4887" s="21" t="s">
        <v>921</v>
      </c>
      <c r="E4887" s="21">
        <v>6</v>
      </c>
      <c r="F4887" s="22">
        <v>46027.6726388889</v>
      </c>
      <c r="G4887" s="22"/>
      <c r="H4887" s="23">
        <v>44</v>
      </c>
      <c r="I4887" s="23">
        <v>19.3333333333</v>
      </c>
      <c r="J4887" s="24">
        <v>115.98</v>
      </c>
      <c r="K4887" s="21">
        <v>0</v>
      </c>
      <c r="L4887" s="21">
        <v>0</v>
      </c>
      <c r="M4887" s="21">
        <f>COUNTIF($A$2:$A$5481,A4887)</f>
        <v>1</v>
      </c>
      <c r="N4887" s="24">
        <f t="shared" si="76"/>
        <v>115.9804887</v>
      </c>
    </row>
    <row r="4888" spans="1:14">
      <c r="A4888" s="21" t="s">
        <v>728</v>
      </c>
      <c r="B4888" s="21" t="s">
        <v>26</v>
      </c>
      <c r="C4888" s="21" t="s">
        <v>26</v>
      </c>
      <c r="D4888" s="21" t="s">
        <v>931</v>
      </c>
      <c r="E4888" s="21">
        <v>0</v>
      </c>
      <c r="F4888" s="22">
        <v>45853.6434375</v>
      </c>
      <c r="G4888" s="22">
        <v>46252.5692824074</v>
      </c>
      <c r="H4888" s="23">
        <v>367</v>
      </c>
      <c r="I4888" s="23">
        <v>367</v>
      </c>
      <c r="J4888" s="24">
        <v>0</v>
      </c>
      <c r="K4888" s="21">
        <v>0</v>
      </c>
      <c r="L4888" s="21">
        <v>0</v>
      </c>
      <c r="M4888" s="21">
        <f>COUNTIF($A$2:$A$5481,A4888)</f>
        <v>1</v>
      </c>
      <c r="N4888" s="24">
        <f t="shared" si="76"/>
        <v>0.0004888</v>
      </c>
    </row>
    <row r="4889" spans="1:14">
      <c r="A4889" s="21" t="s">
        <v>4418</v>
      </c>
      <c r="B4889" s="21" t="s">
        <v>26</v>
      </c>
      <c r="C4889" s="21" t="s">
        <v>26</v>
      </c>
      <c r="D4889" s="21" t="s">
        <v>921</v>
      </c>
      <c r="E4889" s="21">
        <v>1</v>
      </c>
      <c r="F4889" s="22">
        <v>45593.3515277778</v>
      </c>
      <c r="G4889" s="22"/>
      <c r="H4889" s="23">
        <v>164.9</v>
      </c>
      <c r="I4889" s="23">
        <v>164.9</v>
      </c>
      <c r="J4889" s="24">
        <v>164.9</v>
      </c>
      <c r="K4889" s="21">
        <v>0</v>
      </c>
      <c r="L4889" s="21">
        <v>0</v>
      </c>
      <c r="M4889" s="21">
        <f>COUNTIF($A$2:$A$5481,A4889)</f>
        <v>1</v>
      </c>
      <c r="N4889" s="24">
        <f t="shared" si="76"/>
        <v>164.9004889</v>
      </c>
    </row>
    <row r="4890" spans="1:14">
      <c r="A4890" s="21" t="s">
        <v>4419</v>
      </c>
      <c r="B4890" s="21" t="s">
        <v>920</v>
      </c>
      <c r="C4890" s="21" t="s">
        <v>26</v>
      </c>
      <c r="D4890" s="21" t="s">
        <v>921</v>
      </c>
      <c r="E4890" s="21">
        <v>4</v>
      </c>
      <c r="F4890" s="22">
        <v>45882.8093981482</v>
      </c>
      <c r="G4890" s="22"/>
      <c r="H4890" s="23">
        <v>100.52</v>
      </c>
      <c r="I4890" s="23">
        <v>25.13</v>
      </c>
      <c r="J4890" s="24">
        <v>100.52</v>
      </c>
      <c r="K4890" s="21">
        <v>0</v>
      </c>
      <c r="L4890" s="21">
        <v>0</v>
      </c>
      <c r="M4890" s="21">
        <f>COUNTIF($A$2:$A$5481,A4890)</f>
        <v>1</v>
      </c>
      <c r="N4890" s="24">
        <f t="shared" si="76"/>
        <v>100.520489</v>
      </c>
    </row>
    <row r="4891" spans="1:14">
      <c r="A4891" s="21" t="s">
        <v>289</v>
      </c>
      <c r="B4891" s="21" t="s">
        <v>920</v>
      </c>
      <c r="C4891" s="21" t="s">
        <v>35</v>
      </c>
      <c r="D4891" s="21" t="s">
        <v>931</v>
      </c>
      <c r="E4891" s="21">
        <v>1</v>
      </c>
      <c r="F4891" s="22">
        <v>45495.553912037</v>
      </c>
      <c r="G4891" s="22">
        <v>45481.8282986111</v>
      </c>
      <c r="H4891" s="23">
        <v>750</v>
      </c>
      <c r="I4891" s="23">
        <v>750</v>
      </c>
      <c r="J4891" s="24">
        <v>750</v>
      </c>
      <c r="K4891" s="21">
        <v>0</v>
      </c>
      <c r="L4891" s="21">
        <v>0</v>
      </c>
      <c r="M4891" s="21">
        <f>COUNTIF($A$2:$A$5481,A4891)</f>
        <v>2</v>
      </c>
      <c r="N4891" s="24">
        <f t="shared" si="76"/>
        <v>750.0004891</v>
      </c>
    </row>
    <row r="4892" spans="1:14">
      <c r="A4892" s="21" t="s">
        <v>289</v>
      </c>
      <c r="B4892" s="21" t="s">
        <v>920</v>
      </c>
      <c r="C4892" s="21" t="s">
        <v>26</v>
      </c>
      <c r="D4892" s="21" t="s">
        <v>931</v>
      </c>
      <c r="E4892" s="21">
        <v>8</v>
      </c>
      <c r="F4892" s="22">
        <v>46114.3520833333</v>
      </c>
      <c r="G4892" s="22">
        <v>46085.3968981481</v>
      </c>
      <c r="H4892" s="23">
        <v>1600</v>
      </c>
      <c r="I4892" s="23">
        <v>802.6785714286</v>
      </c>
      <c r="J4892" s="24">
        <v>6421.44</v>
      </c>
      <c r="K4892" s="21">
        <v>0</v>
      </c>
      <c r="L4892" s="21">
        <v>0</v>
      </c>
      <c r="M4892" s="21">
        <f>COUNTIF($A$2:$A$5481,A4892)</f>
        <v>2</v>
      </c>
      <c r="N4892" s="24">
        <f t="shared" si="76"/>
        <v>6421.4404892</v>
      </c>
    </row>
    <row r="4893" spans="1:14">
      <c r="A4893" s="21" t="s">
        <v>4420</v>
      </c>
      <c r="B4893" s="21" t="s">
        <v>920</v>
      </c>
      <c r="C4893" s="21" t="s">
        <v>26</v>
      </c>
      <c r="D4893" s="21" t="s">
        <v>921</v>
      </c>
      <c r="E4893" s="21">
        <v>2</v>
      </c>
      <c r="F4893" s="22">
        <v>45979.5870138889</v>
      </c>
      <c r="G4893" s="22"/>
      <c r="H4893" s="23">
        <v>1900</v>
      </c>
      <c r="I4893" s="23">
        <v>950</v>
      </c>
      <c r="J4893" s="24">
        <v>1900</v>
      </c>
      <c r="K4893" s="21">
        <v>0</v>
      </c>
      <c r="L4893" s="21">
        <v>0</v>
      </c>
      <c r="M4893" s="21">
        <f>COUNTIF($A$2:$A$5481,A4893)</f>
        <v>1</v>
      </c>
      <c r="N4893" s="24">
        <f t="shared" si="76"/>
        <v>1900.0004893</v>
      </c>
    </row>
    <row r="4894" spans="1:14">
      <c r="A4894" s="21" t="s">
        <v>4421</v>
      </c>
      <c r="B4894" s="21" t="s">
        <v>1115</v>
      </c>
      <c r="C4894" s="21" t="s">
        <v>26</v>
      </c>
      <c r="D4894" s="21" t="s">
        <v>921</v>
      </c>
      <c r="E4894" s="21">
        <v>19</v>
      </c>
      <c r="F4894" s="22">
        <v>46168.3527777778</v>
      </c>
      <c r="G4894" s="22"/>
      <c r="H4894" s="23">
        <v>619.8</v>
      </c>
      <c r="I4894" s="23">
        <v>136.4421052632</v>
      </c>
      <c r="J4894" s="24">
        <v>2592.36</v>
      </c>
      <c r="K4894" s="21">
        <v>0</v>
      </c>
      <c r="L4894" s="21">
        <v>0</v>
      </c>
      <c r="M4894" s="21">
        <f>COUNTIF($A$2:$A$5481,A4894)</f>
        <v>1</v>
      </c>
      <c r="N4894" s="24">
        <f t="shared" si="76"/>
        <v>2592.3604894</v>
      </c>
    </row>
    <row r="4895" spans="1:14">
      <c r="A4895" s="21" t="s">
        <v>4422</v>
      </c>
      <c r="B4895" s="21" t="s">
        <v>929</v>
      </c>
      <c r="C4895" s="21" t="s">
        <v>26</v>
      </c>
      <c r="D4895" s="21" t="s">
        <v>921</v>
      </c>
      <c r="E4895" s="21">
        <v>2</v>
      </c>
      <c r="F4895" s="22">
        <v>45902.3433564815</v>
      </c>
      <c r="G4895" s="22"/>
      <c r="H4895" s="23">
        <v>216.94</v>
      </c>
      <c r="I4895" s="23">
        <v>108.47</v>
      </c>
      <c r="J4895" s="24">
        <v>216.94</v>
      </c>
      <c r="K4895" s="21">
        <v>0</v>
      </c>
      <c r="L4895" s="21">
        <v>0</v>
      </c>
      <c r="M4895" s="21">
        <f>COUNTIF($A$2:$A$5481,A4895)</f>
        <v>1</v>
      </c>
      <c r="N4895" s="24">
        <f t="shared" si="76"/>
        <v>216.9404895</v>
      </c>
    </row>
    <row r="4896" spans="1:14">
      <c r="A4896" s="21" t="s">
        <v>4423</v>
      </c>
      <c r="B4896" s="21" t="s">
        <v>1175</v>
      </c>
      <c r="C4896" s="21" t="s">
        <v>182</v>
      </c>
      <c r="D4896" s="21" t="s">
        <v>921</v>
      </c>
      <c r="E4896" s="21">
        <v>0</v>
      </c>
      <c r="F4896" s="22">
        <v>45321.7354166667</v>
      </c>
      <c r="G4896" s="22">
        <v>45330.4620949074</v>
      </c>
      <c r="H4896" s="23">
        <v>1091.22</v>
      </c>
      <c r="I4896" s="23">
        <v>181.87</v>
      </c>
      <c r="J4896" s="24">
        <v>0</v>
      </c>
      <c r="K4896" s="21">
        <v>0</v>
      </c>
      <c r="L4896" s="21">
        <v>0</v>
      </c>
      <c r="M4896" s="21">
        <f>COUNTIF($A$2:$A$5481,A4896)</f>
        <v>2</v>
      </c>
      <c r="N4896" s="24">
        <f t="shared" si="76"/>
        <v>0.0004896</v>
      </c>
    </row>
    <row r="4897" spans="1:14">
      <c r="A4897" s="21" t="s">
        <v>4423</v>
      </c>
      <c r="B4897" s="21" t="s">
        <v>1175</v>
      </c>
      <c r="C4897" s="21" t="s">
        <v>26</v>
      </c>
      <c r="D4897" s="21" t="s">
        <v>921</v>
      </c>
      <c r="E4897" s="21">
        <v>26</v>
      </c>
      <c r="F4897" s="22">
        <v>46233.540150463</v>
      </c>
      <c r="G4897" s="22"/>
      <c r="H4897" s="23">
        <v>371.88</v>
      </c>
      <c r="I4897" s="23">
        <v>156.3457692308</v>
      </c>
      <c r="J4897" s="24">
        <v>4065.1</v>
      </c>
      <c r="K4897" s="21">
        <v>0</v>
      </c>
      <c r="L4897" s="21">
        <v>0</v>
      </c>
      <c r="M4897" s="21">
        <f>COUNTIF($A$2:$A$5481,A4897)</f>
        <v>2</v>
      </c>
      <c r="N4897" s="24">
        <f t="shared" si="76"/>
        <v>4065.1004897</v>
      </c>
    </row>
    <row r="4898" spans="1:14">
      <c r="A4898" s="21" t="s">
        <v>4424</v>
      </c>
      <c r="B4898" s="21" t="s">
        <v>920</v>
      </c>
      <c r="C4898" s="21" t="s">
        <v>35</v>
      </c>
      <c r="D4898" s="21" t="s">
        <v>921</v>
      </c>
      <c r="E4898" s="21">
        <v>2</v>
      </c>
      <c r="F4898" s="22">
        <v>45324.3781481482</v>
      </c>
      <c r="G4898" s="22"/>
      <c r="H4898" s="23">
        <v>180</v>
      </c>
      <c r="I4898" s="23">
        <v>180</v>
      </c>
      <c r="J4898" s="24">
        <v>360</v>
      </c>
      <c r="K4898" s="21">
        <v>0</v>
      </c>
      <c r="L4898" s="21">
        <v>0</v>
      </c>
      <c r="M4898" s="21">
        <f>COUNTIF($A$2:$A$5481,A4898)</f>
        <v>2</v>
      </c>
      <c r="N4898" s="24">
        <f t="shared" si="76"/>
        <v>360.0004898</v>
      </c>
    </row>
    <row r="4899" spans="1:14">
      <c r="A4899" s="21" t="s">
        <v>4424</v>
      </c>
      <c r="B4899" s="21" t="s">
        <v>920</v>
      </c>
      <c r="C4899" s="21" t="s">
        <v>26</v>
      </c>
      <c r="D4899" s="21" t="s">
        <v>921</v>
      </c>
      <c r="E4899" s="21">
        <v>1</v>
      </c>
      <c r="F4899" s="22">
        <v>45848.3606597222</v>
      </c>
      <c r="G4899" s="22"/>
      <c r="H4899" s="23">
        <v>195</v>
      </c>
      <c r="I4899" s="23">
        <v>195</v>
      </c>
      <c r="J4899" s="24">
        <v>195</v>
      </c>
      <c r="K4899" s="21">
        <v>0</v>
      </c>
      <c r="L4899" s="21">
        <v>0</v>
      </c>
      <c r="M4899" s="21">
        <f>COUNTIF($A$2:$A$5481,A4899)</f>
        <v>2</v>
      </c>
      <c r="N4899" s="24">
        <f t="shared" si="76"/>
        <v>195.0004899</v>
      </c>
    </row>
    <row r="4900" spans="1:14">
      <c r="A4900" s="21" t="s">
        <v>4425</v>
      </c>
      <c r="B4900" s="21" t="s">
        <v>920</v>
      </c>
      <c r="C4900" s="21" t="s">
        <v>414</v>
      </c>
      <c r="D4900" s="21" t="s">
        <v>921</v>
      </c>
      <c r="E4900" s="21">
        <v>1</v>
      </c>
      <c r="F4900" s="22">
        <v>45288.8237037037</v>
      </c>
      <c r="G4900" s="22"/>
      <c r="H4900" s="23">
        <v>9</v>
      </c>
      <c r="I4900" s="23">
        <v>9</v>
      </c>
      <c r="J4900" s="24">
        <v>9</v>
      </c>
      <c r="K4900" s="21">
        <v>0</v>
      </c>
      <c r="L4900" s="21">
        <v>0</v>
      </c>
      <c r="M4900" s="21">
        <f>COUNTIF($A$2:$A$5481,A4900)</f>
        <v>3</v>
      </c>
      <c r="N4900" s="24">
        <f t="shared" si="76"/>
        <v>9.00049</v>
      </c>
    </row>
    <row r="4901" spans="1:14">
      <c r="A4901" s="21" t="s">
        <v>4425</v>
      </c>
      <c r="B4901" s="21" t="s">
        <v>920</v>
      </c>
      <c r="C4901" s="21" t="s">
        <v>182</v>
      </c>
      <c r="D4901" s="21" t="s">
        <v>921</v>
      </c>
      <c r="E4901" s="21">
        <v>1</v>
      </c>
      <c r="F4901" s="22">
        <v>45301.8071064815</v>
      </c>
      <c r="G4901" s="22"/>
      <c r="H4901" s="23">
        <v>9</v>
      </c>
      <c r="I4901" s="23">
        <v>9</v>
      </c>
      <c r="J4901" s="24">
        <v>9</v>
      </c>
      <c r="K4901" s="21">
        <v>0</v>
      </c>
      <c r="L4901" s="21">
        <v>0</v>
      </c>
      <c r="M4901" s="21">
        <f>COUNTIF($A$2:$A$5481,A4901)</f>
        <v>3</v>
      </c>
      <c r="N4901" s="24">
        <f t="shared" si="76"/>
        <v>9.0004901</v>
      </c>
    </row>
    <row r="4902" spans="1:14">
      <c r="A4902" s="21" t="s">
        <v>4425</v>
      </c>
      <c r="B4902" s="21" t="s">
        <v>920</v>
      </c>
      <c r="C4902" s="21" t="s">
        <v>35</v>
      </c>
      <c r="D4902" s="21" t="s">
        <v>921</v>
      </c>
      <c r="E4902" s="21">
        <v>8</v>
      </c>
      <c r="F4902" s="22">
        <v>45351.586087963</v>
      </c>
      <c r="G4902" s="22"/>
      <c r="H4902" s="23">
        <v>3000</v>
      </c>
      <c r="I4902" s="23">
        <v>750</v>
      </c>
      <c r="J4902" s="24">
        <v>6000</v>
      </c>
      <c r="K4902" s="21">
        <v>0</v>
      </c>
      <c r="L4902" s="21">
        <v>0</v>
      </c>
      <c r="M4902" s="21">
        <f>COUNTIF($A$2:$A$5481,A4902)</f>
        <v>3</v>
      </c>
      <c r="N4902" s="24">
        <f t="shared" si="76"/>
        <v>6000.0004902</v>
      </c>
    </row>
    <row r="4903" spans="1:14">
      <c r="A4903" s="21" t="s">
        <v>4426</v>
      </c>
      <c r="B4903" s="21" t="s">
        <v>920</v>
      </c>
      <c r="C4903" s="21" t="s">
        <v>26</v>
      </c>
      <c r="D4903" s="21" t="s">
        <v>931</v>
      </c>
      <c r="E4903" s="21">
        <v>1</v>
      </c>
      <c r="F4903" s="22">
        <v>45782.4031481482</v>
      </c>
      <c r="G4903" s="22">
        <v>45775.4808101852</v>
      </c>
      <c r="H4903" s="23">
        <v>1600</v>
      </c>
      <c r="I4903" s="23">
        <v>800</v>
      </c>
      <c r="J4903" s="24">
        <v>800</v>
      </c>
      <c r="K4903" s="21">
        <v>0</v>
      </c>
      <c r="L4903" s="21">
        <v>0</v>
      </c>
      <c r="M4903" s="21">
        <f>COUNTIF($A$2:$A$5481,A4903)</f>
        <v>1</v>
      </c>
      <c r="N4903" s="24">
        <f t="shared" si="76"/>
        <v>800.0004903</v>
      </c>
    </row>
    <row r="4904" spans="1:14">
      <c r="A4904" s="21" t="s">
        <v>4427</v>
      </c>
      <c r="B4904" s="21" t="s">
        <v>1115</v>
      </c>
      <c r="C4904" s="21" t="s">
        <v>51</v>
      </c>
      <c r="D4904" s="21" t="s">
        <v>921</v>
      </c>
      <c r="E4904" s="21">
        <v>1</v>
      </c>
      <c r="F4904" s="22">
        <v>45374.5777777778</v>
      </c>
      <c r="G4904" s="22"/>
      <c r="H4904" s="23">
        <v>8746.25</v>
      </c>
      <c r="I4904" s="23">
        <v>8746.25</v>
      </c>
      <c r="J4904" s="24">
        <v>8746.25</v>
      </c>
      <c r="K4904" s="21">
        <v>0</v>
      </c>
      <c r="L4904" s="21">
        <v>0</v>
      </c>
      <c r="M4904" s="21">
        <f>COUNTIF($A$2:$A$5481,A4904)</f>
        <v>1</v>
      </c>
      <c r="N4904" s="24">
        <f t="shared" si="76"/>
        <v>8746.2504904</v>
      </c>
    </row>
    <row r="4905" spans="1:14">
      <c r="A4905" s="21" t="s">
        <v>4428</v>
      </c>
      <c r="B4905" s="21" t="s">
        <v>1115</v>
      </c>
      <c r="C4905" s="21" t="s">
        <v>51</v>
      </c>
      <c r="D4905" s="21" t="s">
        <v>921</v>
      </c>
      <c r="E4905" s="21">
        <v>1</v>
      </c>
      <c r="F4905" s="22">
        <v>45384.5735763889</v>
      </c>
      <c r="G4905" s="22"/>
      <c r="H4905" s="23">
        <v>7909.44</v>
      </c>
      <c r="I4905" s="23">
        <v>7909.44</v>
      </c>
      <c r="J4905" s="24">
        <v>7909.44</v>
      </c>
      <c r="K4905" s="21">
        <v>0</v>
      </c>
      <c r="L4905" s="21">
        <v>0</v>
      </c>
      <c r="M4905" s="21">
        <f>COUNTIF($A$2:$A$5481,A4905)</f>
        <v>1</v>
      </c>
      <c r="N4905" s="24">
        <f t="shared" si="76"/>
        <v>7909.4404905</v>
      </c>
    </row>
    <row r="4906" spans="1:14">
      <c r="A4906" s="21" t="s">
        <v>4429</v>
      </c>
      <c r="B4906" s="21" t="s">
        <v>920</v>
      </c>
      <c r="C4906" s="21" t="s">
        <v>35</v>
      </c>
      <c r="D4906" s="21" t="s">
        <v>921</v>
      </c>
      <c r="E4906" s="21">
        <v>1</v>
      </c>
      <c r="F4906" s="22">
        <v>45418.8107175926</v>
      </c>
      <c r="G4906" s="22"/>
      <c r="H4906" s="23">
        <v>490</v>
      </c>
      <c r="I4906" s="23">
        <v>490</v>
      </c>
      <c r="J4906" s="24">
        <v>490</v>
      </c>
      <c r="K4906" s="21">
        <v>0</v>
      </c>
      <c r="L4906" s="21">
        <v>0</v>
      </c>
      <c r="M4906" s="21">
        <f>COUNTIF($A$2:$A$5481,A4906)</f>
        <v>1</v>
      </c>
      <c r="N4906" s="24">
        <f t="shared" si="76"/>
        <v>490.0004906</v>
      </c>
    </row>
    <row r="4907" spans="1:14">
      <c r="A4907" s="21" t="s">
        <v>4430</v>
      </c>
      <c r="B4907" s="21" t="s">
        <v>920</v>
      </c>
      <c r="C4907" s="21" t="s">
        <v>26</v>
      </c>
      <c r="D4907" s="21" t="s">
        <v>921</v>
      </c>
      <c r="E4907" s="21">
        <v>2</v>
      </c>
      <c r="F4907" s="22">
        <v>45729.3846527778</v>
      </c>
      <c r="G4907" s="22"/>
      <c r="H4907" s="23">
        <v>1380</v>
      </c>
      <c r="I4907" s="23">
        <v>690</v>
      </c>
      <c r="J4907" s="24">
        <v>1380</v>
      </c>
      <c r="K4907" s="21">
        <v>0</v>
      </c>
      <c r="L4907" s="21">
        <v>0</v>
      </c>
      <c r="M4907" s="21">
        <f>COUNTIF($A$2:$A$5481,A4907)</f>
        <v>1</v>
      </c>
      <c r="N4907" s="24">
        <f t="shared" si="76"/>
        <v>1380.0004907</v>
      </c>
    </row>
    <row r="4908" spans="1:14">
      <c r="A4908" s="21" t="s">
        <v>4431</v>
      </c>
      <c r="B4908" s="21" t="s">
        <v>920</v>
      </c>
      <c r="C4908" s="21" t="s">
        <v>26</v>
      </c>
      <c r="D4908" s="21" t="s">
        <v>921</v>
      </c>
      <c r="E4908" s="21">
        <v>0</v>
      </c>
      <c r="F4908" s="22">
        <v>45972.8203587963</v>
      </c>
      <c r="G4908" s="22">
        <v>45979.4522916667</v>
      </c>
      <c r="H4908" s="23">
        <v>2580</v>
      </c>
      <c r="I4908" s="23">
        <v>1290</v>
      </c>
      <c r="J4908" s="24">
        <v>0</v>
      </c>
      <c r="K4908" s="21">
        <v>0</v>
      </c>
      <c r="L4908" s="21">
        <v>0</v>
      </c>
      <c r="M4908" s="21">
        <f>COUNTIF($A$2:$A$5481,A4908)</f>
        <v>1</v>
      </c>
      <c r="N4908" s="24">
        <f t="shared" si="76"/>
        <v>0.0004908</v>
      </c>
    </row>
    <row r="4909" spans="1:14">
      <c r="A4909" s="21" t="s">
        <v>4432</v>
      </c>
      <c r="B4909" s="21" t="s">
        <v>920</v>
      </c>
      <c r="C4909" s="21" t="s">
        <v>26</v>
      </c>
      <c r="D4909" s="21" t="s">
        <v>921</v>
      </c>
      <c r="E4909" s="21">
        <v>1</v>
      </c>
      <c r="F4909" s="22">
        <v>46234.6006944445</v>
      </c>
      <c r="G4909" s="22"/>
      <c r="H4909" s="23">
        <v>725.15</v>
      </c>
      <c r="I4909" s="23">
        <v>725.15</v>
      </c>
      <c r="J4909" s="24">
        <v>725.15</v>
      </c>
      <c r="K4909" s="21">
        <v>0</v>
      </c>
      <c r="L4909" s="21">
        <v>0</v>
      </c>
      <c r="M4909" s="21">
        <f>COUNTIF($A$2:$A$5481,A4909)</f>
        <v>1</v>
      </c>
      <c r="N4909" s="24">
        <f t="shared" si="76"/>
        <v>725.1504909</v>
      </c>
    </row>
    <row r="4910" spans="1:14">
      <c r="A4910" s="21" t="s">
        <v>4433</v>
      </c>
      <c r="B4910" s="21" t="s">
        <v>26</v>
      </c>
      <c r="C4910" s="21" t="s">
        <v>35</v>
      </c>
      <c r="D4910" s="21" t="s">
        <v>921</v>
      </c>
      <c r="E4910" s="21">
        <v>0</v>
      </c>
      <c r="F4910" s="22">
        <v>45490.3650925926</v>
      </c>
      <c r="G4910" s="22">
        <v>45520.5690046296</v>
      </c>
      <c r="H4910" s="23">
        <v>2600</v>
      </c>
      <c r="I4910" s="23">
        <v>650</v>
      </c>
      <c r="J4910" s="24">
        <v>0</v>
      </c>
      <c r="K4910" s="21">
        <v>0</v>
      </c>
      <c r="L4910" s="21">
        <v>0</v>
      </c>
      <c r="M4910" s="21">
        <f>COUNTIF($A$2:$A$5481,A4910)</f>
        <v>1</v>
      </c>
      <c r="N4910" s="24">
        <f t="shared" si="76"/>
        <v>0.000491</v>
      </c>
    </row>
    <row r="4911" spans="1:14">
      <c r="A4911" s="21" t="s">
        <v>4434</v>
      </c>
      <c r="B4911" s="21" t="s">
        <v>920</v>
      </c>
      <c r="C4911" s="21" t="s">
        <v>35</v>
      </c>
      <c r="D4911" s="21" t="s">
        <v>921</v>
      </c>
      <c r="E4911" s="21">
        <v>1</v>
      </c>
      <c r="F4911" s="22">
        <v>45771.344525463</v>
      </c>
      <c r="G4911" s="22">
        <v>45637.4333680556</v>
      </c>
      <c r="H4911" s="23">
        <v>360</v>
      </c>
      <c r="I4911" s="23">
        <v>360</v>
      </c>
      <c r="J4911" s="24">
        <v>360</v>
      </c>
      <c r="K4911" s="21">
        <v>0</v>
      </c>
      <c r="L4911" s="21">
        <v>0</v>
      </c>
      <c r="M4911" s="21">
        <f>COUNTIF($A$2:$A$5481,A4911)</f>
        <v>1</v>
      </c>
      <c r="N4911" s="24">
        <f t="shared" si="76"/>
        <v>360.0004911</v>
      </c>
    </row>
    <row r="4912" spans="1:14">
      <c r="A4912" s="21" t="s">
        <v>4435</v>
      </c>
      <c r="B4912" s="21" t="s">
        <v>26</v>
      </c>
      <c r="C4912" s="21" t="s">
        <v>35</v>
      </c>
      <c r="D4912" s="21" t="s">
        <v>921</v>
      </c>
      <c r="E4912" s="21">
        <v>2</v>
      </c>
      <c r="F4912" s="22">
        <v>45637.4530902778</v>
      </c>
      <c r="G4912" s="22"/>
      <c r="H4912" s="23">
        <v>1900</v>
      </c>
      <c r="I4912" s="23">
        <v>950</v>
      </c>
      <c r="J4912" s="24">
        <v>1900</v>
      </c>
      <c r="K4912" s="21">
        <v>0</v>
      </c>
      <c r="L4912" s="21">
        <v>0</v>
      </c>
      <c r="M4912" s="21">
        <f>COUNTIF($A$2:$A$5481,A4912)</f>
        <v>2</v>
      </c>
      <c r="N4912" s="24">
        <f t="shared" si="76"/>
        <v>1900.0004912</v>
      </c>
    </row>
    <row r="4913" spans="1:14">
      <c r="A4913" s="21" t="s">
        <v>4435</v>
      </c>
      <c r="B4913" s="21" t="s">
        <v>26</v>
      </c>
      <c r="C4913" s="21" t="s">
        <v>26</v>
      </c>
      <c r="D4913" s="21" t="s">
        <v>921</v>
      </c>
      <c r="E4913" s="21">
        <v>3</v>
      </c>
      <c r="F4913" s="22">
        <v>45772.3800347222</v>
      </c>
      <c r="G4913" s="22">
        <v>45727.4295023148</v>
      </c>
      <c r="H4913" s="23">
        <v>1600</v>
      </c>
      <c r="I4913" s="23">
        <v>850</v>
      </c>
      <c r="J4913" s="24">
        <v>2550</v>
      </c>
      <c r="K4913" s="21">
        <v>0</v>
      </c>
      <c r="L4913" s="21">
        <v>0</v>
      </c>
      <c r="M4913" s="21">
        <f>COUNTIF($A$2:$A$5481,A4913)</f>
        <v>2</v>
      </c>
      <c r="N4913" s="24">
        <f t="shared" si="76"/>
        <v>2550.0004913</v>
      </c>
    </row>
    <row r="4914" spans="1:14">
      <c r="A4914" s="21" t="s">
        <v>4436</v>
      </c>
      <c r="B4914" s="21" t="s">
        <v>26</v>
      </c>
      <c r="C4914" s="21" t="s">
        <v>35</v>
      </c>
      <c r="D4914" s="21" t="s">
        <v>921</v>
      </c>
      <c r="E4914" s="21">
        <v>5</v>
      </c>
      <c r="F4914" s="22">
        <v>45637.4530902778</v>
      </c>
      <c r="G4914" s="22"/>
      <c r="H4914" s="23">
        <v>850</v>
      </c>
      <c r="I4914" s="23">
        <v>850</v>
      </c>
      <c r="J4914" s="24">
        <v>4250</v>
      </c>
      <c r="K4914" s="21">
        <v>0</v>
      </c>
      <c r="L4914" s="21">
        <v>0</v>
      </c>
      <c r="M4914" s="21">
        <f>COUNTIF($A$2:$A$5481,A4914)</f>
        <v>2</v>
      </c>
      <c r="N4914" s="24">
        <f t="shared" si="76"/>
        <v>4250.0004914</v>
      </c>
    </row>
    <row r="4915" spans="1:14">
      <c r="A4915" s="21" t="s">
        <v>4436</v>
      </c>
      <c r="B4915" s="21" t="s">
        <v>26</v>
      </c>
      <c r="C4915" s="21" t="s">
        <v>26</v>
      </c>
      <c r="D4915" s="21" t="s">
        <v>921</v>
      </c>
      <c r="E4915" s="21">
        <v>14</v>
      </c>
      <c r="F4915" s="22">
        <v>46281.642337963</v>
      </c>
      <c r="G4915" s="22">
        <v>45980.4090162037</v>
      </c>
      <c r="H4915" s="23">
        <v>3250</v>
      </c>
      <c r="I4915" s="23">
        <v>878.5714285714</v>
      </c>
      <c r="J4915" s="24">
        <v>12299.98</v>
      </c>
      <c r="K4915" s="21">
        <v>0</v>
      </c>
      <c r="L4915" s="21">
        <v>0</v>
      </c>
      <c r="M4915" s="21">
        <f>COUNTIF($A$2:$A$5481,A4915)</f>
        <v>2</v>
      </c>
      <c r="N4915" s="24">
        <f t="shared" si="76"/>
        <v>12299.9804915</v>
      </c>
    </row>
    <row r="4916" spans="1:14">
      <c r="A4916" s="21" t="s">
        <v>4437</v>
      </c>
      <c r="B4916" s="21" t="s">
        <v>929</v>
      </c>
      <c r="C4916" s="21" t="s">
        <v>26</v>
      </c>
      <c r="D4916" s="21" t="s">
        <v>921</v>
      </c>
      <c r="E4916" s="21">
        <v>5</v>
      </c>
      <c r="F4916" s="22">
        <v>46056.3671527778</v>
      </c>
      <c r="G4916" s="22"/>
      <c r="H4916" s="23">
        <v>111.25</v>
      </c>
      <c r="I4916" s="23">
        <v>22.25</v>
      </c>
      <c r="J4916" s="24">
        <v>111.25</v>
      </c>
      <c r="K4916" s="21">
        <v>0</v>
      </c>
      <c r="L4916" s="21">
        <v>0</v>
      </c>
      <c r="M4916" s="21">
        <f>COUNTIF($A$2:$A$5481,A4916)</f>
        <v>1</v>
      </c>
      <c r="N4916" s="24">
        <f t="shared" si="76"/>
        <v>111.2504916</v>
      </c>
    </row>
    <row r="4917" spans="1:14">
      <c r="A4917" s="21" t="s">
        <v>4438</v>
      </c>
      <c r="B4917" s="21" t="s">
        <v>920</v>
      </c>
      <c r="C4917" s="21" t="s">
        <v>35</v>
      </c>
      <c r="D4917" s="21" t="s">
        <v>921</v>
      </c>
      <c r="E4917" s="21">
        <v>3</v>
      </c>
      <c r="F4917" s="22">
        <v>45831.3654166667</v>
      </c>
      <c r="G4917" s="22"/>
      <c r="H4917" s="23">
        <v>2070</v>
      </c>
      <c r="I4917" s="23">
        <v>690</v>
      </c>
      <c r="J4917" s="24">
        <v>2070</v>
      </c>
      <c r="K4917" s="21">
        <v>0</v>
      </c>
      <c r="L4917" s="21">
        <v>0</v>
      </c>
      <c r="M4917" s="21">
        <f>COUNTIF($A$2:$A$5481,A4917)</f>
        <v>2</v>
      </c>
      <c r="N4917" s="24">
        <f t="shared" si="76"/>
        <v>2070.0004917</v>
      </c>
    </row>
    <row r="4918" spans="1:14">
      <c r="A4918" s="21" t="s">
        <v>4438</v>
      </c>
      <c r="B4918" s="21" t="s">
        <v>920</v>
      </c>
      <c r="C4918" s="21" t="s">
        <v>26</v>
      </c>
      <c r="D4918" s="21" t="s">
        <v>921</v>
      </c>
      <c r="E4918" s="21">
        <v>6</v>
      </c>
      <c r="F4918" s="22">
        <v>45952.5625347222</v>
      </c>
      <c r="G4918" s="22">
        <v>45876.3715162037</v>
      </c>
      <c r="H4918" s="23">
        <v>1380</v>
      </c>
      <c r="I4918" s="23">
        <v>663.3333333333</v>
      </c>
      <c r="J4918" s="24">
        <v>3979.98</v>
      </c>
      <c r="K4918" s="21">
        <v>0</v>
      </c>
      <c r="L4918" s="21">
        <v>0</v>
      </c>
      <c r="M4918" s="21">
        <f>COUNTIF($A$2:$A$5481,A4918)</f>
        <v>2</v>
      </c>
      <c r="N4918" s="24">
        <f t="shared" si="76"/>
        <v>3979.9804918</v>
      </c>
    </row>
    <row r="4919" spans="1:14">
      <c r="A4919" s="21" t="s">
        <v>4439</v>
      </c>
      <c r="B4919" s="21" t="s">
        <v>26</v>
      </c>
      <c r="C4919" s="21" t="s">
        <v>26</v>
      </c>
      <c r="D4919" s="21" t="s">
        <v>921</v>
      </c>
      <c r="E4919" s="21">
        <v>21</v>
      </c>
      <c r="F4919" s="22">
        <v>46084.3542824074</v>
      </c>
      <c r="G4919" s="22"/>
      <c r="H4919" s="23">
        <v>22.62</v>
      </c>
      <c r="I4919" s="23">
        <v>4.1461904762</v>
      </c>
      <c r="J4919" s="24">
        <v>87.15</v>
      </c>
      <c r="K4919" s="21">
        <v>0</v>
      </c>
      <c r="L4919" s="21">
        <v>0</v>
      </c>
      <c r="M4919" s="21">
        <f>COUNTIF($A$2:$A$5481,A4919)</f>
        <v>1</v>
      </c>
      <c r="N4919" s="24">
        <f t="shared" si="76"/>
        <v>87.1504919</v>
      </c>
    </row>
    <row r="4920" spans="1:14">
      <c r="A4920" s="21" t="s">
        <v>4440</v>
      </c>
      <c r="B4920" s="21" t="s">
        <v>26</v>
      </c>
      <c r="C4920" s="21" t="s">
        <v>26</v>
      </c>
      <c r="D4920" s="21" t="s">
        <v>921</v>
      </c>
      <c r="E4920" s="21">
        <v>5</v>
      </c>
      <c r="F4920" s="22">
        <v>45622.3446296296</v>
      </c>
      <c r="G4920" s="22"/>
      <c r="H4920" s="23">
        <v>30</v>
      </c>
      <c r="I4920" s="23">
        <v>6</v>
      </c>
      <c r="J4920" s="24">
        <v>30</v>
      </c>
      <c r="K4920" s="21">
        <v>0</v>
      </c>
      <c r="L4920" s="21">
        <v>0</v>
      </c>
      <c r="M4920" s="21">
        <f>COUNTIF($A$2:$A$5481,A4920)</f>
        <v>1</v>
      </c>
      <c r="N4920" s="24">
        <f t="shared" si="76"/>
        <v>30.000492</v>
      </c>
    </row>
    <row r="4921" spans="1:14">
      <c r="A4921" s="21" t="s">
        <v>4441</v>
      </c>
      <c r="B4921" s="21" t="s">
        <v>26</v>
      </c>
      <c r="C4921" s="21" t="s">
        <v>26</v>
      </c>
      <c r="D4921" s="21" t="s">
        <v>921</v>
      </c>
      <c r="E4921" s="21">
        <v>3</v>
      </c>
      <c r="F4921" s="22">
        <v>46154.4221527778</v>
      </c>
      <c r="G4921" s="22"/>
      <c r="H4921" s="23">
        <v>47</v>
      </c>
      <c r="I4921" s="23">
        <v>22.3333333333</v>
      </c>
      <c r="J4921" s="24">
        <v>66.99</v>
      </c>
      <c r="K4921" s="21">
        <v>0</v>
      </c>
      <c r="L4921" s="21">
        <v>0</v>
      </c>
      <c r="M4921" s="21">
        <f>COUNTIF($A$2:$A$5481,A4921)</f>
        <v>1</v>
      </c>
      <c r="N4921" s="24">
        <f t="shared" si="76"/>
        <v>66.9904921</v>
      </c>
    </row>
    <row r="4922" spans="1:14">
      <c r="A4922" s="21" t="s">
        <v>4442</v>
      </c>
      <c r="B4922" s="21" t="s">
        <v>26</v>
      </c>
      <c r="C4922" s="21" t="s">
        <v>26</v>
      </c>
      <c r="D4922" s="21" t="s">
        <v>921</v>
      </c>
      <c r="E4922" s="21">
        <v>7</v>
      </c>
      <c r="F4922" s="22">
        <v>45835.7272685185</v>
      </c>
      <c r="G4922" s="22"/>
      <c r="H4922" s="23">
        <v>134.4</v>
      </c>
      <c r="I4922" s="23">
        <v>25.2</v>
      </c>
      <c r="J4922" s="24">
        <v>176.4</v>
      </c>
      <c r="K4922" s="21">
        <v>0</v>
      </c>
      <c r="L4922" s="21">
        <v>0</v>
      </c>
      <c r="M4922" s="21">
        <f>COUNTIF($A$2:$A$5481,A4922)</f>
        <v>1</v>
      </c>
      <c r="N4922" s="24">
        <f t="shared" si="76"/>
        <v>176.4004922</v>
      </c>
    </row>
    <row r="4923" spans="1:14">
      <c r="A4923" s="21" t="s">
        <v>4443</v>
      </c>
      <c r="B4923" s="21" t="s">
        <v>920</v>
      </c>
      <c r="C4923" s="21" t="s">
        <v>35</v>
      </c>
      <c r="D4923" s="21" t="s">
        <v>921</v>
      </c>
      <c r="E4923" s="21">
        <v>4</v>
      </c>
      <c r="F4923" s="22">
        <v>45586.8191087963</v>
      </c>
      <c r="G4923" s="22"/>
      <c r="H4923" s="23">
        <v>13960</v>
      </c>
      <c r="I4923" s="23">
        <v>3490</v>
      </c>
      <c r="J4923" s="24">
        <v>13960</v>
      </c>
      <c r="K4923" s="21">
        <v>0</v>
      </c>
      <c r="L4923" s="21">
        <v>0</v>
      </c>
      <c r="M4923" s="21">
        <f>COUNTIF($A$2:$A$5481,A4923)</f>
        <v>1</v>
      </c>
      <c r="N4923" s="24">
        <f t="shared" si="76"/>
        <v>13960.0004923</v>
      </c>
    </row>
    <row r="4924" spans="1:14">
      <c r="A4924" s="21" t="s">
        <v>4444</v>
      </c>
      <c r="B4924" s="21" t="s">
        <v>920</v>
      </c>
      <c r="C4924" s="21" t="s">
        <v>26</v>
      </c>
      <c r="D4924" s="21" t="s">
        <v>931</v>
      </c>
      <c r="E4924" s="21">
        <v>2</v>
      </c>
      <c r="F4924" s="22">
        <v>45952.5625347222</v>
      </c>
      <c r="G4924" s="22"/>
      <c r="H4924" s="23">
        <v>330</v>
      </c>
      <c r="I4924" s="23">
        <v>315</v>
      </c>
      <c r="J4924" s="24">
        <v>630</v>
      </c>
      <c r="K4924" s="21">
        <v>0</v>
      </c>
      <c r="L4924" s="21">
        <v>0</v>
      </c>
      <c r="M4924" s="21">
        <f>COUNTIF($A$2:$A$5481,A4924)</f>
        <v>1</v>
      </c>
      <c r="N4924" s="24">
        <f t="shared" si="76"/>
        <v>630.0004924</v>
      </c>
    </row>
    <row r="4925" spans="1:14">
      <c r="A4925" s="21" t="s">
        <v>4445</v>
      </c>
      <c r="B4925" s="21" t="s">
        <v>920</v>
      </c>
      <c r="C4925" s="21" t="s">
        <v>35</v>
      </c>
      <c r="D4925" s="21" t="s">
        <v>921</v>
      </c>
      <c r="E4925" s="21">
        <v>2</v>
      </c>
      <c r="F4925" s="22">
        <v>45309.5630208333</v>
      </c>
      <c r="G4925" s="22">
        <v>45336.4169560185</v>
      </c>
      <c r="H4925" s="23">
        <v>3000</v>
      </c>
      <c r="I4925" s="23">
        <v>750</v>
      </c>
      <c r="J4925" s="24">
        <v>1500</v>
      </c>
      <c r="K4925" s="21">
        <v>0</v>
      </c>
      <c r="L4925" s="21">
        <v>0</v>
      </c>
      <c r="M4925" s="21">
        <f>COUNTIF($A$2:$A$5481,A4925)</f>
        <v>1</v>
      </c>
      <c r="N4925" s="24">
        <f t="shared" si="76"/>
        <v>1500.0004925</v>
      </c>
    </row>
    <row r="4926" spans="1:14">
      <c r="A4926" s="21" t="s">
        <v>4446</v>
      </c>
      <c r="B4926" s="21" t="s">
        <v>929</v>
      </c>
      <c r="C4926" s="21" t="s">
        <v>414</v>
      </c>
      <c r="D4926" s="21" t="s">
        <v>921</v>
      </c>
      <c r="E4926" s="21">
        <v>8</v>
      </c>
      <c r="F4926" s="22">
        <v>46007.3421527778</v>
      </c>
      <c r="G4926" s="22"/>
      <c r="H4926" s="23">
        <v>3653.08</v>
      </c>
      <c r="I4926" s="23">
        <v>922.76</v>
      </c>
      <c r="J4926" s="24">
        <v>7382.08</v>
      </c>
      <c r="K4926" s="21">
        <v>0</v>
      </c>
      <c r="L4926" s="21">
        <v>0</v>
      </c>
      <c r="M4926" s="21">
        <f>COUNTIF($A$2:$A$5481,A4926)</f>
        <v>1</v>
      </c>
      <c r="N4926" s="24">
        <f t="shared" si="76"/>
        <v>7382.0804926</v>
      </c>
    </row>
    <row r="4927" spans="1:14">
      <c r="A4927" s="21" t="s">
        <v>4447</v>
      </c>
      <c r="B4927" s="21" t="s">
        <v>1115</v>
      </c>
      <c r="C4927" s="21" t="s">
        <v>26</v>
      </c>
      <c r="D4927" s="21" t="s">
        <v>921</v>
      </c>
      <c r="E4927" s="21">
        <v>4</v>
      </c>
      <c r="F4927" s="22">
        <v>45986.3784375</v>
      </c>
      <c r="G4927" s="22"/>
      <c r="H4927" s="23">
        <v>8.64</v>
      </c>
      <c r="I4927" s="23">
        <v>2.16</v>
      </c>
      <c r="J4927" s="24">
        <v>8.64</v>
      </c>
      <c r="K4927" s="21">
        <v>0</v>
      </c>
      <c r="L4927" s="21">
        <v>0</v>
      </c>
      <c r="M4927" s="21">
        <f>COUNTIF($A$2:$A$5481,A4927)</f>
        <v>1</v>
      </c>
      <c r="N4927" s="24">
        <f t="shared" si="76"/>
        <v>8.6404927</v>
      </c>
    </row>
    <row r="4928" spans="1:14">
      <c r="A4928" s="21" t="s">
        <v>4448</v>
      </c>
      <c r="B4928" s="21" t="s">
        <v>920</v>
      </c>
      <c r="C4928" s="21" t="s">
        <v>35</v>
      </c>
      <c r="D4928" s="21" t="s">
        <v>921</v>
      </c>
      <c r="E4928" s="21">
        <v>2</v>
      </c>
      <c r="F4928" s="22">
        <v>45282.7878125</v>
      </c>
      <c r="G4928" s="22"/>
      <c r="H4928" s="23">
        <v>65.2</v>
      </c>
      <c r="I4928" s="23">
        <v>32.6</v>
      </c>
      <c r="J4928" s="24">
        <v>65.2</v>
      </c>
      <c r="K4928" s="21">
        <v>0</v>
      </c>
      <c r="L4928" s="21">
        <v>0</v>
      </c>
      <c r="M4928" s="21">
        <f>COUNTIF($A$2:$A$5481,A4928)</f>
        <v>1</v>
      </c>
      <c r="N4928" s="24">
        <f t="shared" si="76"/>
        <v>65.2004928</v>
      </c>
    </row>
    <row r="4929" spans="1:14">
      <c r="A4929" s="21" t="s">
        <v>510</v>
      </c>
      <c r="B4929" s="21" t="s">
        <v>920</v>
      </c>
      <c r="C4929" s="21" t="s">
        <v>35</v>
      </c>
      <c r="D4929" s="21" t="s">
        <v>921</v>
      </c>
      <c r="E4929" s="21">
        <v>4</v>
      </c>
      <c r="F4929" s="22">
        <v>46237.5763888889</v>
      </c>
      <c r="G4929" s="22">
        <v>46240.6669907407</v>
      </c>
      <c r="H4929" s="23">
        <v>332.25</v>
      </c>
      <c r="I4929" s="23">
        <v>66.45</v>
      </c>
      <c r="J4929" s="24">
        <v>265.8</v>
      </c>
      <c r="K4929" s="21">
        <v>0</v>
      </c>
      <c r="L4929" s="21">
        <v>0</v>
      </c>
      <c r="M4929" s="21">
        <f>COUNTIF($A$2:$A$5481,A4929)</f>
        <v>1</v>
      </c>
      <c r="N4929" s="24">
        <f t="shared" si="76"/>
        <v>265.8004929</v>
      </c>
    </row>
    <row r="4930" spans="1:14">
      <c r="A4930" s="21" t="s">
        <v>509</v>
      </c>
      <c r="B4930" s="21" t="s">
        <v>920</v>
      </c>
      <c r="C4930" s="21" t="s">
        <v>35</v>
      </c>
      <c r="D4930" s="21" t="s">
        <v>921</v>
      </c>
      <c r="E4930" s="21">
        <v>4</v>
      </c>
      <c r="F4930" s="22">
        <v>46237.5763888889</v>
      </c>
      <c r="G4930" s="22">
        <v>46240.6669791667</v>
      </c>
      <c r="H4930" s="23">
        <v>332.25</v>
      </c>
      <c r="I4930" s="23">
        <v>66.45</v>
      </c>
      <c r="J4930" s="24">
        <v>265.8</v>
      </c>
      <c r="K4930" s="21">
        <v>0</v>
      </c>
      <c r="L4930" s="21">
        <v>0</v>
      </c>
      <c r="M4930" s="21">
        <f>COUNTIF($A$2:$A$5481,A4930)</f>
        <v>1</v>
      </c>
      <c r="N4930" s="24">
        <f t="shared" ref="N4930:N4993" si="77">J4930+ROW()/10000000</f>
        <v>265.800493</v>
      </c>
    </row>
    <row r="4931" spans="1:14">
      <c r="A4931" s="21" t="s">
        <v>4449</v>
      </c>
      <c r="B4931" s="21" t="s">
        <v>920</v>
      </c>
      <c r="C4931" s="21" t="s">
        <v>35</v>
      </c>
      <c r="D4931" s="21" t="s">
        <v>931</v>
      </c>
      <c r="E4931" s="21">
        <v>2</v>
      </c>
      <c r="F4931" s="22">
        <v>45593.6208217593</v>
      </c>
      <c r="G4931" s="22"/>
      <c r="H4931" s="23">
        <v>212</v>
      </c>
      <c r="I4931" s="23">
        <v>106</v>
      </c>
      <c r="J4931" s="24">
        <v>212</v>
      </c>
      <c r="K4931" s="21">
        <v>0</v>
      </c>
      <c r="L4931" s="21">
        <v>0</v>
      </c>
      <c r="M4931" s="21">
        <f>COUNTIF($A$2:$A$5481,A4931)</f>
        <v>1</v>
      </c>
      <c r="N4931" s="24">
        <f t="shared" si="77"/>
        <v>212.0004931</v>
      </c>
    </row>
    <row r="4932" spans="1:14">
      <c r="A4932" s="21" t="s">
        <v>4450</v>
      </c>
      <c r="B4932" s="21" t="s">
        <v>920</v>
      </c>
      <c r="C4932" s="21" t="s">
        <v>35</v>
      </c>
      <c r="D4932" s="21" t="s">
        <v>931</v>
      </c>
      <c r="E4932" s="21">
        <v>1</v>
      </c>
      <c r="F4932" s="22">
        <v>45881.8075115741</v>
      </c>
      <c r="G4932" s="22"/>
      <c r="H4932" s="23">
        <v>68</v>
      </c>
      <c r="I4932" s="23">
        <v>68</v>
      </c>
      <c r="J4932" s="24">
        <v>68</v>
      </c>
      <c r="K4932" s="21">
        <v>0</v>
      </c>
      <c r="L4932" s="21">
        <v>0</v>
      </c>
      <c r="M4932" s="21">
        <f>COUNTIF($A$2:$A$5481,A4932)</f>
        <v>1</v>
      </c>
      <c r="N4932" s="24">
        <f t="shared" si="77"/>
        <v>68.0004932</v>
      </c>
    </row>
    <row r="4933" spans="1:14">
      <c r="A4933" s="21" t="s">
        <v>4451</v>
      </c>
      <c r="B4933" s="21" t="s">
        <v>920</v>
      </c>
      <c r="C4933" s="21" t="s">
        <v>35</v>
      </c>
      <c r="D4933" s="21" t="s">
        <v>921</v>
      </c>
      <c r="E4933" s="21">
        <v>2</v>
      </c>
      <c r="F4933" s="22">
        <v>45573.7962268519</v>
      </c>
      <c r="G4933" s="22"/>
      <c r="H4933" s="23">
        <v>70</v>
      </c>
      <c r="I4933" s="23">
        <v>35</v>
      </c>
      <c r="J4933" s="24">
        <v>70</v>
      </c>
      <c r="K4933" s="21">
        <v>0</v>
      </c>
      <c r="L4933" s="21">
        <v>0</v>
      </c>
      <c r="M4933" s="21">
        <f>COUNTIF($A$2:$A$5481,A4933)</f>
        <v>1</v>
      </c>
      <c r="N4933" s="24">
        <f t="shared" si="77"/>
        <v>70.0004933</v>
      </c>
    </row>
    <row r="4934" spans="1:14">
      <c r="A4934" s="21" t="s">
        <v>4452</v>
      </c>
      <c r="B4934" s="21" t="s">
        <v>920</v>
      </c>
      <c r="C4934" s="21" t="s">
        <v>35</v>
      </c>
      <c r="D4934" s="21" t="s">
        <v>921</v>
      </c>
      <c r="E4934" s="21">
        <v>2</v>
      </c>
      <c r="F4934" s="22">
        <v>45573.7962268519</v>
      </c>
      <c r="G4934" s="22"/>
      <c r="H4934" s="23">
        <v>178</v>
      </c>
      <c r="I4934" s="23">
        <v>89</v>
      </c>
      <c r="J4934" s="24">
        <v>178</v>
      </c>
      <c r="K4934" s="21">
        <v>0</v>
      </c>
      <c r="L4934" s="21">
        <v>0</v>
      </c>
      <c r="M4934" s="21">
        <f>COUNTIF($A$2:$A$5481,A4934)</f>
        <v>1</v>
      </c>
      <c r="N4934" s="24">
        <f t="shared" si="77"/>
        <v>178.0004934</v>
      </c>
    </row>
    <row r="4935" spans="1:14">
      <c r="A4935" s="21" t="s">
        <v>4453</v>
      </c>
      <c r="B4935" s="21" t="s">
        <v>949</v>
      </c>
      <c r="C4935" s="21" t="s">
        <v>182</v>
      </c>
      <c r="D4935" s="21" t="s">
        <v>921</v>
      </c>
      <c r="E4935" s="21">
        <v>0</v>
      </c>
      <c r="F4935" s="22">
        <v>45317.40625</v>
      </c>
      <c r="G4935" s="22">
        <v>45322.4095833333</v>
      </c>
      <c r="H4935" s="23">
        <v>53.55</v>
      </c>
      <c r="I4935" s="23">
        <v>17.85</v>
      </c>
      <c r="J4935" s="24">
        <v>0</v>
      </c>
      <c r="K4935" s="21">
        <v>0</v>
      </c>
      <c r="L4935" s="21">
        <v>0</v>
      </c>
      <c r="M4935" s="21">
        <f>COUNTIF($A$2:$A$5481,A4935)</f>
        <v>1</v>
      </c>
      <c r="N4935" s="24">
        <f t="shared" si="77"/>
        <v>0.0004935</v>
      </c>
    </row>
    <row r="4936" spans="1:14">
      <c r="A4936" s="21" t="s">
        <v>4454</v>
      </c>
      <c r="B4936" s="21" t="s">
        <v>949</v>
      </c>
      <c r="C4936" s="21" t="s">
        <v>26</v>
      </c>
      <c r="D4936" s="21" t="s">
        <v>921</v>
      </c>
      <c r="E4936" s="21">
        <v>0</v>
      </c>
      <c r="F4936" s="22">
        <v>45323.3923611111</v>
      </c>
      <c r="G4936" s="22">
        <v>45324.490462963</v>
      </c>
      <c r="H4936" s="23">
        <v>185.9</v>
      </c>
      <c r="I4936" s="23">
        <v>185.9</v>
      </c>
      <c r="J4936" s="24">
        <v>0</v>
      </c>
      <c r="K4936" s="21">
        <v>0</v>
      </c>
      <c r="L4936" s="21">
        <v>0</v>
      </c>
      <c r="M4936" s="21">
        <f>COUNTIF($A$2:$A$5481,A4936)</f>
        <v>1</v>
      </c>
      <c r="N4936" s="24">
        <f t="shared" si="77"/>
        <v>0.0004936</v>
      </c>
    </row>
    <row r="4937" spans="1:14">
      <c r="A4937" s="21" t="s">
        <v>4455</v>
      </c>
      <c r="B4937" s="21" t="s">
        <v>949</v>
      </c>
      <c r="C4937" s="21" t="s">
        <v>182</v>
      </c>
      <c r="D4937" s="21" t="s">
        <v>921</v>
      </c>
      <c r="E4937" s="21">
        <v>0</v>
      </c>
      <c r="F4937" s="22">
        <v>45307.3745601852</v>
      </c>
      <c r="G4937" s="22">
        <v>45310.4236574074</v>
      </c>
      <c r="H4937" s="23">
        <v>71.92</v>
      </c>
      <c r="I4937" s="23">
        <v>8.99</v>
      </c>
      <c r="J4937" s="24">
        <v>0</v>
      </c>
      <c r="K4937" s="21">
        <v>0</v>
      </c>
      <c r="L4937" s="21">
        <v>0</v>
      </c>
      <c r="M4937" s="21">
        <f>COUNTIF($A$2:$A$5481,A4937)</f>
        <v>2</v>
      </c>
      <c r="N4937" s="24">
        <f t="shared" si="77"/>
        <v>0.0004937</v>
      </c>
    </row>
    <row r="4938" spans="1:14">
      <c r="A4938" s="21" t="s">
        <v>4455</v>
      </c>
      <c r="B4938" s="21" t="s">
        <v>949</v>
      </c>
      <c r="C4938" s="21" t="s">
        <v>26</v>
      </c>
      <c r="D4938" s="21" t="s">
        <v>921</v>
      </c>
      <c r="E4938" s="21">
        <v>0</v>
      </c>
      <c r="F4938" s="22">
        <v>45323.3923611111</v>
      </c>
      <c r="G4938" s="22">
        <v>45324.4905787037</v>
      </c>
      <c r="H4938" s="23">
        <v>39.858</v>
      </c>
      <c r="I4938" s="23">
        <v>9.49</v>
      </c>
      <c r="J4938" s="24">
        <v>0</v>
      </c>
      <c r="K4938" s="21">
        <v>0</v>
      </c>
      <c r="L4938" s="21">
        <v>0</v>
      </c>
      <c r="M4938" s="21">
        <f>COUNTIF($A$2:$A$5481,A4938)</f>
        <v>2</v>
      </c>
      <c r="N4938" s="24">
        <f t="shared" si="77"/>
        <v>0.0004938</v>
      </c>
    </row>
    <row r="4939" spans="1:14">
      <c r="A4939" s="21" t="s">
        <v>4456</v>
      </c>
      <c r="B4939" s="21" t="s">
        <v>949</v>
      </c>
      <c r="C4939" s="21" t="s">
        <v>182</v>
      </c>
      <c r="D4939" s="21" t="s">
        <v>921</v>
      </c>
      <c r="E4939" s="21">
        <v>0</v>
      </c>
      <c r="F4939" s="22">
        <v>45307.3745601852</v>
      </c>
      <c r="G4939" s="22">
        <v>45310.4236111111</v>
      </c>
      <c r="H4939" s="23">
        <v>20.748</v>
      </c>
      <c r="I4939" s="23">
        <v>3.99</v>
      </c>
      <c r="J4939" s="24">
        <v>0</v>
      </c>
      <c r="K4939" s="21">
        <v>0</v>
      </c>
      <c r="L4939" s="21">
        <v>0</v>
      </c>
      <c r="M4939" s="21">
        <f>COUNTIF($A$2:$A$5481,A4939)</f>
        <v>2</v>
      </c>
      <c r="N4939" s="24">
        <f t="shared" si="77"/>
        <v>0.0004939</v>
      </c>
    </row>
    <row r="4940" spans="1:14">
      <c r="A4940" s="21" t="s">
        <v>4456</v>
      </c>
      <c r="B4940" s="21" t="s">
        <v>949</v>
      </c>
      <c r="C4940" s="21" t="s">
        <v>26</v>
      </c>
      <c r="D4940" s="21" t="s">
        <v>921</v>
      </c>
      <c r="E4940" s="21">
        <v>0</v>
      </c>
      <c r="F4940" s="22">
        <v>45323.3923611111</v>
      </c>
      <c r="G4940" s="22">
        <v>45324.4905902778</v>
      </c>
      <c r="H4940" s="23">
        <v>17.465</v>
      </c>
      <c r="I4940" s="23">
        <v>4.99</v>
      </c>
      <c r="J4940" s="24">
        <v>0</v>
      </c>
      <c r="K4940" s="21">
        <v>0</v>
      </c>
      <c r="L4940" s="21">
        <v>0</v>
      </c>
      <c r="M4940" s="21">
        <f>COUNTIF($A$2:$A$5481,A4940)</f>
        <v>2</v>
      </c>
      <c r="N4940" s="24">
        <f t="shared" si="77"/>
        <v>0.000494</v>
      </c>
    </row>
    <row r="4941" spans="1:14">
      <c r="A4941" s="21" t="s">
        <v>4457</v>
      </c>
      <c r="B4941" s="21" t="s">
        <v>948</v>
      </c>
      <c r="C4941" s="21" t="s">
        <v>26</v>
      </c>
      <c r="D4941" s="21" t="s">
        <v>921</v>
      </c>
      <c r="E4941" s="21">
        <v>2</v>
      </c>
      <c r="F4941" s="22">
        <v>46129.4166666667</v>
      </c>
      <c r="G4941" s="22"/>
      <c r="H4941" s="23">
        <v>30</v>
      </c>
      <c r="I4941" s="23">
        <v>15</v>
      </c>
      <c r="J4941" s="24">
        <v>30</v>
      </c>
      <c r="K4941" s="21">
        <v>0</v>
      </c>
      <c r="L4941" s="21">
        <v>0</v>
      </c>
      <c r="M4941" s="21">
        <f>COUNTIF($A$2:$A$5481,A4941)</f>
        <v>1</v>
      </c>
      <c r="N4941" s="24">
        <f t="shared" si="77"/>
        <v>30.0004941</v>
      </c>
    </row>
    <row r="4942" spans="1:14">
      <c r="A4942" s="21" t="s">
        <v>4458</v>
      </c>
      <c r="B4942" s="21" t="s">
        <v>920</v>
      </c>
      <c r="C4942" s="21" t="s">
        <v>26</v>
      </c>
      <c r="D4942" s="21" t="s">
        <v>931</v>
      </c>
      <c r="E4942" s="21">
        <v>1</v>
      </c>
      <c r="F4942" s="22">
        <v>45750.369537037</v>
      </c>
      <c r="G4942" s="22"/>
      <c r="H4942" s="23">
        <v>22.29</v>
      </c>
      <c r="I4942" s="23">
        <v>22.29</v>
      </c>
      <c r="J4942" s="24">
        <v>22.29</v>
      </c>
      <c r="K4942" s="21">
        <v>0</v>
      </c>
      <c r="L4942" s="21">
        <v>0</v>
      </c>
      <c r="M4942" s="21">
        <f>COUNTIF($A$2:$A$5481,A4942)</f>
        <v>1</v>
      </c>
      <c r="N4942" s="24">
        <f t="shared" si="77"/>
        <v>22.2904942</v>
      </c>
    </row>
    <row r="4943" spans="1:14">
      <c r="A4943" s="21" t="s">
        <v>4459</v>
      </c>
      <c r="B4943" s="21" t="s">
        <v>26</v>
      </c>
      <c r="C4943" s="21" t="s">
        <v>26</v>
      </c>
      <c r="D4943" s="21" t="s">
        <v>921</v>
      </c>
      <c r="E4943" s="21">
        <v>1</v>
      </c>
      <c r="F4943" s="22">
        <v>45790.8454976852</v>
      </c>
      <c r="G4943" s="22"/>
      <c r="H4943" s="23">
        <v>5.34</v>
      </c>
      <c r="I4943" s="23">
        <v>5.34</v>
      </c>
      <c r="J4943" s="24">
        <v>5.34</v>
      </c>
      <c r="K4943" s="21">
        <v>0</v>
      </c>
      <c r="L4943" s="21">
        <v>0</v>
      </c>
      <c r="M4943" s="21">
        <f>COUNTIF($A$2:$A$5481,A4943)</f>
        <v>1</v>
      </c>
      <c r="N4943" s="24">
        <f t="shared" si="77"/>
        <v>5.3404943</v>
      </c>
    </row>
    <row r="4944" spans="1:14">
      <c r="A4944" s="21" t="s">
        <v>4460</v>
      </c>
      <c r="B4944" s="21" t="s">
        <v>920</v>
      </c>
      <c r="C4944" s="21" t="s">
        <v>35</v>
      </c>
      <c r="D4944" s="21" t="s">
        <v>921</v>
      </c>
      <c r="E4944" s="21">
        <v>1</v>
      </c>
      <c r="F4944" s="22">
        <v>45456.3520833333</v>
      </c>
      <c r="G4944" s="22"/>
      <c r="H4944" s="23">
        <v>9.9</v>
      </c>
      <c r="I4944" s="23">
        <v>9.9</v>
      </c>
      <c r="J4944" s="24">
        <v>9.9</v>
      </c>
      <c r="K4944" s="21">
        <v>0</v>
      </c>
      <c r="L4944" s="21">
        <v>0</v>
      </c>
      <c r="M4944" s="21">
        <f>COUNTIF($A$2:$A$5481,A4944)</f>
        <v>1</v>
      </c>
      <c r="N4944" s="24">
        <f t="shared" si="77"/>
        <v>9.9004944</v>
      </c>
    </row>
    <row r="4945" spans="1:14">
      <c r="A4945" s="21" t="s">
        <v>212</v>
      </c>
      <c r="B4945" s="21" t="s">
        <v>920</v>
      </c>
      <c r="C4945" s="21" t="s">
        <v>35</v>
      </c>
      <c r="D4945" s="21" t="s">
        <v>921</v>
      </c>
      <c r="E4945" s="21">
        <v>0</v>
      </c>
      <c r="F4945" s="22">
        <v>45436.8604166667</v>
      </c>
      <c r="G4945" s="22">
        <v>46154.5730092593</v>
      </c>
      <c r="H4945" s="23">
        <v>606.19</v>
      </c>
      <c r="I4945" s="23">
        <v>606.19</v>
      </c>
      <c r="J4945" s="24">
        <v>0</v>
      </c>
      <c r="K4945" s="21">
        <v>0</v>
      </c>
      <c r="L4945" s="21">
        <v>0</v>
      </c>
      <c r="M4945" s="21">
        <f>COUNTIF($A$2:$A$5481,A4945)</f>
        <v>2</v>
      </c>
      <c r="N4945" s="24">
        <f t="shared" si="77"/>
        <v>0.0004945</v>
      </c>
    </row>
    <row r="4946" spans="1:14">
      <c r="A4946" s="21" t="s">
        <v>212</v>
      </c>
      <c r="B4946" s="21" t="s">
        <v>920</v>
      </c>
      <c r="C4946" s="21" t="s">
        <v>26</v>
      </c>
      <c r="D4946" s="21" t="s">
        <v>921</v>
      </c>
      <c r="E4946" s="21">
        <v>1</v>
      </c>
      <c r="F4946" s="22">
        <v>46154.4041666667</v>
      </c>
      <c r="G4946" s="22">
        <v>46162.638287037</v>
      </c>
      <c r="H4946" s="23">
        <v>990</v>
      </c>
      <c r="I4946" s="23">
        <v>986.5</v>
      </c>
      <c r="J4946" s="24">
        <v>986.5</v>
      </c>
      <c r="K4946" s="21">
        <v>0</v>
      </c>
      <c r="L4946" s="21">
        <v>0</v>
      </c>
      <c r="M4946" s="21">
        <f>COUNTIF($A$2:$A$5481,A4946)</f>
        <v>2</v>
      </c>
      <c r="N4946" s="24">
        <f t="shared" si="77"/>
        <v>986.5004946</v>
      </c>
    </row>
    <row r="4947" spans="1:14">
      <c r="A4947" s="21" t="s">
        <v>4461</v>
      </c>
      <c r="B4947" s="21" t="s">
        <v>920</v>
      </c>
      <c r="C4947" s="21" t="s">
        <v>26</v>
      </c>
      <c r="D4947" s="21" t="s">
        <v>931</v>
      </c>
      <c r="E4947" s="21">
        <v>1</v>
      </c>
      <c r="F4947" s="22">
        <v>45748.4834953704</v>
      </c>
      <c r="G4947" s="22"/>
      <c r="H4947" s="23">
        <v>2390</v>
      </c>
      <c r="I4947" s="23">
        <v>2390</v>
      </c>
      <c r="J4947" s="24">
        <v>2390</v>
      </c>
      <c r="K4947" s="21">
        <v>0</v>
      </c>
      <c r="L4947" s="21">
        <v>0</v>
      </c>
      <c r="M4947" s="21">
        <f>COUNTIF($A$2:$A$5481,A4947)</f>
        <v>1</v>
      </c>
      <c r="N4947" s="24">
        <f t="shared" si="77"/>
        <v>2390.0004947</v>
      </c>
    </row>
    <row r="4948" spans="1:14">
      <c r="A4948" s="21" t="s">
        <v>4462</v>
      </c>
      <c r="B4948" s="21" t="s">
        <v>920</v>
      </c>
      <c r="C4948" s="21" t="s">
        <v>35</v>
      </c>
      <c r="D4948" s="21" t="s">
        <v>921</v>
      </c>
      <c r="E4948" s="21">
        <v>0</v>
      </c>
      <c r="F4948" s="22">
        <v>45601.6769560185</v>
      </c>
      <c r="G4948" s="22">
        <v>45631.4334606482</v>
      </c>
      <c r="H4948" s="23">
        <v>450</v>
      </c>
      <c r="I4948" s="23">
        <v>450</v>
      </c>
      <c r="J4948" s="24">
        <v>0</v>
      </c>
      <c r="K4948" s="21">
        <v>0</v>
      </c>
      <c r="L4948" s="21">
        <v>0</v>
      </c>
      <c r="M4948" s="21">
        <f>COUNTIF($A$2:$A$5481,A4948)</f>
        <v>1</v>
      </c>
      <c r="N4948" s="24">
        <f t="shared" si="77"/>
        <v>0.0004948</v>
      </c>
    </row>
    <row r="4949" spans="1:14">
      <c r="A4949" s="21" t="s">
        <v>4463</v>
      </c>
      <c r="B4949" s="21" t="s">
        <v>920</v>
      </c>
      <c r="C4949" s="21" t="s">
        <v>26</v>
      </c>
      <c r="D4949" s="21" t="s">
        <v>931</v>
      </c>
      <c r="E4949" s="21">
        <v>0</v>
      </c>
      <c r="F4949" s="22">
        <v>45572.609849537</v>
      </c>
      <c r="G4949" s="22">
        <v>45583.3871064815</v>
      </c>
      <c r="H4949" s="23">
        <v>855</v>
      </c>
      <c r="I4949" s="23">
        <v>855</v>
      </c>
      <c r="J4949" s="24">
        <v>0</v>
      </c>
      <c r="K4949" s="21">
        <v>0</v>
      </c>
      <c r="L4949" s="21">
        <v>0</v>
      </c>
      <c r="M4949" s="21">
        <f>COUNTIF($A$2:$A$5481,A4949)</f>
        <v>1</v>
      </c>
      <c r="N4949" s="24">
        <f t="shared" si="77"/>
        <v>0.0004949</v>
      </c>
    </row>
    <row r="4950" spans="1:14">
      <c r="A4950" s="21" t="s">
        <v>4464</v>
      </c>
      <c r="B4950" s="21" t="s">
        <v>1352</v>
      </c>
      <c r="C4950" s="21" t="s">
        <v>414</v>
      </c>
      <c r="D4950" s="21" t="s">
        <v>921</v>
      </c>
      <c r="E4950" s="21">
        <v>2</v>
      </c>
      <c r="F4950" s="22">
        <v>46009.6672800926</v>
      </c>
      <c r="G4950" s="22"/>
      <c r="H4950" s="23">
        <v>4518</v>
      </c>
      <c r="I4950" s="23">
        <v>2259</v>
      </c>
      <c r="J4950" s="24">
        <v>4518</v>
      </c>
      <c r="K4950" s="21">
        <v>0</v>
      </c>
      <c r="L4950" s="21">
        <v>0</v>
      </c>
      <c r="M4950" s="21">
        <f>COUNTIF($A$2:$A$5481,A4950)</f>
        <v>1</v>
      </c>
      <c r="N4950" s="24">
        <f t="shared" si="77"/>
        <v>4518.000495</v>
      </c>
    </row>
    <row r="4951" spans="1:14">
      <c r="A4951" s="21" t="s">
        <v>900</v>
      </c>
      <c r="B4951" s="21" t="s">
        <v>920</v>
      </c>
      <c r="C4951" s="21" t="s">
        <v>35</v>
      </c>
      <c r="D4951" s="21" t="s">
        <v>921</v>
      </c>
      <c r="E4951" s="21">
        <v>0</v>
      </c>
      <c r="F4951" s="22">
        <v>45280.840775463</v>
      </c>
      <c r="G4951" s="22">
        <v>46281.6360648148</v>
      </c>
      <c r="H4951" s="23">
        <v>732</v>
      </c>
      <c r="I4951" s="23">
        <v>732</v>
      </c>
      <c r="J4951" s="24">
        <v>0</v>
      </c>
      <c r="K4951" s="21">
        <v>0</v>
      </c>
      <c r="L4951" s="21">
        <v>0</v>
      </c>
      <c r="M4951" s="21">
        <f>COUNTIF($A$2:$A$5481,A4951)</f>
        <v>1</v>
      </c>
      <c r="N4951" s="24">
        <f t="shared" si="77"/>
        <v>0.0004951</v>
      </c>
    </row>
    <row r="4952" spans="1:14">
      <c r="A4952" s="21" t="s">
        <v>4465</v>
      </c>
      <c r="B4952" s="21" t="s">
        <v>920</v>
      </c>
      <c r="C4952" s="21" t="s">
        <v>26</v>
      </c>
      <c r="D4952" s="21" t="s">
        <v>921</v>
      </c>
      <c r="E4952" s="21">
        <v>0</v>
      </c>
      <c r="F4952" s="22">
        <v>45967.75375</v>
      </c>
      <c r="G4952" s="22">
        <v>45973.3662731482</v>
      </c>
      <c r="H4952" s="23">
        <v>860</v>
      </c>
      <c r="I4952" s="23">
        <v>860</v>
      </c>
      <c r="J4952" s="24">
        <v>0</v>
      </c>
      <c r="K4952" s="21">
        <v>0</v>
      </c>
      <c r="L4952" s="21">
        <v>0</v>
      </c>
      <c r="M4952" s="21">
        <f>COUNTIF($A$2:$A$5481,A4952)</f>
        <v>1</v>
      </c>
      <c r="N4952" s="24">
        <f t="shared" si="77"/>
        <v>0.0004952</v>
      </c>
    </row>
    <row r="4953" spans="1:14">
      <c r="A4953" s="21" t="s">
        <v>308</v>
      </c>
      <c r="B4953" s="21" t="s">
        <v>920</v>
      </c>
      <c r="C4953" s="21" t="s">
        <v>26</v>
      </c>
      <c r="D4953" s="21" t="s">
        <v>921</v>
      </c>
      <c r="E4953" s="21">
        <v>1</v>
      </c>
      <c r="F4953" s="22">
        <v>45974.6659143519</v>
      </c>
      <c r="G4953" s="22">
        <v>46097.4555324074</v>
      </c>
      <c r="H4953" s="23">
        <v>699</v>
      </c>
      <c r="I4953" s="23">
        <v>699</v>
      </c>
      <c r="J4953" s="24">
        <v>699</v>
      </c>
      <c r="K4953" s="21">
        <v>0</v>
      </c>
      <c r="L4953" s="21">
        <v>0</v>
      </c>
      <c r="M4953" s="21">
        <f>COUNTIF($A$2:$A$5481,A4953)</f>
        <v>1</v>
      </c>
      <c r="N4953" s="24">
        <f t="shared" si="77"/>
        <v>699.0004953</v>
      </c>
    </row>
    <row r="4954" spans="1:14">
      <c r="A4954" s="21" t="s">
        <v>4466</v>
      </c>
      <c r="B4954" s="21" t="s">
        <v>920</v>
      </c>
      <c r="C4954" s="21" t="s">
        <v>35</v>
      </c>
      <c r="D4954" s="21" t="s">
        <v>921</v>
      </c>
      <c r="E4954" s="21">
        <v>0</v>
      </c>
      <c r="F4954" s="22">
        <v>45436.8604166667</v>
      </c>
      <c r="G4954" s="22">
        <v>45552.5463425926</v>
      </c>
      <c r="H4954" s="23">
        <v>456.63</v>
      </c>
      <c r="I4954" s="23">
        <v>456.63</v>
      </c>
      <c r="J4954" s="24">
        <v>0</v>
      </c>
      <c r="K4954" s="21">
        <v>0</v>
      </c>
      <c r="L4954" s="21">
        <v>0</v>
      </c>
      <c r="M4954" s="21">
        <f>COUNTIF($A$2:$A$5481,A4954)</f>
        <v>2</v>
      </c>
      <c r="N4954" s="24">
        <f t="shared" si="77"/>
        <v>0.0004954</v>
      </c>
    </row>
    <row r="4955" spans="1:14">
      <c r="A4955" s="21" t="s">
        <v>4466</v>
      </c>
      <c r="B4955" s="21" t="s">
        <v>920</v>
      </c>
      <c r="C4955" s="21" t="s">
        <v>26</v>
      </c>
      <c r="D4955" s="21" t="s">
        <v>921</v>
      </c>
      <c r="E4955" s="21">
        <v>0</v>
      </c>
      <c r="F4955" s="22">
        <v>45622.8329513889</v>
      </c>
      <c r="G4955" s="22">
        <v>45876.3779282407</v>
      </c>
      <c r="H4955" s="23">
        <v>1176</v>
      </c>
      <c r="I4955" s="23">
        <v>663.93833</v>
      </c>
      <c r="J4955" s="24">
        <v>0</v>
      </c>
      <c r="K4955" s="21">
        <v>0</v>
      </c>
      <c r="L4955" s="21">
        <v>0</v>
      </c>
      <c r="M4955" s="21">
        <f>COUNTIF($A$2:$A$5481,A4955)</f>
        <v>2</v>
      </c>
      <c r="N4955" s="24">
        <f t="shared" si="77"/>
        <v>0.0004955</v>
      </c>
    </row>
    <row r="4956" spans="1:14">
      <c r="A4956" s="21" t="s">
        <v>4467</v>
      </c>
      <c r="B4956" s="21" t="s">
        <v>26</v>
      </c>
      <c r="C4956" s="21" t="s">
        <v>26</v>
      </c>
      <c r="D4956" s="21" t="s">
        <v>931</v>
      </c>
      <c r="E4956" s="21">
        <v>2</v>
      </c>
      <c r="F4956" s="22">
        <v>45558.8266435185</v>
      </c>
      <c r="G4956" s="22"/>
      <c r="H4956" s="23">
        <v>23.46</v>
      </c>
      <c r="I4956" s="23">
        <v>11.73</v>
      </c>
      <c r="J4956" s="24">
        <v>23.46</v>
      </c>
      <c r="K4956" s="21">
        <v>0</v>
      </c>
      <c r="L4956" s="21">
        <v>0</v>
      </c>
      <c r="M4956" s="21">
        <f>COUNTIF($A$2:$A$5481,A4956)</f>
        <v>1</v>
      </c>
      <c r="N4956" s="24">
        <f t="shared" si="77"/>
        <v>23.4604956</v>
      </c>
    </row>
    <row r="4957" spans="1:14">
      <c r="A4957" s="21" t="s">
        <v>4468</v>
      </c>
      <c r="B4957" s="21" t="s">
        <v>920</v>
      </c>
      <c r="C4957" s="21" t="s">
        <v>26</v>
      </c>
      <c r="D4957" s="21" t="s">
        <v>921</v>
      </c>
      <c r="E4957" s="21">
        <v>6</v>
      </c>
      <c r="F4957" s="22">
        <v>45813.5644097222</v>
      </c>
      <c r="G4957" s="22"/>
      <c r="H4957" s="23">
        <v>176.52</v>
      </c>
      <c r="I4957" s="23">
        <v>41.39</v>
      </c>
      <c r="J4957" s="24">
        <v>248.34</v>
      </c>
      <c r="K4957" s="21">
        <v>0</v>
      </c>
      <c r="L4957" s="21">
        <v>0</v>
      </c>
      <c r="M4957" s="21">
        <f>COUNTIF($A$2:$A$5481,A4957)</f>
        <v>1</v>
      </c>
      <c r="N4957" s="24">
        <f t="shared" si="77"/>
        <v>248.3404957</v>
      </c>
    </row>
    <row r="4958" spans="1:14">
      <c r="A4958" s="21" t="s">
        <v>4469</v>
      </c>
      <c r="B4958" s="21" t="s">
        <v>26</v>
      </c>
      <c r="C4958" s="21" t="s">
        <v>26</v>
      </c>
      <c r="D4958" s="21" t="s">
        <v>921</v>
      </c>
      <c r="E4958" s="21">
        <v>4</v>
      </c>
      <c r="F4958" s="22">
        <v>46078.5484837963</v>
      </c>
      <c r="G4958" s="22"/>
      <c r="H4958" s="23">
        <v>292.48</v>
      </c>
      <c r="I4958" s="23">
        <v>73.12</v>
      </c>
      <c r="J4958" s="24">
        <v>292.48</v>
      </c>
      <c r="K4958" s="21">
        <v>0</v>
      </c>
      <c r="L4958" s="21">
        <v>0</v>
      </c>
      <c r="M4958" s="21">
        <f>COUNTIF($A$2:$A$5481,A4958)</f>
        <v>1</v>
      </c>
      <c r="N4958" s="24">
        <f t="shared" si="77"/>
        <v>292.4804958</v>
      </c>
    </row>
    <row r="4959" spans="1:14">
      <c r="A4959" s="21" t="s">
        <v>4470</v>
      </c>
      <c r="B4959" s="21" t="s">
        <v>920</v>
      </c>
      <c r="C4959" s="21" t="s">
        <v>26</v>
      </c>
      <c r="D4959" s="21" t="s">
        <v>921</v>
      </c>
      <c r="E4959" s="21">
        <v>5</v>
      </c>
      <c r="F4959" s="22">
        <v>45813.5644097222</v>
      </c>
      <c r="G4959" s="22"/>
      <c r="H4959" s="23">
        <v>37.36</v>
      </c>
      <c r="I4959" s="23">
        <v>53.9</v>
      </c>
      <c r="J4959" s="24">
        <v>269.5</v>
      </c>
      <c r="K4959" s="21">
        <v>0</v>
      </c>
      <c r="L4959" s="21">
        <v>0</v>
      </c>
      <c r="M4959" s="21">
        <f>COUNTIF($A$2:$A$5481,A4959)</f>
        <v>1</v>
      </c>
      <c r="N4959" s="24">
        <f t="shared" si="77"/>
        <v>269.5004959</v>
      </c>
    </row>
    <row r="4960" spans="1:14">
      <c r="A4960" s="21" t="s">
        <v>4471</v>
      </c>
      <c r="B4960" s="21" t="s">
        <v>920</v>
      </c>
      <c r="C4960" s="21" t="s">
        <v>35</v>
      </c>
      <c r="D4960" s="21" t="s">
        <v>921</v>
      </c>
      <c r="E4960" s="21">
        <v>2</v>
      </c>
      <c r="F4960" s="22">
        <v>45295.3435532407</v>
      </c>
      <c r="G4960" s="22"/>
      <c r="H4960" s="23">
        <v>118.02</v>
      </c>
      <c r="I4960" s="23">
        <v>59.01</v>
      </c>
      <c r="J4960" s="24">
        <v>118.02</v>
      </c>
      <c r="K4960" s="21">
        <v>0</v>
      </c>
      <c r="L4960" s="21">
        <v>0</v>
      </c>
      <c r="M4960" s="21">
        <f>COUNTIF($A$2:$A$5481,A4960)</f>
        <v>2</v>
      </c>
      <c r="N4960" s="24">
        <f t="shared" si="77"/>
        <v>118.020496</v>
      </c>
    </row>
    <row r="4961" spans="1:14">
      <c r="A4961" s="21" t="s">
        <v>4471</v>
      </c>
      <c r="B4961" s="21" t="s">
        <v>920</v>
      </c>
      <c r="C4961" s="21" t="s">
        <v>26</v>
      </c>
      <c r="D4961" s="21" t="s">
        <v>921</v>
      </c>
      <c r="E4961" s="21">
        <v>6</v>
      </c>
      <c r="F4961" s="22">
        <v>45813.5771412037</v>
      </c>
      <c r="G4961" s="22"/>
      <c r="H4961" s="23">
        <v>144.88</v>
      </c>
      <c r="I4961" s="23">
        <v>63.48667</v>
      </c>
      <c r="J4961" s="24">
        <v>380.94</v>
      </c>
      <c r="K4961" s="21">
        <v>0</v>
      </c>
      <c r="L4961" s="21">
        <v>0</v>
      </c>
      <c r="M4961" s="21">
        <f>COUNTIF($A$2:$A$5481,A4961)</f>
        <v>2</v>
      </c>
      <c r="N4961" s="24">
        <f t="shared" si="77"/>
        <v>380.9404961</v>
      </c>
    </row>
    <row r="4962" spans="1:14">
      <c r="A4962" s="21" t="s">
        <v>4472</v>
      </c>
      <c r="B4962" s="21" t="s">
        <v>920</v>
      </c>
      <c r="C4962" s="21" t="s">
        <v>35</v>
      </c>
      <c r="D4962" s="21" t="s">
        <v>931</v>
      </c>
      <c r="E4962" s="21">
        <v>2</v>
      </c>
      <c r="F4962" s="22">
        <v>45441.3394560185</v>
      </c>
      <c r="G4962" s="22"/>
      <c r="H4962" s="23">
        <v>400</v>
      </c>
      <c r="I4962" s="23">
        <v>200</v>
      </c>
      <c r="J4962" s="24">
        <v>400</v>
      </c>
      <c r="K4962" s="21">
        <v>0</v>
      </c>
      <c r="L4962" s="21">
        <v>0</v>
      </c>
      <c r="M4962" s="21">
        <f>COUNTIF($A$2:$A$5481,A4962)</f>
        <v>2</v>
      </c>
      <c r="N4962" s="24">
        <f t="shared" si="77"/>
        <v>400.0004962</v>
      </c>
    </row>
    <row r="4963" spans="1:14">
      <c r="A4963" s="21" t="s">
        <v>4472</v>
      </c>
      <c r="B4963" s="21" t="s">
        <v>920</v>
      </c>
      <c r="C4963" s="21" t="s">
        <v>51</v>
      </c>
      <c r="D4963" s="21" t="s">
        <v>931</v>
      </c>
      <c r="E4963" s="21">
        <v>1</v>
      </c>
      <c r="F4963" s="22">
        <v>45483.387025463</v>
      </c>
      <c r="G4963" s="22"/>
      <c r="H4963" s="23">
        <v>400</v>
      </c>
      <c r="I4963" s="23">
        <v>400</v>
      </c>
      <c r="J4963" s="24">
        <v>400</v>
      </c>
      <c r="K4963" s="21">
        <v>0</v>
      </c>
      <c r="L4963" s="21">
        <v>0</v>
      </c>
      <c r="M4963" s="21">
        <f>COUNTIF($A$2:$A$5481,A4963)</f>
        <v>2</v>
      </c>
      <c r="N4963" s="24">
        <f t="shared" si="77"/>
        <v>400.0004963</v>
      </c>
    </row>
    <row r="4964" spans="1:14">
      <c r="A4964" s="21" t="s">
        <v>4473</v>
      </c>
      <c r="B4964" s="21" t="s">
        <v>1115</v>
      </c>
      <c r="C4964" s="21" t="s">
        <v>51</v>
      </c>
      <c r="D4964" s="21" t="s">
        <v>921</v>
      </c>
      <c r="E4964" s="21">
        <v>0</v>
      </c>
      <c r="F4964" s="22">
        <v>45469.4363541667</v>
      </c>
      <c r="G4964" s="22">
        <v>45476.4404398148</v>
      </c>
      <c r="H4964" s="23">
        <v>107980</v>
      </c>
      <c r="I4964" s="23">
        <v>53.99</v>
      </c>
      <c r="J4964" s="24">
        <v>0</v>
      </c>
      <c r="K4964" s="21">
        <v>0</v>
      </c>
      <c r="L4964" s="21">
        <v>0</v>
      </c>
      <c r="M4964" s="21">
        <f>COUNTIF($A$2:$A$5481,A4964)</f>
        <v>2</v>
      </c>
      <c r="N4964" s="24">
        <f t="shared" si="77"/>
        <v>0.0004964</v>
      </c>
    </row>
    <row r="4965" spans="1:14">
      <c r="A4965" s="21" t="s">
        <v>4473</v>
      </c>
      <c r="B4965" s="21" t="s">
        <v>1115</v>
      </c>
      <c r="C4965" s="21" t="s">
        <v>26</v>
      </c>
      <c r="D4965" s="21" t="s">
        <v>921</v>
      </c>
      <c r="E4965" s="21">
        <v>10</v>
      </c>
      <c r="F4965" s="22">
        <v>46170.3916666667</v>
      </c>
      <c r="G4965" s="22">
        <v>46009.3450925926</v>
      </c>
      <c r="H4965" s="23">
        <v>215.6</v>
      </c>
      <c r="I4965" s="23">
        <v>54.8324497143</v>
      </c>
      <c r="J4965" s="24">
        <v>548.3</v>
      </c>
      <c r="K4965" s="21">
        <v>0</v>
      </c>
      <c r="L4965" s="21">
        <v>0</v>
      </c>
      <c r="M4965" s="21">
        <f>COUNTIF($A$2:$A$5481,A4965)</f>
        <v>2</v>
      </c>
      <c r="N4965" s="24">
        <f t="shared" si="77"/>
        <v>548.3004965</v>
      </c>
    </row>
    <row r="4966" spans="1:14">
      <c r="A4966" s="21" t="s">
        <v>676</v>
      </c>
      <c r="B4966" s="21" t="s">
        <v>1175</v>
      </c>
      <c r="C4966" s="21" t="s">
        <v>26</v>
      </c>
      <c r="D4966" s="21" t="s">
        <v>921</v>
      </c>
      <c r="E4966" s="21">
        <v>0</v>
      </c>
      <c r="F4966" s="22">
        <v>45755.6425</v>
      </c>
      <c r="G4966" s="22">
        <v>46252.5530902778</v>
      </c>
      <c r="H4966" s="23">
        <v>193.83</v>
      </c>
      <c r="I4966" s="23">
        <v>64.61</v>
      </c>
      <c r="J4966" s="24">
        <v>0</v>
      </c>
      <c r="K4966" s="21">
        <v>0</v>
      </c>
      <c r="L4966" s="21">
        <v>0</v>
      </c>
      <c r="M4966" s="21">
        <f>COUNTIF($A$2:$A$5481,A4966)</f>
        <v>1</v>
      </c>
      <c r="N4966" s="24">
        <f t="shared" si="77"/>
        <v>0.0004966</v>
      </c>
    </row>
    <row r="4967" spans="1:14">
      <c r="A4967" s="21" t="s">
        <v>675</v>
      </c>
      <c r="B4967" s="21" t="s">
        <v>26</v>
      </c>
      <c r="C4967" s="21" t="s">
        <v>26</v>
      </c>
      <c r="D4967" s="21" t="s">
        <v>921</v>
      </c>
      <c r="E4967" s="21">
        <v>0</v>
      </c>
      <c r="F4967" s="22">
        <v>46190.6597222222</v>
      </c>
      <c r="G4967" s="22">
        <v>46252.5530787037</v>
      </c>
      <c r="H4967" s="23">
        <v>115.78</v>
      </c>
      <c r="I4967" s="23">
        <v>57.89</v>
      </c>
      <c r="J4967" s="24">
        <v>0</v>
      </c>
      <c r="K4967" s="21">
        <v>0</v>
      </c>
      <c r="L4967" s="21">
        <v>0</v>
      </c>
      <c r="M4967" s="21">
        <f>COUNTIF($A$2:$A$5481,A4967)</f>
        <v>1</v>
      </c>
      <c r="N4967" s="24">
        <f t="shared" si="77"/>
        <v>0.0004967</v>
      </c>
    </row>
    <row r="4968" spans="1:14">
      <c r="A4968" s="21" t="s">
        <v>4474</v>
      </c>
      <c r="B4968" s="21" t="s">
        <v>949</v>
      </c>
      <c r="C4968" s="21" t="s">
        <v>26</v>
      </c>
      <c r="D4968" s="21" t="s">
        <v>921</v>
      </c>
      <c r="E4968" s="21">
        <v>3</v>
      </c>
      <c r="F4968" s="22">
        <v>46006.3757986111</v>
      </c>
      <c r="G4968" s="22"/>
      <c r="H4968" s="23">
        <v>50.7</v>
      </c>
      <c r="I4968" s="23">
        <v>16.9</v>
      </c>
      <c r="J4968" s="24">
        <v>50.7</v>
      </c>
      <c r="K4968" s="21">
        <v>0</v>
      </c>
      <c r="L4968" s="21">
        <v>0</v>
      </c>
      <c r="M4968" s="21">
        <f>COUNTIF($A$2:$A$5481,A4968)</f>
        <v>1</v>
      </c>
      <c r="N4968" s="24">
        <f t="shared" si="77"/>
        <v>50.7004968</v>
      </c>
    </row>
    <row r="4969" spans="1:14">
      <c r="A4969" s="21" t="s">
        <v>4475</v>
      </c>
      <c r="B4969" s="21" t="s">
        <v>966</v>
      </c>
      <c r="C4969" s="21" t="s">
        <v>182</v>
      </c>
      <c r="D4969" s="21" t="s">
        <v>921</v>
      </c>
      <c r="E4969" s="21">
        <v>1</v>
      </c>
      <c r="F4969" s="22">
        <v>46065.4513888889</v>
      </c>
      <c r="G4969" s="22"/>
      <c r="H4969" s="23">
        <v>762.99</v>
      </c>
      <c r="I4969" s="23">
        <v>762.99</v>
      </c>
      <c r="J4969" s="24">
        <v>762.99</v>
      </c>
      <c r="K4969" s="21">
        <v>0</v>
      </c>
      <c r="L4969" s="21">
        <v>0</v>
      </c>
      <c r="M4969" s="21">
        <f>COUNTIF($A$2:$A$5481,A4969)</f>
        <v>2</v>
      </c>
      <c r="N4969" s="24">
        <f t="shared" si="77"/>
        <v>762.9904969</v>
      </c>
    </row>
    <row r="4970" spans="1:14">
      <c r="A4970" s="21" t="s">
        <v>4475</v>
      </c>
      <c r="B4970" s="21" t="s">
        <v>966</v>
      </c>
      <c r="C4970" s="21" t="s">
        <v>414</v>
      </c>
      <c r="D4970" s="21" t="s">
        <v>921</v>
      </c>
      <c r="E4970" s="21">
        <v>1</v>
      </c>
      <c r="F4970" s="22">
        <v>46119.5472222222</v>
      </c>
      <c r="G4970" s="22"/>
      <c r="H4970" s="23">
        <v>762.99</v>
      </c>
      <c r="I4970" s="23">
        <v>762.99</v>
      </c>
      <c r="J4970" s="24">
        <v>762.99</v>
      </c>
      <c r="K4970" s="21">
        <v>0</v>
      </c>
      <c r="L4970" s="21">
        <v>0</v>
      </c>
      <c r="M4970" s="21">
        <f>COUNTIF($A$2:$A$5481,A4970)</f>
        <v>2</v>
      </c>
      <c r="N4970" s="24">
        <f t="shared" si="77"/>
        <v>762.990497</v>
      </c>
    </row>
    <row r="4971" spans="1:14">
      <c r="A4971" s="21" t="s">
        <v>4476</v>
      </c>
      <c r="B4971" s="21" t="s">
        <v>920</v>
      </c>
      <c r="C4971" s="21" t="s">
        <v>26</v>
      </c>
      <c r="D4971" s="21" t="s">
        <v>921</v>
      </c>
      <c r="E4971" s="21">
        <v>4</v>
      </c>
      <c r="F4971" s="22">
        <v>45945.3607291667</v>
      </c>
      <c r="G4971" s="22"/>
      <c r="H4971" s="23">
        <v>352</v>
      </c>
      <c r="I4971" s="23">
        <v>88</v>
      </c>
      <c r="J4971" s="24">
        <v>352</v>
      </c>
      <c r="K4971" s="21">
        <v>0</v>
      </c>
      <c r="L4971" s="21">
        <v>0</v>
      </c>
      <c r="M4971" s="21">
        <f>COUNTIF($A$2:$A$5481,A4971)</f>
        <v>1</v>
      </c>
      <c r="N4971" s="24">
        <f t="shared" si="77"/>
        <v>352.0004971</v>
      </c>
    </row>
    <row r="4972" spans="1:14">
      <c r="A4972" s="21" t="s">
        <v>4477</v>
      </c>
      <c r="B4972" s="21" t="s">
        <v>26</v>
      </c>
      <c r="C4972" s="21" t="s">
        <v>51</v>
      </c>
      <c r="D4972" s="21" t="s">
        <v>921</v>
      </c>
      <c r="E4972" s="21">
        <v>4</v>
      </c>
      <c r="F4972" s="22">
        <v>45428.6217013889</v>
      </c>
      <c r="G4972" s="22"/>
      <c r="H4972" s="23">
        <v>27.38</v>
      </c>
      <c r="I4972" s="23">
        <v>13.69</v>
      </c>
      <c r="J4972" s="24">
        <v>54.76</v>
      </c>
      <c r="K4972" s="21">
        <v>0</v>
      </c>
      <c r="L4972" s="21">
        <v>0</v>
      </c>
      <c r="M4972" s="21">
        <f>COUNTIF($A$2:$A$5481,A4972)</f>
        <v>2</v>
      </c>
      <c r="N4972" s="24">
        <f t="shared" si="77"/>
        <v>54.7604972</v>
      </c>
    </row>
    <row r="4973" spans="1:14">
      <c r="A4973" s="21" t="s">
        <v>4477</v>
      </c>
      <c r="B4973" s="21" t="s">
        <v>26</v>
      </c>
      <c r="C4973" s="21" t="s">
        <v>26</v>
      </c>
      <c r="D4973" s="21" t="s">
        <v>921</v>
      </c>
      <c r="E4973" s="21">
        <v>6</v>
      </c>
      <c r="F4973" s="22">
        <v>46104.5992476852</v>
      </c>
      <c r="G4973" s="22"/>
      <c r="H4973" s="23">
        <v>32.38</v>
      </c>
      <c r="I4973" s="23">
        <v>13.015</v>
      </c>
      <c r="J4973" s="24">
        <v>78.12</v>
      </c>
      <c r="K4973" s="21">
        <v>0</v>
      </c>
      <c r="L4973" s="21">
        <v>0</v>
      </c>
      <c r="M4973" s="21">
        <f>COUNTIF($A$2:$A$5481,A4973)</f>
        <v>2</v>
      </c>
      <c r="N4973" s="24">
        <f t="shared" si="77"/>
        <v>78.1204973</v>
      </c>
    </row>
    <row r="4974" spans="1:14">
      <c r="A4974" s="21" t="s">
        <v>4478</v>
      </c>
      <c r="B4974" s="21" t="s">
        <v>949</v>
      </c>
      <c r="C4974" s="21" t="s">
        <v>26</v>
      </c>
      <c r="D4974" s="21" t="s">
        <v>921</v>
      </c>
      <c r="E4974" s="21">
        <v>0</v>
      </c>
      <c r="F4974" s="22">
        <v>45323.3923611111</v>
      </c>
      <c r="G4974" s="22">
        <v>45324.4904166667</v>
      </c>
      <c r="H4974" s="23">
        <v>19.527</v>
      </c>
      <c r="I4974" s="23">
        <v>8.49</v>
      </c>
      <c r="J4974" s="24">
        <v>0</v>
      </c>
      <c r="K4974" s="21">
        <v>0</v>
      </c>
      <c r="L4974" s="21">
        <v>0</v>
      </c>
      <c r="M4974" s="21">
        <f>COUNTIF($A$2:$A$5481,A4974)</f>
        <v>1</v>
      </c>
      <c r="N4974" s="24">
        <f t="shared" si="77"/>
        <v>0.0004974</v>
      </c>
    </row>
    <row r="4975" spans="1:14">
      <c r="A4975" s="21" t="s">
        <v>4479</v>
      </c>
      <c r="B4975" s="21" t="s">
        <v>949</v>
      </c>
      <c r="C4975" s="21" t="s">
        <v>182</v>
      </c>
      <c r="D4975" s="21" t="s">
        <v>1584</v>
      </c>
      <c r="E4975" s="21">
        <v>0</v>
      </c>
      <c r="F4975" s="22">
        <v>45307.3745601852</v>
      </c>
      <c r="G4975" s="22">
        <v>45310.4237962963</v>
      </c>
      <c r="H4975" s="23">
        <v>181.8</v>
      </c>
      <c r="I4975" s="23">
        <v>90.9</v>
      </c>
      <c r="J4975" s="24">
        <v>0</v>
      </c>
      <c r="K4975" s="21">
        <v>0</v>
      </c>
      <c r="L4975" s="21">
        <v>0</v>
      </c>
      <c r="M4975" s="21">
        <f>COUNTIF($A$2:$A$5481,A4975)</f>
        <v>2</v>
      </c>
      <c r="N4975" s="24">
        <f t="shared" si="77"/>
        <v>0.0004975</v>
      </c>
    </row>
    <row r="4976" spans="1:14">
      <c r="A4976" s="21" t="s">
        <v>4479</v>
      </c>
      <c r="B4976" s="21" t="s">
        <v>949</v>
      </c>
      <c r="C4976" s="21" t="s">
        <v>26</v>
      </c>
      <c r="D4976" s="21" t="s">
        <v>1584</v>
      </c>
      <c r="E4976" s="21">
        <v>0</v>
      </c>
      <c r="F4976" s="22">
        <v>45323.3923611111</v>
      </c>
      <c r="G4976" s="22">
        <v>45324.4905555556</v>
      </c>
      <c r="H4976" s="23">
        <v>102.9</v>
      </c>
      <c r="I4976" s="23">
        <v>102.9</v>
      </c>
      <c r="J4976" s="24">
        <v>0</v>
      </c>
      <c r="K4976" s="21">
        <v>0</v>
      </c>
      <c r="L4976" s="21">
        <v>0</v>
      </c>
      <c r="M4976" s="21">
        <f>COUNTIF($A$2:$A$5481,A4976)</f>
        <v>2</v>
      </c>
      <c r="N4976" s="24">
        <f t="shared" si="77"/>
        <v>0.0004976</v>
      </c>
    </row>
    <row r="4977" spans="1:14">
      <c r="A4977" s="21" t="s">
        <v>4480</v>
      </c>
      <c r="B4977" s="21" t="s">
        <v>949</v>
      </c>
      <c r="C4977" s="21" t="s">
        <v>26</v>
      </c>
      <c r="D4977" s="21" t="s">
        <v>921</v>
      </c>
      <c r="E4977" s="21">
        <v>0</v>
      </c>
      <c r="F4977" s="22">
        <v>45323.3923611111</v>
      </c>
      <c r="G4977" s="22">
        <v>45324.4905208333</v>
      </c>
      <c r="H4977" s="23">
        <v>85.9</v>
      </c>
      <c r="I4977" s="23">
        <v>85.9</v>
      </c>
      <c r="J4977" s="24">
        <v>0</v>
      </c>
      <c r="K4977" s="21">
        <v>0</v>
      </c>
      <c r="L4977" s="21">
        <v>0</v>
      </c>
      <c r="M4977" s="21">
        <f>COUNTIF($A$2:$A$5481,A4977)</f>
        <v>1</v>
      </c>
      <c r="N4977" s="24">
        <f t="shared" si="77"/>
        <v>0.0004977</v>
      </c>
    </row>
    <row r="4978" spans="1:14">
      <c r="A4978" s="21" t="s">
        <v>4481</v>
      </c>
      <c r="B4978" s="21" t="s">
        <v>26</v>
      </c>
      <c r="C4978" s="21" t="s">
        <v>182</v>
      </c>
      <c r="D4978" s="21" t="s">
        <v>921</v>
      </c>
      <c r="E4978" s="21">
        <v>0</v>
      </c>
      <c r="F4978" s="22">
        <v>45275.4680671296</v>
      </c>
      <c r="G4978" s="22">
        <v>45278.4201388889</v>
      </c>
      <c r="H4978" s="23">
        <v>24</v>
      </c>
      <c r="I4978" s="23">
        <v>24</v>
      </c>
      <c r="J4978" s="24">
        <v>0</v>
      </c>
      <c r="K4978" s="21">
        <v>0</v>
      </c>
      <c r="L4978" s="21">
        <v>0</v>
      </c>
      <c r="M4978" s="21">
        <f>COUNTIF($A$2:$A$5481,A4978)</f>
        <v>2</v>
      </c>
      <c r="N4978" s="24">
        <f t="shared" si="77"/>
        <v>0.0004978</v>
      </c>
    </row>
    <row r="4979" spans="1:14">
      <c r="A4979" s="21" t="s">
        <v>4481</v>
      </c>
      <c r="B4979" s="21" t="s">
        <v>26</v>
      </c>
      <c r="C4979" s="21" t="s">
        <v>26</v>
      </c>
      <c r="D4979" s="21" t="s">
        <v>921</v>
      </c>
      <c r="E4979" s="21">
        <v>9</v>
      </c>
      <c r="F4979" s="22">
        <v>45638.580787037</v>
      </c>
      <c r="G4979" s="22"/>
      <c r="H4979" s="23">
        <v>39.76</v>
      </c>
      <c r="I4979" s="23">
        <v>22.75111</v>
      </c>
      <c r="J4979" s="24">
        <v>204.75</v>
      </c>
      <c r="K4979" s="21">
        <v>0</v>
      </c>
      <c r="L4979" s="21">
        <v>0</v>
      </c>
      <c r="M4979" s="21">
        <f>COUNTIF($A$2:$A$5481,A4979)</f>
        <v>2</v>
      </c>
      <c r="N4979" s="24">
        <f t="shared" si="77"/>
        <v>204.7504979</v>
      </c>
    </row>
    <row r="4980" spans="1:14">
      <c r="A4980" s="21" t="s">
        <v>4482</v>
      </c>
      <c r="B4980" s="21" t="s">
        <v>929</v>
      </c>
      <c r="C4980" s="21" t="s">
        <v>26</v>
      </c>
      <c r="D4980" s="21" t="s">
        <v>921</v>
      </c>
      <c r="E4980" s="21">
        <v>2</v>
      </c>
      <c r="F4980" s="22">
        <v>46196.7030671296</v>
      </c>
      <c r="G4980" s="22"/>
      <c r="H4980" s="23">
        <v>42.12</v>
      </c>
      <c r="I4980" s="23">
        <v>21.06</v>
      </c>
      <c r="J4980" s="24">
        <v>42.12</v>
      </c>
      <c r="K4980" s="21">
        <v>0</v>
      </c>
      <c r="L4980" s="21">
        <v>0</v>
      </c>
      <c r="M4980" s="21">
        <f>COUNTIF($A$2:$A$5481,A4980)</f>
        <v>1</v>
      </c>
      <c r="N4980" s="24">
        <f t="shared" si="77"/>
        <v>42.120498</v>
      </c>
    </row>
    <row r="4981" spans="1:14">
      <c r="A4981" s="21" t="s">
        <v>4483</v>
      </c>
      <c r="B4981" s="21" t="s">
        <v>929</v>
      </c>
      <c r="C4981" s="21" t="s">
        <v>26</v>
      </c>
      <c r="D4981" s="21" t="s">
        <v>921</v>
      </c>
      <c r="E4981" s="21">
        <v>1</v>
      </c>
      <c r="F4981" s="22">
        <v>46094.4347222222</v>
      </c>
      <c r="G4981" s="22"/>
      <c r="H4981" s="23">
        <v>14.99</v>
      </c>
      <c r="I4981" s="23">
        <v>14.99</v>
      </c>
      <c r="J4981" s="24">
        <v>14.99</v>
      </c>
      <c r="K4981" s="21">
        <v>0</v>
      </c>
      <c r="L4981" s="21">
        <v>0</v>
      </c>
      <c r="M4981" s="21">
        <f>COUNTIF($A$2:$A$5481,A4981)</f>
        <v>1</v>
      </c>
      <c r="N4981" s="24">
        <f t="shared" si="77"/>
        <v>14.9904981</v>
      </c>
    </row>
    <row r="4982" spans="1:14">
      <c r="A4982" s="21" t="s">
        <v>4484</v>
      </c>
      <c r="B4982" s="21" t="s">
        <v>929</v>
      </c>
      <c r="C4982" s="21" t="s">
        <v>26</v>
      </c>
      <c r="D4982" s="21" t="s">
        <v>921</v>
      </c>
      <c r="E4982" s="21">
        <v>1</v>
      </c>
      <c r="F4982" s="22">
        <v>46094.4347222222</v>
      </c>
      <c r="G4982" s="22"/>
      <c r="H4982" s="23">
        <v>12.24</v>
      </c>
      <c r="I4982" s="23">
        <v>12.24</v>
      </c>
      <c r="J4982" s="24">
        <v>12.24</v>
      </c>
      <c r="K4982" s="21">
        <v>0</v>
      </c>
      <c r="L4982" s="21">
        <v>0</v>
      </c>
      <c r="M4982" s="21">
        <f>COUNTIF($A$2:$A$5481,A4982)</f>
        <v>1</v>
      </c>
      <c r="N4982" s="24">
        <f t="shared" si="77"/>
        <v>12.2404982</v>
      </c>
    </row>
    <row r="4983" spans="1:14">
      <c r="A4983" s="21" t="s">
        <v>4485</v>
      </c>
      <c r="B4983" s="21" t="s">
        <v>920</v>
      </c>
      <c r="C4983" s="21" t="s">
        <v>35</v>
      </c>
      <c r="D4983" s="21" t="s">
        <v>1310</v>
      </c>
      <c r="E4983" s="21">
        <v>2</v>
      </c>
      <c r="F4983" s="22">
        <v>45294.8430439815</v>
      </c>
      <c r="G4983" s="22">
        <v>45274.4424421296</v>
      </c>
      <c r="H4983" s="23">
        <v>396.98</v>
      </c>
      <c r="I4983" s="23">
        <v>198.49</v>
      </c>
      <c r="J4983" s="24">
        <v>396.98</v>
      </c>
      <c r="K4983" s="21">
        <v>0</v>
      </c>
      <c r="L4983" s="21">
        <v>0</v>
      </c>
      <c r="M4983" s="21">
        <f>COUNTIF($A$2:$A$5481,A4983)</f>
        <v>2</v>
      </c>
      <c r="N4983" s="24">
        <f t="shared" si="77"/>
        <v>396.9804983</v>
      </c>
    </row>
    <row r="4984" spans="1:14">
      <c r="A4984" s="21" t="s">
        <v>4485</v>
      </c>
      <c r="B4984" s="21" t="s">
        <v>920</v>
      </c>
      <c r="C4984" s="21" t="s">
        <v>26</v>
      </c>
      <c r="D4984" s="21" t="s">
        <v>1310</v>
      </c>
      <c r="E4984" s="21">
        <v>7</v>
      </c>
      <c r="F4984" s="22">
        <v>46175.8311921296</v>
      </c>
      <c r="G4984" s="22"/>
      <c r="H4984" s="23">
        <v>349</v>
      </c>
      <c r="I4984" s="23">
        <v>267</v>
      </c>
      <c r="J4984" s="24">
        <v>1869</v>
      </c>
      <c r="K4984" s="21">
        <v>0</v>
      </c>
      <c r="L4984" s="21">
        <v>0</v>
      </c>
      <c r="M4984" s="21">
        <f>COUNTIF($A$2:$A$5481,A4984)</f>
        <v>2</v>
      </c>
      <c r="N4984" s="24">
        <f t="shared" si="77"/>
        <v>1869.0004984</v>
      </c>
    </row>
    <row r="4985" spans="1:14">
      <c r="A4985" s="21" t="s">
        <v>4486</v>
      </c>
      <c r="B4985" s="21" t="s">
        <v>920</v>
      </c>
      <c r="C4985" s="21" t="s">
        <v>35</v>
      </c>
      <c r="D4985" s="21" t="s">
        <v>921</v>
      </c>
      <c r="E4985" s="21">
        <v>1</v>
      </c>
      <c r="F4985" s="22">
        <v>45352.5472916667</v>
      </c>
      <c r="G4985" s="22"/>
      <c r="H4985" s="23">
        <v>430</v>
      </c>
      <c r="I4985" s="23">
        <v>430</v>
      </c>
      <c r="J4985" s="24">
        <v>430</v>
      </c>
      <c r="K4985" s="21">
        <v>0</v>
      </c>
      <c r="L4985" s="21">
        <v>0</v>
      </c>
      <c r="M4985" s="21">
        <f>COUNTIF($A$2:$A$5481,A4985)</f>
        <v>2</v>
      </c>
      <c r="N4985" s="24">
        <f t="shared" si="77"/>
        <v>430.0004985</v>
      </c>
    </row>
    <row r="4986" spans="1:14">
      <c r="A4986" s="21" t="s">
        <v>4486</v>
      </c>
      <c r="B4986" s="21" t="s">
        <v>920</v>
      </c>
      <c r="C4986" s="21" t="s">
        <v>26</v>
      </c>
      <c r="D4986" s="21" t="s">
        <v>921</v>
      </c>
      <c r="E4986" s="21">
        <v>1</v>
      </c>
      <c r="F4986" s="22">
        <v>46205.7207986111</v>
      </c>
      <c r="G4986" s="22"/>
      <c r="H4986" s="23">
        <v>665</v>
      </c>
      <c r="I4986" s="23">
        <v>665</v>
      </c>
      <c r="J4986" s="24">
        <v>665</v>
      </c>
      <c r="K4986" s="21">
        <v>0</v>
      </c>
      <c r="L4986" s="21">
        <v>0</v>
      </c>
      <c r="M4986" s="21">
        <f>COUNTIF($A$2:$A$5481,A4986)</f>
        <v>2</v>
      </c>
      <c r="N4986" s="24">
        <f t="shared" si="77"/>
        <v>665.0004986</v>
      </c>
    </row>
    <row r="4987" spans="1:14">
      <c r="A4987" s="21" t="s">
        <v>4487</v>
      </c>
      <c r="B4987" s="21" t="s">
        <v>929</v>
      </c>
      <c r="C4987" s="21" t="s">
        <v>26</v>
      </c>
      <c r="D4987" s="21" t="s">
        <v>921</v>
      </c>
      <c r="E4987" s="21">
        <v>1</v>
      </c>
      <c r="F4987" s="22">
        <v>45994.5823611111</v>
      </c>
      <c r="G4987" s="22"/>
      <c r="H4987" s="23">
        <v>39.9</v>
      </c>
      <c r="I4987" s="23">
        <v>39.9</v>
      </c>
      <c r="J4987" s="24">
        <v>39.9</v>
      </c>
      <c r="K4987" s="21">
        <v>0</v>
      </c>
      <c r="L4987" s="21">
        <v>0</v>
      </c>
      <c r="M4987" s="21">
        <f>COUNTIF($A$2:$A$5481,A4987)</f>
        <v>1</v>
      </c>
      <c r="N4987" s="24">
        <f t="shared" si="77"/>
        <v>39.9004987</v>
      </c>
    </row>
    <row r="4988" spans="1:14">
      <c r="A4988" s="21" t="s">
        <v>4488</v>
      </c>
      <c r="B4988" s="21" t="s">
        <v>926</v>
      </c>
      <c r="C4988" s="21" t="s">
        <v>38</v>
      </c>
      <c r="D4988" s="21" t="s">
        <v>921</v>
      </c>
      <c r="E4988" s="21">
        <v>1</v>
      </c>
      <c r="F4988" s="22">
        <v>45369.6224305556</v>
      </c>
      <c r="G4988" s="22"/>
      <c r="H4988" s="23">
        <v>25</v>
      </c>
      <c r="I4988" s="23">
        <v>25</v>
      </c>
      <c r="J4988" s="24">
        <v>25</v>
      </c>
      <c r="K4988" s="21">
        <v>0</v>
      </c>
      <c r="L4988" s="21">
        <v>0</v>
      </c>
      <c r="M4988" s="21">
        <f>COUNTIF($A$2:$A$5481,A4988)</f>
        <v>1</v>
      </c>
      <c r="N4988" s="24">
        <f t="shared" si="77"/>
        <v>25.0004988</v>
      </c>
    </row>
    <row r="4989" spans="1:14">
      <c r="A4989" s="21" t="s">
        <v>4489</v>
      </c>
      <c r="B4989" s="21" t="s">
        <v>26</v>
      </c>
      <c r="C4989" s="21" t="s">
        <v>390</v>
      </c>
      <c r="D4989" s="21" t="s">
        <v>921</v>
      </c>
      <c r="E4989" s="21">
        <v>1</v>
      </c>
      <c r="F4989" s="22">
        <v>45632.3999074074</v>
      </c>
      <c r="G4989" s="22"/>
      <c r="H4989" s="23">
        <v>980</v>
      </c>
      <c r="I4989" s="23">
        <v>980</v>
      </c>
      <c r="J4989" s="24">
        <v>980</v>
      </c>
      <c r="K4989" s="21">
        <v>0</v>
      </c>
      <c r="L4989" s="21">
        <v>0</v>
      </c>
      <c r="M4989" s="21">
        <f>COUNTIF($A$2:$A$5481,A4989)</f>
        <v>1</v>
      </c>
      <c r="N4989" s="24">
        <f t="shared" si="77"/>
        <v>980.0004989</v>
      </c>
    </row>
    <row r="4990" spans="1:14">
      <c r="A4990" s="21" t="s">
        <v>4490</v>
      </c>
      <c r="B4990" s="21" t="s">
        <v>1115</v>
      </c>
      <c r="C4990" s="21" t="s">
        <v>26</v>
      </c>
      <c r="D4990" s="21" t="s">
        <v>921</v>
      </c>
      <c r="E4990" s="21">
        <v>50</v>
      </c>
      <c r="F4990" s="22">
        <v>45965.3678009259</v>
      </c>
      <c r="G4990" s="22"/>
      <c r="H4990" s="23">
        <v>198</v>
      </c>
      <c r="I4990" s="23">
        <v>8.754</v>
      </c>
      <c r="J4990" s="24">
        <v>437.5</v>
      </c>
      <c r="K4990" s="21">
        <v>0</v>
      </c>
      <c r="L4990" s="21">
        <v>0</v>
      </c>
      <c r="M4990" s="21">
        <f>COUNTIF($A$2:$A$5481,A4990)</f>
        <v>1</v>
      </c>
      <c r="N4990" s="24">
        <f t="shared" si="77"/>
        <v>437.500499</v>
      </c>
    </row>
    <row r="4991" spans="1:14">
      <c r="A4991" s="21" t="s">
        <v>4491</v>
      </c>
      <c r="B4991" s="21" t="s">
        <v>1510</v>
      </c>
      <c r="C4991" s="21" t="s">
        <v>390</v>
      </c>
      <c r="D4991" s="21" t="s">
        <v>1309</v>
      </c>
      <c r="E4991" s="21">
        <v>4</v>
      </c>
      <c r="F4991" s="22">
        <v>45747.3500925926</v>
      </c>
      <c r="G4991" s="22"/>
      <c r="H4991" s="23">
        <v>2439.6</v>
      </c>
      <c r="I4991" s="23">
        <v>609.9</v>
      </c>
      <c r="J4991" s="24">
        <v>2439.6</v>
      </c>
      <c r="K4991" s="21">
        <v>0</v>
      </c>
      <c r="L4991" s="21">
        <v>0</v>
      </c>
      <c r="M4991" s="21">
        <f>COUNTIF($A$2:$A$5481,A4991)</f>
        <v>1</v>
      </c>
      <c r="N4991" s="24">
        <f t="shared" si="77"/>
        <v>2439.6004991</v>
      </c>
    </row>
    <row r="4992" spans="1:14">
      <c r="A4992" s="21" t="s">
        <v>4492</v>
      </c>
      <c r="B4992" s="21" t="s">
        <v>949</v>
      </c>
      <c r="C4992" s="21" t="s">
        <v>182</v>
      </c>
      <c r="D4992" s="21" t="s">
        <v>921</v>
      </c>
      <c r="E4992" s="21">
        <v>30</v>
      </c>
      <c r="F4992" s="22">
        <v>45323.3763888889</v>
      </c>
      <c r="G4992" s="22">
        <v>45322.4095717593</v>
      </c>
      <c r="H4992" s="23">
        <v>149.7</v>
      </c>
      <c r="I4992" s="23">
        <v>4.99</v>
      </c>
      <c r="J4992" s="24">
        <v>149.7</v>
      </c>
      <c r="K4992" s="21">
        <v>0</v>
      </c>
      <c r="L4992" s="21">
        <v>0</v>
      </c>
      <c r="M4992" s="21">
        <f>COUNTIF($A$2:$A$5481,A4992)</f>
        <v>2</v>
      </c>
      <c r="N4992" s="24">
        <f t="shared" si="77"/>
        <v>149.7004992</v>
      </c>
    </row>
    <row r="4993" spans="1:14">
      <c r="A4993" s="21" t="s">
        <v>4492</v>
      </c>
      <c r="B4993" s="21" t="s">
        <v>949</v>
      </c>
      <c r="C4993" s="21" t="s">
        <v>26</v>
      </c>
      <c r="D4993" s="21" t="s">
        <v>921</v>
      </c>
      <c r="E4993" s="21">
        <v>0</v>
      </c>
      <c r="F4993" s="22">
        <v>45330.39375</v>
      </c>
      <c r="G4993" s="22">
        <v>45331.411087963</v>
      </c>
      <c r="H4993" s="23">
        <v>254.5</v>
      </c>
      <c r="I4993" s="23">
        <v>5.04556</v>
      </c>
      <c r="J4993" s="24">
        <v>0</v>
      </c>
      <c r="K4993" s="21">
        <v>0</v>
      </c>
      <c r="L4993" s="21">
        <v>0</v>
      </c>
      <c r="M4993" s="21">
        <f>COUNTIF($A$2:$A$5481,A4993)</f>
        <v>2</v>
      </c>
      <c r="N4993" s="24">
        <f t="shared" si="77"/>
        <v>0.0004993</v>
      </c>
    </row>
    <row r="4994" spans="1:14">
      <c r="A4994" s="21" t="s">
        <v>4493</v>
      </c>
      <c r="B4994" s="21" t="s">
        <v>26</v>
      </c>
      <c r="C4994" s="21" t="s">
        <v>547</v>
      </c>
      <c r="D4994" s="21" t="s">
        <v>921</v>
      </c>
      <c r="E4994" s="21">
        <v>3000</v>
      </c>
      <c r="F4994" s="22">
        <v>45355.5923032407</v>
      </c>
      <c r="G4994" s="22"/>
      <c r="H4994" s="23">
        <v>750</v>
      </c>
      <c r="I4994" s="23">
        <v>0.25</v>
      </c>
      <c r="J4994" s="24">
        <v>750</v>
      </c>
      <c r="K4994" s="21">
        <v>0</v>
      </c>
      <c r="L4994" s="21">
        <v>0</v>
      </c>
      <c r="M4994" s="21">
        <f>COUNTIF($A$2:$A$5481,A4994)</f>
        <v>2</v>
      </c>
      <c r="N4994" s="24">
        <f t="shared" ref="N4994:N5057" si="78">J4994+ROW()/10000000</f>
        <v>750.0004994</v>
      </c>
    </row>
    <row r="4995" spans="1:14">
      <c r="A4995" s="21" t="s">
        <v>4493</v>
      </c>
      <c r="B4995" s="21" t="s">
        <v>26</v>
      </c>
      <c r="C4995" s="21" t="s">
        <v>26</v>
      </c>
      <c r="D4995" s="21" t="s">
        <v>921</v>
      </c>
      <c r="E4995" s="21">
        <v>10</v>
      </c>
      <c r="F4995" s="22">
        <v>45593.3589351852</v>
      </c>
      <c r="G4995" s="22"/>
      <c r="H4995" s="23">
        <v>89.9</v>
      </c>
      <c r="I4995" s="23">
        <v>8.99</v>
      </c>
      <c r="J4995" s="24">
        <v>89.9</v>
      </c>
      <c r="K4995" s="21">
        <v>0</v>
      </c>
      <c r="L4995" s="21">
        <v>0</v>
      </c>
      <c r="M4995" s="21">
        <f>COUNTIF($A$2:$A$5481,A4995)</f>
        <v>2</v>
      </c>
      <c r="N4995" s="24">
        <f t="shared" si="78"/>
        <v>89.9004995</v>
      </c>
    </row>
    <row r="4996" spans="1:14">
      <c r="A4996" s="21" t="s">
        <v>4494</v>
      </c>
      <c r="B4996" s="21" t="s">
        <v>26</v>
      </c>
      <c r="C4996" s="21" t="s">
        <v>182</v>
      </c>
      <c r="D4996" s="21" t="s">
        <v>921</v>
      </c>
      <c r="E4996" s="21">
        <v>2</v>
      </c>
      <c r="F4996" s="22">
        <v>45379.7900115741</v>
      </c>
      <c r="G4996" s="22"/>
      <c r="H4996" s="23">
        <v>90.9</v>
      </c>
      <c r="I4996" s="23">
        <v>45.45</v>
      </c>
      <c r="J4996" s="24">
        <v>90.9</v>
      </c>
      <c r="K4996" s="21">
        <v>0</v>
      </c>
      <c r="L4996" s="21">
        <v>0</v>
      </c>
      <c r="M4996" s="21">
        <f>COUNTIF($A$2:$A$5481,A4996)</f>
        <v>2</v>
      </c>
      <c r="N4996" s="24">
        <f t="shared" si="78"/>
        <v>90.9004996</v>
      </c>
    </row>
    <row r="4997" spans="1:14">
      <c r="A4997" s="21" t="s">
        <v>4494</v>
      </c>
      <c r="B4997" s="21" t="s">
        <v>26</v>
      </c>
      <c r="C4997" s="21" t="s">
        <v>26</v>
      </c>
      <c r="D4997" s="21" t="s">
        <v>921</v>
      </c>
      <c r="E4997" s="21">
        <v>3</v>
      </c>
      <c r="F4997" s="22">
        <v>46078.5562847222</v>
      </c>
      <c r="G4997" s="22"/>
      <c r="H4997" s="23">
        <v>51</v>
      </c>
      <c r="I4997" s="23">
        <v>63.6666666667</v>
      </c>
      <c r="J4997" s="24">
        <v>191.01</v>
      </c>
      <c r="K4997" s="21">
        <v>0</v>
      </c>
      <c r="L4997" s="21">
        <v>0</v>
      </c>
      <c r="M4997" s="21">
        <f>COUNTIF($A$2:$A$5481,A4997)</f>
        <v>2</v>
      </c>
      <c r="N4997" s="24">
        <f t="shared" si="78"/>
        <v>191.0104997</v>
      </c>
    </row>
    <row r="4998" spans="1:14">
      <c r="A4998" s="21" t="s">
        <v>4495</v>
      </c>
      <c r="B4998" s="21" t="s">
        <v>26</v>
      </c>
      <c r="C4998" s="21" t="s">
        <v>26</v>
      </c>
      <c r="D4998" s="21" t="s">
        <v>921</v>
      </c>
      <c r="E4998" s="21">
        <v>1</v>
      </c>
      <c r="F4998" s="22">
        <v>46078.5562847222</v>
      </c>
      <c r="G4998" s="22">
        <v>45863.4998032407</v>
      </c>
      <c r="H4998" s="23">
        <v>54.12</v>
      </c>
      <c r="I4998" s="23">
        <v>54.12</v>
      </c>
      <c r="J4998" s="24">
        <v>54.12</v>
      </c>
      <c r="K4998" s="21">
        <v>0</v>
      </c>
      <c r="L4998" s="21">
        <v>0</v>
      </c>
      <c r="M4998" s="21">
        <f>COUNTIF($A$2:$A$5481,A4998)</f>
        <v>1</v>
      </c>
      <c r="N4998" s="24">
        <f t="shared" si="78"/>
        <v>54.1204998</v>
      </c>
    </row>
    <row r="4999" spans="1:14">
      <c r="A4999" s="21" t="s">
        <v>4496</v>
      </c>
      <c r="B4999" s="21" t="s">
        <v>929</v>
      </c>
      <c r="C4999" s="21" t="s">
        <v>26</v>
      </c>
      <c r="D4999" s="21" t="s">
        <v>921</v>
      </c>
      <c r="E4999" s="21">
        <v>1</v>
      </c>
      <c r="F4999" s="22">
        <v>45530.5475115741</v>
      </c>
      <c r="G4999" s="22"/>
      <c r="H4999" s="23">
        <v>276</v>
      </c>
      <c r="I4999" s="23">
        <v>276</v>
      </c>
      <c r="J4999" s="24">
        <v>276</v>
      </c>
      <c r="K4999" s="21">
        <v>0</v>
      </c>
      <c r="L4999" s="21">
        <v>0</v>
      </c>
      <c r="M4999" s="21">
        <f>COUNTIF($A$2:$A$5481,A4999)</f>
        <v>1</v>
      </c>
      <c r="N4999" s="24">
        <f t="shared" si="78"/>
        <v>276.0004999</v>
      </c>
    </row>
    <row r="5000" spans="1:14">
      <c r="A5000" s="21" t="s">
        <v>4497</v>
      </c>
      <c r="B5000" s="21" t="s">
        <v>920</v>
      </c>
      <c r="C5000" s="21" t="s">
        <v>26</v>
      </c>
      <c r="D5000" s="21" t="s">
        <v>921</v>
      </c>
      <c r="E5000" s="21">
        <v>2</v>
      </c>
      <c r="F5000" s="22">
        <v>46183.8307060185</v>
      </c>
      <c r="G5000" s="22"/>
      <c r="H5000" s="23">
        <v>799.9</v>
      </c>
      <c r="I5000" s="23">
        <v>399.95</v>
      </c>
      <c r="J5000" s="24">
        <v>799.9</v>
      </c>
      <c r="K5000" s="21">
        <v>0</v>
      </c>
      <c r="L5000" s="21">
        <v>0</v>
      </c>
      <c r="M5000" s="21">
        <f>COUNTIF($A$2:$A$5481,A5000)</f>
        <v>1</v>
      </c>
      <c r="N5000" s="24">
        <f t="shared" si="78"/>
        <v>799.9005</v>
      </c>
    </row>
    <row r="5001" spans="1:14">
      <c r="A5001" s="21" t="s">
        <v>4498</v>
      </c>
      <c r="B5001" s="21" t="s">
        <v>26</v>
      </c>
      <c r="C5001" s="21" t="s">
        <v>26</v>
      </c>
      <c r="D5001" s="21" t="s">
        <v>921</v>
      </c>
      <c r="E5001" s="21">
        <v>1</v>
      </c>
      <c r="F5001" s="22">
        <v>45520.3909953704</v>
      </c>
      <c r="G5001" s="22"/>
      <c r="H5001" s="23">
        <v>92.14</v>
      </c>
      <c r="I5001" s="23">
        <v>92.14</v>
      </c>
      <c r="J5001" s="24">
        <v>92.14</v>
      </c>
      <c r="K5001" s="21">
        <v>0</v>
      </c>
      <c r="L5001" s="21">
        <v>0</v>
      </c>
      <c r="M5001" s="21">
        <f>COUNTIF($A$2:$A$5481,A5001)</f>
        <v>1</v>
      </c>
      <c r="N5001" s="24">
        <f t="shared" si="78"/>
        <v>92.1405001</v>
      </c>
    </row>
    <row r="5002" spans="1:14">
      <c r="A5002" s="21" t="s">
        <v>4499</v>
      </c>
      <c r="B5002" s="21" t="s">
        <v>920</v>
      </c>
      <c r="C5002" s="21" t="s">
        <v>26</v>
      </c>
      <c r="D5002" s="21" t="s">
        <v>921</v>
      </c>
      <c r="E5002" s="21">
        <v>2</v>
      </c>
      <c r="F5002" s="22">
        <v>46181.8289814815</v>
      </c>
      <c r="G5002" s="22"/>
      <c r="H5002" s="23">
        <v>28.96</v>
      </c>
      <c r="I5002" s="23">
        <v>14.48</v>
      </c>
      <c r="J5002" s="24">
        <v>28.96</v>
      </c>
      <c r="K5002" s="21">
        <v>0</v>
      </c>
      <c r="L5002" s="21">
        <v>0</v>
      </c>
      <c r="M5002" s="21">
        <f>COUNTIF($A$2:$A$5481,A5002)</f>
        <v>1</v>
      </c>
      <c r="N5002" s="24">
        <f t="shared" si="78"/>
        <v>28.9605002</v>
      </c>
    </row>
    <row r="5003" spans="1:14">
      <c r="A5003" s="21" t="s">
        <v>4500</v>
      </c>
      <c r="B5003" s="21" t="s">
        <v>920</v>
      </c>
      <c r="C5003" s="21" t="s">
        <v>26</v>
      </c>
      <c r="D5003" s="21" t="s">
        <v>921</v>
      </c>
      <c r="E5003" s="21">
        <v>5</v>
      </c>
      <c r="F5003" s="22">
        <v>46197.7151273148</v>
      </c>
      <c r="G5003" s="22"/>
      <c r="H5003" s="23">
        <v>72.9</v>
      </c>
      <c r="I5003" s="23">
        <v>14.58</v>
      </c>
      <c r="J5003" s="24">
        <v>72.9</v>
      </c>
      <c r="K5003" s="21">
        <v>0</v>
      </c>
      <c r="L5003" s="21">
        <v>0</v>
      </c>
      <c r="M5003" s="21">
        <f>COUNTIF($A$2:$A$5481,A5003)</f>
        <v>1</v>
      </c>
      <c r="N5003" s="24">
        <f t="shared" si="78"/>
        <v>72.9005003</v>
      </c>
    </row>
    <row r="5004" spans="1:14">
      <c r="A5004" s="21" t="s">
        <v>4501</v>
      </c>
      <c r="B5004" s="21" t="s">
        <v>920</v>
      </c>
      <c r="C5004" s="21" t="s">
        <v>26</v>
      </c>
      <c r="D5004" s="21" t="s">
        <v>921</v>
      </c>
      <c r="E5004" s="21">
        <v>5</v>
      </c>
      <c r="F5004" s="22">
        <v>46197.7151273148</v>
      </c>
      <c r="G5004" s="22"/>
      <c r="H5004" s="23">
        <v>74.5</v>
      </c>
      <c r="I5004" s="23">
        <v>14.9</v>
      </c>
      <c r="J5004" s="24">
        <v>74.5</v>
      </c>
      <c r="K5004" s="21">
        <v>0</v>
      </c>
      <c r="L5004" s="21">
        <v>0</v>
      </c>
      <c r="M5004" s="21">
        <f>COUNTIF($A$2:$A$5481,A5004)</f>
        <v>1</v>
      </c>
      <c r="N5004" s="24">
        <f t="shared" si="78"/>
        <v>74.5005004</v>
      </c>
    </row>
    <row r="5005" spans="1:14">
      <c r="A5005" s="21" t="s">
        <v>827</v>
      </c>
      <c r="B5005" s="21" t="s">
        <v>920</v>
      </c>
      <c r="C5005" s="21" t="s">
        <v>26</v>
      </c>
      <c r="D5005" s="21" t="s">
        <v>921</v>
      </c>
      <c r="E5005" s="21">
        <v>5</v>
      </c>
      <c r="F5005" s="22">
        <v>46210.7138425926</v>
      </c>
      <c r="G5005" s="22">
        <v>46265.5930902778</v>
      </c>
      <c r="H5005" s="23">
        <v>66.6</v>
      </c>
      <c r="I5005" s="23">
        <v>11.1</v>
      </c>
      <c r="J5005" s="24">
        <v>55.5</v>
      </c>
      <c r="K5005" s="21">
        <v>0</v>
      </c>
      <c r="L5005" s="21">
        <v>0</v>
      </c>
      <c r="M5005" s="21">
        <f>COUNTIF($A$2:$A$5481,A5005)</f>
        <v>1</v>
      </c>
      <c r="N5005" s="24">
        <f t="shared" si="78"/>
        <v>55.5005005</v>
      </c>
    </row>
    <row r="5006" spans="1:14">
      <c r="A5006" s="21" t="s">
        <v>4502</v>
      </c>
      <c r="B5006" s="21" t="s">
        <v>920</v>
      </c>
      <c r="C5006" s="21" t="s">
        <v>26</v>
      </c>
      <c r="D5006" s="21" t="s">
        <v>921</v>
      </c>
      <c r="E5006" s="21">
        <v>8</v>
      </c>
      <c r="F5006" s="22">
        <v>46210.7138425926</v>
      </c>
      <c r="G5006" s="22"/>
      <c r="H5006" s="23">
        <v>31.26</v>
      </c>
      <c r="I5006" s="23">
        <v>10.42</v>
      </c>
      <c r="J5006" s="24">
        <v>83.36</v>
      </c>
      <c r="K5006" s="21">
        <v>0</v>
      </c>
      <c r="L5006" s="21">
        <v>0</v>
      </c>
      <c r="M5006" s="21">
        <f>COUNTIF($A$2:$A$5481,A5006)</f>
        <v>1</v>
      </c>
      <c r="N5006" s="24">
        <f t="shared" si="78"/>
        <v>83.3605006</v>
      </c>
    </row>
    <row r="5007" spans="1:14">
      <c r="A5007" s="21" t="s">
        <v>4503</v>
      </c>
      <c r="B5007" s="21" t="s">
        <v>26</v>
      </c>
      <c r="C5007" s="21" t="s">
        <v>26</v>
      </c>
      <c r="D5007" s="21" t="s">
        <v>921</v>
      </c>
      <c r="E5007" s="21">
        <v>1</v>
      </c>
      <c r="F5007" s="22">
        <v>45797.3438425926</v>
      </c>
      <c r="G5007" s="22"/>
      <c r="H5007" s="23">
        <v>51</v>
      </c>
      <c r="I5007" s="23">
        <v>51</v>
      </c>
      <c r="J5007" s="24">
        <v>51</v>
      </c>
      <c r="K5007" s="21">
        <v>0</v>
      </c>
      <c r="L5007" s="21">
        <v>0</v>
      </c>
      <c r="M5007" s="21">
        <f>COUNTIF($A$2:$A$5481,A5007)</f>
        <v>1</v>
      </c>
      <c r="N5007" s="24">
        <f t="shared" si="78"/>
        <v>51.0005007</v>
      </c>
    </row>
    <row r="5008" spans="1:14">
      <c r="A5008" s="21" t="s">
        <v>4504</v>
      </c>
      <c r="B5008" s="21" t="s">
        <v>929</v>
      </c>
      <c r="C5008" s="21" t="s">
        <v>26</v>
      </c>
      <c r="D5008" s="21" t="s">
        <v>921</v>
      </c>
      <c r="E5008" s="21">
        <v>12</v>
      </c>
      <c r="F5008" s="22">
        <v>45986.6980208333</v>
      </c>
      <c r="G5008" s="22"/>
      <c r="H5008" s="23">
        <v>251.3</v>
      </c>
      <c r="I5008" s="23">
        <v>26.09</v>
      </c>
      <c r="J5008" s="24">
        <v>313.08</v>
      </c>
      <c r="K5008" s="21">
        <v>0</v>
      </c>
      <c r="L5008" s="21">
        <v>0</v>
      </c>
      <c r="M5008" s="21">
        <f>COUNTIF($A$2:$A$5481,A5008)</f>
        <v>1</v>
      </c>
      <c r="N5008" s="24">
        <f t="shared" si="78"/>
        <v>313.0805008</v>
      </c>
    </row>
    <row r="5009" spans="1:14">
      <c r="A5009" s="21" t="s">
        <v>4505</v>
      </c>
      <c r="B5009" s="21" t="s">
        <v>929</v>
      </c>
      <c r="C5009" s="21" t="s">
        <v>26</v>
      </c>
      <c r="D5009" s="21" t="s">
        <v>921</v>
      </c>
      <c r="E5009" s="21">
        <v>2</v>
      </c>
      <c r="F5009" s="22">
        <v>45799.4399074074</v>
      </c>
      <c r="G5009" s="22"/>
      <c r="H5009" s="23">
        <v>107.86</v>
      </c>
      <c r="I5009" s="23">
        <v>53.93</v>
      </c>
      <c r="J5009" s="24">
        <v>107.86</v>
      </c>
      <c r="K5009" s="21">
        <v>0</v>
      </c>
      <c r="L5009" s="21">
        <v>0</v>
      </c>
      <c r="M5009" s="21">
        <f>COUNTIF($A$2:$A$5481,A5009)</f>
        <v>1</v>
      </c>
      <c r="N5009" s="24">
        <f t="shared" si="78"/>
        <v>107.8605009</v>
      </c>
    </row>
    <row r="5010" spans="1:14">
      <c r="A5010" s="21" t="s">
        <v>4506</v>
      </c>
      <c r="B5010" s="21" t="s">
        <v>26</v>
      </c>
      <c r="C5010" s="21" t="s">
        <v>26</v>
      </c>
      <c r="D5010" s="21" t="s">
        <v>921</v>
      </c>
      <c r="E5010" s="21">
        <v>8</v>
      </c>
      <c r="F5010" s="22">
        <v>46072.3936921296</v>
      </c>
      <c r="G5010" s="22"/>
      <c r="H5010" s="23">
        <v>64.7</v>
      </c>
      <c r="I5010" s="23">
        <v>12.895</v>
      </c>
      <c r="J5010" s="24">
        <v>103.2</v>
      </c>
      <c r="K5010" s="21">
        <v>0</v>
      </c>
      <c r="L5010" s="21">
        <v>0</v>
      </c>
      <c r="M5010" s="21">
        <f>COUNTIF($A$2:$A$5481,A5010)</f>
        <v>1</v>
      </c>
      <c r="N5010" s="24">
        <f t="shared" si="78"/>
        <v>103.200501</v>
      </c>
    </row>
    <row r="5011" spans="1:14">
      <c r="A5011" s="21" t="s">
        <v>4507</v>
      </c>
      <c r="B5011" s="21" t="s">
        <v>26</v>
      </c>
      <c r="C5011" s="21" t="s">
        <v>26</v>
      </c>
      <c r="D5011" s="21" t="s">
        <v>921</v>
      </c>
      <c r="E5011" s="21">
        <v>9</v>
      </c>
      <c r="F5011" s="22">
        <v>45677.7634375</v>
      </c>
      <c r="G5011" s="22"/>
      <c r="H5011" s="23">
        <v>20.46</v>
      </c>
      <c r="I5011" s="23">
        <v>3.90667</v>
      </c>
      <c r="J5011" s="24">
        <v>35.19</v>
      </c>
      <c r="K5011" s="21">
        <v>0</v>
      </c>
      <c r="L5011" s="21">
        <v>0</v>
      </c>
      <c r="M5011" s="21">
        <f>COUNTIF($A$2:$A$5481,A5011)</f>
        <v>1</v>
      </c>
      <c r="N5011" s="24">
        <f t="shared" si="78"/>
        <v>35.1905011</v>
      </c>
    </row>
    <row r="5012" spans="1:14">
      <c r="A5012" s="21" t="s">
        <v>4508</v>
      </c>
      <c r="B5012" s="21" t="s">
        <v>929</v>
      </c>
      <c r="C5012" s="21" t="s">
        <v>26</v>
      </c>
      <c r="D5012" s="21" t="s">
        <v>921</v>
      </c>
      <c r="E5012" s="21">
        <v>2</v>
      </c>
      <c r="F5012" s="22">
        <v>45757.4216782407</v>
      </c>
      <c r="G5012" s="22"/>
      <c r="H5012" s="23">
        <v>28.66</v>
      </c>
      <c r="I5012" s="23">
        <v>14.33</v>
      </c>
      <c r="J5012" s="24">
        <v>28.66</v>
      </c>
      <c r="K5012" s="21">
        <v>0</v>
      </c>
      <c r="L5012" s="21">
        <v>0</v>
      </c>
      <c r="M5012" s="21">
        <f>COUNTIF($A$2:$A$5481,A5012)</f>
        <v>1</v>
      </c>
      <c r="N5012" s="24">
        <f t="shared" si="78"/>
        <v>28.6605012</v>
      </c>
    </row>
    <row r="5013" spans="1:14">
      <c r="A5013" s="21" t="s">
        <v>4509</v>
      </c>
      <c r="B5013" s="21" t="s">
        <v>929</v>
      </c>
      <c r="C5013" s="21" t="s">
        <v>414</v>
      </c>
      <c r="D5013" s="21" t="s">
        <v>921</v>
      </c>
      <c r="E5013" s="21">
        <v>2</v>
      </c>
      <c r="F5013" s="22">
        <v>45301.7982175926</v>
      </c>
      <c r="G5013" s="22"/>
      <c r="H5013" s="23">
        <v>18.6</v>
      </c>
      <c r="I5013" s="23">
        <v>9.3</v>
      </c>
      <c r="J5013" s="24">
        <v>18.6</v>
      </c>
      <c r="K5013" s="21">
        <v>0</v>
      </c>
      <c r="L5013" s="21">
        <v>10</v>
      </c>
      <c r="M5013" s="21">
        <f>COUNTIF($A$2:$A$5481,A5013)</f>
        <v>1</v>
      </c>
      <c r="N5013" s="24">
        <f t="shared" si="78"/>
        <v>18.6005013</v>
      </c>
    </row>
    <row r="5014" spans="1:14">
      <c r="A5014" s="21" t="s">
        <v>268</v>
      </c>
      <c r="B5014" s="21" t="s">
        <v>26</v>
      </c>
      <c r="C5014" s="21" t="s">
        <v>26</v>
      </c>
      <c r="D5014" s="21" t="s">
        <v>921</v>
      </c>
      <c r="E5014" s="21">
        <v>0</v>
      </c>
      <c r="F5014" s="22">
        <v>46049.577037037</v>
      </c>
      <c r="G5014" s="22">
        <v>46252.4103356482</v>
      </c>
      <c r="H5014" s="23">
        <v>45.9</v>
      </c>
      <c r="I5014" s="23">
        <v>11.9076190476</v>
      </c>
      <c r="J5014" s="24">
        <v>0</v>
      </c>
      <c r="K5014" s="21">
        <v>0</v>
      </c>
      <c r="L5014" s="21">
        <v>0</v>
      </c>
      <c r="M5014" s="21">
        <f>COUNTIF($A$2:$A$5481,A5014)</f>
        <v>1</v>
      </c>
      <c r="N5014" s="24">
        <f t="shared" si="78"/>
        <v>0.0005014</v>
      </c>
    </row>
    <row r="5015" spans="1:14">
      <c r="A5015" s="21" t="s">
        <v>4510</v>
      </c>
      <c r="B5015" s="21" t="s">
        <v>929</v>
      </c>
      <c r="C5015" s="21" t="s">
        <v>26</v>
      </c>
      <c r="D5015" s="21" t="s">
        <v>921</v>
      </c>
      <c r="E5015" s="21">
        <v>2</v>
      </c>
      <c r="F5015" s="22">
        <v>45797.3438425926</v>
      </c>
      <c r="G5015" s="22"/>
      <c r="H5015" s="23">
        <v>9.94</v>
      </c>
      <c r="I5015" s="23">
        <v>4.97</v>
      </c>
      <c r="J5015" s="24">
        <v>9.94</v>
      </c>
      <c r="K5015" s="21">
        <v>0</v>
      </c>
      <c r="L5015" s="21">
        <v>0</v>
      </c>
      <c r="M5015" s="21">
        <f>COUNTIF($A$2:$A$5481,A5015)</f>
        <v>1</v>
      </c>
      <c r="N5015" s="24">
        <f t="shared" si="78"/>
        <v>9.9405015</v>
      </c>
    </row>
    <row r="5016" spans="1:14">
      <c r="A5016" s="21" t="s">
        <v>4511</v>
      </c>
      <c r="B5016" s="21" t="s">
        <v>26</v>
      </c>
      <c r="C5016" s="21" t="s">
        <v>26</v>
      </c>
      <c r="D5016" s="21" t="s">
        <v>921</v>
      </c>
      <c r="E5016" s="21">
        <v>8</v>
      </c>
      <c r="F5016" s="22">
        <v>45797.3438425926</v>
      </c>
      <c r="G5016" s="22">
        <v>45807.3530787037</v>
      </c>
      <c r="H5016" s="23">
        <v>11.24</v>
      </c>
      <c r="I5016" s="23">
        <v>2.61556</v>
      </c>
      <c r="J5016" s="24">
        <v>20.96</v>
      </c>
      <c r="K5016" s="21">
        <v>0</v>
      </c>
      <c r="L5016" s="21">
        <v>0</v>
      </c>
      <c r="M5016" s="21">
        <f>COUNTIF($A$2:$A$5481,A5016)</f>
        <v>1</v>
      </c>
      <c r="N5016" s="24">
        <f t="shared" si="78"/>
        <v>20.9605016</v>
      </c>
    </row>
    <row r="5017" spans="1:14">
      <c r="A5017" s="21" t="s">
        <v>4512</v>
      </c>
      <c r="B5017" s="21" t="s">
        <v>929</v>
      </c>
      <c r="C5017" s="21" t="s">
        <v>26</v>
      </c>
      <c r="D5017" s="21" t="s">
        <v>921</v>
      </c>
      <c r="E5017" s="21">
        <v>2</v>
      </c>
      <c r="F5017" s="22">
        <v>45797.3438425926</v>
      </c>
      <c r="G5017" s="22"/>
      <c r="H5017" s="23">
        <v>5.62</v>
      </c>
      <c r="I5017" s="23">
        <v>2.81</v>
      </c>
      <c r="J5017" s="24">
        <v>5.62</v>
      </c>
      <c r="K5017" s="21">
        <v>0</v>
      </c>
      <c r="L5017" s="21">
        <v>0</v>
      </c>
      <c r="M5017" s="21">
        <f>COUNTIF($A$2:$A$5481,A5017)</f>
        <v>1</v>
      </c>
      <c r="N5017" s="24">
        <f t="shared" si="78"/>
        <v>5.6205017</v>
      </c>
    </row>
    <row r="5018" spans="1:14">
      <c r="A5018" s="21" t="s">
        <v>4513</v>
      </c>
      <c r="B5018" s="21" t="s">
        <v>929</v>
      </c>
      <c r="C5018" s="21" t="s">
        <v>26</v>
      </c>
      <c r="D5018" s="21" t="s">
        <v>921</v>
      </c>
      <c r="E5018" s="21">
        <v>15</v>
      </c>
      <c r="F5018" s="22">
        <v>46094.5597222222</v>
      </c>
      <c r="G5018" s="22"/>
      <c r="H5018" s="23">
        <v>72.9</v>
      </c>
      <c r="I5018" s="23">
        <v>11.278</v>
      </c>
      <c r="J5018" s="24">
        <v>169.2</v>
      </c>
      <c r="K5018" s="21">
        <v>0</v>
      </c>
      <c r="L5018" s="21">
        <v>0</v>
      </c>
      <c r="M5018" s="21">
        <f>COUNTIF($A$2:$A$5481,A5018)</f>
        <v>1</v>
      </c>
      <c r="N5018" s="24">
        <f t="shared" si="78"/>
        <v>169.2005018</v>
      </c>
    </row>
    <row r="5019" spans="1:14">
      <c r="A5019" s="21" t="s">
        <v>4514</v>
      </c>
      <c r="B5019" s="21" t="s">
        <v>929</v>
      </c>
      <c r="C5019" s="21" t="s">
        <v>26</v>
      </c>
      <c r="D5019" s="21" t="s">
        <v>921</v>
      </c>
      <c r="E5019" s="21">
        <v>7</v>
      </c>
      <c r="F5019" s="22">
        <v>45574.8214236111</v>
      </c>
      <c r="G5019" s="22"/>
      <c r="H5019" s="23">
        <v>19.8</v>
      </c>
      <c r="I5019" s="23">
        <v>9.68571</v>
      </c>
      <c r="J5019" s="24">
        <v>67.83</v>
      </c>
      <c r="K5019" s="21">
        <v>0</v>
      </c>
      <c r="L5019" s="21">
        <v>0</v>
      </c>
      <c r="M5019" s="21">
        <f>COUNTIF($A$2:$A$5481,A5019)</f>
        <v>1</v>
      </c>
      <c r="N5019" s="24">
        <f t="shared" si="78"/>
        <v>67.8305019</v>
      </c>
    </row>
    <row r="5020" spans="1:14">
      <c r="A5020" s="21" t="s">
        <v>4515</v>
      </c>
      <c r="B5020" s="21" t="s">
        <v>929</v>
      </c>
      <c r="C5020" s="21" t="s">
        <v>26</v>
      </c>
      <c r="D5020" s="21" t="s">
        <v>921</v>
      </c>
      <c r="E5020" s="21">
        <v>18</v>
      </c>
      <c r="F5020" s="22">
        <v>45860.6612847222</v>
      </c>
      <c r="G5020" s="22">
        <v>45847.3712152778</v>
      </c>
      <c r="H5020" s="23">
        <v>57.07848</v>
      </c>
      <c r="I5020" s="23">
        <v>9.51308</v>
      </c>
      <c r="J5020" s="24">
        <v>171.18</v>
      </c>
      <c r="K5020" s="21">
        <v>0</v>
      </c>
      <c r="L5020" s="21">
        <v>0</v>
      </c>
      <c r="M5020" s="21">
        <f>COUNTIF($A$2:$A$5481,A5020)</f>
        <v>1</v>
      </c>
      <c r="N5020" s="24">
        <f t="shared" si="78"/>
        <v>171.180502</v>
      </c>
    </row>
    <row r="5021" spans="1:14">
      <c r="A5021" s="21" t="s">
        <v>4516</v>
      </c>
      <c r="B5021" s="21" t="s">
        <v>929</v>
      </c>
      <c r="C5021" s="21" t="s">
        <v>26</v>
      </c>
      <c r="D5021" s="21" t="s">
        <v>921</v>
      </c>
      <c r="E5021" s="21">
        <v>2</v>
      </c>
      <c r="F5021" s="22">
        <v>45329.6645833333</v>
      </c>
      <c r="G5021" s="22"/>
      <c r="H5021" s="23">
        <v>28.78</v>
      </c>
      <c r="I5021" s="23">
        <v>14.39</v>
      </c>
      <c r="J5021" s="24">
        <v>28.78</v>
      </c>
      <c r="K5021" s="21">
        <v>0</v>
      </c>
      <c r="L5021" s="21">
        <v>0</v>
      </c>
      <c r="M5021" s="21">
        <f>COUNTIF($A$2:$A$5481,A5021)</f>
        <v>1</v>
      </c>
      <c r="N5021" s="24">
        <f t="shared" si="78"/>
        <v>28.7805021</v>
      </c>
    </row>
    <row r="5022" spans="1:14">
      <c r="A5022" s="21" t="s">
        <v>4517</v>
      </c>
      <c r="B5022" s="21" t="s">
        <v>920</v>
      </c>
      <c r="C5022" s="21" t="s">
        <v>26</v>
      </c>
      <c r="D5022" s="21" t="s">
        <v>921</v>
      </c>
      <c r="E5022" s="21">
        <v>2</v>
      </c>
      <c r="F5022" s="22">
        <v>46192.5584606482</v>
      </c>
      <c r="G5022" s="22"/>
      <c r="H5022" s="23">
        <v>34</v>
      </c>
      <c r="I5022" s="23">
        <v>17</v>
      </c>
      <c r="J5022" s="24">
        <v>34</v>
      </c>
      <c r="K5022" s="21">
        <v>0</v>
      </c>
      <c r="L5022" s="21">
        <v>0</v>
      </c>
      <c r="M5022" s="21">
        <f>COUNTIF($A$2:$A$5481,A5022)</f>
        <v>1</v>
      </c>
      <c r="N5022" s="24">
        <f t="shared" si="78"/>
        <v>34.0005022</v>
      </c>
    </row>
    <row r="5023" spans="1:14">
      <c r="A5023" s="21" t="s">
        <v>4518</v>
      </c>
      <c r="B5023" s="21" t="s">
        <v>26</v>
      </c>
      <c r="C5023" s="21" t="s">
        <v>26</v>
      </c>
      <c r="D5023" s="21" t="s">
        <v>921</v>
      </c>
      <c r="E5023" s="21">
        <v>12</v>
      </c>
      <c r="F5023" s="22">
        <v>46149.555162037</v>
      </c>
      <c r="G5023" s="22">
        <v>45903.3792708333</v>
      </c>
      <c r="H5023" s="23">
        <v>198.36</v>
      </c>
      <c r="I5023" s="23">
        <v>84.3892857143</v>
      </c>
      <c r="J5023" s="24">
        <v>1012.68</v>
      </c>
      <c r="K5023" s="21">
        <v>0</v>
      </c>
      <c r="L5023" s="21">
        <v>0</v>
      </c>
      <c r="M5023" s="21">
        <f>COUNTIF($A$2:$A$5481,A5023)</f>
        <v>1</v>
      </c>
      <c r="N5023" s="24">
        <f t="shared" si="78"/>
        <v>1012.6805023</v>
      </c>
    </row>
    <row r="5024" spans="1:14">
      <c r="A5024" s="21" t="s">
        <v>4519</v>
      </c>
      <c r="B5024" s="21" t="s">
        <v>26</v>
      </c>
      <c r="C5024" s="21" t="s">
        <v>51</v>
      </c>
      <c r="D5024" s="21" t="s">
        <v>921</v>
      </c>
      <c r="E5024" s="21">
        <v>3</v>
      </c>
      <c r="F5024" s="22">
        <v>45427.4479166667</v>
      </c>
      <c r="G5024" s="22"/>
      <c r="H5024" s="23">
        <v>17.07</v>
      </c>
      <c r="I5024" s="23">
        <v>5.69</v>
      </c>
      <c r="J5024" s="24">
        <v>17.07</v>
      </c>
      <c r="K5024" s="21">
        <v>0</v>
      </c>
      <c r="L5024" s="21">
        <v>0</v>
      </c>
      <c r="M5024" s="21">
        <f>COUNTIF($A$2:$A$5481,A5024)</f>
        <v>2</v>
      </c>
      <c r="N5024" s="24">
        <f t="shared" si="78"/>
        <v>17.0705024</v>
      </c>
    </row>
    <row r="5025" spans="1:14">
      <c r="A5025" s="21" t="s">
        <v>4519</v>
      </c>
      <c r="B5025" s="21" t="s">
        <v>26</v>
      </c>
      <c r="C5025" s="21" t="s">
        <v>26</v>
      </c>
      <c r="D5025" s="21" t="s">
        <v>921</v>
      </c>
      <c r="E5025" s="21">
        <v>4</v>
      </c>
      <c r="F5025" s="22">
        <v>45833.4474189815</v>
      </c>
      <c r="G5025" s="22"/>
      <c r="H5025" s="23">
        <v>11.98</v>
      </c>
      <c r="I5025" s="23">
        <v>5.595</v>
      </c>
      <c r="J5025" s="24">
        <v>22.4</v>
      </c>
      <c r="K5025" s="21">
        <v>0</v>
      </c>
      <c r="L5025" s="21">
        <v>0</v>
      </c>
      <c r="M5025" s="21">
        <f>COUNTIF($A$2:$A$5481,A5025)</f>
        <v>2</v>
      </c>
      <c r="N5025" s="24">
        <f t="shared" si="78"/>
        <v>22.4005025</v>
      </c>
    </row>
    <row r="5026" spans="1:14">
      <c r="A5026" s="21" t="s">
        <v>4520</v>
      </c>
      <c r="B5026" s="21" t="s">
        <v>26</v>
      </c>
      <c r="C5026" s="21" t="s">
        <v>26</v>
      </c>
      <c r="D5026" s="21" t="s">
        <v>921</v>
      </c>
      <c r="E5026" s="21">
        <v>6</v>
      </c>
      <c r="F5026" s="22">
        <v>46120.3576388889</v>
      </c>
      <c r="G5026" s="22"/>
      <c r="H5026" s="23">
        <v>5.5</v>
      </c>
      <c r="I5026" s="23">
        <v>6.745</v>
      </c>
      <c r="J5026" s="24">
        <v>40.5</v>
      </c>
      <c r="K5026" s="21">
        <v>0</v>
      </c>
      <c r="L5026" s="21">
        <v>0</v>
      </c>
      <c r="M5026" s="21">
        <f>COUNTIF($A$2:$A$5481,A5026)</f>
        <v>1</v>
      </c>
      <c r="N5026" s="24">
        <f t="shared" si="78"/>
        <v>40.5005026</v>
      </c>
    </row>
    <row r="5027" spans="1:14">
      <c r="A5027" s="21" t="s">
        <v>4521</v>
      </c>
      <c r="B5027" s="21" t="s">
        <v>26</v>
      </c>
      <c r="C5027" s="21" t="s">
        <v>26</v>
      </c>
      <c r="D5027" s="21" t="s">
        <v>921</v>
      </c>
      <c r="E5027" s="21">
        <v>5</v>
      </c>
      <c r="F5027" s="22">
        <v>46104.5992476852</v>
      </c>
      <c r="G5027" s="22"/>
      <c r="H5027" s="23">
        <v>15.98</v>
      </c>
      <c r="I5027" s="23">
        <v>6.492</v>
      </c>
      <c r="J5027" s="24">
        <v>32.45</v>
      </c>
      <c r="K5027" s="21">
        <v>0</v>
      </c>
      <c r="L5027" s="21">
        <v>0</v>
      </c>
      <c r="M5027" s="21">
        <f>COUNTIF($A$2:$A$5481,A5027)</f>
        <v>1</v>
      </c>
      <c r="N5027" s="24">
        <f t="shared" si="78"/>
        <v>32.4505027</v>
      </c>
    </row>
    <row r="5028" spans="1:14">
      <c r="A5028" s="21" t="s">
        <v>4522</v>
      </c>
      <c r="B5028" s="21" t="s">
        <v>920</v>
      </c>
      <c r="C5028" s="21" t="s">
        <v>26</v>
      </c>
      <c r="D5028" s="21" t="s">
        <v>4523</v>
      </c>
      <c r="E5028" s="21">
        <v>4.83</v>
      </c>
      <c r="F5028" s="22">
        <v>46042.3761805556</v>
      </c>
      <c r="G5028" s="22"/>
      <c r="H5028" s="23">
        <v>1062.117</v>
      </c>
      <c r="I5028" s="23">
        <v>219.9</v>
      </c>
      <c r="J5028" s="24">
        <v>1062.117</v>
      </c>
      <c r="K5028" s="21">
        <v>0</v>
      </c>
      <c r="L5028" s="21">
        <v>0</v>
      </c>
      <c r="M5028" s="21">
        <f>COUNTIF($A$2:$A$5481,A5028)</f>
        <v>1</v>
      </c>
      <c r="N5028" s="24">
        <f t="shared" si="78"/>
        <v>1062.1175028</v>
      </c>
    </row>
    <row r="5029" spans="1:14">
      <c r="A5029" s="21" t="s">
        <v>4524</v>
      </c>
      <c r="B5029" s="21" t="s">
        <v>920</v>
      </c>
      <c r="C5029" s="21" t="s">
        <v>26</v>
      </c>
      <c r="D5029" s="21" t="s">
        <v>921</v>
      </c>
      <c r="E5029" s="21">
        <v>1.44</v>
      </c>
      <c r="F5029" s="22">
        <v>46042.3761805556</v>
      </c>
      <c r="G5029" s="22"/>
      <c r="H5029" s="23">
        <v>316.656</v>
      </c>
      <c r="I5029" s="23">
        <v>219.9</v>
      </c>
      <c r="J5029" s="24">
        <v>316.656</v>
      </c>
      <c r="K5029" s="21">
        <v>0</v>
      </c>
      <c r="L5029" s="21">
        <v>0</v>
      </c>
      <c r="M5029" s="21">
        <f>COUNTIF($A$2:$A$5481,A5029)</f>
        <v>1</v>
      </c>
      <c r="N5029" s="24">
        <f t="shared" si="78"/>
        <v>316.6565029</v>
      </c>
    </row>
    <row r="5030" spans="1:14">
      <c r="A5030" s="21" t="s">
        <v>4525</v>
      </c>
      <c r="B5030" s="21" t="s">
        <v>929</v>
      </c>
      <c r="C5030" s="21" t="s">
        <v>26</v>
      </c>
      <c r="D5030" s="21" t="s">
        <v>921</v>
      </c>
      <c r="E5030" s="21">
        <v>5.01</v>
      </c>
      <c r="F5030" s="22">
        <v>46129.6616782407</v>
      </c>
      <c r="G5030" s="22"/>
      <c r="H5030" s="23">
        <v>1.6576</v>
      </c>
      <c r="I5030" s="23">
        <v>44.8318562874</v>
      </c>
      <c r="J5030" s="24">
        <v>224.5983</v>
      </c>
      <c r="K5030" s="21">
        <v>0</v>
      </c>
      <c r="L5030" s="21">
        <v>0</v>
      </c>
      <c r="M5030" s="21">
        <f>COUNTIF($A$2:$A$5481,A5030)</f>
        <v>1</v>
      </c>
      <c r="N5030" s="24">
        <f t="shared" si="78"/>
        <v>224.598803</v>
      </c>
    </row>
    <row r="5031" spans="1:14">
      <c r="A5031" s="21" t="s">
        <v>4526</v>
      </c>
      <c r="B5031" s="21" t="s">
        <v>920</v>
      </c>
      <c r="C5031" s="21" t="s">
        <v>35</v>
      </c>
      <c r="D5031" s="21" t="s">
        <v>931</v>
      </c>
      <c r="E5031" s="21">
        <v>1</v>
      </c>
      <c r="F5031" s="22">
        <v>45940.5972337963</v>
      </c>
      <c r="G5031" s="22"/>
      <c r="H5031" s="23">
        <v>7200</v>
      </c>
      <c r="I5031" s="23">
        <v>7200</v>
      </c>
      <c r="J5031" s="24">
        <v>7200</v>
      </c>
      <c r="K5031" s="21">
        <v>0</v>
      </c>
      <c r="L5031" s="21">
        <v>0</v>
      </c>
      <c r="M5031" s="21">
        <f>COUNTIF($A$2:$A$5481,A5031)</f>
        <v>1</v>
      </c>
      <c r="N5031" s="24">
        <f t="shared" si="78"/>
        <v>7200.0005031</v>
      </c>
    </row>
    <row r="5032" spans="1:14">
      <c r="A5032" s="21" t="s">
        <v>4527</v>
      </c>
      <c r="B5032" s="21" t="s">
        <v>920</v>
      </c>
      <c r="C5032" s="21" t="s">
        <v>35</v>
      </c>
      <c r="D5032" s="21" t="s">
        <v>921</v>
      </c>
      <c r="E5032" s="21">
        <v>4</v>
      </c>
      <c r="F5032" s="22">
        <v>45761.7698032407</v>
      </c>
      <c r="G5032" s="22"/>
      <c r="H5032" s="23">
        <v>20</v>
      </c>
      <c r="I5032" s="23">
        <v>5</v>
      </c>
      <c r="J5032" s="24">
        <v>20</v>
      </c>
      <c r="K5032" s="21">
        <v>0</v>
      </c>
      <c r="L5032" s="21">
        <v>0</v>
      </c>
      <c r="M5032" s="21">
        <f>COUNTIF($A$2:$A$5481,A5032)</f>
        <v>1</v>
      </c>
      <c r="N5032" s="24">
        <f t="shared" si="78"/>
        <v>20.0005032</v>
      </c>
    </row>
    <row r="5033" spans="1:14">
      <c r="A5033" s="21" t="s">
        <v>4528</v>
      </c>
      <c r="B5033" s="21" t="s">
        <v>920</v>
      </c>
      <c r="C5033" s="21" t="s">
        <v>26</v>
      </c>
      <c r="D5033" s="21" t="s">
        <v>921</v>
      </c>
      <c r="E5033" s="21">
        <v>10</v>
      </c>
      <c r="F5033" s="22">
        <v>45553.8314351852</v>
      </c>
      <c r="G5033" s="22"/>
      <c r="H5033" s="23">
        <v>8.9</v>
      </c>
      <c r="I5033" s="23">
        <v>0.89</v>
      </c>
      <c r="J5033" s="24">
        <v>8.9</v>
      </c>
      <c r="K5033" s="21">
        <v>0</v>
      </c>
      <c r="L5033" s="21">
        <v>0</v>
      </c>
      <c r="M5033" s="21">
        <f>COUNTIF($A$2:$A$5481,A5033)</f>
        <v>1</v>
      </c>
      <c r="N5033" s="24">
        <f t="shared" si="78"/>
        <v>8.9005033</v>
      </c>
    </row>
    <row r="5034" spans="1:14">
      <c r="A5034" s="21" t="s">
        <v>4529</v>
      </c>
      <c r="B5034" s="21" t="s">
        <v>920</v>
      </c>
      <c r="C5034" s="21" t="s">
        <v>26</v>
      </c>
      <c r="D5034" s="21" t="s">
        <v>931</v>
      </c>
      <c r="E5034" s="21">
        <v>128</v>
      </c>
      <c r="F5034" s="22">
        <v>46160.6623032407</v>
      </c>
      <c r="G5034" s="22"/>
      <c r="H5034" s="23">
        <v>19.5</v>
      </c>
      <c r="I5034" s="23">
        <v>0.54546875</v>
      </c>
      <c r="J5034" s="24">
        <v>70.4</v>
      </c>
      <c r="K5034" s="21">
        <v>0</v>
      </c>
      <c r="L5034" s="21">
        <v>0</v>
      </c>
      <c r="M5034" s="21">
        <f>COUNTIF($A$2:$A$5481,A5034)</f>
        <v>1</v>
      </c>
      <c r="N5034" s="24">
        <f t="shared" si="78"/>
        <v>70.4005034</v>
      </c>
    </row>
    <row r="5035" spans="1:14">
      <c r="A5035" s="21" t="s">
        <v>4530</v>
      </c>
      <c r="B5035" s="21" t="s">
        <v>26</v>
      </c>
      <c r="C5035" s="21" t="s">
        <v>26</v>
      </c>
      <c r="D5035" s="21" t="s">
        <v>921</v>
      </c>
      <c r="E5035" s="21">
        <v>45</v>
      </c>
      <c r="F5035" s="22">
        <v>45936.3654513889</v>
      </c>
      <c r="G5035" s="22"/>
      <c r="H5035" s="23">
        <v>1.8</v>
      </c>
      <c r="I5035" s="23">
        <v>0.1644444444</v>
      </c>
      <c r="J5035" s="24">
        <v>7.2</v>
      </c>
      <c r="K5035" s="21">
        <v>0</v>
      </c>
      <c r="L5035" s="21">
        <v>0</v>
      </c>
      <c r="M5035" s="21">
        <f>COUNTIF($A$2:$A$5481,A5035)</f>
        <v>1</v>
      </c>
      <c r="N5035" s="24">
        <f t="shared" si="78"/>
        <v>7.2005035</v>
      </c>
    </row>
    <row r="5036" spans="1:14">
      <c r="A5036" s="21" t="s">
        <v>4531</v>
      </c>
      <c r="B5036" s="21" t="s">
        <v>920</v>
      </c>
      <c r="C5036" s="21" t="s">
        <v>26</v>
      </c>
      <c r="D5036" s="21" t="s">
        <v>921</v>
      </c>
      <c r="E5036" s="21">
        <v>5</v>
      </c>
      <c r="F5036" s="22">
        <v>46093.3652777778</v>
      </c>
      <c r="G5036" s="22"/>
      <c r="H5036" s="23">
        <v>16.85</v>
      </c>
      <c r="I5036" s="23">
        <v>3.37</v>
      </c>
      <c r="J5036" s="24">
        <v>16.85</v>
      </c>
      <c r="K5036" s="21">
        <v>0</v>
      </c>
      <c r="L5036" s="21">
        <v>0</v>
      </c>
      <c r="M5036" s="21">
        <f>COUNTIF($A$2:$A$5481,A5036)</f>
        <v>1</v>
      </c>
      <c r="N5036" s="24">
        <f t="shared" si="78"/>
        <v>16.8505036</v>
      </c>
    </row>
    <row r="5037" spans="1:14">
      <c r="A5037" s="21" t="s">
        <v>4532</v>
      </c>
      <c r="B5037" s="21" t="s">
        <v>920</v>
      </c>
      <c r="C5037" s="21" t="s">
        <v>35</v>
      </c>
      <c r="D5037" s="21" t="s">
        <v>921</v>
      </c>
      <c r="E5037" s="21">
        <v>10</v>
      </c>
      <c r="F5037" s="22">
        <v>45310.6996759259</v>
      </c>
      <c r="G5037" s="22"/>
      <c r="H5037" s="23">
        <v>12.5</v>
      </c>
      <c r="I5037" s="23">
        <v>1.25</v>
      </c>
      <c r="J5037" s="24">
        <v>12.5</v>
      </c>
      <c r="K5037" s="21">
        <v>0</v>
      </c>
      <c r="L5037" s="21">
        <v>0</v>
      </c>
      <c r="M5037" s="21">
        <f>COUNTIF($A$2:$A$5481,A5037)</f>
        <v>1</v>
      </c>
      <c r="N5037" s="24">
        <f t="shared" si="78"/>
        <v>12.5005037</v>
      </c>
    </row>
    <row r="5038" spans="1:14">
      <c r="A5038" s="21" t="s">
        <v>4533</v>
      </c>
      <c r="B5038" s="21" t="s">
        <v>920</v>
      </c>
      <c r="C5038" s="21" t="s">
        <v>26</v>
      </c>
      <c r="D5038" s="21" t="s">
        <v>921</v>
      </c>
      <c r="E5038" s="21">
        <v>100</v>
      </c>
      <c r="F5038" s="22">
        <v>45912.3699537037</v>
      </c>
      <c r="G5038" s="22"/>
      <c r="H5038" s="23">
        <v>67.4</v>
      </c>
      <c r="I5038" s="23">
        <v>3.37</v>
      </c>
      <c r="J5038" s="24">
        <v>337</v>
      </c>
      <c r="K5038" s="21">
        <v>0</v>
      </c>
      <c r="L5038" s="21">
        <v>0</v>
      </c>
      <c r="M5038" s="21">
        <f>COUNTIF($A$2:$A$5481,A5038)</f>
        <v>1</v>
      </c>
      <c r="N5038" s="24">
        <f t="shared" si="78"/>
        <v>337.0005038</v>
      </c>
    </row>
    <row r="5039" spans="1:14">
      <c r="A5039" s="21" t="s">
        <v>4534</v>
      </c>
      <c r="B5039" s="21" t="s">
        <v>920</v>
      </c>
      <c r="C5039" s="21" t="s">
        <v>26</v>
      </c>
      <c r="D5039" s="21" t="s">
        <v>921</v>
      </c>
      <c r="E5039" s="21">
        <v>80</v>
      </c>
      <c r="F5039" s="22">
        <v>45693.8227777778</v>
      </c>
      <c r="G5039" s="22"/>
      <c r="H5039" s="23">
        <v>23</v>
      </c>
      <c r="I5039" s="23">
        <v>0.46</v>
      </c>
      <c r="J5039" s="24">
        <v>36.8</v>
      </c>
      <c r="K5039" s="21">
        <v>0</v>
      </c>
      <c r="L5039" s="21">
        <v>0</v>
      </c>
      <c r="M5039" s="21">
        <f>COUNTIF($A$2:$A$5481,A5039)</f>
        <v>1</v>
      </c>
      <c r="N5039" s="24">
        <f t="shared" si="78"/>
        <v>36.8005039</v>
      </c>
    </row>
    <row r="5040" spans="1:14">
      <c r="A5040" s="21" t="s">
        <v>4535</v>
      </c>
      <c r="B5040" s="21" t="s">
        <v>26</v>
      </c>
      <c r="C5040" s="21" t="s">
        <v>26</v>
      </c>
      <c r="D5040" s="21" t="s">
        <v>921</v>
      </c>
      <c r="E5040" s="21">
        <v>50</v>
      </c>
      <c r="F5040" s="22">
        <v>46028.3399074074</v>
      </c>
      <c r="G5040" s="22"/>
      <c r="H5040" s="23">
        <v>17.5</v>
      </c>
      <c r="I5040" s="23">
        <v>0.35</v>
      </c>
      <c r="J5040" s="24">
        <v>17.5</v>
      </c>
      <c r="K5040" s="21">
        <v>0</v>
      </c>
      <c r="L5040" s="21">
        <v>0</v>
      </c>
      <c r="M5040" s="21">
        <f>COUNTIF($A$2:$A$5481,A5040)</f>
        <v>1</v>
      </c>
      <c r="N5040" s="24">
        <f t="shared" si="78"/>
        <v>17.500504</v>
      </c>
    </row>
    <row r="5041" spans="1:14">
      <c r="A5041" s="21" t="s">
        <v>4536</v>
      </c>
      <c r="B5041" s="21" t="s">
        <v>920</v>
      </c>
      <c r="C5041" s="21" t="s">
        <v>26</v>
      </c>
      <c r="D5041" s="21" t="s">
        <v>921</v>
      </c>
      <c r="E5041" s="21">
        <v>90.5</v>
      </c>
      <c r="F5041" s="22">
        <v>46028.3399074074</v>
      </c>
      <c r="G5041" s="22"/>
      <c r="H5041" s="23">
        <v>52.5</v>
      </c>
      <c r="I5041" s="23">
        <v>0.7962983425</v>
      </c>
      <c r="J5041" s="24">
        <v>72.4</v>
      </c>
      <c r="K5041" s="21">
        <v>0</v>
      </c>
      <c r="L5041" s="21">
        <v>0</v>
      </c>
      <c r="M5041" s="21">
        <f>COUNTIF($A$2:$A$5481,A5041)</f>
        <v>1</v>
      </c>
      <c r="N5041" s="24">
        <f t="shared" si="78"/>
        <v>72.4005041</v>
      </c>
    </row>
    <row r="5042" spans="1:14">
      <c r="A5042" s="21" t="s">
        <v>4537</v>
      </c>
      <c r="B5042" s="21" t="s">
        <v>26</v>
      </c>
      <c r="C5042" s="21" t="s">
        <v>26</v>
      </c>
      <c r="D5042" s="21" t="s">
        <v>921</v>
      </c>
      <c r="E5042" s="21">
        <v>58</v>
      </c>
      <c r="F5042" s="22">
        <v>45814.8118518519</v>
      </c>
      <c r="G5042" s="22"/>
      <c r="H5042" s="23">
        <v>127.5</v>
      </c>
      <c r="I5042" s="23">
        <v>2.55</v>
      </c>
      <c r="J5042" s="24">
        <v>147.9</v>
      </c>
      <c r="K5042" s="21">
        <v>0</v>
      </c>
      <c r="L5042" s="21">
        <v>0</v>
      </c>
      <c r="M5042" s="21">
        <f>COUNTIF($A$2:$A$5481,A5042)</f>
        <v>1</v>
      </c>
      <c r="N5042" s="24">
        <f t="shared" si="78"/>
        <v>147.9005042</v>
      </c>
    </row>
    <row r="5043" spans="1:14">
      <c r="A5043" s="21" t="s">
        <v>4538</v>
      </c>
      <c r="B5043" s="21" t="s">
        <v>920</v>
      </c>
      <c r="C5043" s="21" t="s">
        <v>26</v>
      </c>
      <c r="D5043" s="21" t="s">
        <v>921</v>
      </c>
      <c r="E5043" s="21">
        <v>30</v>
      </c>
      <c r="F5043" s="22">
        <v>45372.6423611111</v>
      </c>
      <c r="G5043" s="22"/>
      <c r="H5043" s="23">
        <v>25.2</v>
      </c>
      <c r="I5043" s="23">
        <v>0.84</v>
      </c>
      <c r="J5043" s="24">
        <v>25.2</v>
      </c>
      <c r="K5043" s="21">
        <v>0</v>
      </c>
      <c r="L5043" s="21">
        <v>0</v>
      </c>
      <c r="M5043" s="21">
        <f>COUNTIF($A$2:$A$5481,A5043)</f>
        <v>1</v>
      </c>
      <c r="N5043" s="24">
        <f t="shared" si="78"/>
        <v>25.2005043</v>
      </c>
    </row>
    <row r="5044" spans="1:14">
      <c r="A5044" s="21" t="s">
        <v>4539</v>
      </c>
      <c r="B5044" s="21" t="s">
        <v>920</v>
      </c>
      <c r="C5044" s="21" t="s">
        <v>26</v>
      </c>
      <c r="D5044" s="21" t="s">
        <v>931</v>
      </c>
      <c r="E5044" s="21">
        <v>72</v>
      </c>
      <c r="F5044" s="22">
        <v>45992.5357638889</v>
      </c>
      <c r="G5044" s="22"/>
      <c r="H5044" s="23">
        <v>15.1</v>
      </c>
      <c r="I5044" s="23">
        <v>1.47</v>
      </c>
      <c r="J5044" s="24">
        <v>105.84</v>
      </c>
      <c r="K5044" s="21">
        <v>0</v>
      </c>
      <c r="L5044" s="21">
        <v>0</v>
      </c>
      <c r="M5044" s="21">
        <f>COUNTIF($A$2:$A$5481,A5044)</f>
        <v>1</v>
      </c>
      <c r="N5044" s="24">
        <f t="shared" si="78"/>
        <v>105.8405044</v>
      </c>
    </row>
    <row r="5045" spans="1:14">
      <c r="A5045" s="21" t="s">
        <v>4540</v>
      </c>
      <c r="B5045" s="21" t="s">
        <v>920</v>
      </c>
      <c r="C5045" s="21" t="s">
        <v>35</v>
      </c>
      <c r="D5045" s="21" t="s">
        <v>921</v>
      </c>
      <c r="E5045" s="21">
        <v>8</v>
      </c>
      <c r="F5045" s="22">
        <v>45981.3548148148</v>
      </c>
      <c r="G5045" s="22"/>
      <c r="H5045" s="23">
        <v>0.56</v>
      </c>
      <c r="I5045" s="23">
        <v>0.07</v>
      </c>
      <c r="J5045" s="24">
        <v>0.56</v>
      </c>
      <c r="K5045" s="21">
        <v>0</v>
      </c>
      <c r="L5045" s="21">
        <v>0</v>
      </c>
      <c r="M5045" s="21">
        <f>COUNTIF($A$2:$A$5481,A5045)</f>
        <v>1</v>
      </c>
      <c r="N5045" s="24">
        <f t="shared" si="78"/>
        <v>0.5605045</v>
      </c>
    </row>
    <row r="5046" spans="1:14">
      <c r="A5046" s="21" t="s">
        <v>4541</v>
      </c>
      <c r="B5046" s="21" t="s">
        <v>26</v>
      </c>
      <c r="C5046" s="21" t="s">
        <v>26</v>
      </c>
      <c r="D5046" s="21" t="s">
        <v>921</v>
      </c>
      <c r="E5046" s="21">
        <v>17</v>
      </c>
      <c r="F5046" s="22">
        <v>46050.3611111111</v>
      </c>
      <c r="G5046" s="22"/>
      <c r="H5046" s="23">
        <v>27.15</v>
      </c>
      <c r="I5046" s="23">
        <v>1.6652941176</v>
      </c>
      <c r="J5046" s="24">
        <v>28.39</v>
      </c>
      <c r="K5046" s="21">
        <v>0</v>
      </c>
      <c r="L5046" s="21">
        <v>0</v>
      </c>
      <c r="M5046" s="21">
        <f>COUNTIF($A$2:$A$5481,A5046)</f>
        <v>1</v>
      </c>
      <c r="N5046" s="24">
        <f t="shared" si="78"/>
        <v>28.3905046</v>
      </c>
    </row>
    <row r="5047" spans="1:14">
      <c r="A5047" s="21" t="s">
        <v>4542</v>
      </c>
      <c r="B5047" s="21" t="s">
        <v>920</v>
      </c>
      <c r="C5047" s="21" t="s">
        <v>35</v>
      </c>
      <c r="D5047" s="21" t="s">
        <v>921</v>
      </c>
      <c r="E5047" s="21">
        <v>8</v>
      </c>
      <c r="F5047" s="22">
        <v>45321.566724537</v>
      </c>
      <c r="G5047" s="22"/>
      <c r="H5047" s="23">
        <v>4.68</v>
      </c>
      <c r="I5047" s="23">
        <v>1.17</v>
      </c>
      <c r="J5047" s="24">
        <v>9.36</v>
      </c>
      <c r="K5047" s="21">
        <v>0</v>
      </c>
      <c r="L5047" s="21">
        <v>10000</v>
      </c>
      <c r="M5047" s="21">
        <f>COUNTIF($A$2:$A$5481,A5047)</f>
        <v>2</v>
      </c>
      <c r="N5047" s="24">
        <f t="shared" si="78"/>
        <v>9.3605047</v>
      </c>
    </row>
    <row r="5048" spans="1:14">
      <c r="A5048" s="21" t="s">
        <v>4542</v>
      </c>
      <c r="B5048" s="21" t="s">
        <v>920</v>
      </c>
      <c r="C5048" s="21" t="s">
        <v>26</v>
      </c>
      <c r="D5048" s="21" t="s">
        <v>921</v>
      </c>
      <c r="E5048" s="21">
        <v>50</v>
      </c>
      <c r="F5048" s="22">
        <v>45814.8118518519</v>
      </c>
      <c r="G5048" s="22"/>
      <c r="H5048" s="23">
        <v>45</v>
      </c>
      <c r="I5048" s="23">
        <v>0.9</v>
      </c>
      <c r="J5048" s="24">
        <v>45</v>
      </c>
      <c r="K5048" s="21">
        <v>0</v>
      </c>
      <c r="L5048" s="21">
        <v>10000</v>
      </c>
      <c r="M5048" s="21">
        <f>COUNTIF($A$2:$A$5481,A5048)</f>
        <v>2</v>
      </c>
      <c r="N5048" s="24">
        <f t="shared" si="78"/>
        <v>45.0005048</v>
      </c>
    </row>
    <row r="5049" spans="1:14">
      <c r="A5049" s="21" t="s">
        <v>4543</v>
      </c>
      <c r="B5049" s="21" t="s">
        <v>920</v>
      </c>
      <c r="C5049" s="21" t="s">
        <v>35</v>
      </c>
      <c r="D5049" s="21" t="s">
        <v>921</v>
      </c>
      <c r="E5049" s="21">
        <v>8</v>
      </c>
      <c r="F5049" s="22">
        <v>45456.3520833333</v>
      </c>
      <c r="G5049" s="22"/>
      <c r="H5049" s="23">
        <v>1.6</v>
      </c>
      <c r="I5049" s="23">
        <v>0.2</v>
      </c>
      <c r="J5049" s="24">
        <v>1.6</v>
      </c>
      <c r="K5049" s="21">
        <v>0</v>
      </c>
      <c r="L5049" s="21">
        <v>0</v>
      </c>
      <c r="M5049" s="21">
        <f>COUNTIF($A$2:$A$5481,A5049)</f>
        <v>2</v>
      </c>
      <c r="N5049" s="24">
        <f t="shared" si="78"/>
        <v>1.6005049</v>
      </c>
    </row>
    <row r="5050" spans="1:14">
      <c r="A5050" s="21" t="s">
        <v>4543</v>
      </c>
      <c r="B5050" s="21" t="s">
        <v>920</v>
      </c>
      <c r="C5050" s="21" t="s">
        <v>26</v>
      </c>
      <c r="D5050" s="21" t="s">
        <v>921</v>
      </c>
      <c r="E5050" s="21">
        <v>370</v>
      </c>
      <c r="F5050" s="22">
        <v>45814.8118518519</v>
      </c>
      <c r="G5050" s="22"/>
      <c r="H5050" s="23">
        <v>26</v>
      </c>
      <c r="I5050" s="23">
        <v>0.19568</v>
      </c>
      <c r="J5050" s="24">
        <v>74</v>
      </c>
      <c r="K5050" s="21">
        <v>0</v>
      </c>
      <c r="L5050" s="21">
        <v>0</v>
      </c>
      <c r="M5050" s="21">
        <f>COUNTIF($A$2:$A$5481,A5050)</f>
        <v>2</v>
      </c>
      <c r="N5050" s="24">
        <f t="shared" si="78"/>
        <v>74.000505</v>
      </c>
    </row>
    <row r="5051" spans="1:14">
      <c r="A5051" s="21" t="s">
        <v>4544</v>
      </c>
      <c r="B5051" s="21" t="s">
        <v>920</v>
      </c>
      <c r="C5051" s="21" t="s">
        <v>26</v>
      </c>
      <c r="D5051" s="21" t="s">
        <v>921</v>
      </c>
      <c r="E5051" s="21">
        <v>54</v>
      </c>
      <c r="F5051" s="22">
        <v>45693.8227777778</v>
      </c>
      <c r="G5051" s="22"/>
      <c r="H5051" s="23">
        <v>169.2</v>
      </c>
      <c r="I5051" s="23">
        <v>7.05</v>
      </c>
      <c r="J5051" s="24">
        <v>380.7</v>
      </c>
      <c r="K5051" s="21">
        <v>0</v>
      </c>
      <c r="L5051" s="21">
        <v>0</v>
      </c>
      <c r="M5051" s="21">
        <f>COUNTIF($A$2:$A$5481,A5051)</f>
        <v>1</v>
      </c>
      <c r="N5051" s="24">
        <f t="shared" si="78"/>
        <v>380.7005051</v>
      </c>
    </row>
    <row r="5052" spans="1:14">
      <c r="A5052" s="21" t="s">
        <v>4545</v>
      </c>
      <c r="B5052" s="21" t="s">
        <v>920</v>
      </c>
      <c r="C5052" s="21" t="s">
        <v>26</v>
      </c>
      <c r="D5052" s="21" t="s">
        <v>921</v>
      </c>
      <c r="E5052" s="21">
        <v>22</v>
      </c>
      <c r="F5052" s="22">
        <v>46157.5865856482</v>
      </c>
      <c r="G5052" s="22"/>
      <c r="H5052" s="23">
        <v>4.82</v>
      </c>
      <c r="I5052" s="23">
        <v>2.4054545455</v>
      </c>
      <c r="J5052" s="24">
        <v>53.02</v>
      </c>
      <c r="K5052" s="21">
        <v>0</v>
      </c>
      <c r="L5052" s="21">
        <v>0</v>
      </c>
      <c r="M5052" s="21">
        <f>COUNTIF($A$2:$A$5481,A5052)</f>
        <v>1</v>
      </c>
      <c r="N5052" s="24">
        <f t="shared" si="78"/>
        <v>53.0205052</v>
      </c>
    </row>
    <row r="5053" spans="1:14">
      <c r="A5053" s="21" t="s">
        <v>4546</v>
      </c>
      <c r="B5053" s="21" t="s">
        <v>920</v>
      </c>
      <c r="C5053" s="21" t="s">
        <v>26</v>
      </c>
      <c r="D5053" s="21" t="s">
        <v>921</v>
      </c>
      <c r="E5053" s="21">
        <v>35</v>
      </c>
      <c r="F5053" s="22">
        <v>45814.8118518519</v>
      </c>
      <c r="G5053" s="22"/>
      <c r="H5053" s="23">
        <v>29.45</v>
      </c>
      <c r="I5053" s="23">
        <v>1.23857</v>
      </c>
      <c r="J5053" s="24">
        <v>43.4</v>
      </c>
      <c r="K5053" s="21">
        <v>0</v>
      </c>
      <c r="L5053" s="21">
        <v>0</v>
      </c>
      <c r="M5053" s="21">
        <f>COUNTIF($A$2:$A$5481,A5053)</f>
        <v>1</v>
      </c>
      <c r="N5053" s="24">
        <f t="shared" si="78"/>
        <v>43.4005053</v>
      </c>
    </row>
    <row r="5054" spans="1:14">
      <c r="A5054" s="21" t="s">
        <v>4547</v>
      </c>
      <c r="B5054" s="21" t="s">
        <v>920</v>
      </c>
      <c r="C5054" s="21" t="s">
        <v>26</v>
      </c>
      <c r="D5054" s="21" t="s">
        <v>921</v>
      </c>
      <c r="E5054" s="21">
        <v>102</v>
      </c>
      <c r="F5054" s="22">
        <v>46028.3399074074</v>
      </c>
      <c r="G5054" s="22"/>
      <c r="H5054" s="23">
        <v>30</v>
      </c>
      <c r="I5054" s="23">
        <v>0.5882352941</v>
      </c>
      <c r="J5054" s="24">
        <v>60.18</v>
      </c>
      <c r="K5054" s="21">
        <v>0</v>
      </c>
      <c r="L5054" s="21">
        <v>0</v>
      </c>
      <c r="M5054" s="21">
        <f>COUNTIF($A$2:$A$5481,A5054)</f>
        <v>1</v>
      </c>
      <c r="N5054" s="24">
        <f t="shared" si="78"/>
        <v>60.1805054</v>
      </c>
    </row>
    <row r="5055" spans="1:14">
      <c r="A5055" s="21" t="s">
        <v>4548</v>
      </c>
      <c r="B5055" s="21" t="s">
        <v>26</v>
      </c>
      <c r="C5055" s="21" t="s">
        <v>26</v>
      </c>
      <c r="D5055" s="21" t="s">
        <v>921</v>
      </c>
      <c r="E5055" s="21">
        <v>50</v>
      </c>
      <c r="F5055" s="22">
        <v>45814.8118518519</v>
      </c>
      <c r="G5055" s="22"/>
      <c r="H5055" s="23">
        <v>115</v>
      </c>
      <c r="I5055" s="23">
        <v>2.3</v>
      </c>
      <c r="J5055" s="24">
        <v>115</v>
      </c>
      <c r="K5055" s="21">
        <v>0</v>
      </c>
      <c r="L5055" s="21">
        <v>0</v>
      </c>
      <c r="M5055" s="21">
        <f>COUNTIF($A$2:$A$5481,A5055)</f>
        <v>1</v>
      </c>
      <c r="N5055" s="24">
        <f t="shared" si="78"/>
        <v>115.0005055</v>
      </c>
    </row>
    <row r="5056" spans="1:14">
      <c r="A5056" s="21" t="s">
        <v>4549</v>
      </c>
      <c r="B5056" s="21" t="s">
        <v>920</v>
      </c>
      <c r="C5056" s="21" t="s">
        <v>35</v>
      </c>
      <c r="D5056" s="21" t="s">
        <v>921</v>
      </c>
      <c r="E5056" s="21">
        <v>20</v>
      </c>
      <c r="F5056" s="22">
        <v>45372.8324421296</v>
      </c>
      <c r="G5056" s="22"/>
      <c r="H5056" s="23">
        <v>5.8</v>
      </c>
      <c r="I5056" s="23">
        <v>0.29</v>
      </c>
      <c r="J5056" s="24">
        <v>5.8</v>
      </c>
      <c r="K5056" s="21">
        <v>0</v>
      </c>
      <c r="L5056" s="21">
        <v>0</v>
      </c>
      <c r="M5056" s="21">
        <f>COUNTIF($A$2:$A$5481,A5056)</f>
        <v>2</v>
      </c>
      <c r="N5056" s="24">
        <f t="shared" si="78"/>
        <v>5.8005056</v>
      </c>
    </row>
    <row r="5057" spans="1:14">
      <c r="A5057" s="21" t="s">
        <v>4549</v>
      </c>
      <c r="B5057" s="21" t="s">
        <v>920</v>
      </c>
      <c r="C5057" s="21" t="s">
        <v>26</v>
      </c>
      <c r="D5057" s="21" t="s">
        <v>921</v>
      </c>
      <c r="E5057" s="21">
        <v>300</v>
      </c>
      <c r="F5057" s="22">
        <v>45814.8118518519</v>
      </c>
      <c r="G5057" s="22"/>
      <c r="H5057" s="23">
        <v>6</v>
      </c>
      <c r="I5057" s="23">
        <v>0.10667</v>
      </c>
      <c r="J5057" s="24">
        <v>33</v>
      </c>
      <c r="K5057" s="21">
        <v>0</v>
      </c>
      <c r="L5057" s="21">
        <v>0</v>
      </c>
      <c r="M5057" s="21">
        <f>COUNTIF($A$2:$A$5481,A5057)</f>
        <v>2</v>
      </c>
      <c r="N5057" s="24">
        <f t="shared" si="78"/>
        <v>33.0005057</v>
      </c>
    </row>
    <row r="5058" spans="1:14">
      <c r="A5058" s="21" t="s">
        <v>4550</v>
      </c>
      <c r="B5058" s="21" t="s">
        <v>920</v>
      </c>
      <c r="C5058" s="21" t="s">
        <v>35</v>
      </c>
      <c r="D5058" s="21" t="s">
        <v>921</v>
      </c>
      <c r="E5058" s="21">
        <v>20</v>
      </c>
      <c r="F5058" s="22">
        <v>45372.828125</v>
      </c>
      <c r="G5058" s="22"/>
      <c r="H5058" s="23">
        <v>5.8</v>
      </c>
      <c r="I5058" s="23">
        <v>0.29</v>
      </c>
      <c r="J5058" s="24">
        <v>5.8</v>
      </c>
      <c r="K5058" s="21">
        <v>0</v>
      </c>
      <c r="L5058" s="21">
        <v>0</v>
      </c>
      <c r="M5058" s="21">
        <f>COUNTIF($A$2:$A$5481,A5058)</f>
        <v>2</v>
      </c>
      <c r="N5058" s="24">
        <f t="shared" ref="N5058:N5121" si="79">J5058+ROW()/10000000</f>
        <v>5.8005058</v>
      </c>
    </row>
    <row r="5059" spans="1:14">
      <c r="A5059" s="21" t="s">
        <v>4550</v>
      </c>
      <c r="B5059" s="21" t="s">
        <v>920</v>
      </c>
      <c r="C5059" s="21" t="s">
        <v>26</v>
      </c>
      <c r="D5059" s="21" t="s">
        <v>921</v>
      </c>
      <c r="E5059" s="21">
        <v>260</v>
      </c>
      <c r="F5059" s="22">
        <v>46064.6341898148</v>
      </c>
      <c r="G5059" s="22"/>
      <c r="H5059" s="23">
        <v>24.8</v>
      </c>
      <c r="I5059" s="23">
        <v>0.5915384615</v>
      </c>
      <c r="J5059" s="24">
        <v>153.4</v>
      </c>
      <c r="K5059" s="21">
        <v>0</v>
      </c>
      <c r="L5059" s="21">
        <v>0</v>
      </c>
      <c r="M5059" s="21">
        <f>COUNTIF($A$2:$A$5481,A5059)</f>
        <v>2</v>
      </c>
      <c r="N5059" s="24">
        <f t="shared" si="79"/>
        <v>153.4005059</v>
      </c>
    </row>
    <row r="5060" spans="1:14">
      <c r="A5060" s="21" t="s">
        <v>4551</v>
      </c>
      <c r="B5060" s="21" t="s">
        <v>920</v>
      </c>
      <c r="C5060" s="21" t="s">
        <v>35</v>
      </c>
      <c r="D5060" s="21" t="s">
        <v>921</v>
      </c>
      <c r="E5060" s="21">
        <v>8</v>
      </c>
      <c r="F5060" s="22">
        <v>45372.8263657407</v>
      </c>
      <c r="G5060" s="22"/>
      <c r="H5060" s="23">
        <v>2.96</v>
      </c>
      <c r="I5060" s="23">
        <v>0.37</v>
      </c>
      <c r="J5060" s="24">
        <v>2.96</v>
      </c>
      <c r="K5060" s="21">
        <v>0</v>
      </c>
      <c r="L5060" s="21">
        <v>0</v>
      </c>
      <c r="M5060" s="21">
        <f>COUNTIF($A$2:$A$5481,A5060)</f>
        <v>2</v>
      </c>
      <c r="N5060" s="24">
        <f t="shared" si="79"/>
        <v>2.960506</v>
      </c>
    </row>
    <row r="5061" spans="1:14">
      <c r="A5061" s="21" t="s">
        <v>4551</v>
      </c>
      <c r="B5061" s="21" t="s">
        <v>920</v>
      </c>
      <c r="C5061" s="21" t="s">
        <v>26</v>
      </c>
      <c r="D5061" s="21" t="s">
        <v>921</v>
      </c>
      <c r="E5061" s="21">
        <v>26</v>
      </c>
      <c r="F5061" s="22">
        <v>45897.8203240741</v>
      </c>
      <c r="G5061" s="22"/>
      <c r="H5061" s="23">
        <v>12.6</v>
      </c>
      <c r="I5061" s="23">
        <v>0.9584615385</v>
      </c>
      <c r="J5061" s="24">
        <v>24.96</v>
      </c>
      <c r="K5061" s="21">
        <v>0</v>
      </c>
      <c r="L5061" s="21">
        <v>0</v>
      </c>
      <c r="M5061" s="21">
        <f>COUNTIF($A$2:$A$5481,A5061)</f>
        <v>2</v>
      </c>
      <c r="N5061" s="24">
        <f t="shared" si="79"/>
        <v>24.9605061</v>
      </c>
    </row>
    <row r="5062" spans="1:14">
      <c r="A5062" s="21" t="s">
        <v>4552</v>
      </c>
      <c r="B5062" s="21" t="s">
        <v>920</v>
      </c>
      <c r="C5062" s="21" t="s">
        <v>35</v>
      </c>
      <c r="D5062" s="21" t="s">
        <v>921</v>
      </c>
      <c r="E5062" s="21">
        <v>10</v>
      </c>
      <c r="F5062" s="22">
        <v>45282.7849537037</v>
      </c>
      <c r="G5062" s="22"/>
      <c r="H5062" s="23">
        <v>10</v>
      </c>
      <c r="I5062" s="23">
        <v>1</v>
      </c>
      <c r="J5062" s="24">
        <v>10</v>
      </c>
      <c r="K5062" s="21">
        <v>2</v>
      </c>
      <c r="L5062" s="21">
        <v>20</v>
      </c>
      <c r="M5062" s="21">
        <f>COUNTIF($A$2:$A$5481,A5062)</f>
        <v>2</v>
      </c>
      <c r="N5062" s="24">
        <f t="shared" si="79"/>
        <v>10.0005062</v>
      </c>
    </row>
    <row r="5063" spans="1:14">
      <c r="A5063" s="21" t="s">
        <v>4552</v>
      </c>
      <c r="B5063" s="21" t="s">
        <v>920</v>
      </c>
      <c r="C5063" s="21" t="s">
        <v>26</v>
      </c>
      <c r="D5063" s="21" t="s">
        <v>921</v>
      </c>
      <c r="E5063" s="21">
        <v>26</v>
      </c>
      <c r="F5063" s="22">
        <v>45902.6649074074</v>
      </c>
      <c r="G5063" s="22"/>
      <c r="H5063" s="23">
        <v>13</v>
      </c>
      <c r="I5063" s="23">
        <v>1.2423076923</v>
      </c>
      <c r="J5063" s="24">
        <v>32.24</v>
      </c>
      <c r="K5063" s="21">
        <v>2</v>
      </c>
      <c r="L5063" s="21">
        <v>20</v>
      </c>
      <c r="M5063" s="21">
        <f>COUNTIF($A$2:$A$5481,A5063)</f>
        <v>2</v>
      </c>
      <c r="N5063" s="24">
        <f t="shared" si="79"/>
        <v>32.2405063</v>
      </c>
    </row>
    <row r="5064" spans="1:14">
      <c r="A5064" s="21" t="s">
        <v>4553</v>
      </c>
      <c r="B5064" s="21" t="s">
        <v>920</v>
      </c>
      <c r="C5064" s="21" t="s">
        <v>35</v>
      </c>
      <c r="D5064" s="21" t="s">
        <v>921</v>
      </c>
      <c r="E5064" s="21">
        <v>16</v>
      </c>
      <c r="F5064" s="22">
        <v>45372.8304398148</v>
      </c>
      <c r="G5064" s="22"/>
      <c r="H5064" s="23">
        <v>5.76</v>
      </c>
      <c r="I5064" s="23">
        <v>0.36</v>
      </c>
      <c r="J5064" s="24">
        <v>5.76</v>
      </c>
      <c r="K5064" s="21">
        <v>0</v>
      </c>
      <c r="L5064" s="21">
        <v>0</v>
      </c>
      <c r="M5064" s="21">
        <f>COUNTIF($A$2:$A$5481,A5064)</f>
        <v>2</v>
      </c>
      <c r="N5064" s="24">
        <f t="shared" si="79"/>
        <v>5.7605064</v>
      </c>
    </row>
    <row r="5065" spans="1:14">
      <c r="A5065" s="21" t="s">
        <v>4553</v>
      </c>
      <c r="B5065" s="21" t="s">
        <v>920</v>
      </c>
      <c r="C5065" s="21" t="s">
        <v>26</v>
      </c>
      <c r="D5065" s="21" t="s">
        <v>921</v>
      </c>
      <c r="E5065" s="21">
        <v>230</v>
      </c>
      <c r="F5065" s="22">
        <v>46017.6283101852</v>
      </c>
      <c r="G5065" s="22"/>
      <c r="H5065" s="23">
        <v>19.2</v>
      </c>
      <c r="I5065" s="23">
        <v>0.5347826087</v>
      </c>
      <c r="J5065" s="24">
        <v>121.9</v>
      </c>
      <c r="K5065" s="21">
        <v>0</v>
      </c>
      <c r="L5065" s="21">
        <v>0</v>
      </c>
      <c r="M5065" s="21">
        <f>COUNTIF($A$2:$A$5481,A5065)</f>
        <v>2</v>
      </c>
      <c r="N5065" s="24">
        <f t="shared" si="79"/>
        <v>121.9005065</v>
      </c>
    </row>
    <row r="5066" spans="1:14">
      <c r="A5066" s="21" t="s">
        <v>4554</v>
      </c>
      <c r="B5066" s="21" t="s">
        <v>26</v>
      </c>
      <c r="C5066" s="21" t="s">
        <v>26</v>
      </c>
      <c r="D5066" s="21" t="s">
        <v>921</v>
      </c>
      <c r="E5066" s="21">
        <v>38</v>
      </c>
      <c r="F5066" s="22">
        <v>46084.5253009259</v>
      </c>
      <c r="G5066" s="22"/>
      <c r="H5066" s="23">
        <v>11.4</v>
      </c>
      <c r="I5066" s="23">
        <v>0.9789473684</v>
      </c>
      <c r="J5066" s="24">
        <v>37.24</v>
      </c>
      <c r="K5066" s="21">
        <v>0</v>
      </c>
      <c r="L5066" s="21">
        <v>0</v>
      </c>
      <c r="M5066" s="21">
        <f>COUNTIF($A$2:$A$5481,A5066)</f>
        <v>1</v>
      </c>
      <c r="N5066" s="24">
        <f t="shared" si="79"/>
        <v>37.2405066</v>
      </c>
    </row>
    <row r="5067" spans="1:14">
      <c r="A5067" s="21" t="s">
        <v>4555</v>
      </c>
      <c r="B5067" s="21" t="s">
        <v>920</v>
      </c>
      <c r="C5067" s="21" t="s">
        <v>35</v>
      </c>
      <c r="D5067" s="21" t="s">
        <v>921</v>
      </c>
      <c r="E5067" s="21">
        <v>10</v>
      </c>
      <c r="F5067" s="22">
        <v>45310.6982407407</v>
      </c>
      <c r="G5067" s="22"/>
      <c r="H5067" s="23">
        <v>36.4</v>
      </c>
      <c r="I5067" s="23">
        <v>3.64</v>
      </c>
      <c r="J5067" s="24">
        <v>36.4</v>
      </c>
      <c r="K5067" s="21">
        <v>1</v>
      </c>
      <c r="L5067" s="21">
        <v>50</v>
      </c>
      <c r="M5067" s="21">
        <f>COUNTIF($A$2:$A$5481,A5067)</f>
        <v>1</v>
      </c>
      <c r="N5067" s="24">
        <f t="shared" si="79"/>
        <v>36.4005067</v>
      </c>
    </row>
    <row r="5068" spans="1:14">
      <c r="A5068" s="21" t="s">
        <v>4556</v>
      </c>
      <c r="B5068" s="21" t="s">
        <v>920</v>
      </c>
      <c r="C5068" s="21" t="s">
        <v>35</v>
      </c>
      <c r="D5068" s="21" t="s">
        <v>921</v>
      </c>
      <c r="E5068" s="21">
        <v>2</v>
      </c>
      <c r="F5068" s="22">
        <v>45307.4201851852</v>
      </c>
      <c r="G5068" s="22"/>
      <c r="H5068" s="23">
        <v>16</v>
      </c>
      <c r="I5068" s="23">
        <v>8</v>
      </c>
      <c r="J5068" s="24">
        <v>16</v>
      </c>
      <c r="K5068" s="21">
        <v>0</v>
      </c>
      <c r="L5068" s="21">
        <v>0</v>
      </c>
      <c r="M5068" s="21">
        <f>COUNTIF($A$2:$A$5481,A5068)</f>
        <v>1</v>
      </c>
      <c r="N5068" s="24">
        <f t="shared" si="79"/>
        <v>16.0005068</v>
      </c>
    </row>
    <row r="5069" spans="1:14">
      <c r="A5069" s="21" t="s">
        <v>4557</v>
      </c>
      <c r="B5069" s="21" t="s">
        <v>929</v>
      </c>
      <c r="C5069" s="21" t="s">
        <v>35</v>
      </c>
      <c r="D5069" s="21" t="s">
        <v>921</v>
      </c>
      <c r="E5069" s="21">
        <v>2</v>
      </c>
      <c r="F5069" s="22">
        <v>45314.7826967593</v>
      </c>
      <c r="G5069" s="22"/>
      <c r="H5069" s="23">
        <v>17</v>
      </c>
      <c r="I5069" s="23">
        <v>8.5</v>
      </c>
      <c r="J5069" s="24">
        <v>17</v>
      </c>
      <c r="K5069" s="21">
        <v>0</v>
      </c>
      <c r="L5069" s="21">
        <v>0</v>
      </c>
      <c r="M5069" s="21">
        <f>COUNTIF($A$2:$A$5481,A5069)</f>
        <v>1</v>
      </c>
      <c r="N5069" s="24">
        <f t="shared" si="79"/>
        <v>17.0005069</v>
      </c>
    </row>
    <row r="5070" spans="1:14">
      <c r="A5070" s="21" t="s">
        <v>4558</v>
      </c>
      <c r="B5070" s="21" t="s">
        <v>929</v>
      </c>
      <c r="C5070" s="21" t="s">
        <v>26</v>
      </c>
      <c r="D5070" s="21" t="s">
        <v>921</v>
      </c>
      <c r="E5070" s="21">
        <v>2</v>
      </c>
      <c r="F5070" s="22">
        <v>45323.6319444445</v>
      </c>
      <c r="G5070" s="22"/>
      <c r="H5070" s="23">
        <v>4.6</v>
      </c>
      <c r="I5070" s="23">
        <v>2.3</v>
      </c>
      <c r="J5070" s="24">
        <v>4.6</v>
      </c>
      <c r="K5070" s="21">
        <v>0</v>
      </c>
      <c r="L5070" s="21">
        <v>0</v>
      </c>
      <c r="M5070" s="21">
        <f>COUNTIF($A$2:$A$5481,A5070)</f>
        <v>1</v>
      </c>
      <c r="N5070" s="24">
        <f t="shared" si="79"/>
        <v>4.600507</v>
      </c>
    </row>
    <row r="5071" spans="1:14">
      <c r="A5071" s="21" t="s">
        <v>4559</v>
      </c>
      <c r="B5071" s="21" t="s">
        <v>920</v>
      </c>
      <c r="C5071" s="21" t="s">
        <v>35</v>
      </c>
      <c r="D5071" s="21" t="s">
        <v>921</v>
      </c>
      <c r="E5071" s="21">
        <v>1</v>
      </c>
      <c r="F5071" s="22">
        <v>46021.5372685185</v>
      </c>
      <c r="G5071" s="22"/>
      <c r="H5071" s="23">
        <v>7.54</v>
      </c>
      <c r="I5071" s="23">
        <v>7.54</v>
      </c>
      <c r="J5071" s="24">
        <v>7.54</v>
      </c>
      <c r="K5071" s="21">
        <v>0</v>
      </c>
      <c r="L5071" s="21">
        <v>0</v>
      </c>
      <c r="M5071" s="21">
        <f>COUNTIF($A$2:$A$5481,A5071)</f>
        <v>1</v>
      </c>
      <c r="N5071" s="24">
        <f t="shared" si="79"/>
        <v>7.5405071</v>
      </c>
    </row>
    <row r="5072" spans="1:14">
      <c r="A5072" s="21" t="s">
        <v>4560</v>
      </c>
      <c r="B5072" s="21" t="s">
        <v>920</v>
      </c>
      <c r="C5072" s="21" t="s">
        <v>26</v>
      </c>
      <c r="D5072" s="21" t="s">
        <v>921</v>
      </c>
      <c r="E5072" s="21">
        <v>20</v>
      </c>
      <c r="F5072" s="22">
        <v>45727.7069675926</v>
      </c>
      <c r="G5072" s="22"/>
      <c r="H5072" s="23">
        <v>29.8</v>
      </c>
      <c r="I5072" s="23">
        <v>1.49</v>
      </c>
      <c r="J5072" s="24">
        <v>29.8</v>
      </c>
      <c r="K5072" s="21">
        <v>0</v>
      </c>
      <c r="L5072" s="21">
        <v>0</v>
      </c>
      <c r="M5072" s="21">
        <f>COUNTIF($A$2:$A$5481,A5072)</f>
        <v>1</v>
      </c>
      <c r="N5072" s="24">
        <f t="shared" si="79"/>
        <v>29.8005072</v>
      </c>
    </row>
    <row r="5073" spans="1:14">
      <c r="A5073" s="21" t="s">
        <v>4561</v>
      </c>
      <c r="B5073" s="21" t="s">
        <v>26</v>
      </c>
      <c r="C5073" s="21" t="s">
        <v>26</v>
      </c>
      <c r="D5073" s="21" t="s">
        <v>921</v>
      </c>
      <c r="E5073" s="21">
        <v>20</v>
      </c>
      <c r="F5073" s="22">
        <v>45931.4694907407</v>
      </c>
      <c r="G5073" s="22"/>
      <c r="H5073" s="23">
        <v>6</v>
      </c>
      <c r="I5073" s="23">
        <v>0.56</v>
      </c>
      <c r="J5073" s="24">
        <v>11.2</v>
      </c>
      <c r="K5073" s="21">
        <v>0</v>
      </c>
      <c r="L5073" s="21">
        <v>0</v>
      </c>
      <c r="M5073" s="21">
        <f>COUNTIF($A$2:$A$5481,A5073)</f>
        <v>1</v>
      </c>
      <c r="N5073" s="24">
        <f t="shared" si="79"/>
        <v>11.2005073</v>
      </c>
    </row>
    <row r="5074" spans="1:14">
      <c r="A5074" s="21" t="s">
        <v>4562</v>
      </c>
      <c r="B5074" s="21" t="s">
        <v>26</v>
      </c>
      <c r="C5074" s="21" t="s">
        <v>26</v>
      </c>
      <c r="D5074" s="21" t="s">
        <v>921</v>
      </c>
      <c r="E5074" s="21">
        <v>40</v>
      </c>
      <c r="F5074" s="22">
        <v>45810.8436342593</v>
      </c>
      <c r="G5074" s="22"/>
      <c r="H5074" s="23">
        <v>7.2</v>
      </c>
      <c r="I5074" s="23">
        <v>0.6</v>
      </c>
      <c r="J5074" s="24">
        <v>24</v>
      </c>
      <c r="K5074" s="21">
        <v>0</v>
      </c>
      <c r="L5074" s="21">
        <v>0</v>
      </c>
      <c r="M5074" s="21">
        <f>COUNTIF($A$2:$A$5481,A5074)</f>
        <v>1</v>
      </c>
      <c r="N5074" s="24">
        <f t="shared" si="79"/>
        <v>24.0005074</v>
      </c>
    </row>
    <row r="5075" spans="1:14">
      <c r="A5075" s="21" t="s">
        <v>4563</v>
      </c>
      <c r="B5075" s="21" t="s">
        <v>26</v>
      </c>
      <c r="C5075" s="21" t="s">
        <v>26</v>
      </c>
      <c r="D5075" s="21" t="s">
        <v>921</v>
      </c>
      <c r="E5075" s="21">
        <v>8</v>
      </c>
      <c r="F5075" s="22">
        <v>45694.5636689815</v>
      </c>
      <c r="G5075" s="22"/>
      <c r="H5075" s="23">
        <v>4.8</v>
      </c>
      <c r="I5075" s="23">
        <v>0.6</v>
      </c>
      <c r="J5075" s="24">
        <v>4.8</v>
      </c>
      <c r="K5075" s="21">
        <v>0</v>
      </c>
      <c r="L5075" s="21">
        <v>0</v>
      </c>
      <c r="M5075" s="21">
        <f>COUNTIF($A$2:$A$5481,A5075)</f>
        <v>1</v>
      </c>
      <c r="N5075" s="24">
        <f t="shared" si="79"/>
        <v>4.8005075</v>
      </c>
    </row>
    <row r="5076" spans="1:14">
      <c r="A5076" s="21" t="s">
        <v>4564</v>
      </c>
      <c r="B5076" s="21" t="s">
        <v>920</v>
      </c>
      <c r="C5076" s="21" t="s">
        <v>26</v>
      </c>
      <c r="D5076" s="21" t="s">
        <v>921</v>
      </c>
      <c r="E5076" s="21">
        <v>0</v>
      </c>
      <c r="F5076" s="22">
        <v>45715.8104166667</v>
      </c>
      <c r="G5076" s="22">
        <v>45733.3651388889</v>
      </c>
      <c r="H5076" s="23">
        <v>295.31</v>
      </c>
      <c r="I5076" s="23">
        <v>295.31</v>
      </c>
      <c r="J5076" s="24">
        <v>0</v>
      </c>
      <c r="K5076" s="21">
        <v>0</v>
      </c>
      <c r="L5076" s="21">
        <v>0</v>
      </c>
      <c r="M5076" s="21">
        <f>COUNTIF($A$2:$A$5481,A5076)</f>
        <v>1</v>
      </c>
      <c r="N5076" s="24">
        <f t="shared" si="79"/>
        <v>0.0005076</v>
      </c>
    </row>
    <row r="5077" spans="1:14">
      <c r="A5077" s="21" t="s">
        <v>4565</v>
      </c>
      <c r="B5077" s="21" t="s">
        <v>920</v>
      </c>
      <c r="C5077" s="21" t="s">
        <v>26</v>
      </c>
      <c r="D5077" s="21" t="s">
        <v>921</v>
      </c>
      <c r="E5077" s="21">
        <v>20</v>
      </c>
      <c r="F5077" s="22">
        <v>46085.5306365741</v>
      </c>
      <c r="G5077" s="22"/>
      <c r="H5077" s="23">
        <v>10</v>
      </c>
      <c r="I5077" s="23">
        <v>0.5</v>
      </c>
      <c r="J5077" s="24">
        <v>10</v>
      </c>
      <c r="K5077" s="21">
        <v>0</v>
      </c>
      <c r="L5077" s="21">
        <v>0</v>
      </c>
      <c r="M5077" s="21">
        <f>COUNTIF($A$2:$A$5481,A5077)</f>
        <v>1</v>
      </c>
      <c r="N5077" s="24">
        <f t="shared" si="79"/>
        <v>10.0005077</v>
      </c>
    </row>
    <row r="5078" spans="1:14">
      <c r="A5078" s="21" t="s">
        <v>4566</v>
      </c>
      <c r="B5078" s="21" t="s">
        <v>920</v>
      </c>
      <c r="C5078" s="21" t="s">
        <v>26</v>
      </c>
      <c r="D5078" s="21" t="s">
        <v>921</v>
      </c>
      <c r="E5078" s="21">
        <v>12</v>
      </c>
      <c r="F5078" s="22">
        <v>45810.8436342593</v>
      </c>
      <c r="G5078" s="22"/>
      <c r="H5078" s="23">
        <v>7.2</v>
      </c>
      <c r="I5078" s="23">
        <v>0.6</v>
      </c>
      <c r="J5078" s="24">
        <v>7.2</v>
      </c>
      <c r="K5078" s="21">
        <v>0</v>
      </c>
      <c r="L5078" s="21">
        <v>0</v>
      </c>
      <c r="M5078" s="21">
        <f>COUNTIF($A$2:$A$5481,A5078)</f>
        <v>1</v>
      </c>
      <c r="N5078" s="24">
        <f t="shared" si="79"/>
        <v>7.2005078</v>
      </c>
    </row>
    <row r="5079" spans="1:14">
      <c r="A5079" s="21" t="s">
        <v>4567</v>
      </c>
      <c r="B5079" s="21" t="s">
        <v>920</v>
      </c>
      <c r="C5079" s="21" t="s">
        <v>35</v>
      </c>
      <c r="D5079" s="21" t="s">
        <v>921</v>
      </c>
      <c r="E5079" s="21">
        <v>2</v>
      </c>
      <c r="F5079" s="22">
        <v>45761.7698032407</v>
      </c>
      <c r="G5079" s="22"/>
      <c r="H5079" s="23">
        <v>30</v>
      </c>
      <c r="I5079" s="23">
        <v>15</v>
      </c>
      <c r="J5079" s="24">
        <v>30</v>
      </c>
      <c r="K5079" s="21">
        <v>0</v>
      </c>
      <c r="L5079" s="21">
        <v>0</v>
      </c>
      <c r="M5079" s="21">
        <f>COUNTIF($A$2:$A$5481,A5079)</f>
        <v>1</v>
      </c>
      <c r="N5079" s="24">
        <f t="shared" si="79"/>
        <v>30.0005079</v>
      </c>
    </row>
    <row r="5080" spans="1:14">
      <c r="A5080" s="21" t="s">
        <v>4568</v>
      </c>
      <c r="B5080" s="21" t="s">
        <v>920</v>
      </c>
      <c r="C5080" s="21" t="s">
        <v>26</v>
      </c>
      <c r="D5080" s="21" t="s">
        <v>931</v>
      </c>
      <c r="E5080" s="21">
        <v>0</v>
      </c>
      <c r="F5080" s="22">
        <v>45775.4812615741</v>
      </c>
      <c r="G5080" s="22">
        <v>45789.4356597222</v>
      </c>
      <c r="H5080" s="23">
        <v>131.67</v>
      </c>
      <c r="I5080" s="23">
        <v>131.67</v>
      </c>
      <c r="J5080" s="24">
        <v>0</v>
      </c>
      <c r="K5080" s="21">
        <v>0</v>
      </c>
      <c r="L5080" s="21">
        <v>0</v>
      </c>
      <c r="M5080" s="21">
        <f>COUNTIF($A$2:$A$5481,A5080)</f>
        <v>1</v>
      </c>
      <c r="N5080" s="24">
        <f t="shared" si="79"/>
        <v>0.000508</v>
      </c>
    </row>
    <row r="5081" spans="1:14">
      <c r="A5081" s="21" t="s">
        <v>4569</v>
      </c>
      <c r="B5081" s="21" t="s">
        <v>949</v>
      </c>
      <c r="C5081" s="21" t="s">
        <v>182</v>
      </c>
      <c r="D5081" s="21" t="s">
        <v>921</v>
      </c>
      <c r="E5081" s="21">
        <v>0</v>
      </c>
      <c r="F5081" s="22">
        <v>45315.5451388889</v>
      </c>
      <c r="G5081" s="22">
        <v>45320.4854513889</v>
      </c>
      <c r="H5081" s="23">
        <v>466.8</v>
      </c>
      <c r="I5081" s="23">
        <v>36.4</v>
      </c>
      <c r="J5081" s="24">
        <v>0</v>
      </c>
      <c r="K5081" s="21">
        <v>0</v>
      </c>
      <c r="L5081" s="21">
        <v>0</v>
      </c>
      <c r="M5081" s="21">
        <f>COUNTIF($A$2:$A$5481,A5081)</f>
        <v>2</v>
      </c>
      <c r="N5081" s="24">
        <f t="shared" si="79"/>
        <v>0.0005081</v>
      </c>
    </row>
    <row r="5082" spans="1:14">
      <c r="A5082" s="21" t="s">
        <v>4569</v>
      </c>
      <c r="B5082" s="21" t="s">
        <v>949</v>
      </c>
      <c r="C5082" s="21" t="s">
        <v>26</v>
      </c>
      <c r="D5082" s="21" t="s">
        <v>921</v>
      </c>
      <c r="E5082" s="21">
        <v>0</v>
      </c>
      <c r="F5082" s="22">
        <v>45329.6888888889</v>
      </c>
      <c r="G5082" s="22">
        <v>45331.4111111111</v>
      </c>
      <c r="H5082" s="23">
        <v>466.8</v>
      </c>
      <c r="I5082" s="23">
        <v>38.9</v>
      </c>
      <c r="J5082" s="24">
        <v>0</v>
      </c>
      <c r="K5082" s="21">
        <v>0</v>
      </c>
      <c r="L5082" s="21">
        <v>0</v>
      </c>
      <c r="M5082" s="21">
        <f>COUNTIF($A$2:$A$5481,A5082)</f>
        <v>2</v>
      </c>
      <c r="N5082" s="24">
        <f t="shared" si="79"/>
        <v>0.0005082</v>
      </c>
    </row>
    <row r="5083" spans="1:14">
      <c r="A5083" s="21" t="s">
        <v>4570</v>
      </c>
      <c r="B5083" s="21" t="s">
        <v>929</v>
      </c>
      <c r="C5083" s="21" t="s">
        <v>414</v>
      </c>
      <c r="D5083" s="21" t="s">
        <v>921</v>
      </c>
      <c r="E5083" s="21">
        <v>5</v>
      </c>
      <c r="F5083" s="22">
        <v>45342.8414351852</v>
      </c>
      <c r="G5083" s="22"/>
      <c r="H5083" s="23">
        <v>9.8</v>
      </c>
      <c r="I5083" s="23">
        <v>1.96</v>
      </c>
      <c r="J5083" s="24">
        <v>9.8</v>
      </c>
      <c r="K5083" s="21">
        <v>0</v>
      </c>
      <c r="L5083" s="21">
        <v>0</v>
      </c>
      <c r="M5083" s="21">
        <f>COUNTIF($A$2:$A$5481,A5083)</f>
        <v>1</v>
      </c>
      <c r="N5083" s="24">
        <f t="shared" si="79"/>
        <v>9.8005083</v>
      </c>
    </row>
    <row r="5084" spans="1:14">
      <c r="A5084" s="21" t="s">
        <v>4571</v>
      </c>
      <c r="B5084" s="21" t="s">
        <v>920</v>
      </c>
      <c r="C5084" s="21" t="s">
        <v>26</v>
      </c>
      <c r="D5084" s="21" t="s">
        <v>921</v>
      </c>
      <c r="E5084" s="21">
        <v>20</v>
      </c>
      <c r="F5084" s="22">
        <v>45995.532349537</v>
      </c>
      <c r="G5084" s="22"/>
      <c r="H5084" s="23">
        <v>8.8</v>
      </c>
      <c r="I5084" s="23">
        <v>1.202</v>
      </c>
      <c r="J5084" s="24">
        <v>24</v>
      </c>
      <c r="K5084" s="21">
        <v>0</v>
      </c>
      <c r="L5084" s="21">
        <v>0</v>
      </c>
      <c r="M5084" s="21">
        <f>COUNTIF($A$2:$A$5481,A5084)</f>
        <v>1</v>
      </c>
      <c r="N5084" s="24">
        <f t="shared" si="79"/>
        <v>24.0005084</v>
      </c>
    </row>
    <row r="5085" spans="1:14">
      <c r="A5085" s="21" t="s">
        <v>4572</v>
      </c>
      <c r="B5085" s="21" t="s">
        <v>920</v>
      </c>
      <c r="C5085" s="21" t="s">
        <v>26</v>
      </c>
      <c r="D5085" s="21" t="s">
        <v>921</v>
      </c>
      <c r="E5085" s="21">
        <v>3</v>
      </c>
      <c r="F5085" s="22">
        <v>45456.8044212963</v>
      </c>
      <c r="G5085" s="22"/>
      <c r="H5085" s="23">
        <v>51.96</v>
      </c>
      <c r="I5085" s="23">
        <v>17.32</v>
      </c>
      <c r="J5085" s="24">
        <v>51.96</v>
      </c>
      <c r="K5085" s="21">
        <v>0</v>
      </c>
      <c r="L5085" s="21">
        <v>0</v>
      </c>
      <c r="M5085" s="21">
        <f>COUNTIF($A$2:$A$5481,A5085)</f>
        <v>1</v>
      </c>
      <c r="N5085" s="24">
        <f t="shared" si="79"/>
        <v>51.9605085</v>
      </c>
    </row>
    <row r="5086" spans="1:14">
      <c r="A5086" s="21" t="s">
        <v>4573</v>
      </c>
      <c r="B5086" s="21" t="s">
        <v>920</v>
      </c>
      <c r="C5086" s="21" t="s">
        <v>26</v>
      </c>
      <c r="D5086" s="21" t="s">
        <v>921</v>
      </c>
      <c r="E5086" s="21">
        <v>32.49</v>
      </c>
      <c r="F5086" s="22">
        <v>46169.6148263889</v>
      </c>
      <c r="G5086" s="22"/>
      <c r="H5086" s="23">
        <v>360</v>
      </c>
      <c r="I5086" s="23">
        <v>32.8734995383</v>
      </c>
      <c r="J5086" s="24">
        <v>1067.9463</v>
      </c>
      <c r="K5086" s="21">
        <v>0</v>
      </c>
      <c r="L5086" s="21">
        <v>0</v>
      </c>
      <c r="M5086" s="21">
        <f>COUNTIF($A$2:$A$5481,A5086)</f>
        <v>1</v>
      </c>
      <c r="N5086" s="24">
        <f t="shared" si="79"/>
        <v>1067.9468086</v>
      </c>
    </row>
    <row r="5087" spans="1:14">
      <c r="A5087" s="21" t="s">
        <v>4574</v>
      </c>
      <c r="B5087" s="21" t="s">
        <v>920</v>
      </c>
      <c r="C5087" s="21" t="s">
        <v>26</v>
      </c>
      <c r="D5087" s="21" t="s">
        <v>921</v>
      </c>
      <c r="E5087" s="21">
        <v>1</v>
      </c>
      <c r="F5087" s="22">
        <v>45390.8006018519</v>
      </c>
      <c r="G5087" s="22"/>
      <c r="H5087" s="23">
        <v>14</v>
      </c>
      <c r="I5087" s="23">
        <v>14</v>
      </c>
      <c r="J5087" s="24">
        <v>14</v>
      </c>
      <c r="K5087" s="21">
        <v>0</v>
      </c>
      <c r="L5087" s="21">
        <v>0</v>
      </c>
      <c r="M5087" s="21">
        <f>COUNTIF($A$2:$A$5481,A5087)</f>
        <v>1</v>
      </c>
      <c r="N5087" s="24">
        <f t="shared" si="79"/>
        <v>14.0005087</v>
      </c>
    </row>
    <row r="5088" spans="1:14">
      <c r="A5088" s="21" t="s">
        <v>4575</v>
      </c>
      <c r="B5088" s="21" t="s">
        <v>920</v>
      </c>
      <c r="C5088" s="21" t="s">
        <v>26</v>
      </c>
      <c r="D5088" s="21" t="s">
        <v>921</v>
      </c>
      <c r="E5088" s="21">
        <v>282</v>
      </c>
      <c r="F5088" s="22">
        <v>46245.6186342593</v>
      </c>
      <c r="G5088" s="22"/>
      <c r="H5088" s="23">
        <v>180</v>
      </c>
      <c r="I5088" s="23">
        <v>1.5968794326</v>
      </c>
      <c r="J5088" s="24">
        <v>451.2</v>
      </c>
      <c r="K5088" s="21">
        <v>0</v>
      </c>
      <c r="L5088" s="21">
        <v>0</v>
      </c>
      <c r="M5088" s="21">
        <f>COUNTIF($A$2:$A$5481,A5088)</f>
        <v>1</v>
      </c>
      <c r="N5088" s="24">
        <f t="shared" si="79"/>
        <v>451.2005088</v>
      </c>
    </row>
    <row r="5089" spans="1:14">
      <c r="A5089" s="21" t="s">
        <v>4576</v>
      </c>
      <c r="B5089" s="21" t="s">
        <v>920</v>
      </c>
      <c r="C5089" s="21" t="s">
        <v>26</v>
      </c>
      <c r="D5089" s="21" t="s">
        <v>921</v>
      </c>
      <c r="E5089" s="21">
        <v>1</v>
      </c>
      <c r="F5089" s="22">
        <v>45390.7993402778</v>
      </c>
      <c r="G5089" s="22"/>
      <c r="H5089" s="23">
        <v>8</v>
      </c>
      <c r="I5089" s="23">
        <v>8</v>
      </c>
      <c r="J5089" s="24">
        <v>8</v>
      </c>
      <c r="K5089" s="21">
        <v>0</v>
      </c>
      <c r="L5089" s="21">
        <v>0</v>
      </c>
      <c r="M5089" s="21">
        <f>COUNTIF($A$2:$A$5481,A5089)</f>
        <v>2</v>
      </c>
      <c r="N5089" s="24">
        <f t="shared" si="79"/>
        <v>8.0005089</v>
      </c>
    </row>
    <row r="5090" spans="1:14">
      <c r="A5090" s="21" t="s">
        <v>4576</v>
      </c>
      <c r="B5090" s="21" t="s">
        <v>920</v>
      </c>
      <c r="C5090" s="21" t="s">
        <v>35</v>
      </c>
      <c r="D5090" s="21" t="s">
        <v>921</v>
      </c>
      <c r="E5090" s="21">
        <v>100</v>
      </c>
      <c r="F5090" s="22">
        <v>45446.3498032407</v>
      </c>
      <c r="G5090" s="22"/>
      <c r="H5090" s="23">
        <v>30</v>
      </c>
      <c r="I5090" s="23">
        <v>0.3</v>
      </c>
      <c r="J5090" s="24">
        <v>30</v>
      </c>
      <c r="K5090" s="21">
        <v>0</v>
      </c>
      <c r="L5090" s="21">
        <v>0</v>
      </c>
      <c r="M5090" s="21">
        <f>COUNTIF($A$2:$A$5481,A5090)</f>
        <v>2</v>
      </c>
      <c r="N5090" s="24">
        <f t="shared" si="79"/>
        <v>30.000509</v>
      </c>
    </row>
    <row r="5091" spans="1:14">
      <c r="A5091" s="21" t="s">
        <v>4577</v>
      </c>
      <c r="B5091" s="21" t="s">
        <v>920</v>
      </c>
      <c r="C5091" s="21" t="s">
        <v>26</v>
      </c>
      <c r="D5091" s="21" t="s">
        <v>921</v>
      </c>
      <c r="E5091" s="21">
        <v>1</v>
      </c>
      <c r="F5091" s="22">
        <v>45390.7940625</v>
      </c>
      <c r="G5091" s="22"/>
      <c r="H5091" s="23">
        <v>8</v>
      </c>
      <c r="I5091" s="23">
        <v>8</v>
      </c>
      <c r="J5091" s="24">
        <v>8</v>
      </c>
      <c r="K5091" s="21">
        <v>0</v>
      </c>
      <c r="L5091" s="21">
        <v>0</v>
      </c>
      <c r="M5091" s="21">
        <f>COUNTIF($A$2:$A$5481,A5091)</f>
        <v>2</v>
      </c>
      <c r="N5091" s="24">
        <f t="shared" si="79"/>
        <v>8.0005091</v>
      </c>
    </row>
    <row r="5092" spans="1:14">
      <c r="A5092" s="21" t="s">
        <v>4577</v>
      </c>
      <c r="B5092" s="21" t="s">
        <v>920</v>
      </c>
      <c r="C5092" s="21" t="s">
        <v>35</v>
      </c>
      <c r="D5092" s="21" t="s">
        <v>921</v>
      </c>
      <c r="E5092" s="21">
        <v>100</v>
      </c>
      <c r="F5092" s="22">
        <v>45446.3498032407</v>
      </c>
      <c r="G5092" s="22"/>
      <c r="H5092" s="23">
        <v>29</v>
      </c>
      <c r="I5092" s="23">
        <v>0.29</v>
      </c>
      <c r="J5092" s="24">
        <v>29</v>
      </c>
      <c r="K5092" s="21">
        <v>0</v>
      </c>
      <c r="L5092" s="21">
        <v>0</v>
      </c>
      <c r="M5092" s="21">
        <f>COUNTIF($A$2:$A$5481,A5092)</f>
        <v>2</v>
      </c>
      <c r="N5092" s="24">
        <f t="shared" si="79"/>
        <v>29.0005092</v>
      </c>
    </row>
    <row r="5093" spans="1:14">
      <c r="A5093" s="21" t="s">
        <v>682</v>
      </c>
      <c r="B5093" s="21" t="s">
        <v>926</v>
      </c>
      <c r="C5093" s="21" t="s">
        <v>26</v>
      </c>
      <c r="D5093" s="21" t="s">
        <v>921</v>
      </c>
      <c r="E5093" s="21">
        <v>0</v>
      </c>
      <c r="F5093" s="22">
        <v>46209.3546180556</v>
      </c>
      <c r="G5093" s="22">
        <v>46252.5687268519</v>
      </c>
      <c r="H5093" s="23">
        <v>35.88</v>
      </c>
      <c r="I5093" s="23">
        <v>35.88</v>
      </c>
      <c r="J5093" s="24">
        <v>0</v>
      </c>
      <c r="K5093" s="21">
        <v>0</v>
      </c>
      <c r="L5093" s="21">
        <v>0</v>
      </c>
      <c r="M5093" s="21">
        <f>COUNTIF($A$2:$A$5481,A5093)</f>
        <v>1</v>
      </c>
      <c r="N5093" s="24">
        <f t="shared" si="79"/>
        <v>0.0005093</v>
      </c>
    </row>
    <row r="5094" spans="1:14">
      <c r="A5094" s="21" t="s">
        <v>681</v>
      </c>
      <c r="B5094" s="21" t="s">
        <v>926</v>
      </c>
      <c r="C5094" s="21" t="s">
        <v>26</v>
      </c>
      <c r="D5094" s="21" t="s">
        <v>921</v>
      </c>
      <c r="E5094" s="21">
        <v>0</v>
      </c>
      <c r="F5094" s="22">
        <v>46209.3546180556</v>
      </c>
      <c r="G5094" s="22">
        <v>46252.5687152778</v>
      </c>
      <c r="H5094" s="23">
        <v>35.88</v>
      </c>
      <c r="I5094" s="23">
        <v>35.88</v>
      </c>
      <c r="J5094" s="24">
        <v>0</v>
      </c>
      <c r="K5094" s="21">
        <v>0</v>
      </c>
      <c r="L5094" s="21">
        <v>0</v>
      </c>
      <c r="M5094" s="21">
        <f>COUNTIF($A$2:$A$5481,A5094)</f>
        <v>1</v>
      </c>
      <c r="N5094" s="24">
        <f t="shared" si="79"/>
        <v>0.0005094</v>
      </c>
    </row>
    <row r="5095" spans="1:14">
      <c r="A5095" s="21" t="s">
        <v>4578</v>
      </c>
      <c r="B5095" s="21" t="s">
        <v>920</v>
      </c>
      <c r="C5095" s="21" t="s">
        <v>35</v>
      </c>
      <c r="D5095" s="21" t="s">
        <v>921</v>
      </c>
      <c r="E5095" s="21">
        <v>0</v>
      </c>
      <c r="F5095" s="22">
        <v>45303.3972222222</v>
      </c>
      <c r="G5095" s="22">
        <v>45352.4452430556</v>
      </c>
      <c r="H5095" s="23">
        <v>1833.17</v>
      </c>
      <c r="I5095" s="23">
        <v>1833.17</v>
      </c>
      <c r="J5095" s="24">
        <v>0</v>
      </c>
      <c r="K5095" s="21">
        <v>0</v>
      </c>
      <c r="L5095" s="21">
        <v>0</v>
      </c>
      <c r="M5095" s="21">
        <f>COUNTIF($A$2:$A$5481,A5095)</f>
        <v>1</v>
      </c>
      <c r="N5095" s="24">
        <f t="shared" si="79"/>
        <v>0.0005095</v>
      </c>
    </row>
    <row r="5096" spans="1:14">
      <c r="A5096" s="21" t="s">
        <v>4579</v>
      </c>
      <c r="B5096" s="21" t="s">
        <v>920</v>
      </c>
      <c r="C5096" s="21" t="s">
        <v>26</v>
      </c>
      <c r="D5096" s="21" t="s">
        <v>921</v>
      </c>
      <c r="E5096" s="21">
        <v>42</v>
      </c>
      <c r="F5096" s="22">
        <v>45667.325</v>
      </c>
      <c r="G5096" s="22">
        <v>45582.4035648148</v>
      </c>
      <c r="H5096" s="23">
        <v>206.8</v>
      </c>
      <c r="I5096" s="23">
        <v>49.01905</v>
      </c>
      <c r="J5096" s="24">
        <v>2058.84</v>
      </c>
      <c r="K5096" s="21">
        <v>0</v>
      </c>
      <c r="L5096" s="21">
        <v>0</v>
      </c>
      <c r="M5096" s="21">
        <f>COUNTIF($A$2:$A$5481,A5096)</f>
        <v>1</v>
      </c>
      <c r="N5096" s="24">
        <f t="shared" si="79"/>
        <v>2058.8405096</v>
      </c>
    </row>
    <row r="5097" spans="1:14">
      <c r="A5097" s="21" t="s">
        <v>4580</v>
      </c>
      <c r="B5097" s="21" t="s">
        <v>920</v>
      </c>
      <c r="C5097" s="21" t="s">
        <v>26</v>
      </c>
      <c r="D5097" s="21" t="s">
        <v>931</v>
      </c>
      <c r="E5097" s="21">
        <v>17</v>
      </c>
      <c r="F5097" s="22">
        <v>46141.692974537</v>
      </c>
      <c r="G5097" s="22"/>
      <c r="H5097" s="23">
        <v>275.16</v>
      </c>
      <c r="I5097" s="23">
        <v>58.2447058824</v>
      </c>
      <c r="J5097" s="24">
        <v>990.08</v>
      </c>
      <c r="K5097" s="21">
        <v>0</v>
      </c>
      <c r="L5097" s="21">
        <v>0</v>
      </c>
      <c r="M5097" s="21">
        <f>COUNTIF($A$2:$A$5481,A5097)</f>
        <v>1</v>
      </c>
      <c r="N5097" s="24">
        <f t="shared" si="79"/>
        <v>990.0805097</v>
      </c>
    </row>
    <row r="5098" spans="1:14">
      <c r="A5098" s="21" t="s">
        <v>4581</v>
      </c>
      <c r="B5098" s="21" t="s">
        <v>26</v>
      </c>
      <c r="C5098" s="21" t="s">
        <v>641</v>
      </c>
      <c r="D5098" s="21" t="s">
        <v>921</v>
      </c>
      <c r="E5098" s="21">
        <v>1</v>
      </c>
      <c r="F5098" s="22">
        <v>45576.4718865741</v>
      </c>
      <c r="G5098" s="22"/>
      <c r="H5098" s="23">
        <v>56.46</v>
      </c>
      <c r="I5098" s="23">
        <v>56.46</v>
      </c>
      <c r="J5098" s="24">
        <v>56.46</v>
      </c>
      <c r="K5098" s="21">
        <v>0</v>
      </c>
      <c r="L5098" s="21">
        <v>0</v>
      </c>
      <c r="M5098" s="21">
        <f>COUNTIF($A$2:$A$5481,A5098)</f>
        <v>1</v>
      </c>
      <c r="N5098" s="24">
        <f t="shared" si="79"/>
        <v>56.4605098</v>
      </c>
    </row>
    <row r="5099" spans="1:14">
      <c r="A5099" s="21" t="s">
        <v>4582</v>
      </c>
      <c r="B5099" s="21" t="s">
        <v>1115</v>
      </c>
      <c r="C5099" s="21" t="s">
        <v>414</v>
      </c>
      <c r="D5099" s="21" t="s">
        <v>921</v>
      </c>
      <c r="E5099" s="21">
        <v>1</v>
      </c>
      <c r="F5099" s="22">
        <v>45974.5621643519</v>
      </c>
      <c r="G5099" s="22"/>
      <c r="H5099" s="23">
        <v>650</v>
      </c>
      <c r="I5099" s="23">
        <v>650</v>
      </c>
      <c r="J5099" s="24">
        <v>650</v>
      </c>
      <c r="K5099" s="21">
        <v>0</v>
      </c>
      <c r="L5099" s="21">
        <v>0</v>
      </c>
      <c r="M5099" s="21">
        <f>COUNTIF($A$2:$A$5481,A5099)</f>
        <v>1</v>
      </c>
      <c r="N5099" s="24">
        <f t="shared" si="79"/>
        <v>650.0005099</v>
      </c>
    </row>
    <row r="5100" spans="1:14">
      <c r="A5100" s="21" t="s">
        <v>4583</v>
      </c>
      <c r="B5100" s="21" t="s">
        <v>26</v>
      </c>
      <c r="C5100" s="21" t="s">
        <v>35</v>
      </c>
      <c r="D5100" s="21" t="s">
        <v>921</v>
      </c>
      <c r="E5100" s="21">
        <v>1</v>
      </c>
      <c r="F5100" s="22">
        <v>45497.3525231482</v>
      </c>
      <c r="G5100" s="22"/>
      <c r="H5100" s="23">
        <v>199</v>
      </c>
      <c r="I5100" s="23">
        <v>199</v>
      </c>
      <c r="J5100" s="24">
        <v>199</v>
      </c>
      <c r="K5100" s="21">
        <v>0</v>
      </c>
      <c r="L5100" s="21">
        <v>0</v>
      </c>
      <c r="M5100" s="21">
        <f>COUNTIF($A$2:$A$5481,A5100)</f>
        <v>1</v>
      </c>
      <c r="N5100" s="24">
        <f t="shared" si="79"/>
        <v>199.00051</v>
      </c>
    </row>
    <row r="5101" spans="1:14">
      <c r="A5101" s="21" t="s">
        <v>4584</v>
      </c>
      <c r="B5101" s="21" t="s">
        <v>966</v>
      </c>
      <c r="C5101" s="21" t="s">
        <v>390</v>
      </c>
      <c r="D5101" s="21" t="s">
        <v>921</v>
      </c>
      <c r="E5101" s="21">
        <v>1</v>
      </c>
      <c r="F5101" s="22">
        <v>45397.4698263889</v>
      </c>
      <c r="G5101" s="22"/>
      <c r="H5101" s="23">
        <v>1230</v>
      </c>
      <c r="I5101" s="23">
        <v>1230</v>
      </c>
      <c r="J5101" s="24">
        <v>1230</v>
      </c>
      <c r="K5101" s="21">
        <v>0</v>
      </c>
      <c r="L5101" s="21">
        <v>0</v>
      </c>
      <c r="M5101" s="21">
        <f>COUNTIF($A$2:$A$5481,A5101)</f>
        <v>1</v>
      </c>
      <c r="N5101" s="24">
        <f t="shared" si="79"/>
        <v>1230.0005101</v>
      </c>
    </row>
    <row r="5102" spans="1:14">
      <c r="A5102" s="21" t="s">
        <v>4585</v>
      </c>
      <c r="B5102" s="21" t="s">
        <v>966</v>
      </c>
      <c r="C5102" s="21" t="s">
        <v>390</v>
      </c>
      <c r="D5102" s="21" t="s">
        <v>921</v>
      </c>
      <c r="E5102" s="21">
        <v>1</v>
      </c>
      <c r="F5102" s="22">
        <v>45397.4698263889</v>
      </c>
      <c r="G5102" s="22"/>
      <c r="H5102" s="23">
        <v>1840</v>
      </c>
      <c r="I5102" s="23">
        <v>1840</v>
      </c>
      <c r="J5102" s="24">
        <v>1840</v>
      </c>
      <c r="K5102" s="21">
        <v>0</v>
      </c>
      <c r="L5102" s="21">
        <v>0</v>
      </c>
      <c r="M5102" s="21">
        <f>COUNTIF($A$2:$A$5481,A5102)</f>
        <v>1</v>
      </c>
      <c r="N5102" s="24">
        <f t="shared" si="79"/>
        <v>1840.0005102</v>
      </c>
    </row>
    <row r="5103" spans="1:14">
      <c r="A5103" s="21" t="s">
        <v>834</v>
      </c>
      <c r="B5103" s="21" t="s">
        <v>920</v>
      </c>
      <c r="C5103" s="21" t="s">
        <v>26</v>
      </c>
      <c r="D5103" s="21" t="s">
        <v>921</v>
      </c>
      <c r="E5103" s="21">
        <v>0</v>
      </c>
      <c r="F5103" s="22">
        <v>46255.4597222222</v>
      </c>
      <c r="G5103" s="22">
        <v>46266.4613541667</v>
      </c>
      <c r="H5103" s="23">
        <v>1545</v>
      </c>
      <c r="I5103" s="23">
        <v>3.09</v>
      </c>
      <c r="J5103" s="24">
        <v>0</v>
      </c>
      <c r="K5103" s="21">
        <v>0</v>
      </c>
      <c r="L5103" s="21">
        <v>0</v>
      </c>
      <c r="M5103" s="21">
        <f>COUNTIF($A$2:$A$5481,A5103)</f>
        <v>1</v>
      </c>
      <c r="N5103" s="24">
        <f t="shared" si="79"/>
        <v>0.0005103</v>
      </c>
    </row>
    <row r="5104" spans="1:14">
      <c r="A5104" s="21" t="s">
        <v>4586</v>
      </c>
      <c r="B5104" s="21" t="s">
        <v>920</v>
      </c>
      <c r="C5104" s="21" t="s">
        <v>26</v>
      </c>
      <c r="D5104" s="21" t="s">
        <v>921</v>
      </c>
      <c r="E5104" s="21">
        <v>1</v>
      </c>
      <c r="F5104" s="22">
        <v>46210.5221990741</v>
      </c>
      <c r="G5104" s="22"/>
      <c r="H5104" s="23">
        <v>90</v>
      </c>
      <c r="I5104" s="23">
        <v>90</v>
      </c>
      <c r="J5104" s="24">
        <v>90</v>
      </c>
      <c r="K5104" s="21">
        <v>0</v>
      </c>
      <c r="L5104" s="21">
        <v>0</v>
      </c>
      <c r="M5104" s="21">
        <f>COUNTIF($A$2:$A$5481,A5104)</f>
        <v>1</v>
      </c>
      <c r="N5104" s="24">
        <f t="shared" si="79"/>
        <v>90.0005104</v>
      </c>
    </row>
    <row r="5105" spans="1:14">
      <c r="A5105" s="21" t="s">
        <v>270</v>
      </c>
      <c r="B5105" s="21" t="s">
        <v>926</v>
      </c>
      <c r="C5105" s="21" t="s">
        <v>38</v>
      </c>
      <c r="D5105" s="21" t="s">
        <v>921</v>
      </c>
      <c r="E5105" s="21">
        <v>68</v>
      </c>
      <c r="F5105" s="22">
        <v>46004.5509375</v>
      </c>
      <c r="G5105" s="22">
        <v>46072.4511574074</v>
      </c>
      <c r="H5105" s="23">
        <v>1106.64</v>
      </c>
      <c r="I5105" s="23">
        <v>46.046</v>
      </c>
      <c r="J5105" s="24">
        <v>3131.4</v>
      </c>
      <c r="K5105" s="21">
        <v>0</v>
      </c>
      <c r="L5105" s="21">
        <v>0</v>
      </c>
      <c r="M5105" s="21">
        <f>COUNTIF($A$2:$A$5481,A5105)</f>
        <v>3</v>
      </c>
      <c r="N5105" s="24">
        <f t="shared" si="79"/>
        <v>3131.4005105</v>
      </c>
    </row>
    <row r="5106" spans="1:14">
      <c r="A5106" s="21" t="s">
        <v>270</v>
      </c>
      <c r="B5106" s="21" t="s">
        <v>926</v>
      </c>
      <c r="C5106" s="21" t="s">
        <v>182</v>
      </c>
      <c r="D5106" s="21" t="s">
        <v>921</v>
      </c>
      <c r="E5106" s="21">
        <v>12</v>
      </c>
      <c r="F5106" s="22">
        <v>46136.6605671296</v>
      </c>
      <c r="G5106" s="22"/>
      <c r="H5106" s="23">
        <v>577.2</v>
      </c>
      <c r="I5106" s="23">
        <v>48.1</v>
      </c>
      <c r="J5106" s="24">
        <v>577.2</v>
      </c>
      <c r="K5106" s="21">
        <v>0</v>
      </c>
      <c r="L5106" s="21">
        <v>0</v>
      </c>
      <c r="M5106" s="21">
        <f>COUNTIF($A$2:$A$5481,A5106)</f>
        <v>3</v>
      </c>
      <c r="N5106" s="24">
        <f t="shared" si="79"/>
        <v>577.2005106</v>
      </c>
    </row>
    <row r="5107" spans="1:14">
      <c r="A5107" s="21" t="s">
        <v>270</v>
      </c>
      <c r="B5107" s="21" t="s">
        <v>926</v>
      </c>
      <c r="C5107" s="21" t="s">
        <v>26</v>
      </c>
      <c r="D5107" s="21" t="s">
        <v>921</v>
      </c>
      <c r="E5107" s="21">
        <v>1</v>
      </c>
      <c r="F5107" s="22">
        <v>46196.647662037</v>
      </c>
      <c r="G5107" s="22">
        <v>46261.6673958333</v>
      </c>
      <c r="H5107" s="23">
        <v>386.36</v>
      </c>
      <c r="I5107" s="23">
        <v>96.59</v>
      </c>
      <c r="J5107" s="24">
        <v>96.59</v>
      </c>
      <c r="K5107" s="21">
        <v>0</v>
      </c>
      <c r="L5107" s="21">
        <v>0</v>
      </c>
      <c r="M5107" s="21">
        <f>COUNTIF($A$2:$A$5481,A5107)</f>
        <v>3</v>
      </c>
      <c r="N5107" s="24">
        <f t="shared" si="79"/>
        <v>96.5905107</v>
      </c>
    </row>
    <row r="5108" spans="1:14">
      <c r="A5108" s="21" t="s">
        <v>4587</v>
      </c>
      <c r="B5108" s="21" t="s">
        <v>948</v>
      </c>
      <c r="C5108" s="21" t="s">
        <v>26</v>
      </c>
      <c r="D5108" s="21" t="s">
        <v>921</v>
      </c>
      <c r="E5108" s="21">
        <v>1</v>
      </c>
      <c r="F5108" s="22">
        <v>45919.4195486111</v>
      </c>
      <c r="G5108" s="22"/>
      <c r="H5108" s="23">
        <v>70</v>
      </c>
      <c r="I5108" s="23">
        <v>70</v>
      </c>
      <c r="J5108" s="24">
        <v>70</v>
      </c>
      <c r="K5108" s="21">
        <v>0</v>
      </c>
      <c r="L5108" s="21">
        <v>0</v>
      </c>
      <c r="M5108" s="21">
        <f>COUNTIF($A$2:$A$5481,A5108)</f>
        <v>1</v>
      </c>
      <c r="N5108" s="24">
        <f t="shared" si="79"/>
        <v>70.0005108</v>
      </c>
    </row>
    <row r="5109" spans="1:14">
      <c r="A5109" s="21" t="s">
        <v>4588</v>
      </c>
      <c r="B5109" s="21" t="s">
        <v>929</v>
      </c>
      <c r="C5109" s="21" t="s">
        <v>26</v>
      </c>
      <c r="D5109" s="21" t="s">
        <v>921</v>
      </c>
      <c r="E5109" s="21">
        <v>2</v>
      </c>
      <c r="F5109" s="22">
        <v>45461.8245601852</v>
      </c>
      <c r="G5109" s="22"/>
      <c r="H5109" s="23">
        <v>143.3</v>
      </c>
      <c r="I5109" s="23">
        <v>71.65</v>
      </c>
      <c r="J5109" s="24">
        <v>143.3</v>
      </c>
      <c r="K5109" s="21">
        <v>0</v>
      </c>
      <c r="L5109" s="21">
        <v>0</v>
      </c>
      <c r="M5109" s="21">
        <f>COUNTIF($A$2:$A$5481,A5109)</f>
        <v>1</v>
      </c>
      <c r="N5109" s="24">
        <f t="shared" si="79"/>
        <v>143.3005109</v>
      </c>
    </row>
    <row r="5110" spans="1:14">
      <c r="A5110" s="21" t="s">
        <v>4589</v>
      </c>
      <c r="B5110" s="21" t="s">
        <v>929</v>
      </c>
      <c r="C5110" s="21" t="s">
        <v>414</v>
      </c>
      <c r="D5110" s="21" t="s">
        <v>1068</v>
      </c>
      <c r="E5110" s="21">
        <v>1</v>
      </c>
      <c r="F5110" s="22">
        <v>45309.8014814815</v>
      </c>
      <c r="G5110" s="22"/>
      <c r="H5110" s="23">
        <v>115</v>
      </c>
      <c r="I5110" s="23">
        <v>115</v>
      </c>
      <c r="J5110" s="24">
        <v>115</v>
      </c>
      <c r="K5110" s="21">
        <v>0</v>
      </c>
      <c r="L5110" s="21">
        <v>0</v>
      </c>
      <c r="M5110" s="21">
        <f>COUNTIF($A$2:$A$5481,A5110)</f>
        <v>2</v>
      </c>
      <c r="N5110" s="24">
        <f t="shared" si="79"/>
        <v>115.000511</v>
      </c>
    </row>
    <row r="5111" spans="1:14">
      <c r="A5111" s="21" t="s">
        <v>4589</v>
      </c>
      <c r="B5111" s="21" t="s">
        <v>929</v>
      </c>
      <c r="C5111" s="21" t="s">
        <v>26</v>
      </c>
      <c r="D5111" s="21" t="s">
        <v>1068</v>
      </c>
      <c r="E5111" s="21">
        <v>1</v>
      </c>
      <c r="F5111" s="22">
        <v>45448.8404976852</v>
      </c>
      <c r="G5111" s="22"/>
      <c r="H5111" s="23">
        <v>125</v>
      </c>
      <c r="I5111" s="23">
        <v>125</v>
      </c>
      <c r="J5111" s="24">
        <v>125</v>
      </c>
      <c r="K5111" s="21">
        <v>0</v>
      </c>
      <c r="L5111" s="21">
        <v>0</v>
      </c>
      <c r="M5111" s="21">
        <f>COUNTIF($A$2:$A$5481,A5111)</f>
        <v>2</v>
      </c>
      <c r="N5111" s="24">
        <f t="shared" si="79"/>
        <v>125.0005111</v>
      </c>
    </row>
    <row r="5112" spans="1:14">
      <c r="A5112" s="21" t="s">
        <v>4590</v>
      </c>
      <c r="B5112" s="21" t="s">
        <v>948</v>
      </c>
      <c r="C5112" s="21" t="s">
        <v>26</v>
      </c>
      <c r="D5112" s="21" t="s">
        <v>921</v>
      </c>
      <c r="E5112" s="21">
        <v>1</v>
      </c>
      <c r="F5112" s="22">
        <v>45992.5750694444</v>
      </c>
      <c r="G5112" s="22"/>
      <c r="H5112" s="23">
        <v>80</v>
      </c>
      <c r="I5112" s="23">
        <v>80</v>
      </c>
      <c r="J5112" s="24">
        <v>80</v>
      </c>
      <c r="K5112" s="21">
        <v>0</v>
      </c>
      <c r="L5112" s="21">
        <v>0</v>
      </c>
      <c r="M5112" s="21">
        <f>COUNTIF($A$2:$A$5481,A5112)</f>
        <v>1</v>
      </c>
      <c r="N5112" s="24">
        <f t="shared" si="79"/>
        <v>80.0005112</v>
      </c>
    </row>
    <row r="5113" spans="1:14">
      <c r="A5113" s="21" t="s">
        <v>4591</v>
      </c>
      <c r="B5113" s="21" t="s">
        <v>920</v>
      </c>
      <c r="C5113" s="21" t="s">
        <v>35</v>
      </c>
      <c r="D5113" s="21" t="s">
        <v>931</v>
      </c>
      <c r="E5113" s="21">
        <v>1</v>
      </c>
      <c r="F5113" s="22">
        <v>45696.3480671296</v>
      </c>
      <c r="G5113" s="22"/>
      <c r="H5113" s="23">
        <v>2129</v>
      </c>
      <c r="I5113" s="23">
        <v>2129</v>
      </c>
      <c r="J5113" s="24">
        <v>2129</v>
      </c>
      <c r="K5113" s="21">
        <v>0</v>
      </c>
      <c r="L5113" s="21">
        <v>0</v>
      </c>
      <c r="M5113" s="21">
        <f>COUNTIF($A$2:$A$5481,A5113)</f>
        <v>1</v>
      </c>
      <c r="N5113" s="24">
        <f t="shared" si="79"/>
        <v>2129.0005113</v>
      </c>
    </row>
    <row r="5114" spans="1:14">
      <c r="A5114" s="21" t="s">
        <v>4592</v>
      </c>
      <c r="B5114" s="21" t="s">
        <v>949</v>
      </c>
      <c r="C5114" s="21" t="s">
        <v>182</v>
      </c>
      <c r="D5114" s="21" t="s">
        <v>921</v>
      </c>
      <c r="E5114" s="21">
        <v>0</v>
      </c>
      <c r="F5114" s="22">
        <v>45293.7207986111</v>
      </c>
      <c r="G5114" s="22">
        <v>45294.3604166667</v>
      </c>
      <c r="H5114" s="23">
        <v>20</v>
      </c>
      <c r="I5114" s="23">
        <v>20</v>
      </c>
      <c r="J5114" s="24">
        <v>0</v>
      </c>
      <c r="K5114" s="21">
        <v>0</v>
      </c>
      <c r="L5114" s="21">
        <v>0</v>
      </c>
      <c r="M5114" s="21">
        <f>COUNTIF($A$2:$A$5481,A5114)</f>
        <v>2</v>
      </c>
      <c r="N5114" s="24">
        <f t="shared" si="79"/>
        <v>0.0005114</v>
      </c>
    </row>
    <row r="5115" spans="1:14">
      <c r="A5115" s="21" t="s">
        <v>4592</v>
      </c>
      <c r="B5115" s="21" t="s">
        <v>949</v>
      </c>
      <c r="C5115" s="21" t="s">
        <v>26</v>
      </c>
      <c r="D5115" s="21" t="s">
        <v>921</v>
      </c>
      <c r="E5115" s="21">
        <v>3</v>
      </c>
      <c r="F5115" s="22">
        <v>45683.3646064815</v>
      </c>
      <c r="G5115" s="22"/>
      <c r="H5115" s="23">
        <v>30</v>
      </c>
      <c r="I5115" s="23">
        <v>10</v>
      </c>
      <c r="J5115" s="24">
        <v>30</v>
      </c>
      <c r="K5115" s="21">
        <v>0</v>
      </c>
      <c r="L5115" s="21">
        <v>0</v>
      </c>
      <c r="M5115" s="21">
        <f>COUNTIF($A$2:$A$5481,A5115)</f>
        <v>2</v>
      </c>
      <c r="N5115" s="24">
        <f t="shared" si="79"/>
        <v>30.0005115</v>
      </c>
    </row>
    <row r="5116" spans="1:14">
      <c r="A5116" s="21" t="s">
        <v>4593</v>
      </c>
      <c r="B5116" s="21" t="s">
        <v>26</v>
      </c>
      <c r="C5116" s="21" t="s">
        <v>26</v>
      </c>
      <c r="D5116" s="21" t="s">
        <v>921</v>
      </c>
      <c r="E5116" s="21">
        <v>2</v>
      </c>
      <c r="F5116" s="22">
        <v>45939.6805324074</v>
      </c>
      <c r="G5116" s="22"/>
      <c r="H5116" s="23">
        <v>75.23</v>
      </c>
      <c r="I5116" s="23">
        <v>62.805</v>
      </c>
      <c r="J5116" s="24">
        <v>125.62</v>
      </c>
      <c r="K5116" s="21">
        <v>0</v>
      </c>
      <c r="L5116" s="21">
        <v>0</v>
      </c>
      <c r="M5116" s="21">
        <f>COUNTIF($A$2:$A$5481,A5116)</f>
        <v>1</v>
      </c>
      <c r="N5116" s="24">
        <f t="shared" si="79"/>
        <v>125.6205116</v>
      </c>
    </row>
    <row r="5117" spans="1:14">
      <c r="A5117" s="21" t="s">
        <v>4594</v>
      </c>
      <c r="B5117" s="21" t="s">
        <v>920</v>
      </c>
      <c r="C5117" s="21" t="s">
        <v>26</v>
      </c>
      <c r="D5117" s="21" t="s">
        <v>921</v>
      </c>
      <c r="E5117" s="21">
        <v>10</v>
      </c>
      <c r="F5117" s="22">
        <v>46029.5877430556</v>
      </c>
      <c r="G5117" s="22"/>
      <c r="H5117" s="23">
        <v>40</v>
      </c>
      <c r="I5117" s="23">
        <v>4</v>
      </c>
      <c r="J5117" s="24">
        <v>40</v>
      </c>
      <c r="K5117" s="21">
        <v>0</v>
      </c>
      <c r="L5117" s="21">
        <v>0</v>
      </c>
      <c r="M5117" s="21">
        <f>COUNTIF($A$2:$A$5481,A5117)</f>
        <v>1</v>
      </c>
      <c r="N5117" s="24">
        <f t="shared" si="79"/>
        <v>40.0005117</v>
      </c>
    </row>
    <row r="5118" spans="1:14">
      <c r="A5118" s="21" t="s">
        <v>4595</v>
      </c>
      <c r="B5118" s="21" t="s">
        <v>920</v>
      </c>
      <c r="C5118" s="21" t="s">
        <v>26</v>
      </c>
      <c r="D5118" s="21" t="s">
        <v>1068</v>
      </c>
      <c r="E5118" s="21">
        <v>4</v>
      </c>
      <c r="F5118" s="22">
        <v>46223.7365972222</v>
      </c>
      <c r="G5118" s="22"/>
      <c r="H5118" s="23">
        <v>30</v>
      </c>
      <c r="I5118" s="23">
        <v>25.725</v>
      </c>
      <c r="J5118" s="24">
        <v>102.92</v>
      </c>
      <c r="K5118" s="21">
        <v>0</v>
      </c>
      <c r="L5118" s="21">
        <v>0</v>
      </c>
      <c r="M5118" s="21">
        <f>COUNTIF($A$2:$A$5481,A5118)</f>
        <v>1</v>
      </c>
      <c r="N5118" s="24">
        <f t="shared" si="79"/>
        <v>102.9205118</v>
      </c>
    </row>
    <row r="5119" spans="1:14">
      <c r="A5119" s="21" t="s">
        <v>4596</v>
      </c>
      <c r="B5119" s="21" t="s">
        <v>26</v>
      </c>
      <c r="C5119" s="21" t="s">
        <v>26</v>
      </c>
      <c r="D5119" s="21" t="s">
        <v>921</v>
      </c>
      <c r="E5119" s="21">
        <v>2</v>
      </c>
      <c r="F5119" s="22">
        <v>45461.8245601852</v>
      </c>
      <c r="G5119" s="22"/>
      <c r="H5119" s="23">
        <v>65.64</v>
      </c>
      <c r="I5119" s="23">
        <v>32.82</v>
      </c>
      <c r="J5119" s="24">
        <v>65.64</v>
      </c>
      <c r="K5119" s="21">
        <v>0</v>
      </c>
      <c r="L5119" s="21">
        <v>0</v>
      </c>
      <c r="M5119" s="21">
        <f>COUNTIF($A$2:$A$5481,A5119)</f>
        <v>1</v>
      </c>
      <c r="N5119" s="24">
        <f t="shared" si="79"/>
        <v>65.6405119</v>
      </c>
    </row>
    <row r="5120" spans="1:14">
      <c r="A5120" s="21" t="s">
        <v>4597</v>
      </c>
      <c r="B5120" s="21" t="s">
        <v>948</v>
      </c>
      <c r="C5120" s="21" t="s">
        <v>26</v>
      </c>
      <c r="D5120" s="21" t="s">
        <v>921</v>
      </c>
      <c r="E5120" s="21">
        <v>1</v>
      </c>
      <c r="F5120" s="22">
        <v>46134.6002546296</v>
      </c>
      <c r="G5120" s="22"/>
      <c r="H5120" s="23">
        <v>21</v>
      </c>
      <c r="I5120" s="23">
        <v>21</v>
      </c>
      <c r="J5120" s="24">
        <v>21</v>
      </c>
      <c r="K5120" s="21">
        <v>0</v>
      </c>
      <c r="L5120" s="21">
        <v>0</v>
      </c>
      <c r="M5120" s="21">
        <f>COUNTIF($A$2:$A$5481,A5120)</f>
        <v>1</v>
      </c>
      <c r="N5120" s="24">
        <f t="shared" si="79"/>
        <v>21.000512</v>
      </c>
    </row>
    <row r="5121" spans="1:14">
      <c r="A5121" s="21" t="s">
        <v>4598</v>
      </c>
      <c r="B5121" s="21" t="s">
        <v>26</v>
      </c>
      <c r="C5121" s="21" t="s">
        <v>26</v>
      </c>
      <c r="D5121" s="21" t="s">
        <v>921</v>
      </c>
      <c r="E5121" s="21">
        <v>2</v>
      </c>
      <c r="F5121" s="22">
        <v>46056.8082407407</v>
      </c>
      <c r="G5121" s="22"/>
      <c r="H5121" s="23">
        <v>186.94</v>
      </c>
      <c r="I5121" s="23">
        <v>197.945</v>
      </c>
      <c r="J5121" s="24">
        <v>395.9</v>
      </c>
      <c r="K5121" s="21">
        <v>0</v>
      </c>
      <c r="L5121" s="21">
        <v>0</v>
      </c>
      <c r="M5121" s="21">
        <f>COUNTIF($A$2:$A$5481,A5121)</f>
        <v>1</v>
      </c>
      <c r="N5121" s="24">
        <f t="shared" si="79"/>
        <v>395.9005121</v>
      </c>
    </row>
    <row r="5122" spans="1:14">
      <c r="A5122" s="21" t="s">
        <v>4599</v>
      </c>
      <c r="B5122" s="21" t="s">
        <v>26</v>
      </c>
      <c r="C5122" s="21" t="s">
        <v>26</v>
      </c>
      <c r="D5122" s="21" t="s">
        <v>921</v>
      </c>
      <c r="E5122" s="21">
        <v>2</v>
      </c>
      <c r="F5122" s="22">
        <v>46132.3361111111</v>
      </c>
      <c r="G5122" s="22"/>
      <c r="H5122" s="23">
        <v>51.65</v>
      </c>
      <c r="I5122" s="23">
        <v>55.575</v>
      </c>
      <c r="J5122" s="24">
        <v>111.16</v>
      </c>
      <c r="K5122" s="21">
        <v>0</v>
      </c>
      <c r="L5122" s="21">
        <v>0</v>
      </c>
      <c r="M5122" s="21">
        <f>COUNTIF($A$2:$A$5481,A5122)</f>
        <v>1</v>
      </c>
      <c r="N5122" s="24">
        <f t="shared" ref="N5122:N5185" si="80">J5122+ROW()/10000000</f>
        <v>111.1605122</v>
      </c>
    </row>
    <row r="5123" spans="1:14">
      <c r="A5123" s="21" t="s">
        <v>748</v>
      </c>
      <c r="B5123" s="21" t="s">
        <v>26</v>
      </c>
      <c r="C5123" s="21" t="s">
        <v>26</v>
      </c>
      <c r="D5123" s="21" t="s">
        <v>921</v>
      </c>
      <c r="E5123" s="21">
        <v>0</v>
      </c>
      <c r="F5123" s="22">
        <v>46162.5555555556</v>
      </c>
      <c r="G5123" s="22">
        <v>46253.353275463</v>
      </c>
      <c r="H5123" s="23">
        <v>231.96</v>
      </c>
      <c r="I5123" s="23">
        <v>57.99</v>
      </c>
      <c r="J5123" s="24">
        <v>0</v>
      </c>
      <c r="K5123" s="21">
        <v>0</v>
      </c>
      <c r="L5123" s="21">
        <v>0</v>
      </c>
      <c r="M5123" s="21">
        <f>COUNTIF($A$2:$A$5481,A5123)</f>
        <v>1</v>
      </c>
      <c r="N5123" s="24">
        <f t="shared" si="80"/>
        <v>0.0005123</v>
      </c>
    </row>
    <row r="5124" spans="1:14">
      <c r="A5124" s="21" t="s">
        <v>749</v>
      </c>
      <c r="B5124" s="21" t="s">
        <v>26</v>
      </c>
      <c r="C5124" s="21" t="s">
        <v>26</v>
      </c>
      <c r="D5124" s="21" t="s">
        <v>921</v>
      </c>
      <c r="E5124" s="21">
        <v>4</v>
      </c>
      <c r="F5124" s="22">
        <v>46262.7169212963</v>
      </c>
      <c r="G5124" s="22">
        <v>46252.6094675926</v>
      </c>
      <c r="H5124" s="23">
        <v>213</v>
      </c>
      <c r="I5124" s="23">
        <v>53.25</v>
      </c>
      <c r="J5124" s="24">
        <v>213</v>
      </c>
      <c r="K5124" s="21">
        <v>0</v>
      </c>
      <c r="L5124" s="21">
        <v>0</v>
      </c>
      <c r="M5124" s="21">
        <f>COUNTIF($A$2:$A$5481,A5124)</f>
        <v>1</v>
      </c>
      <c r="N5124" s="24">
        <f t="shared" si="80"/>
        <v>213.0005124</v>
      </c>
    </row>
    <row r="5125" spans="1:14">
      <c r="A5125" s="21" t="s">
        <v>4600</v>
      </c>
      <c r="B5125" s="21" t="s">
        <v>920</v>
      </c>
      <c r="C5125" s="21" t="s">
        <v>35</v>
      </c>
      <c r="D5125" s="21" t="s">
        <v>921</v>
      </c>
      <c r="E5125" s="21">
        <v>1</v>
      </c>
      <c r="F5125" s="22">
        <v>45554.4005787037</v>
      </c>
      <c r="G5125" s="22"/>
      <c r="H5125" s="23">
        <v>271</v>
      </c>
      <c r="I5125" s="23">
        <v>271</v>
      </c>
      <c r="J5125" s="24">
        <v>271</v>
      </c>
      <c r="K5125" s="21">
        <v>0</v>
      </c>
      <c r="L5125" s="21">
        <v>0</v>
      </c>
      <c r="M5125" s="21">
        <f>COUNTIF($A$2:$A$5481,A5125)</f>
        <v>1</v>
      </c>
      <c r="N5125" s="24">
        <f t="shared" si="80"/>
        <v>271.0005125</v>
      </c>
    </row>
    <row r="5126" spans="1:14">
      <c r="A5126" s="21" t="s">
        <v>799</v>
      </c>
      <c r="B5126" s="21" t="s">
        <v>920</v>
      </c>
      <c r="C5126" s="21" t="s">
        <v>35</v>
      </c>
      <c r="D5126" s="21" t="s">
        <v>921</v>
      </c>
      <c r="E5126" s="21">
        <v>1</v>
      </c>
      <c r="F5126" s="22">
        <v>46252.4993055556</v>
      </c>
      <c r="G5126" s="22">
        <v>46254.6614699074</v>
      </c>
      <c r="H5126" s="23">
        <v>60</v>
      </c>
      <c r="I5126" s="23">
        <v>60</v>
      </c>
      <c r="J5126" s="24">
        <v>60</v>
      </c>
      <c r="K5126" s="21">
        <v>0</v>
      </c>
      <c r="L5126" s="21">
        <v>0</v>
      </c>
      <c r="M5126" s="21">
        <f>COUNTIF($A$2:$A$5481,A5126)</f>
        <v>1</v>
      </c>
      <c r="N5126" s="24">
        <f t="shared" si="80"/>
        <v>60.0005126</v>
      </c>
    </row>
    <row r="5127" spans="1:14">
      <c r="A5127" s="21" t="s">
        <v>554</v>
      </c>
      <c r="B5127" s="21" t="s">
        <v>920</v>
      </c>
      <c r="C5127" s="21" t="s">
        <v>26</v>
      </c>
      <c r="D5127" s="21" t="s">
        <v>921</v>
      </c>
      <c r="E5127" s="21">
        <v>0</v>
      </c>
      <c r="F5127" s="22">
        <v>46146.3875</v>
      </c>
      <c r="G5127" s="22">
        <v>46251.7296180556</v>
      </c>
      <c r="H5127" s="23">
        <v>80.8</v>
      </c>
      <c r="I5127" s="23">
        <v>2.02</v>
      </c>
      <c r="J5127" s="24">
        <v>0</v>
      </c>
      <c r="K5127" s="21">
        <v>0</v>
      </c>
      <c r="L5127" s="21">
        <v>0</v>
      </c>
      <c r="M5127" s="21">
        <f>COUNTIF($A$2:$A$5481,A5127)</f>
        <v>1</v>
      </c>
      <c r="N5127" s="24">
        <f t="shared" si="80"/>
        <v>0.0005127</v>
      </c>
    </row>
    <row r="5128" spans="1:14">
      <c r="A5128" s="21" t="s">
        <v>4601</v>
      </c>
      <c r="B5128" s="21" t="s">
        <v>26</v>
      </c>
      <c r="C5128" s="21" t="s">
        <v>26</v>
      </c>
      <c r="D5128" s="21" t="s">
        <v>921</v>
      </c>
      <c r="E5128" s="21">
        <v>3</v>
      </c>
      <c r="F5128" s="22">
        <v>46120.3576388889</v>
      </c>
      <c r="G5128" s="22"/>
      <c r="H5128" s="23">
        <v>124.2</v>
      </c>
      <c r="I5128" s="23">
        <v>164.7333333333</v>
      </c>
      <c r="J5128" s="24">
        <v>494.19</v>
      </c>
      <c r="K5128" s="21">
        <v>0</v>
      </c>
      <c r="L5128" s="21">
        <v>0</v>
      </c>
      <c r="M5128" s="21">
        <f>COUNTIF($A$2:$A$5481,A5128)</f>
        <v>1</v>
      </c>
      <c r="N5128" s="24">
        <f t="shared" si="80"/>
        <v>494.1905128</v>
      </c>
    </row>
    <row r="5129" spans="1:14">
      <c r="A5129" s="21" t="s">
        <v>42</v>
      </c>
      <c r="B5129" s="21" t="s">
        <v>926</v>
      </c>
      <c r="C5129" s="21" t="s">
        <v>26</v>
      </c>
      <c r="D5129" s="21" t="s">
        <v>921</v>
      </c>
      <c r="E5129" s="21">
        <v>1</v>
      </c>
      <c r="F5129" s="22">
        <v>46199.6923611111</v>
      </c>
      <c r="G5129" s="22">
        <v>46252.5530555556</v>
      </c>
      <c r="H5129" s="23">
        <v>151.56</v>
      </c>
      <c r="I5129" s="23">
        <v>37.3975</v>
      </c>
      <c r="J5129" s="24">
        <v>37.4</v>
      </c>
      <c r="K5129" s="21">
        <v>0</v>
      </c>
      <c r="L5129" s="21">
        <v>0</v>
      </c>
      <c r="M5129" s="21">
        <f>COUNTIF($A$2:$A$5481,A5129)</f>
        <v>1</v>
      </c>
      <c r="N5129" s="24">
        <f t="shared" si="80"/>
        <v>37.4005129</v>
      </c>
    </row>
    <row r="5130" spans="1:14">
      <c r="A5130" s="21" t="s">
        <v>4602</v>
      </c>
      <c r="B5130" s="21" t="s">
        <v>926</v>
      </c>
      <c r="C5130" s="21" t="s">
        <v>38</v>
      </c>
      <c r="D5130" s="21" t="s">
        <v>921</v>
      </c>
      <c r="E5130" s="21">
        <v>2</v>
      </c>
      <c r="F5130" s="22">
        <v>45429.3317476852</v>
      </c>
      <c r="G5130" s="22"/>
      <c r="H5130" s="23">
        <v>11.98</v>
      </c>
      <c r="I5130" s="23">
        <v>5.99</v>
      </c>
      <c r="J5130" s="24">
        <v>11.98</v>
      </c>
      <c r="K5130" s="21">
        <v>0</v>
      </c>
      <c r="L5130" s="21">
        <v>0</v>
      </c>
      <c r="M5130" s="21">
        <f>COUNTIF($A$2:$A$5481,A5130)</f>
        <v>1</v>
      </c>
      <c r="N5130" s="24">
        <f t="shared" si="80"/>
        <v>11.980513</v>
      </c>
    </row>
    <row r="5131" spans="1:14">
      <c r="A5131" s="21" t="s">
        <v>196</v>
      </c>
      <c r="B5131" s="21" t="s">
        <v>920</v>
      </c>
      <c r="C5131" s="21" t="s">
        <v>182</v>
      </c>
      <c r="D5131" s="21" t="s">
        <v>921</v>
      </c>
      <c r="E5131" s="21">
        <v>21</v>
      </c>
      <c r="F5131" s="22">
        <v>45364.8368865741</v>
      </c>
      <c r="G5131" s="22">
        <v>45439.8461805556</v>
      </c>
      <c r="H5131" s="23">
        <v>526.8</v>
      </c>
      <c r="I5131" s="23">
        <v>45.72</v>
      </c>
      <c r="J5131" s="24">
        <v>960.12</v>
      </c>
      <c r="K5131" s="21">
        <v>0</v>
      </c>
      <c r="L5131" s="21">
        <v>0</v>
      </c>
      <c r="M5131" s="21">
        <f>COUNTIF($A$2:$A$5481,A5131)</f>
        <v>2</v>
      </c>
      <c r="N5131" s="24">
        <f t="shared" si="80"/>
        <v>960.1205131</v>
      </c>
    </row>
    <row r="5132" spans="1:14">
      <c r="A5132" s="21" t="s">
        <v>196</v>
      </c>
      <c r="B5132" s="21" t="s">
        <v>920</v>
      </c>
      <c r="C5132" s="21" t="s">
        <v>26</v>
      </c>
      <c r="D5132" s="21" t="s">
        <v>921</v>
      </c>
      <c r="E5132" s="21">
        <v>36</v>
      </c>
      <c r="F5132" s="22">
        <v>46239.7005208333</v>
      </c>
      <c r="G5132" s="22">
        <v>46268.6819791667</v>
      </c>
      <c r="H5132" s="23">
        <v>828</v>
      </c>
      <c r="I5132" s="23">
        <v>45.9789353721</v>
      </c>
      <c r="J5132" s="24">
        <v>1655.28</v>
      </c>
      <c r="K5132" s="21">
        <v>0</v>
      </c>
      <c r="L5132" s="21">
        <v>0</v>
      </c>
      <c r="M5132" s="21">
        <f>COUNTIF($A$2:$A$5481,A5132)</f>
        <v>2</v>
      </c>
      <c r="N5132" s="24">
        <f t="shared" si="80"/>
        <v>1655.2805132</v>
      </c>
    </row>
    <row r="5133" spans="1:14">
      <c r="A5133" s="21" t="s">
        <v>4603</v>
      </c>
      <c r="B5133" s="21" t="s">
        <v>26</v>
      </c>
      <c r="C5133" s="21" t="s">
        <v>26</v>
      </c>
      <c r="D5133" s="21" t="s">
        <v>921</v>
      </c>
      <c r="E5133" s="21">
        <v>2</v>
      </c>
      <c r="F5133" s="22">
        <v>45814.3527546296</v>
      </c>
      <c r="G5133" s="22"/>
      <c r="H5133" s="23">
        <v>39.98</v>
      </c>
      <c r="I5133" s="23">
        <v>19.99</v>
      </c>
      <c r="J5133" s="24">
        <v>39.98</v>
      </c>
      <c r="K5133" s="21">
        <v>0</v>
      </c>
      <c r="L5133" s="21">
        <v>0</v>
      </c>
      <c r="M5133" s="21">
        <f>COUNTIF($A$2:$A$5481,A5133)</f>
        <v>1</v>
      </c>
      <c r="N5133" s="24">
        <f t="shared" si="80"/>
        <v>39.9805133</v>
      </c>
    </row>
    <row r="5134" spans="1:14">
      <c r="A5134" s="21" t="s">
        <v>715</v>
      </c>
      <c r="B5134" s="21" t="s">
        <v>920</v>
      </c>
      <c r="C5134" s="21" t="s">
        <v>26</v>
      </c>
      <c r="D5134" s="21" t="s">
        <v>921</v>
      </c>
      <c r="E5134" s="21">
        <v>0</v>
      </c>
      <c r="F5134" s="22">
        <v>46178.7129513889</v>
      </c>
      <c r="G5134" s="22">
        <v>46252.5691319444</v>
      </c>
      <c r="H5134" s="23">
        <v>68.58</v>
      </c>
      <c r="I5134" s="23">
        <v>42.8483333333</v>
      </c>
      <c r="J5134" s="24">
        <v>0</v>
      </c>
      <c r="K5134" s="21">
        <v>0</v>
      </c>
      <c r="L5134" s="21">
        <v>0</v>
      </c>
      <c r="M5134" s="21">
        <f>COUNTIF($A$2:$A$5481,A5134)</f>
        <v>1</v>
      </c>
      <c r="N5134" s="24">
        <f t="shared" si="80"/>
        <v>0.0005134</v>
      </c>
    </row>
    <row r="5135" spans="1:14">
      <c r="A5135" s="21" t="s">
        <v>4604</v>
      </c>
      <c r="B5135" s="21" t="s">
        <v>948</v>
      </c>
      <c r="C5135" s="21" t="s">
        <v>26</v>
      </c>
      <c r="D5135" s="21" t="s">
        <v>921</v>
      </c>
      <c r="E5135" s="21">
        <v>2</v>
      </c>
      <c r="F5135" s="22">
        <v>45420.3631944444</v>
      </c>
      <c r="G5135" s="22"/>
      <c r="H5135" s="23">
        <v>70</v>
      </c>
      <c r="I5135" s="23">
        <v>35</v>
      </c>
      <c r="J5135" s="24">
        <v>70</v>
      </c>
      <c r="K5135" s="21">
        <v>0</v>
      </c>
      <c r="L5135" s="21">
        <v>0</v>
      </c>
      <c r="M5135" s="21">
        <f>COUNTIF($A$2:$A$5481,A5135)</f>
        <v>1</v>
      </c>
      <c r="N5135" s="24">
        <f t="shared" si="80"/>
        <v>70.0005135</v>
      </c>
    </row>
    <row r="5136" spans="1:14">
      <c r="A5136" s="21" t="s">
        <v>693</v>
      </c>
      <c r="B5136" s="21" t="s">
        <v>920</v>
      </c>
      <c r="C5136" s="21" t="s">
        <v>26</v>
      </c>
      <c r="D5136" s="21" t="s">
        <v>921</v>
      </c>
      <c r="E5136" s="21">
        <v>2</v>
      </c>
      <c r="F5136" s="22">
        <v>45565.4033680556</v>
      </c>
      <c r="G5136" s="22">
        <v>46252.5688773148</v>
      </c>
      <c r="H5136" s="23">
        <v>39.6</v>
      </c>
      <c r="I5136" s="23">
        <v>9.9</v>
      </c>
      <c r="J5136" s="24">
        <v>19.8</v>
      </c>
      <c r="K5136" s="21">
        <v>0</v>
      </c>
      <c r="L5136" s="21">
        <v>0</v>
      </c>
      <c r="M5136" s="21">
        <f>COUNTIF($A$2:$A$5481,A5136)</f>
        <v>1</v>
      </c>
      <c r="N5136" s="24">
        <f t="shared" si="80"/>
        <v>19.8005136</v>
      </c>
    </row>
    <row r="5137" spans="1:14">
      <c r="A5137" s="21" t="s">
        <v>4605</v>
      </c>
      <c r="B5137" s="21" t="s">
        <v>920</v>
      </c>
      <c r="C5137" s="21" t="s">
        <v>26</v>
      </c>
      <c r="D5137" s="21" t="s">
        <v>921</v>
      </c>
      <c r="E5137" s="21">
        <v>10</v>
      </c>
      <c r="F5137" s="22">
        <v>46051.393275463</v>
      </c>
      <c r="G5137" s="22"/>
      <c r="H5137" s="23">
        <v>45</v>
      </c>
      <c r="I5137" s="23">
        <v>5.4</v>
      </c>
      <c r="J5137" s="24">
        <v>54</v>
      </c>
      <c r="K5137" s="21">
        <v>0</v>
      </c>
      <c r="L5137" s="21">
        <v>0</v>
      </c>
      <c r="M5137" s="21">
        <f>COUNTIF($A$2:$A$5481,A5137)</f>
        <v>1</v>
      </c>
      <c r="N5137" s="24">
        <f t="shared" si="80"/>
        <v>54.0005137</v>
      </c>
    </row>
    <row r="5138" spans="1:14">
      <c r="A5138" s="21" t="s">
        <v>4606</v>
      </c>
      <c r="B5138" s="21" t="s">
        <v>26</v>
      </c>
      <c r="C5138" s="21" t="s">
        <v>35</v>
      </c>
      <c r="D5138" s="21" t="s">
        <v>921</v>
      </c>
      <c r="E5138" s="21">
        <v>10</v>
      </c>
      <c r="F5138" s="22">
        <v>45422.4333333333</v>
      </c>
      <c r="G5138" s="22"/>
      <c r="H5138" s="23">
        <v>40</v>
      </c>
      <c r="I5138" s="23">
        <v>4</v>
      </c>
      <c r="J5138" s="24">
        <v>40</v>
      </c>
      <c r="K5138" s="21">
        <v>0</v>
      </c>
      <c r="L5138" s="21">
        <v>0</v>
      </c>
      <c r="M5138" s="21">
        <f>COUNTIF($A$2:$A$5481,A5138)</f>
        <v>2</v>
      </c>
      <c r="N5138" s="24">
        <f t="shared" si="80"/>
        <v>40.0005138</v>
      </c>
    </row>
    <row r="5139" spans="1:14">
      <c r="A5139" s="21" t="s">
        <v>4606</v>
      </c>
      <c r="B5139" s="21" t="s">
        <v>26</v>
      </c>
      <c r="C5139" s="21" t="s">
        <v>26</v>
      </c>
      <c r="D5139" s="21" t="s">
        <v>921</v>
      </c>
      <c r="E5139" s="21">
        <v>10</v>
      </c>
      <c r="F5139" s="22">
        <v>45446.843125</v>
      </c>
      <c r="G5139" s="22"/>
      <c r="H5139" s="23">
        <v>40</v>
      </c>
      <c r="I5139" s="23">
        <v>4</v>
      </c>
      <c r="J5139" s="24">
        <v>40</v>
      </c>
      <c r="K5139" s="21">
        <v>0</v>
      </c>
      <c r="L5139" s="21">
        <v>0</v>
      </c>
      <c r="M5139" s="21">
        <f>COUNTIF($A$2:$A$5481,A5139)</f>
        <v>2</v>
      </c>
      <c r="N5139" s="24">
        <f t="shared" si="80"/>
        <v>40.0005139</v>
      </c>
    </row>
    <row r="5140" spans="1:14">
      <c r="A5140" s="21" t="s">
        <v>4607</v>
      </c>
      <c r="B5140" s="21" t="s">
        <v>920</v>
      </c>
      <c r="C5140" s="21" t="s">
        <v>35</v>
      </c>
      <c r="D5140" s="21" t="s">
        <v>931</v>
      </c>
      <c r="E5140" s="21">
        <v>1</v>
      </c>
      <c r="F5140" s="22">
        <v>45868.6533680556</v>
      </c>
      <c r="G5140" s="22"/>
      <c r="H5140" s="23">
        <v>116</v>
      </c>
      <c r="I5140" s="23">
        <v>116</v>
      </c>
      <c r="J5140" s="24">
        <v>116</v>
      </c>
      <c r="K5140" s="21">
        <v>0</v>
      </c>
      <c r="L5140" s="21">
        <v>0</v>
      </c>
      <c r="M5140" s="21">
        <f>COUNTIF($A$2:$A$5481,A5140)</f>
        <v>1</v>
      </c>
      <c r="N5140" s="24">
        <f t="shared" si="80"/>
        <v>116.000514</v>
      </c>
    </row>
    <row r="5141" spans="1:14">
      <c r="A5141" s="21" t="s">
        <v>4608</v>
      </c>
      <c r="B5141" s="21" t="s">
        <v>920</v>
      </c>
      <c r="C5141" s="21" t="s">
        <v>26</v>
      </c>
      <c r="D5141" s="21" t="s">
        <v>921</v>
      </c>
      <c r="E5141" s="21">
        <v>7</v>
      </c>
      <c r="F5141" s="22">
        <v>45678.8103472222</v>
      </c>
      <c r="G5141" s="22">
        <v>45679.481875</v>
      </c>
      <c r="H5141" s="23">
        <v>160</v>
      </c>
      <c r="I5141" s="23">
        <v>20</v>
      </c>
      <c r="J5141" s="24">
        <v>140</v>
      </c>
      <c r="K5141" s="21">
        <v>0</v>
      </c>
      <c r="L5141" s="21">
        <v>0</v>
      </c>
      <c r="M5141" s="21">
        <f>COUNTIF($A$2:$A$5481,A5141)</f>
        <v>1</v>
      </c>
      <c r="N5141" s="24">
        <f t="shared" si="80"/>
        <v>140.0005141</v>
      </c>
    </row>
    <row r="5142" spans="1:14">
      <c r="A5142" s="21" t="s">
        <v>4609</v>
      </c>
      <c r="B5142" s="21" t="s">
        <v>1352</v>
      </c>
      <c r="C5142" s="21" t="s">
        <v>26</v>
      </c>
      <c r="D5142" s="21" t="s">
        <v>921</v>
      </c>
      <c r="E5142" s="21">
        <v>10</v>
      </c>
      <c r="F5142" s="22">
        <v>46148.3902777778</v>
      </c>
      <c r="G5142" s="22"/>
      <c r="H5142" s="23">
        <v>38.5</v>
      </c>
      <c r="I5142" s="23">
        <v>3.85</v>
      </c>
      <c r="J5142" s="24">
        <v>38.5</v>
      </c>
      <c r="K5142" s="21">
        <v>0</v>
      </c>
      <c r="L5142" s="21">
        <v>0</v>
      </c>
      <c r="M5142" s="21">
        <f>COUNTIF($A$2:$A$5481,A5142)</f>
        <v>1</v>
      </c>
      <c r="N5142" s="24">
        <f t="shared" si="80"/>
        <v>38.5005142</v>
      </c>
    </row>
    <row r="5143" spans="1:14">
      <c r="A5143" s="21" t="s">
        <v>4610</v>
      </c>
      <c r="B5143" s="21" t="s">
        <v>1352</v>
      </c>
      <c r="C5143" s="21" t="s">
        <v>26</v>
      </c>
      <c r="D5143" s="21" t="s">
        <v>921</v>
      </c>
      <c r="E5143" s="21">
        <v>10</v>
      </c>
      <c r="F5143" s="22">
        <v>46148.3902777778</v>
      </c>
      <c r="G5143" s="22"/>
      <c r="H5143" s="23">
        <v>30</v>
      </c>
      <c r="I5143" s="23">
        <v>3</v>
      </c>
      <c r="J5143" s="24">
        <v>30</v>
      </c>
      <c r="K5143" s="21">
        <v>0</v>
      </c>
      <c r="L5143" s="21">
        <v>0</v>
      </c>
      <c r="M5143" s="21">
        <f>COUNTIF($A$2:$A$5481,A5143)</f>
        <v>1</v>
      </c>
      <c r="N5143" s="24">
        <f t="shared" si="80"/>
        <v>30.0005143</v>
      </c>
    </row>
    <row r="5144" spans="1:14">
      <c r="A5144" s="21" t="s">
        <v>4611</v>
      </c>
      <c r="B5144" s="21" t="s">
        <v>920</v>
      </c>
      <c r="C5144" s="21" t="s">
        <v>26</v>
      </c>
      <c r="D5144" s="21" t="s">
        <v>931</v>
      </c>
      <c r="E5144" s="21">
        <v>0</v>
      </c>
      <c r="F5144" s="22">
        <v>45736.4490046296</v>
      </c>
      <c r="G5144" s="22">
        <v>45747.462025463</v>
      </c>
      <c r="H5144" s="23">
        <v>968.9</v>
      </c>
      <c r="I5144" s="23">
        <v>484.45</v>
      </c>
      <c r="J5144" s="24">
        <v>0</v>
      </c>
      <c r="K5144" s="21">
        <v>0</v>
      </c>
      <c r="L5144" s="21">
        <v>0</v>
      </c>
      <c r="M5144" s="21">
        <f>COUNTIF($A$2:$A$5481,A5144)</f>
        <v>1</v>
      </c>
      <c r="N5144" s="24">
        <f t="shared" si="80"/>
        <v>0.0005144</v>
      </c>
    </row>
    <row r="5145" spans="1:14">
      <c r="A5145" s="21" t="s">
        <v>4612</v>
      </c>
      <c r="B5145" s="21" t="s">
        <v>920</v>
      </c>
      <c r="C5145" s="21" t="s">
        <v>26</v>
      </c>
      <c r="D5145" s="21" t="s">
        <v>921</v>
      </c>
      <c r="E5145" s="21">
        <v>14</v>
      </c>
      <c r="F5145" s="22">
        <v>46034.583900463</v>
      </c>
      <c r="G5145" s="22"/>
      <c r="H5145" s="23">
        <v>54.6</v>
      </c>
      <c r="I5145" s="23">
        <v>3.9</v>
      </c>
      <c r="J5145" s="24">
        <v>54.6</v>
      </c>
      <c r="K5145" s="21">
        <v>0</v>
      </c>
      <c r="L5145" s="21">
        <v>0</v>
      </c>
      <c r="M5145" s="21">
        <f>COUNTIF($A$2:$A$5481,A5145)</f>
        <v>1</v>
      </c>
      <c r="N5145" s="24">
        <f t="shared" si="80"/>
        <v>54.6005145</v>
      </c>
    </row>
    <row r="5146" spans="1:14">
      <c r="A5146" s="21" t="s">
        <v>4613</v>
      </c>
      <c r="B5146" s="21" t="s">
        <v>26</v>
      </c>
      <c r="C5146" s="21" t="s">
        <v>26</v>
      </c>
      <c r="D5146" s="21" t="s">
        <v>921</v>
      </c>
      <c r="E5146" s="21">
        <v>70</v>
      </c>
      <c r="F5146" s="22">
        <v>45688.4756481482</v>
      </c>
      <c r="G5146" s="22"/>
      <c r="H5146" s="23">
        <v>55</v>
      </c>
      <c r="I5146" s="23">
        <v>1.1</v>
      </c>
      <c r="J5146" s="24">
        <v>77</v>
      </c>
      <c r="K5146" s="21">
        <v>0</v>
      </c>
      <c r="L5146" s="21">
        <v>0</v>
      </c>
      <c r="M5146" s="21">
        <f>COUNTIF($A$2:$A$5481,A5146)</f>
        <v>1</v>
      </c>
      <c r="N5146" s="24">
        <f t="shared" si="80"/>
        <v>77.0005146</v>
      </c>
    </row>
    <row r="5147" spans="1:14">
      <c r="A5147" s="21" t="s">
        <v>4614</v>
      </c>
      <c r="B5147" s="21" t="s">
        <v>920</v>
      </c>
      <c r="C5147" s="21" t="s">
        <v>26</v>
      </c>
      <c r="D5147" s="21" t="s">
        <v>921</v>
      </c>
      <c r="E5147" s="21">
        <v>0</v>
      </c>
      <c r="F5147" s="22">
        <v>45715.8104166667</v>
      </c>
      <c r="G5147" s="22">
        <v>45733.3651273148</v>
      </c>
      <c r="H5147" s="23">
        <v>12.1</v>
      </c>
      <c r="I5147" s="23">
        <v>12.1</v>
      </c>
      <c r="J5147" s="24">
        <v>0</v>
      </c>
      <c r="K5147" s="21">
        <v>0</v>
      </c>
      <c r="L5147" s="21">
        <v>0</v>
      </c>
      <c r="M5147" s="21">
        <f>COUNTIF($A$2:$A$5481,A5147)</f>
        <v>1</v>
      </c>
      <c r="N5147" s="24">
        <f t="shared" si="80"/>
        <v>0.0005147</v>
      </c>
    </row>
    <row r="5148" spans="1:14">
      <c r="A5148" s="21" t="s">
        <v>4615</v>
      </c>
      <c r="B5148" s="21" t="s">
        <v>26</v>
      </c>
      <c r="C5148" s="21" t="s">
        <v>26</v>
      </c>
      <c r="D5148" s="21" t="s">
        <v>921</v>
      </c>
      <c r="E5148" s="21">
        <v>7</v>
      </c>
      <c r="F5148" s="22">
        <v>46134.4273032407</v>
      </c>
      <c r="G5148" s="22"/>
      <c r="H5148" s="23">
        <v>1.5</v>
      </c>
      <c r="I5148" s="23">
        <v>1.2</v>
      </c>
      <c r="J5148" s="24">
        <v>8.4</v>
      </c>
      <c r="K5148" s="21">
        <v>0</v>
      </c>
      <c r="L5148" s="21">
        <v>0</v>
      </c>
      <c r="M5148" s="21">
        <f>COUNTIF($A$2:$A$5481,A5148)</f>
        <v>1</v>
      </c>
      <c r="N5148" s="24">
        <f t="shared" si="80"/>
        <v>8.4005148</v>
      </c>
    </row>
    <row r="5149" spans="1:14">
      <c r="A5149" s="21" t="s">
        <v>4616</v>
      </c>
      <c r="B5149" s="21" t="s">
        <v>26</v>
      </c>
      <c r="C5149" s="21" t="s">
        <v>26</v>
      </c>
      <c r="D5149" s="21" t="s">
        <v>921</v>
      </c>
      <c r="E5149" s="21">
        <v>6</v>
      </c>
      <c r="F5149" s="22">
        <v>46013.6269097222</v>
      </c>
      <c r="G5149" s="22"/>
      <c r="H5149" s="23">
        <v>2.86</v>
      </c>
      <c r="I5149" s="23">
        <v>1.4266666667</v>
      </c>
      <c r="J5149" s="24">
        <v>8.58</v>
      </c>
      <c r="K5149" s="21">
        <v>0</v>
      </c>
      <c r="L5149" s="21">
        <v>0</v>
      </c>
      <c r="M5149" s="21">
        <f>COUNTIF($A$2:$A$5481,A5149)</f>
        <v>1</v>
      </c>
      <c r="N5149" s="24">
        <f t="shared" si="80"/>
        <v>8.5805149</v>
      </c>
    </row>
    <row r="5150" spans="1:14">
      <c r="A5150" s="21" t="s">
        <v>4617</v>
      </c>
      <c r="B5150" s="21" t="s">
        <v>920</v>
      </c>
      <c r="C5150" s="21" t="s">
        <v>26</v>
      </c>
      <c r="D5150" s="21" t="s">
        <v>931</v>
      </c>
      <c r="E5150" s="21">
        <v>0</v>
      </c>
      <c r="F5150" s="22">
        <v>45741.6055902778</v>
      </c>
      <c r="G5150" s="22">
        <v>45757.4066087963</v>
      </c>
      <c r="H5150" s="23">
        <v>4.9</v>
      </c>
      <c r="I5150" s="23">
        <v>4.9</v>
      </c>
      <c r="J5150" s="24">
        <v>0</v>
      </c>
      <c r="K5150" s="21">
        <v>0</v>
      </c>
      <c r="L5150" s="21">
        <v>0</v>
      </c>
      <c r="M5150" s="21">
        <f>COUNTIF($A$2:$A$5481,A5150)</f>
        <v>1</v>
      </c>
      <c r="N5150" s="24">
        <f t="shared" si="80"/>
        <v>0.000515</v>
      </c>
    </row>
    <row r="5151" spans="1:14">
      <c r="A5151" s="21" t="s">
        <v>4618</v>
      </c>
      <c r="B5151" s="21" t="s">
        <v>920</v>
      </c>
      <c r="C5151" s="21" t="s">
        <v>35</v>
      </c>
      <c r="D5151" s="21" t="s">
        <v>921</v>
      </c>
      <c r="E5151" s="21">
        <v>0</v>
      </c>
      <c r="F5151" s="22">
        <v>45987.3845601852</v>
      </c>
      <c r="G5151" s="22">
        <v>46007.4199537037</v>
      </c>
      <c r="H5151" s="23">
        <v>9</v>
      </c>
      <c r="I5151" s="23">
        <v>9</v>
      </c>
      <c r="J5151" s="24">
        <v>0</v>
      </c>
      <c r="K5151" s="21">
        <v>0</v>
      </c>
      <c r="L5151" s="21">
        <v>0</v>
      </c>
      <c r="M5151" s="21">
        <f>COUNTIF($A$2:$A$5481,A5151)</f>
        <v>1</v>
      </c>
      <c r="N5151" s="24">
        <f t="shared" si="80"/>
        <v>0.0005151</v>
      </c>
    </row>
    <row r="5152" spans="1:14">
      <c r="A5152" s="21" t="s">
        <v>4619</v>
      </c>
      <c r="B5152" s="21" t="s">
        <v>920</v>
      </c>
      <c r="C5152" s="21" t="s">
        <v>35</v>
      </c>
      <c r="D5152" s="21" t="s">
        <v>921</v>
      </c>
      <c r="E5152" s="21">
        <v>0</v>
      </c>
      <c r="F5152" s="22">
        <v>45890.5066898148</v>
      </c>
      <c r="G5152" s="22">
        <v>45894.7631944444</v>
      </c>
      <c r="H5152" s="23">
        <v>275</v>
      </c>
      <c r="I5152" s="23">
        <v>275</v>
      </c>
      <c r="J5152" s="24">
        <v>0</v>
      </c>
      <c r="K5152" s="21">
        <v>0</v>
      </c>
      <c r="L5152" s="21">
        <v>0</v>
      </c>
      <c r="M5152" s="21">
        <f>COUNTIF($A$2:$A$5481,A5152)</f>
        <v>1</v>
      </c>
      <c r="N5152" s="24">
        <f t="shared" si="80"/>
        <v>0.0005152</v>
      </c>
    </row>
    <row r="5153" spans="1:14">
      <c r="A5153" s="21" t="s">
        <v>4620</v>
      </c>
      <c r="B5153" s="21" t="s">
        <v>26</v>
      </c>
      <c r="C5153" s="21" t="s">
        <v>26</v>
      </c>
      <c r="D5153" s="21" t="s">
        <v>921</v>
      </c>
      <c r="E5153" s="21">
        <v>4</v>
      </c>
      <c r="F5153" s="22">
        <v>45539.3446990741</v>
      </c>
      <c r="G5153" s="22"/>
      <c r="H5153" s="23">
        <v>20</v>
      </c>
      <c r="I5153" s="23">
        <v>21.5</v>
      </c>
      <c r="J5153" s="24">
        <v>86</v>
      </c>
      <c r="K5153" s="21">
        <v>0</v>
      </c>
      <c r="L5153" s="21">
        <v>0</v>
      </c>
      <c r="M5153" s="21">
        <f>COUNTIF($A$2:$A$5481,A5153)</f>
        <v>1</v>
      </c>
      <c r="N5153" s="24">
        <f t="shared" si="80"/>
        <v>86.0005153</v>
      </c>
    </row>
    <row r="5154" spans="1:14">
      <c r="A5154" s="21" t="s">
        <v>4621</v>
      </c>
      <c r="B5154" s="21" t="s">
        <v>920</v>
      </c>
      <c r="C5154" s="21" t="s">
        <v>35</v>
      </c>
      <c r="D5154" s="21" t="s">
        <v>921</v>
      </c>
      <c r="E5154" s="21">
        <v>1</v>
      </c>
      <c r="F5154" s="22">
        <v>46036.5803125</v>
      </c>
      <c r="G5154" s="22"/>
      <c r="H5154" s="23">
        <v>3.3</v>
      </c>
      <c r="I5154" s="23">
        <v>3.3</v>
      </c>
      <c r="J5154" s="24">
        <v>3.3</v>
      </c>
      <c r="K5154" s="21">
        <v>0</v>
      </c>
      <c r="L5154" s="21">
        <v>0</v>
      </c>
      <c r="M5154" s="21">
        <f>COUNTIF($A$2:$A$5481,A5154)</f>
        <v>1</v>
      </c>
      <c r="N5154" s="24">
        <f t="shared" si="80"/>
        <v>3.3005154</v>
      </c>
    </row>
    <row r="5155" spans="1:14">
      <c r="A5155" s="21" t="s">
        <v>4622</v>
      </c>
      <c r="B5155" s="21" t="s">
        <v>26</v>
      </c>
      <c r="C5155" s="21" t="s">
        <v>26</v>
      </c>
      <c r="D5155" s="21" t="s">
        <v>921</v>
      </c>
      <c r="E5155" s="21">
        <v>2</v>
      </c>
      <c r="F5155" s="22">
        <v>45630.3729282407</v>
      </c>
      <c r="G5155" s="22"/>
      <c r="H5155" s="23">
        <v>36</v>
      </c>
      <c r="I5155" s="23">
        <v>18</v>
      </c>
      <c r="J5155" s="24">
        <v>36</v>
      </c>
      <c r="K5155" s="21">
        <v>0</v>
      </c>
      <c r="L5155" s="21">
        <v>0</v>
      </c>
      <c r="M5155" s="21">
        <f>COUNTIF($A$2:$A$5481,A5155)</f>
        <v>1</v>
      </c>
      <c r="N5155" s="24">
        <f t="shared" si="80"/>
        <v>36.0005155</v>
      </c>
    </row>
    <row r="5156" spans="1:14">
      <c r="A5156" s="21" t="s">
        <v>4623</v>
      </c>
      <c r="B5156" s="21" t="s">
        <v>920</v>
      </c>
      <c r="C5156" s="21" t="s">
        <v>26</v>
      </c>
      <c r="D5156" s="21" t="s">
        <v>921</v>
      </c>
      <c r="E5156" s="21">
        <v>1</v>
      </c>
      <c r="F5156" s="22">
        <v>45631.3804050926</v>
      </c>
      <c r="G5156" s="22"/>
      <c r="H5156" s="23">
        <v>19000</v>
      </c>
      <c r="I5156" s="23">
        <v>19000</v>
      </c>
      <c r="J5156" s="24">
        <v>19000</v>
      </c>
      <c r="K5156" s="21">
        <v>0</v>
      </c>
      <c r="L5156" s="21">
        <v>0</v>
      </c>
      <c r="M5156" s="21">
        <f>COUNTIF($A$2:$A$5481,A5156)</f>
        <v>1</v>
      </c>
      <c r="N5156" s="24">
        <f t="shared" si="80"/>
        <v>19000.0005156</v>
      </c>
    </row>
    <row r="5157" spans="1:14">
      <c r="A5157" s="21" t="s">
        <v>4624</v>
      </c>
      <c r="B5157" s="21" t="s">
        <v>920</v>
      </c>
      <c r="C5157" s="21" t="s">
        <v>35</v>
      </c>
      <c r="D5157" s="21" t="s">
        <v>931</v>
      </c>
      <c r="E5157" s="21">
        <v>1</v>
      </c>
      <c r="F5157" s="22">
        <v>45568.367037037</v>
      </c>
      <c r="G5157" s="22">
        <v>45586.8582407407</v>
      </c>
      <c r="H5157" s="23">
        <v>780</v>
      </c>
      <c r="I5157" s="23">
        <v>423.33333</v>
      </c>
      <c r="J5157" s="24">
        <v>423.33</v>
      </c>
      <c r="K5157" s="21">
        <v>0</v>
      </c>
      <c r="L5157" s="21">
        <v>0</v>
      </c>
      <c r="M5157" s="21">
        <f>COUNTIF($A$2:$A$5481,A5157)</f>
        <v>2</v>
      </c>
      <c r="N5157" s="24">
        <f t="shared" si="80"/>
        <v>423.3305157</v>
      </c>
    </row>
    <row r="5158" spans="1:14">
      <c r="A5158" s="21" t="s">
        <v>4624</v>
      </c>
      <c r="B5158" s="21" t="s">
        <v>920</v>
      </c>
      <c r="C5158" s="21" t="s">
        <v>26</v>
      </c>
      <c r="D5158" s="21" t="s">
        <v>931</v>
      </c>
      <c r="E5158" s="21">
        <v>1</v>
      </c>
      <c r="F5158" s="22">
        <v>45608.3592708333</v>
      </c>
      <c r="G5158" s="22">
        <v>45722.5585069444</v>
      </c>
      <c r="H5158" s="23">
        <v>750</v>
      </c>
      <c r="I5158" s="23">
        <v>0</v>
      </c>
      <c r="J5158" s="24">
        <v>0</v>
      </c>
      <c r="K5158" s="21">
        <v>0</v>
      </c>
      <c r="L5158" s="21">
        <v>0</v>
      </c>
      <c r="M5158" s="21">
        <f>COUNTIF($A$2:$A$5481,A5158)</f>
        <v>2</v>
      </c>
      <c r="N5158" s="24">
        <f t="shared" si="80"/>
        <v>0.0005158</v>
      </c>
    </row>
    <row r="5159" spans="1:14">
      <c r="A5159" s="21" t="s">
        <v>4625</v>
      </c>
      <c r="B5159" s="21" t="s">
        <v>920</v>
      </c>
      <c r="C5159" s="21" t="s">
        <v>35</v>
      </c>
      <c r="D5159" s="21" t="s">
        <v>921</v>
      </c>
      <c r="E5159" s="21">
        <v>2</v>
      </c>
      <c r="F5159" s="22">
        <v>46050.6261689815</v>
      </c>
      <c r="G5159" s="22"/>
      <c r="H5159" s="23">
        <v>56</v>
      </c>
      <c r="I5159" s="23">
        <v>28</v>
      </c>
      <c r="J5159" s="24">
        <v>56</v>
      </c>
      <c r="K5159" s="21">
        <v>0</v>
      </c>
      <c r="L5159" s="21">
        <v>0</v>
      </c>
      <c r="M5159" s="21">
        <f>COUNTIF($A$2:$A$5481,A5159)</f>
        <v>1</v>
      </c>
      <c r="N5159" s="24">
        <f t="shared" si="80"/>
        <v>56.0005159</v>
      </c>
    </row>
    <row r="5160" spans="1:14">
      <c r="A5160" s="21" t="s">
        <v>4626</v>
      </c>
      <c r="B5160" s="21" t="s">
        <v>929</v>
      </c>
      <c r="C5160" s="21" t="s">
        <v>26</v>
      </c>
      <c r="D5160" s="21" t="s">
        <v>921</v>
      </c>
      <c r="E5160" s="21">
        <v>1</v>
      </c>
      <c r="F5160" s="22">
        <v>45345.4347222222</v>
      </c>
      <c r="G5160" s="22"/>
      <c r="H5160" s="23">
        <v>87.3</v>
      </c>
      <c r="I5160" s="23">
        <v>87.3</v>
      </c>
      <c r="J5160" s="24">
        <v>87.3</v>
      </c>
      <c r="K5160" s="21">
        <v>0</v>
      </c>
      <c r="L5160" s="21">
        <v>0</v>
      </c>
      <c r="M5160" s="21">
        <f>COUNTIF($A$2:$A$5481,A5160)</f>
        <v>1</v>
      </c>
      <c r="N5160" s="24">
        <f t="shared" si="80"/>
        <v>87.300516</v>
      </c>
    </row>
    <row r="5161" spans="1:14">
      <c r="A5161" s="21" t="s">
        <v>4627</v>
      </c>
      <c r="B5161" s="21" t="s">
        <v>929</v>
      </c>
      <c r="C5161" s="21" t="s">
        <v>414</v>
      </c>
      <c r="D5161" s="21" t="s">
        <v>921</v>
      </c>
      <c r="E5161" s="21">
        <v>0</v>
      </c>
      <c r="F5161" s="22">
        <v>45308.8273726852</v>
      </c>
      <c r="G5161" s="22">
        <v>45310.4119675926</v>
      </c>
      <c r="H5161" s="23">
        <v>36.7</v>
      </c>
      <c r="I5161" s="23">
        <v>36.7</v>
      </c>
      <c r="J5161" s="24">
        <v>0</v>
      </c>
      <c r="K5161" s="21">
        <v>0</v>
      </c>
      <c r="L5161" s="21">
        <v>0</v>
      </c>
      <c r="M5161" s="21">
        <f>COUNTIF($A$2:$A$5481,A5161)</f>
        <v>1</v>
      </c>
      <c r="N5161" s="24">
        <f t="shared" si="80"/>
        <v>0.0005161</v>
      </c>
    </row>
    <row r="5162" spans="1:14">
      <c r="A5162" s="21" t="s">
        <v>4628</v>
      </c>
      <c r="B5162" s="21" t="s">
        <v>920</v>
      </c>
      <c r="C5162" s="21" t="s">
        <v>35</v>
      </c>
      <c r="D5162" s="21" t="s">
        <v>921</v>
      </c>
      <c r="E5162" s="21">
        <v>0</v>
      </c>
      <c r="F5162" s="22">
        <v>45383.5657291667</v>
      </c>
      <c r="G5162" s="22">
        <v>45895.4361226852</v>
      </c>
      <c r="H5162" s="23">
        <v>65.91</v>
      </c>
      <c r="I5162" s="23">
        <v>65.91</v>
      </c>
      <c r="J5162" s="24">
        <v>0</v>
      </c>
      <c r="K5162" s="21">
        <v>0</v>
      </c>
      <c r="L5162" s="21">
        <v>0</v>
      </c>
      <c r="M5162" s="21">
        <f>COUNTIF($A$2:$A$5481,A5162)</f>
        <v>1</v>
      </c>
      <c r="N5162" s="24">
        <f t="shared" si="80"/>
        <v>0.0005162</v>
      </c>
    </row>
    <row r="5163" spans="1:14">
      <c r="A5163" s="21" t="s">
        <v>4629</v>
      </c>
      <c r="B5163" s="21" t="s">
        <v>920</v>
      </c>
      <c r="C5163" s="21" t="s">
        <v>35</v>
      </c>
      <c r="D5163" s="21" t="s">
        <v>921</v>
      </c>
      <c r="E5163" s="21">
        <v>1</v>
      </c>
      <c r="F5163" s="22">
        <v>45887.8147800926</v>
      </c>
      <c r="G5163" s="22">
        <v>45890.3603472222</v>
      </c>
      <c r="H5163" s="23">
        <v>2948.46</v>
      </c>
      <c r="I5163" s="23">
        <v>1474.23</v>
      </c>
      <c r="J5163" s="24">
        <v>1474.23</v>
      </c>
      <c r="K5163" s="21">
        <v>0</v>
      </c>
      <c r="L5163" s="21">
        <v>0</v>
      </c>
      <c r="M5163" s="21">
        <f>COUNTIF($A$2:$A$5481,A5163)</f>
        <v>1</v>
      </c>
      <c r="N5163" s="24">
        <f t="shared" si="80"/>
        <v>1474.2305163</v>
      </c>
    </row>
    <row r="5164" spans="1:14">
      <c r="A5164" s="21" t="s">
        <v>4630</v>
      </c>
      <c r="B5164" s="21" t="s">
        <v>920</v>
      </c>
      <c r="C5164" s="21" t="s">
        <v>35</v>
      </c>
      <c r="D5164" s="21" t="s">
        <v>931</v>
      </c>
      <c r="E5164" s="21">
        <v>0</v>
      </c>
      <c r="F5164" s="22">
        <v>45448.609849537</v>
      </c>
      <c r="G5164" s="22">
        <v>45449.8233912037</v>
      </c>
      <c r="H5164" s="23">
        <v>520</v>
      </c>
      <c r="I5164" s="23">
        <v>260</v>
      </c>
      <c r="J5164" s="24">
        <v>0</v>
      </c>
      <c r="K5164" s="21">
        <v>0</v>
      </c>
      <c r="L5164" s="21">
        <v>0</v>
      </c>
      <c r="M5164" s="21">
        <f>COUNTIF($A$2:$A$5481,A5164)</f>
        <v>1</v>
      </c>
      <c r="N5164" s="24">
        <f t="shared" si="80"/>
        <v>0.0005164</v>
      </c>
    </row>
    <row r="5165" spans="1:14">
      <c r="A5165" s="21" t="s">
        <v>541</v>
      </c>
      <c r="B5165" s="21" t="s">
        <v>920</v>
      </c>
      <c r="C5165" s="21" t="s">
        <v>26</v>
      </c>
      <c r="D5165" s="21" t="s">
        <v>921</v>
      </c>
      <c r="E5165" s="21">
        <v>1</v>
      </c>
      <c r="F5165" s="22">
        <v>46251.7095138889</v>
      </c>
      <c r="G5165" s="22">
        <v>46266.7036689815</v>
      </c>
      <c r="H5165" s="23">
        <v>1038</v>
      </c>
      <c r="I5165" s="23">
        <v>508</v>
      </c>
      <c r="J5165" s="24">
        <v>508</v>
      </c>
      <c r="K5165" s="21">
        <v>0</v>
      </c>
      <c r="L5165" s="21">
        <v>0</v>
      </c>
      <c r="M5165" s="21">
        <f>COUNTIF($A$2:$A$5481,A5165)</f>
        <v>1</v>
      </c>
      <c r="N5165" s="24">
        <f t="shared" si="80"/>
        <v>508.0005165</v>
      </c>
    </row>
    <row r="5166" spans="1:14">
      <c r="A5166" s="21" t="s">
        <v>249</v>
      </c>
      <c r="B5166" s="21" t="s">
        <v>920</v>
      </c>
      <c r="C5166" s="21" t="s">
        <v>35</v>
      </c>
      <c r="D5166" s="21" t="s">
        <v>921</v>
      </c>
      <c r="E5166" s="21">
        <v>0</v>
      </c>
      <c r="F5166" s="22">
        <v>45355.6034837963</v>
      </c>
      <c r="G5166" s="22">
        <v>45404.8597916667</v>
      </c>
      <c r="H5166" s="23">
        <v>2116</v>
      </c>
      <c r="I5166" s="23">
        <v>529</v>
      </c>
      <c r="J5166" s="24">
        <v>0</v>
      </c>
      <c r="K5166" s="21">
        <v>0</v>
      </c>
      <c r="L5166" s="21">
        <v>10</v>
      </c>
      <c r="M5166" s="21">
        <f>COUNTIF($A$2:$A$5481,A5166)</f>
        <v>2</v>
      </c>
      <c r="N5166" s="24">
        <f t="shared" si="80"/>
        <v>0.0005166</v>
      </c>
    </row>
    <row r="5167" spans="1:14">
      <c r="A5167" s="21" t="s">
        <v>249</v>
      </c>
      <c r="B5167" s="21" t="s">
        <v>920</v>
      </c>
      <c r="C5167" s="21" t="s">
        <v>26</v>
      </c>
      <c r="D5167" s="21" t="s">
        <v>921</v>
      </c>
      <c r="E5167" s="21">
        <v>0</v>
      </c>
      <c r="F5167" s="22">
        <v>45939.5474537037</v>
      </c>
      <c r="G5167" s="22">
        <v>46065.4526157407</v>
      </c>
      <c r="H5167" s="23">
        <v>1090</v>
      </c>
      <c r="I5167" s="23">
        <v>545</v>
      </c>
      <c r="J5167" s="24">
        <v>0</v>
      </c>
      <c r="K5167" s="21">
        <v>0</v>
      </c>
      <c r="L5167" s="21">
        <v>10</v>
      </c>
      <c r="M5167" s="21">
        <f>COUNTIF($A$2:$A$5481,A5167)</f>
        <v>2</v>
      </c>
      <c r="N5167" s="24">
        <f t="shared" si="80"/>
        <v>0.0005167</v>
      </c>
    </row>
    <row r="5168" spans="1:14">
      <c r="A5168" s="21" t="s">
        <v>4631</v>
      </c>
      <c r="B5168" s="21" t="s">
        <v>920</v>
      </c>
      <c r="C5168" s="21" t="s">
        <v>26</v>
      </c>
      <c r="D5168" s="21" t="s">
        <v>921</v>
      </c>
      <c r="E5168" s="21">
        <v>2</v>
      </c>
      <c r="F5168" s="22">
        <v>46105.5930555556</v>
      </c>
      <c r="G5168" s="22"/>
      <c r="H5168" s="23">
        <v>89.8</v>
      </c>
      <c r="I5168" s="23">
        <v>44.9</v>
      </c>
      <c r="J5168" s="24">
        <v>89.8</v>
      </c>
      <c r="K5168" s="21">
        <v>0</v>
      </c>
      <c r="L5168" s="21">
        <v>0</v>
      </c>
      <c r="M5168" s="21">
        <f>COUNTIF($A$2:$A$5481,A5168)</f>
        <v>1</v>
      </c>
      <c r="N5168" s="24">
        <f t="shared" si="80"/>
        <v>89.8005168</v>
      </c>
    </row>
    <row r="5169" spans="1:14">
      <c r="A5169" s="21" t="s">
        <v>4632</v>
      </c>
      <c r="B5169" s="21" t="s">
        <v>920</v>
      </c>
      <c r="C5169" s="21" t="s">
        <v>35</v>
      </c>
      <c r="D5169" s="21" t="s">
        <v>921</v>
      </c>
      <c r="E5169" s="21">
        <v>1</v>
      </c>
      <c r="F5169" s="22">
        <v>45573.7962268519</v>
      </c>
      <c r="G5169" s="22">
        <v>45596.441712963</v>
      </c>
      <c r="H5169" s="23">
        <v>504</v>
      </c>
      <c r="I5169" s="23">
        <v>252</v>
      </c>
      <c r="J5169" s="24">
        <v>252</v>
      </c>
      <c r="K5169" s="21">
        <v>0</v>
      </c>
      <c r="L5169" s="21">
        <v>0</v>
      </c>
      <c r="M5169" s="21">
        <f>COUNTIF($A$2:$A$5481,A5169)</f>
        <v>1</v>
      </c>
      <c r="N5169" s="24">
        <f t="shared" si="80"/>
        <v>252.0005169</v>
      </c>
    </row>
    <row r="5170" spans="1:14">
      <c r="A5170" s="21" t="s">
        <v>319</v>
      </c>
      <c r="B5170" s="21" t="s">
        <v>920</v>
      </c>
      <c r="C5170" s="21" t="s">
        <v>26</v>
      </c>
      <c r="D5170" s="21" t="s">
        <v>921</v>
      </c>
      <c r="E5170" s="21">
        <v>2</v>
      </c>
      <c r="F5170" s="22">
        <v>46099.5987152778</v>
      </c>
      <c r="G5170" s="22">
        <v>46099.5996296296</v>
      </c>
      <c r="H5170" s="23">
        <v>1454.6</v>
      </c>
      <c r="I5170" s="23">
        <v>363.65</v>
      </c>
      <c r="J5170" s="24">
        <v>727.3</v>
      </c>
      <c r="K5170" s="21">
        <v>3</v>
      </c>
      <c r="L5170" s="21">
        <v>4</v>
      </c>
      <c r="M5170" s="21">
        <f>COUNTIF($A$2:$A$5481,A5170)</f>
        <v>1</v>
      </c>
      <c r="N5170" s="24">
        <f t="shared" si="80"/>
        <v>727.300517</v>
      </c>
    </row>
    <row r="5171" spans="1:14">
      <c r="A5171" s="21" t="s">
        <v>398</v>
      </c>
      <c r="B5171" s="21" t="s">
        <v>920</v>
      </c>
      <c r="C5171" s="21" t="s">
        <v>35</v>
      </c>
      <c r="D5171" s="21" t="s">
        <v>921</v>
      </c>
      <c r="E5171" s="21">
        <v>0</v>
      </c>
      <c r="F5171" s="22">
        <v>45330.3722222222</v>
      </c>
      <c r="G5171" s="22">
        <v>45372.4727083333</v>
      </c>
      <c r="H5171" s="23">
        <v>1256</v>
      </c>
      <c r="I5171" s="23">
        <v>314</v>
      </c>
      <c r="J5171" s="24">
        <v>0</v>
      </c>
      <c r="K5171" s="21">
        <v>0</v>
      </c>
      <c r="L5171" s="21">
        <v>0</v>
      </c>
      <c r="M5171" s="21">
        <f>COUNTIF($A$2:$A$5481,A5171)</f>
        <v>2</v>
      </c>
      <c r="N5171" s="24">
        <f t="shared" si="80"/>
        <v>0.0005171</v>
      </c>
    </row>
    <row r="5172" spans="1:14">
      <c r="A5172" s="21" t="s">
        <v>398</v>
      </c>
      <c r="B5172" s="21" t="s">
        <v>920</v>
      </c>
      <c r="C5172" s="21" t="s">
        <v>26</v>
      </c>
      <c r="D5172" s="21" t="s">
        <v>921</v>
      </c>
      <c r="E5172" s="21">
        <v>2</v>
      </c>
      <c r="F5172" s="22">
        <v>45853.5760185185</v>
      </c>
      <c r="G5172" s="22">
        <v>46181.6666666667</v>
      </c>
      <c r="H5172" s="23">
        <v>698</v>
      </c>
      <c r="I5172" s="23">
        <v>363.9444425</v>
      </c>
      <c r="J5172" s="24">
        <v>727.88</v>
      </c>
      <c r="K5172" s="21">
        <v>0</v>
      </c>
      <c r="L5172" s="21">
        <v>0</v>
      </c>
      <c r="M5172" s="21">
        <f>COUNTIF($A$2:$A$5481,A5172)</f>
        <v>2</v>
      </c>
      <c r="N5172" s="24">
        <f t="shared" si="80"/>
        <v>727.8805172</v>
      </c>
    </row>
    <row r="5173" spans="1:14">
      <c r="A5173" s="21" t="s">
        <v>4633</v>
      </c>
      <c r="B5173" s="21" t="s">
        <v>920</v>
      </c>
      <c r="C5173" s="21" t="s">
        <v>26</v>
      </c>
      <c r="D5173" s="21" t="s">
        <v>921</v>
      </c>
      <c r="E5173" s="21">
        <v>0</v>
      </c>
      <c r="F5173" s="22">
        <v>45467.8321759259</v>
      </c>
      <c r="G5173" s="22">
        <v>45467.8329050926</v>
      </c>
      <c r="H5173" s="23">
        <v>1579.66</v>
      </c>
      <c r="I5173" s="23">
        <v>789.83</v>
      </c>
      <c r="J5173" s="24">
        <v>0</v>
      </c>
      <c r="K5173" s="21">
        <v>0</v>
      </c>
      <c r="L5173" s="21">
        <v>0</v>
      </c>
      <c r="M5173" s="21">
        <f>COUNTIF($A$2:$A$5481,A5173)</f>
        <v>1</v>
      </c>
      <c r="N5173" s="24">
        <f t="shared" si="80"/>
        <v>0.0005173</v>
      </c>
    </row>
    <row r="5174" spans="1:14">
      <c r="A5174" s="21" t="s">
        <v>4634</v>
      </c>
      <c r="B5174" s="21" t="s">
        <v>920</v>
      </c>
      <c r="C5174" s="21" t="s">
        <v>26</v>
      </c>
      <c r="D5174" s="21" t="s">
        <v>921</v>
      </c>
      <c r="E5174" s="21">
        <v>2</v>
      </c>
      <c r="F5174" s="22">
        <v>45596.6025347222</v>
      </c>
      <c r="G5174" s="22">
        <v>45596.6120717593</v>
      </c>
      <c r="H5174" s="23">
        <v>1080</v>
      </c>
      <c r="I5174" s="23">
        <v>270</v>
      </c>
      <c r="J5174" s="24">
        <v>540</v>
      </c>
      <c r="K5174" s="21">
        <v>0</v>
      </c>
      <c r="L5174" s="21">
        <v>0</v>
      </c>
      <c r="M5174" s="21">
        <f>COUNTIF($A$2:$A$5481,A5174)</f>
        <v>1</v>
      </c>
      <c r="N5174" s="24">
        <f t="shared" si="80"/>
        <v>540.0005174</v>
      </c>
    </row>
    <row r="5175" spans="1:14">
      <c r="A5175" s="21" t="s">
        <v>180</v>
      </c>
      <c r="B5175" s="21" t="s">
        <v>920</v>
      </c>
      <c r="C5175" s="21" t="s">
        <v>35</v>
      </c>
      <c r="D5175" s="21" t="s">
        <v>921</v>
      </c>
      <c r="E5175" s="21">
        <v>0</v>
      </c>
      <c r="F5175" s="22">
        <v>45330.3722222222</v>
      </c>
      <c r="G5175" s="22">
        <v>45350.4445833333</v>
      </c>
      <c r="H5175" s="23">
        <v>1658</v>
      </c>
      <c r="I5175" s="23">
        <v>829</v>
      </c>
      <c r="J5175" s="24">
        <v>0</v>
      </c>
      <c r="K5175" s="21">
        <v>0</v>
      </c>
      <c r="L5175" s="21">
        <v>0</v>
      </c>
      <c r="M5175" s="21">
        <f>COUNTIF($A$2:$A$5481,A5175)</f>
        <v>2</v>
      </c>
      <c r="N5175" s="24">
        <f t="shared" si="80"/>
        <v>0.0005175</v>
      </c>
    </row>
    <row r="5176" spans="1:14">
      <c r="A5176" s="21" t="s">
        <v>180</v>
      </c>
      <c r="B5176" s="21" t="s">
        <v>920</v>
      </c>
      <c r="C5176" s="21" t="s">
        <v>26</v>
      </c>
      <c r="D5176" s="21" t="s">
        <v>921</v>
      </c>
      <c r="E5176" s="21">
        <v>1</v>
      </c>
      <c r="F5176" s="22">
        <v>46035.5775462963</v>
      </c>
      <c r="G5176" s="22">
        <v>46042.3933680556</v>
      </c>
      <c r="H5176" s="23">
        <v>1596</v>
      </c>
      <c r="I5176" s="23">
        <v>798</v>
      </c>
      <c r="J5176" s="24">
        <v>798</v>
      </c>
      <c r="K5176" s="21">
        <v>0</v>
      </c>
      <c r="L5176" s="21">
        <v>0</v>
      </c>
      <c r="M5176" s="21">
        <f>COUNTIF($A$2:$A$5481,A5176)</f>
        <v>2</v>
      </c>
      <c r="N5176" s="24">
        <f t="shared" si="80"/>
        <v>798.0005176</v>
      </c>
    </row>
    <row r="5177" spans="1:14">
      <c r="A5177" s="21" t="s">
        <v>4635</v>
      </c>
      <c r="B5177" s="21" t="s">
        <v>920</v>
      </c>
      <c r="C5177" s="21" t="s">
        <v>26</v>
      </c>
      <c r="D5177" s="21" t="s">
        <v>921</v>
      </c>
      <c r="E5177" s="21">
        <v>2</v>
      </c>
      <c r="F5177" s="22">
        <v>45852.5712615741</v>
      </c>
      <c r="G5177" s="22">
        <v>45498.6940856482</v>
      </c>
      <c r="H5177" s="23">
        <v>690</v>
      </c>
      <c r="I5177" s="23">
        <v>345</v>
      </c>
      <c r="J5177" s="24">
        <v>690</v>
      </c>
      <c r="K5177" s="21">
        <v>0</v>
      </c>
      <c r="L5177" s="21">
        <v>0</v>
      </c>
      <c r="M5177" s="21">
        <f>COUNTIF($A$2:$A$5481,A5177)</f>
        <v>1</v>
      </c>
      <c r="N5177" s="24">
        <f t="shared" si="80"/>
        <v>690.0005177</v>
      </c>
    </row>
    <row r="5178" spans="1:14">
      <c r="A5178" s="21" t="s">
        <v>4636</v>
      </c>
      <c r="B5178" s="21" t="s">
        <v>920</v>
      </c>
      <c r="C5178" s="21" t="s">
        <v>35</v>
      </c>
      <c r="D5178" s="21" t="s">
        <v>931</v>
      </c>
      <c r="E5178" s="21">
        <v>1</v>
      </c>
      <c r="F5178" s="22">
        <v>45412.4132175926</v>
      </c>
      <c r="G5178" s="22"/>
      <c r="H5178" s="23">
        <v>1048.67</v>
      </c>
      <c r="I5178" s="23">
        <v>1048.67</v>
      </c>
      <c r="J5178" s="24">
        <v>1048.67</v>
      </c>
      <c r="K5178" s="21">
        <v>0</v>
      </c>
      <c r="L5178" s="21">
        <v>0</v>
      </c>
      <c r="M5178" s="21">
        <f>COUNTIF($A$2:$A$5481,A5178)</f>
        <v>1</v>
      </c>
      <c r="N5178" s="24">
        <f t="shared" si="80"/>
        <v>1048.6705178</v>
      </c>
    </row>
    <row r="5179" spans="1:14">
      <c r="A5179" s="21" t="s">
        <v>4637</v>
      </c>
      <c r="B5179" s="21" t="s">
        <v>920</v>
      </c>
      <c r="C5179" s="21" t="s">
        <v>35</v>
      </c>
      <c r="D5179" s="21" t="s">
        <v>931</v>
      </c>
      <c r="E5179" s="21">
        <v>0</v>
      </c>
      <c r="F5179" s="22">
        <v>45435.4240046296</v>
      </c>
      <c r="G5179" s="22">
        <v>45446.4274189815</v>
      </c>
      <c r="H5179" s="23">
        <v>985.75</v>
      </c>
      <c r="I5179" s="23">
        <v>0</v>
      </c>
      <c r="J5179" s="24">
        <v>0</v>
      </c>
      <c r="K5179" s="21">
        <v>0</v>
      </c>
      <c r="L5179" s="21">
        <v>0</v>
      </c>
      <c r="M5179" s="21">
        <f>COUNTIF($A$2:$A$5481,A5179)</f>
        <v>1</v>
      </c>
      <c r="N5179" s="24">
        <f t="shared" si="80"/>
        <v>0.0005179</v>
      </c>
    </row>
    <row r="5180" spans="1:14">
      <c r="A5180" s="21" t="s">
        <v>4638</v>
      </c>
      <c r="B5180" s="21" t="s">
        <v>920</v>
      </c>
      <c r="C5180" s="21" t="s">
        <v>35</v>
      </c>
      <c r="D5180" s="21" t="s">
        <v>921</v>
      </c>
      <c r="E5180" s="21">
        <v>2</v>
      </c>
      <c r="F5180" s="22">
        <v>45573.7962268519</v>
      </c>
      <c r="G5180" s="22"/>
      <c r="H5180" s="23">
        <v>690</v>
      </c>
      <c r="I5180" s="23">
        <v>345</v>
      </c>
      <c r="J5180" s="24">
        <v>690</v>
      </c>
      <c r="K5180" s="21">
        <v>0</v>
      </c>
      <c r="L5180" s="21">
        <v>0</v>
      </c>
      <c r="M5180" s="21">
        <f>COUNTIF($A$2:$A$5481,A5180)</f>
        <v>1</v>
      </c>
      <c r="N5180" s="24">
        <f t="shared" si="80"/>
        <v>690.000518</v>
      </c>
    </row>
    <row r="5181" spans="1:14">
      <c r="A5181" s="21" t="s">
        <v>4639</v>
      </c>
      <c r="B5181" s="21" t="s">
        <v>920</v>
      </c>
      <c r="C5181" s="21" t="s">
        <v>35</v>
      </c>
      <c r="D5181" s="21" t="s">
        <v>931</v>
      </c>
      <c r="E5181" s="21">
        <v>0</v>
      </c>
      <c r="F5181" s="22">
        <v>45448.609849537</v>
      </c>
      <c r="G5181" s="22">
        <v>45449.8234027778</v>
      </c>
      <c r="H5181" s="23">
        <v>832</v>
      </c>
      <c r="I5181" s="23">
        <v>416</v>
      </c>
      <c r="J5181" s="24">
        <v>0</v>
      </c>
      <c r="K5181" s="21">
        <v>0</v>
      </c>
      <c r="L5181" s="21">
        <v>0</v>
      </c>
      <c r="M5181" s="21">
        <f>COUNTIF($A$2:$A$5481,A5181)</f>
        <v>1</v>
      </c>
      <c r="N5181" s="24">
        <f t="shared" si="80"/>
        <v>0.0005181</v>
      </c>
    </row>
    <row r="5182" spans="1:14">
      <c r="A5182" s="21" t="s">
        <v>4640</v>
      </c>
      <c r="B5182" s="21" t="s">
        <v>949</v>
      </c>
      <c r="C5182" s="21" t="s">
        <v>26</v>
      </c>
      <c r="D5182" s="21" t="s">
        <v>921</v>
      </c>
      <c r="E5182" s="21">
        <v>0</v>
      </c>
      <c r="F5182" s="22">
        <v>45330.39375</v>
      </c>
      <c r="G5182" s="22">
        <v>45331.4111342593</v>
      </c>
      <c r="H5182" s="23">
        <v>9.9</v>
      </c>
      <c r="I5182" s="23">
        <v>9.9</v>
      </c>
      <c r="J5182" s="24">
        <v>0</v>
      </c>
      <c r="K5182" s="21">
        <v>0</v>
      </c>
      <c r="L5182" s="21">
        <v>0</v>
      </c>
      <c r="M5182" s="21">
        <f>COUNTIF($A$2:$A$5481,A5182)</f>
        <v>1</v>
      </c>
      <c r="N5182" s="24">
        <f t="shared" si="80"/>
        <v>0.0005182</v>
      </c>
    </row>
    <row r="5183" spans="1:14">
      <c r="A5183" s="21" t="s">
        <v>4641</v>
      </c>
      <c r="B5183" s="21" t="s">
        <v>929</v>
      </c>
      <c r="C5183" s="21" t="s">
        <v>26</v>
      </c>
      <c r="D5183" s="21" t="s">
        <v>921</v>
      </c>
      <c r="E5183" s="21">
        <v>1</v>
      </c>
      <c r="F5183" s="22">
        <v>45702.8305671296</v>
      </c>
      <c r="G5183" s="22"/>
      <c r="H5183" s="23">
        <v>57.64</v>
      </c>
      <c r="I5183" s="23">
        <v>57.64</v>
      </c>
      <c r="J5183" s="24">
        <v>57.64</v>
      </c>
      <c r="K5183" s="21">
        <v>0</v>
      </c>
      <c r="L5183" s="21">
        <v>0</v>
      </c>
      <c r="M5183" s="21">
        <f>COUNTIF($A$2:$A$5481,A5183)</f>
        <v>1</v>
      </c>
      <c r="N5183" s="24">
        <f t="shared" si="80"/>
        <v>57.6405183</v>
      </c>
    </row>
    <row r="5184" spans="1:14">
      <c r="A5184" s="21" t="s">
        <v>4642</v>
      </c>
      <c r="B5184" s="21" t="s">
        <v>920</v>
      </c>
      <c r="C5184" s="21" t="s">
        <v>26</v>
      </c>
      <c r="D5184" s="21" t="s">
        <v>931</v>
      </c>
      <c r="E5184" s="21">
        <v>19</v>
      </c>
      <c r="F5184" s="22">
        <v>45860.4713541667</v>
      </c>
      <c r="G5184" s="22"/>
      <c r="H5184" s="23">
        <v>759.06</v>
      </c>
      <c r="I5184" s="23">
        <v>41.68316</v>
      </c>
      <c r="J5184" s="24">
        <v>791.92</v>
      </c>
      <c r="K5184" s="21">
        <v>0</v>
      </c>
      <c r="L5184" s="21">
        <v>0</v>
      </c>
      <c r="M5184" s="21">
        <f>COUNTIF($A$2:$A$5481,A5184)</f>
        <v>1</v>
      </c>
      <c r="N5184" s="24">
        <f t="shared" si="80"/>
        <v>791.9205184</v>
      </c>
    </row>
    <row r="5185" spans="1:14">
      <c r="A5185" s="21" t="s">
        <v>4643</v>
      </c>
      <c r="B5185" s="21" t="s">
        <v>929</v>
      </c>
      <c r="C5185" s="21" t="s">
        <v>26</v>
      </c>
      <c r="D5185" s="21" t="s">
        <v>1309</v>
      </c>
      <c r="E5185" s="21">
        <v>6</v>
      </c>
      <c r="F5185" s="22">
        <v>45926.574849537</v>
      </c>
      <c r="G5185" s="22"/>
      <c r="H5185" s="23">
        <v>101.87</v>
      </c>
      <c r="I5185" s="23">
        <v>101.87</v>
      </c>
      <c r="J5185" s="24">
        <v>611.22</v>
      </c>
      <c r="K5185" s="21">
        <v>0</v>
      </c>
      <c r="L5185" s="21">
        <v>0</v>
      </c>
      <c r="M5185" s="21">
        <f>COUNTIF($A$2:$A$5481,A5185)</f>
        <v>1</v>
      </c>
      <c r="N5185" s="24">
        <f t="shared" si="80"/>
        <v>611.2205185</v>
      </c>
    </row>
    <row r="5186" spans="1:14">
      <c r="A5186" s="21" t="s">
        <v>4644</v>
      </c>
      <c r="B5186" s="21" t="s">
        <v>920</v>
      </c>
      <c r="C5186" s="21" t="s">
        <v>35</v>
      </c>
      <c r="D5186" s="21" t="s">
        <v>921</v>
      </c>
      <c r="E5186" s="21">
        <v>7.3</v>
      </c>
      <c r="F5186" s="22">
        <v>45384.5842939815</v>
      </c>
      <c r="G5186" s="22"/>
      <c r="H5186" s="23">
        <v>317.55</v>
      </c>
      <c r="I5186" s="23">
        <v>43.5</v>
      </c>
      <c r="J5186" s="24">
        <v>317.55</v>
      </c>
      <c r="K5186" s="21">
        <v>0</v>
      </c>
      <c r="L5186" s="21">
        <v>0</v>
      </c>
      <c r="M5186" s="21">
        <f>COUNTIF($A$2:$A$5481,A5186)</f>
        <v>1</v>
      </c>
      <c r="N5186" s="24">
        <f t="shared" ref="N5186:N5249" si="81">J5186+ROW()/10000000</f>
        <v>317.5505186</v>
      </c>
    </row>
    <row r="5187" spans="1:14">
      <c r="A5187" s="21" t="s">
        <v>4645</v>
      </c>
      <c r="B5187" s="21" t="s">
        <v>920</v>
      </c>
      <c r="C5187" s="21" t="s">
        <v>26</v>
      </c>
      <c r="D5187" s="21" t="s">
        <v>921</v>
      </c>
      <c r="E5187" s="21">
        <v>47</v>
      </c>
      <c r="F5187" s="22">
        <v>45705.6323726852</v>
      </c>
      <c r="G5187" s="22"/>
      <c r="H5187" s="23">
        <v>276.507</v>
      </c>
      <c r="I5187" s="23">
        <v>41.64038</v>
      </c>
      <c r="J5187" s="24">
        <v>1957.08</v>
      </c>
      <c r="K5187" s="21">
        <v>0</v>
      </c>
      <c r="L5187" s="21">
        <v>0</v>
      </c>
      <c r="M5187" s="21">
        <f>COUNTIF($A$2:$A$5481,A5187)</f>
        <v>1</v>
      </c>
      <c r="N5187" s="24">
        <f t="shared" si="81"/>
        <v>1957.0805187</v>
      </c>
    </row>
    <row r="5188" spans="1:14">
      <c r="A5188" s="21" t="s">
        <v>4646</v>
      </c>
      <c r="B5188" s="21" t="s">
        <v>929</v>
      </c>
      <c r="C5188" s="21" t="s">
        <v>26</v>
      </c>
      <c r="D5188" s="21" t="s">
        <v>921</v>
      </c>
      <c r="E5188" s="21">
        <v>5</v>
      </c>
      <c r="F5188" s="22">
        <v>46171.5930092593</v>
      </c>
      <c r="G5188" s="22"/>
      <c r="H5188" s="23">
        <v>64.1</v>
      </c>
      <c r="I5188" s="23">
        <v>12.82</v>
      </c>
      <c r="J5188" s="24">
        <v>64.1</v>
      </c>
      <c r="K5188" s="21">
        <v>0</v>
      </c>
      <c r="L5188" s="21">
        <v>0</v>
      </c>
      <c r="M5188" s="21">
        <f>COUNTIF($A$2:$A$5481,A5188)</f>
        <v>1</v>
      </c>
      <c r="N5188" s="24">
        <f t="shared" si="81"/>
        <v>64.1005188</v>
      </c>
    </row>
    <row r="5189" spans="1:14">
      <c r="A5189" s="21" t="s">
        <v>4647</v>
      </c>
      <c r="B5189" s="21" t="s">
        <v>929</v>
      </c>
      <c r="C5189" s="21" t="s">
        <v>26</v>
      </c>
      <c r="D5189" s="21" t="s">
        <v>921</v>
      </c>
      <c r="E5189" s="21">
        <v>20</v>
      </c>
      <c r="F5189" s="22">
        <v>46171.5930092593</v>
      </c>
      <c r="G5189" s="22"/>
      <c r="H5189" s="23">
        <v>138.8</v>
      </c>
      <c r="I5189" s="23">
        <v>6.94</v>
      </c>
      <c r="J5189" s="24">
        <v>138.8</v>
      </c>
      <c r="K5189" s="21">
        <v>0</v>
      </c>
      <c r="L5189" s="21">
        <v>0</v>
      </c>
      <c r="M5189" s="21">
        <f>COUNTIF($A$2:$A$5481,A5189)</f>
        <v>1</v>
      </c>
      <c r="N5189" s="24">
        <f t="shared" si="81"/>
        <v>138.8005189</v>
      </c>
    </row>
    <row r="5190" spans="1:14">
      <c r="A5190" s="21" t="s">
        <v>4648</v>
      </c>
      <c r="B5190" s="21" t="s">
        <v>929</v>
      </c>
      <c r="C5190" s="21" t="s">
        <v>414</v>
      </c>
      <c r="D5190" s="21" t="s">
        <v>921</v>
      </c>
      <c r="E5190" s="21">
        <v>1</v>
      </c>
      <c r="F5190" s="22">
        <v>45320.5867708333</v>
      </c>
      <c r="G5190" s="22"/>
      <c r="H5190" s="23">
        <v>1855</v>
      </c>
      <c r="I5190" s="23">
        <v>1855</v>
      </c>
      <c r="J5190" s="24">
        <v>1855</v>
      </c>
      <c r="K5190" s="21">
        <v>0</v>
      </c>
      <c r="L5190" s="21">
        <v>0</v>
      </c>
      <c r="M5190" s="21">
        <f>COUNTIF($A$2:$A$5481,A5190)</f>
        <v>1</v>
      </c>
      <c r="N5190" s="24">
        <f t="shared" si="81"/>
        <v>1855.000519</v>
      </c>
    </row>
    <row r="5191" spans="1:14">
      <c r="A5191" s="21" t="s">
        <v>558</v>
      </c>
      <c r="B5191" s="21" t="s">
        <v>920</v>
      </c>
      <c r="C5191" s="21" t="s">
        <v>26</v>
      </c>
      <c r="D5191" s="21" t="s">
        <v>921</v>
      </c>
      <c r="E5191" s="21">
        <v>0</v>
      </c>
      <c r="F5191" s="22">
        <v>46031.6041203704</v>
      </c>
      <c r="G5191" s="22">
        <v>46251.7415162037</v>
      </c>
      <c r="H5191" s="23">
        <v>70</v>
      </c>
      <c r="I5191" s="23">
        <v>7</v>
      </c>
      <c r="J5191" s="24">
        <v>0</v>
      </c>
      <c r="K5191" s="21">
        <v>0</v>
      </c>
      <c r="L5191" s="21">
        <v>0</v>
      </c>
      <c r="M5191" s="21">
        <f>COUNTIF($A$2:$A$5481,A5191)</f>
        <v>1</v>
      </c>
      <c r="N5191" s="24">
        <f t="shared" si="81"/>
        <v>0.0005191</v>
      </c>
    </row>
    <row r="5192" spans="1:14">
      <c r="A5192" s="21" t="s">
        <v>275</v>
      </c>
      <c r="B5192" s="21" t="s">
        <v>920</v>
      </c>
      <c r="C5192" s="21" t="s">
        <v>35</v>
      </c>
      <c r="D5192" s="21" t="s">
        <v>921</v>
      </c>
      <c r="E5192" s="21">
        <v>1</v>
      </c>
      <c r="F5192" s="22">
        <v>46050.6261689815</v>
      </c>
      <c r="G5192" s="22">
        <v>46073.434224537</v>
      </c>
      <c r="H5192" s="23">
        <v>2114.69</v>
      </c>
      <c r="I5192" s="23">
        <v>1903.5</v>
      </c>
      <c r="J5192" s="24">
        <v>1903.5</v>
      </c>
      <c r="K5192" s="21">
        <v>0</v>
      </c>
      <c r="L5192" s="21">
        <v>0</v>
      </c>
      <c r="M5192" s="21">
        <f>COUNTIF($A$2:$A$5481,A5192)</f>
        <v>1</v>
      </c>
      <c r="N5192" s="24">
        <f t="shared" si="81"/>
        <v>1903.5005192</v>
      </c>
    </row>
    <row r="5193" spans="1:14">
      <c r="A5193" s="21" t="s">
        <v>4649</v>
      </c>
      <c r="B5193" s="21" t="s">
        <v>929</v>
      </c>
      <c r="C5193" s="21" t="s">
        <v>26</v>
      </c>
      <c r="D5193" s="21" t="s">
        <v>931</v>
      </c>
      <c r="E5193" s="21">
        <v>3</v>
      </c>
      <c r="F5193" s="22">
        <v>46058.7084837963</v>
      </c>
      <c r="G5193" s="22"/>
      <c r="H5193" s="23">
        <v>65</v>
      </c>
      <c r="I5193" s="23">
        <v>56.6133333333</v>
      </c>
      <c r="J5193" s="24">
        <v>169.83</v>
      </c>
      <c r="K5193" s="21">
        <v>0</v>
      </c>
      <c r="L5193" s="21">
        <v>0</v>
      </c>
      <c r="M5193" s="21">
        <f>COUNTIF($A$2:$A$5481,A5193)</f>
        <v>1</v>
      </c>
      <c r="N5193" s="24">
        <f t="shared" si="81"/>
        <v>169.8305193</v>
      </c>
    </row>
    <row r="5194" spans="1:14">
      <c r="A5194" s="21" t="s">
        <v>4650</v>
      </c>
      <c r="B5194" s="21" t="s">
        <v>26</v>
      </c>
      <c r="C5194" s="21" t="s">
        <v>26</v>
      </c>
      <c r="D5194" s="21" t="s">
        <v>921</v>
      </c>
      <c r="E5194" s="21">
        <v>1</v>
      </c>
      <c r="F5194" s="22">
        <v>45484.4440277778</v>
      </c>
      <c r="G5194" s="22"/>
      <c r="H5194" s="23">
        <v>46.9</v>
      </c>
      <c r="I5194" s="23">
        <v>46.9</v>
      </c>
      <c r="J5194" s="24">
        <v>46.9</v>
      </c>
      <c r="K5194" s="21">
        <v>0</v>
      </c>
      <c r="L5194" s="21">
        <v>0</v>
      </c>
      <c r="M5194" s="21">
        <f>COUNTIF($A$2:$A$5481,A5194)</f>
        <v>1</v>
      </c>
      <c r="N5194" s="24">
        <f t="shared" si="81"/>
        <v>46.9005194</v>
      </c>
    </row>
    <row r="5195" spans="1:14">
      <c r="A5195" s="21" t="s">
        <v>4651</v>
      </c>
      <c r="B5195" s="21" t="s">
        <v>26</v>
      </c>
      <c r="C5195" s="21" t="s">
        <v>26</v>
      </c>
      <c r="D5195" s="21" t="s">
        <v>921</v>
      </c>
      <c r="E5195" s="21">
        <v>1</v>
      </c>
      <c r="F5195" s="22">
        <v>45645.3929398148</v>
      </c>
      <c r="G5195" s="22"/>
      <c r="H5195" s="23">
        <v>46.73</v>
      </c>
      <c r="I5195" s="23">
        <v>46.73</v>
      </c>
      <c r="J5195" s="24">
        <v>46.73</v>
      </c>
      <c r="K5195" s="21">
        <v>0</v>
      </c>
      <c r="L5195" s="21">
        <v>0</v>
      </c>
      <c r="M5195" s="21">
        <f>COUNTIF($A$2:$A$5481,A5195)</f>
        <v>1</v>
      </c>
      <c r="N5195" s="24">
        <f t="shared" si="81"/>
        <v>46.7305195</v>
      </c>
    </row>
    <row r="5196" spans="1:14">
      <c r="A5196" s="21" t="s">
        <v>4652</v>
      </c>
      <c r="B5196" s="21" t="s">
        <v>920</v>
      </c>
      <c r="C5196" s="21" t="s">
        <v>26</v>
      </c>
      <c r="D5196" s="21" t="s">
        <v>931</v>
      </c>
      <c r="E5196" s="21">
        <v>1</v>
      </c>
      <c r="F5196" s="22">
        <v>45400.3475462963</v>
      </c>
      <c r="G5196" s="22"/>
      <c r="H5196" s="23">
        <v>146</v>
      </c>
      <c r="I5196" s="23">
        <v>146</v>
      </c>
      <c r="J5196" s="24">
        <v>146</v>
      </c>
      <c r="K5196" s="21">
        <v>0</v>
      </c>
      <c r="L5196" s="21">
        <v>0</v>
      </c>
      <c r="M5196" s="21">
        <f>COUNTIF($A$2:$A$5481,A5196)</f>
        <v>1</v>
      </c>
      <c r="N5196" s="24">
        <f t="shared" si="81"/>
        <v>146.0005196</v>
      </c>
    </row>
    <row r="5197" spans="1:14">
      <c r="A5197" s="21" t="s">
        <v>4653</v>
      </c>
      <c r="B5197" s="21" t="s">
        <v>920</v>
      </c>
      <c r="C5197" s="21" t="s">
        <v>26</v>
      </c>
      <c r="D5197" s="21" t="s">
        <v>931</v>
      </c>
      <c r="E5197" s="21">
        <v>5</v>
      </c>
      <c r="F5197" s="22">
        <v>45618.5573958333</v>
      </c>
      <c r="G5197" s="22"/>
      <c r="H5197" s="23">
        <v>102</v>
      </c>
      <c r="I5197" s="23">
        <v>79.346</v>
      </c>
      <c r="J5197" s="24">
        <v>396.75</v>
      </c>
      <c r="K5197" s="21">
        <v>0</v>
      </c>
      <c r="L5197" s="21">
        <v>0</v>
      </c>
      <c r="M5197" s="21">
        <f>COUNTIF($A$2:$A$5481,A5197)</f>
        <v>1</v>
      </c>
      <c r="N5197" s="24">
        <f t="shared" si="81"/>
        <v>396.7505197</v>
      </c>
    </row>
    <row r="5198" spans="1:14">
      <c r="A5198" s="21" t="s">
        <v>769</v>
      </c>
      <c r="B5198" s="21" t="s">
        <v>920</v>
      </c>
      <c r="C5198" s="21" t="s">
        <v>26</v>
      </c>
      <c r="D5198" s="21" t="s">
        <v>931</v>
      </c>
      <c r="E5198" s="21">
        <v>0</v>
      </c>
      <c r="F5198" s="22">
        <v>45429.4224189815</v>
      </c>
      <c r="G5198" s="22">
        <v>46252.6096990741</v>
      </c>
      <c r="H5198" s="23">
        <v>50.35</v>
      </c>
      <c r="I5198" s="23">
        <v>50.35</v>
      </c>
      <c r="J5198" s="24">
        <v>0</v>
      </c>
      <c r="K5198" s="21">
        <v>0</v>
      </c>
      <c r="L5198" s="21">
        <v>0</v>
      </c>
      <c r="M5198" s="21">
        <f>COUNTIF($A$2:$A$5481,A5198)</f>
        <v>1</v>
      </c>
      <c r="N5198" s="24">
        <f t="shared" si="81"/>
        <v>0.0005198</v>
      </c>
    </row>
    <row r="5199" spans="1:14">
      <c r="A5199" s="21" t="s">
        <v>4654</v>
      </c>
      <c r="B5199" s="21" t="s">
        <v>920</v>
      </c>
      <c r="C5199" s="21" t="s">
        <v>26</v>
      </c>
      <c r="D5199" s="21" t="s">
        <v>921</v>
      </c>
      <c r="E5199" s="21">
        <v>1</v>
      </c>
      <c r="F5199" s="22">
        <v>45567.8273032407</v>
      </c>
      <c r="G5199" s="22"/>
      <c r="H5199" s="23">
        <v>97.45</v>
      </c>
      <c r="I5199" s="23">
        <v>97.45</v>
      </c>
      <c r="J5199" s="24">
        <v>97.45</v>
      </c>
      <c r="K5199" s="21">
        <v>0</v>
      </c>
      <c r="L5199" s="21">
        <v>0</v>
      </c>
      <c r="M5199" s="21">
        <f>COUNTIF($A$2:$A$5481,A5199)</f>
        <v>1</v>
      </c>
      <c r="N5199" s="24">
        <f t="shared" si="81"/>
        <v>97.4505199</v>
      </c>
    </row>
    <row r="5200" spans="1:14">
      <c r="A5200" s="21" t="s">
        <v>4655</v>
      </c>
      <c r="B5200" s="21" t="s">
        <v>26</v>
      </c>
      <c r="C5200" s="21" t="s">
        <v>26</v>
      </c>
      <c r="D5200" s="21" t="s">
        <v>921</v>
      </c>
      <c r="E5200" s="21">
        <v>1</v>
      </c>
      <c r="F5200" s="22">
        <v>46058.7084837963</v>
      </c>
      <c r="G5200" s="22"/>
      <c r="H5200" s="23">
        <v>58.9</v>
      </c>
      <c r="I5200" s="23">
        <v>58.9</v>
      </c>
      <c r="J5200" s="24">
        <v>58.9</v>
      </c>
      <c r="K5200" s="21">
        <v>0</v>
      </c>
      <c r="L5200" s="21">
        <v>0</v>
      </c>
      <c r="M5200" s="21">
        <f>COUNTIF($A$2:$A$5481,A5200)</f>
        <v>1</v>
      </c>
      <c r="N5200" s="24">
        <f t="shared" si="81"/>
        <v>58.90052</v>
      </c>
    </row>
    <row r="5201" spans="1:14">
      <c r="A5201" s="21" t="s">
        <v>4656</v>
      </c>
      <c r="B5201" s="21" t="s">
        <v>26</v>
      </c>
      <c r="C5201" s="21" t="s">
        <v>35</v>
      </c>
      <c r="D5201" s="21" t="s">
        <v>921</v>
      </c>
      <c r="E5201" s="21">
        <v>1</v>
      </c>
      <c r="F5201" s="22">
        <v>45495.355474537</v>
      </c>
      <c r="G5201" s="22"/>
      <c r="H5201" s="23">
        <v>40.9</v>
      </c>
      <c r="I5201" s="23">
        <v>40.9</v>
      </c>
      <c r="J5201" s="24">
        <v>40.9</v>
      </c>
      <c r="K5201" s="21">
        <v>0</v>
      </c>
      <c r="L5201" s="21">
        <v>0</v>
      </c>
      <c r="M5201" s="21">
        <f>COUNTIF($A$2:$A$5481,A5201)</f>
        <v>1</v>
      </c>
      <c r="N5201" s="24">
        <f t="shared" si="81"/>
        <v>40.9005201</v>
      </c>
    </row>
    <row r="5202" spans="1:14">
      <c r="A5202" s="21" t="s">
        <v>4657</v>
      </c>
      <c r="B5202" s="21" t="s">
        <v>26</v>
      </c>
      <c r="C5202" s="21" t="s">
        <v>26</v>
      </c>
      <c r="D5202" s="21" t="s">
        <v>921</v>
      </c>
      <c r="E5202" s="21">
        <v>1</v>
      </c>
      <c r="F5202" s="22">
        <v>45593.3604861111</v>
      </c>
      <c r="G5202" s="22"/>
      <c r="H5202" s="23">
        <v>97.45</v>
      </c>
      <c r="I5202" s="23">
        <v>97.45</v>
      </c>
      <c r="J5202" s="24">
        <v>97.45</v>
      </c>
      <c r="K5202" s="21">
        <v>0</v>
      </c>
      <c r="L5202" s="21">
        <v>0</v>
      </c>
      <c r="M5202" s="21">
        <f>COUNTIF($A$2:$A$5481,A5202)</f>
        <v>1</v>
      </c>
      <c r="N5202" s="24">
        <f t="shared" si="81"/>
        <v>97.4505202</v>
      </c>
    </row>
    <row r="5203" spans="1:14">
      <c r="A5203" s="21" t="s">
        <v>4658</v>
      </c>
      <c r="B5203" s="21" t="s">
        <v>920</v>
      </c>
      <c r="C5203" s="21" t="s">
        <v>26</v>
      </c>
      <c r="D5203" s="21" t="s">
        <v>921</v>
      </c>
      <c r="E5203" s="21">
        <v>1</v>
      </c>
      <c r="F5203" s="22">
        <v>45460.8425694444</v>
      </c>
      <c r="G5203" s="22"/>
      <c r="H5203" s="23">
        <v>86.2</v>
      </c>
      <c r="I5203" s="23">
        <v>86.2</v>
      </c>
      <c r="J5203" s="24">
        <v>86.2</v>
      </c>
      <c r="K5203" s="21">
        <v>0</v>
      </c>
      <c r="L5203" s="21">
        <v>0</v>
      </c>
      <c r="M5203" s="21">
        <f>COUNTIF($A$2:$A$5481,A5203)</f>
        <v>1</v>
      </c>
      <c r="N5203" s="24">
        <f t="shared" si="81"/>
        <v>86.2005203</v>
      </c>
    </row>
    <row r="5204" spans="1:14">
      <c r="A5204" s="21" t="s">
        <v>766</v>
      </c>
      <c r="B5204" s="21" t="s">
        <v>920</v>
      </c>
      <c r="C5204" s="21" t="s">
        <v>26</v>
      </c>
      <c r="D5204" s="21" t="s">
        <v>921</v>
      </c>
      <c r="E5204" s="21">
        <v>0</v>
      </c>
      <c r="F5204" s="22">
        <v>45420.85</v>
      </c>
      <c r="G5204" s="22">
        <v>46252.6096643519</v>
      </c>
      <c r="H5204" s="23">
        <v>99.81</v>
      </c>
      <c r="I5204" s="23">
        <v>99.81</v>
      </c>
      <c r="J5204" s="24">
        <v>0</v>
      </c>
      <c r="K5204" s="21">
        <v>0</v>
      </c>
      <c r="L5204" s="21">
        <v>0</v>
      </c>
      <c r="M5204" s="21">
        <f>COUNTIF($A$2:$A$5481,A5204)</f>
        <v>1</v>
      </c>
      <c r="N5204" s="24">
        <f t="shared" si="81"/>
        <v>0.0005204</v>
      </c>
    </row>
    <row r="5205" spans="1:14">
      <c r="A5205" s="21" t="s">
        <v>765</v>
      </c>
      <c r="B5205" s="21" t="s">
        <v>1394</v>
      </c>
      <c r="C5205" s="21" t="s">
        <v>26</v>
      </c>
      <c r="D5205" s="21" t="s">
        <v>921</v>
      </c>
      <c r="E5205" s="21">
        <v>0</v>
      </c>
      <c r="F5205" s="22">
        <v>45428.4715277778</v>
      </c>
      <c r="G5205" s="22">
        <v>46252.6096527778</v>
      </c>
      <c r="H5205" s="23">
        <v>232</v>
      </c>
      <c r="I5205" s="23">
        <v>233.5</v>
      </c>
      <c r="J5205" s="24">
        <v>0</v>
      </c>
      <c r="K5205" s="21">
        <v>0</v>
      </c>
      <c r="L5205" s="21">
        <v>0</v>
      </c>
      <c r="M5205" s="21">
        <f>COUNTIF($A$2:$A$5481,A5205)</f>
        <v>1</v>
      </c>
      <c r="N5205" s="24">
        <f t="shared" si="81"/>
        <v>0.0005205</v>
      </c>
    </row>
    <row r="5206" spans="1:14">
      <c r="A5206" s="21" t="s">
        <v>4659</v>
      </c>
      <c r="B5206" s="21" t="s">
        <v>920</v>
      </c>
      <c r="C5206" s="21" t="s">
        <v>182</v>
      </c>
      <c r="D5206" s="21" t="s">
        <v>921</v>
      </c>
      <c r="E5206" s="21">
        <v>1</v>
      </c>
      <c r="F5206" s="22">
        <v>45421.4209027778</v>
      </c>
      <c r="G5206" s="22"/>
      <c r="H5206" s="23">
        <v>83.78</v>
      </c>
      <c r="I5206" s="23">
        <v>83.78</v>
      </c>
      <c r="J5206" s="24">
        <v>83.78</v>
      </c>
      <c r="K5206" s="21">
        <v>0</v>
      </c>
      <c r="L5206" s="21">
        <v>0</v>
      </c>
      <c r="M5206" s="21">
        <f>COUNTIF($A$2:$A$5481,A5206)</f>
        <v>1</v>
      </c>
      <c r="N5206" s="24">
        <f t="shared" si="81"/>
        <v>83.7805206</v>
      </c>
    </row>
    <row r="5207" spans="1:14">
      <c r="A5207" s="21" t="s">
        <v>4660</v>
      </c>
      <c r="B5207" s="21" t="s">
        <v>949</v>
      </c>
      <c r="C5207" s="21" t="s">
        <v>182</v>
      </c>
      <c r="D5207" s="21" t="s">
        <v>1584</v>
      </c>
      <c r="E5207" s="21">
        <v>0</v>
      </c>
      <c r="F5207" s="22">
        <v>45307.3745601852</v>
      </c>
      <c r="G5207" s="22">
        <v>45310.4238773148</v>
      </c>
      <c r="H5207" s="23">
        <v>189.9</v>
      </c>
      <c r="I5207" s="23">
        <v>189.9</v>
      </c>
      <c r="J5207" s="24">
        <v>0</v>
      </c>
      <c r="K5207" s="21">
        <v>0</v>
      </c>
      <c r="L5207" s="21">
        <v>0</v>
      </c>
      <c r="M5207" s="21">
        <f>COUNTIF($A$2:$A$5481,A5207)</f>
        <v>1</v>
      </c>
      <c r="N5207" s="24">
        <f t="shared" si="81"/>
        <v>0.0005207</v>
      </c>
    </row>
    <row r="5208" spans="1:14">
      <c r="A5208" s="21" t="s">
        <v>4661</v>
      </c>
      <c r="B5208" s="21" t="s">
        <v>26</v>
      </c>
      <c r="C5208" s="21" t="s">
        <v>26</v>
      </c>
      <c r="D5208" s="21" t="s">
        <v>921</v>
      </c>
      <c r="E5208" s="21">
        <v>4</v>
      </c>
      <c r="F5208" s="22">
        <v>46120.3576388889</v>
      </c>
      <c r="G5208" s="22"/>
      <c r="H5208" s="23">
        <v>6.74</v>
      </c>
      <c r="I5208" s="23">
        <v>5.5775</v>
      </c>
      <c r="J5208" s="24">
        <v>22.32</v>
      </c>
      <c r="K5208" s="21">
        <v>0</v>
      </c>
      <c r="L5208" s="21">
        <v>0</v>
      </c>
      <c r="M5208" s="21">
        <f>COUNTIF($A$2:$A$5481,A5208)</f>
        <v>1</v>
      </c>
      <c r="N5208" s="24">
        <f t="shared" si="81"/>
        <v>22.3205208</v>
      </c>
    </row>
    <row r="5209" spans="1:14">
      <c r="A5209" s="21" t="s">
        <v>4662</v>
      </c>
      <c r="B5209" s="21" t="s">
        <v>948</v>
      </c>
      <c r="C5209" s="21" t="s">
        <v>26</v>
      </c>
      <c r="D5209" s="21" t="s">
        <v>1584</v>
      </c>
      <c r="E5209" s="21">
        <v>1</v>
      </c>
      <c r="F5209" s="22">
        <v>45420.3631944444</v>
      </c>
      <c r="G5209" s="22"/>
      <c r="H5209" s="23">
        <v>26.5</v>
      </c>
      <c r="I5209" s="23">
        <v>26.5</v>
      </c>
      <c r="J5209" s="24">
        <v>26.5</v>
      </c>
      <c r="K5209" s="21">
        <v>0</v>
      </c>
      <c r="L5209" s="21">
        <v>0</v>
      </c>
      <c r="M5209" s="21">
        <f>COUNTIF($A$2:$A$5481,A5209)</f>
        <v>1</v>
      </c>
      <c r="N5209" s="24">
        <f t="shared" si="81"/>
        <v>26.5005209</v>
      </c>
    </row>
    <row r="5210" spans="1:14">
      <c r="A5210" s="21" t="s">
        <v>4663</v>
      </c>
      <c r="B5210" s="21" t="s">
        <v>949</v>
      </c>
      <c r="C5210" s="21" t="s">
        <v>182</v>
      </c>
      <c r="D5210" s="21" t="s">
        <v>921</v>
      </c>
      <c r="E5210" s="21">
        <v>0</v>
      </c>
      <c r="F5210" s="22">
        <v>45307.3745601852</v>
      </c>
      <c r="G5210" s="22">
        <v>45310.423912037</v>
      </c>
      <c r="H5210" s="23">
        <v>48.42</v>
      </c>
      <c r="I5210" s="23">
        <v>2.69</v>
      </c>
      <c r="J5210" s="24">
        <v>0</v>
      </c>
      <c r="K5210" s="21">
        <v>0</v>
      </c>
      <c r="L5210" s="21">
        <v>0</v>
      </c>
      <c r="M5210" s="21">
        <f>COUNTIF($A$2:$A$5481,A5210)</f>
        <v>2</v>
      </c>
      <c r="N5210" s="24">
        <f t="shared" si="81"/>
        <v>0.000521</v>
      </c>
    </row>
    <row r="5211" spans="1:14">
      <c r="A5211" s="21" t="s">
        <v>4663</v>
      </c>
      <c r="B5211" s="21" t="s">
        <v>949</v>
      </c>
      <c r="C5211" s="21" t="s">
        <v>26</v>
      </c>
      <c r="D5211" s="21" t="s">
        <v>921</v>
      </c>
      <c r="E5211" s="21">
        <v>11</v>
      </c>
      <c r="F5211" s="22">
        <v>45338.3729166667</v>
      </c>
      <c r="G5211" s="22">
        <v>45324.4903356481</v>
      </c>
      <c r="H5211" s="23">
        <v>32.89</v>
      </c>
      <c r="I5211" s="23">
        <v>2.99</v>
      </c>
      <c r="J5211" s="24">
        <v>32.89</v>
      </c>
      <c r="K5211" s="21">
        <v>0</v>
      </c>
      <c r="L5211" s="21">
        <v>0</v>
      </c>
      <c r="M5211" s="21">
        <f>COUNTIF($A$2:$A$5481,A5211)</f>
        <v>2</v>
      </c>
      <c r="N5211" s="24">
        <f t="shared" si="81"/>
        <v>32.8905211</v>
      </c>
    </row>
    <row r="5212" spans="1:14">
      <c r="A5212" s="21" t="s">
        <v>440</v>
      </c>
      <c r="B5212" s="21" t="s">
        <v>926</v>
      </c>
      <c r="C5212" s="21" t="s">
        <v>26</v>
      </c>
      <c r="D5212" s="21" t="s">
        <v>921</v>
      </c>
      <c r="E5212" s="21">
        <v>0</v>
      </c>
      <c r="F5212" s="22">
        <v>45901.763900463</v>
      </c>
      <c r="G5212" s="22">
        <v>46252.4608680556</v>
      </c>
      <c r="H5212" s="23">
        <v>106.8</v>
      </c>
      <c r="I5212" s="23">
        <v>8.9</v>
      </c>
      <c r="J5212" s="24">
        <v>0</v>
      </c>
      <c r="K5212" s="21">
        <v>0</v>
      </c>
      <c r="L5212" s="21">
        <v>0</v>
      </c>
      <c r="M5212" s="21">
        <f>COUNTIF($A$2:$A$5481,A5212)</f>
        <v>1</v>
      </c>
      <c r="N5212" s="24">
        <f t="shared" si="81"/>
        <v>0.0005212</v>
      </c>
    </row>
    <row r="5213" spans="1:14">
      <c r="A5213" s="21" t="s">
        <v>830</v>
      </c>
      <c r="B5213" s="21" t="s">
        <v>926</v>
      </c>
      <c r="C5213" s="21" t="s">
        <v>26</v>
      </c>
      <c r="D5213" s="21" t="s">
        <v>921</v>
      </c>
      <c r="E5213" s="21">
        <v>4</v>
      </c>
      <c r="F5213" s="22">
        <v>46191.6926851852</v>
      </c>
      <c r="G5213" s="22">
        <v>46265.6097337963</v>
      </c>
      <c r="H5213" s="23">
        <v>908.7</v>
      </c>
      <c r="I5213" s="23">
        <v>181.74</v>
      </c>
      <c r="J5213" s="24">
        <v>726.96</v>
      </c>
      <c r="K5213" s="21">
        <v>0</v>
      </c>
      <c r="L5213" s="21">
        <v>0</v>
      </c>
      <c r="M5213" s="21">
        <f>COUNTIF($A$2:$A$5481,A5213)</f>
        <v>1</v>
      </c>
      <c r="N5213" s="24">
        <f t="shared" si="81"/>
        <v>726.9605213</v>
      </c>
    </row>
    <row r="5214" spans="1:14">
      <c r="A5214" s="21" t="s">
        <v>625</v>
      </c>
      <c r="B5214" s="21" t="s">
        <v>926</v>
      </c>
      <c r="C5214" s="21" t="s">
        <v>26</v>
      </c>
      <c r="D5214" s="21" t="s">
        <v>921</v>
      </c>
      <c r="E5214" s="21">
        <v>0</v>
      </c>
      <c r="F5214" s="22">
        <v>46209.6648611111</v>
      </c>
      <c r="G5214" s="22">
        <v>46252.4608564815</v>
      </c>
      <c r="H5214" s="23">
        <v>70</v>
      </c>
      <c r="I5214" s="23">
        <v>70</v>
      </c>
      <c r="J5214" s="24">
        <v>0</v>
      </c>
      <c r="K5214" s="21">
        <v>0</v>
      </c>
      <c r="L5214" s="21">
        <v>0</v>
      </c>
      <c r="M5214" s="21">
        <f>COUNTIF($A$2:$A$5481,A5214)</f>
        <v>1</v>
      </c>
      <c r="N5214" s="24">
        <f t="shared" si="81"/>
        <v>0.0005214</v>
      </c>
    </row>
    <row r="5215" spans="1:14">
      <c r="A5215" s="21" t="s">
        <v>623</v>
      </c>
      <c r="B5215" s="21" t="s">
        <v>926</v>
      </c>
      <c r="C5215" s="21" t="s">
        <v>38</v>
      </c>
      <c r="D5215" s="21" t="s">
        <v>921</v>
      </c>
      <c r="E5215" s="21">
        <v>42</v>
      </c>
      <c r="F5215" s="22">
        <v>45987.5967939815</v>
      </c>
      <c r="G5215" s="22">
        <v>45932.3780671296</v>
      </c>
      <c r="H5215" s="23">
        <v>580.2</v>
      </c>
      <c r="I5215" s="23">
        <v>73.147755</v>
      </c>
      <c r="J5215" s="24">
        <v>3072.3</v>
      </c>
      <c r="K5215" s="21">
        <v>0</v>
      </c>
      <c r="L5215" s="21">
        <v>0</v>
      </c>
      <c r="M5215" s="21">
        <f>COUNTIF($A$2:$A$5481,A5215)</f>
        <v>3</v>
      </c>
      <c r="N5215" s="24">
        <f t="shared" si="81"/>
        <v>3072.3005215</v>
      </c>
    </row>
    <row r="5216" spans="1:14">
      <c r="A5216" s="21" t="s">
        <v>623</v>
      </c>
      <c r="B5216" s="21" t="s">
        <v>926</v>
      </c>
      <c r="C5216" s="21" t="s">
        <v>26</v>
      </c>
      <c r="D5216" s="21" t="s">
        <v>921</v>
      </c>
      <c r="E5216" s="21">
        <v>4</v>
      </c>
      <c r="F5216" s="22">
        <v>46129.3618055556</v>
      </c>
      <c r="G5216" s="22">
        <v>46252.4608333333</v>
      </c>
      <c r="H5216" s="23">
        <v>458</v>
      </c>
      <c r="I5216" s="23">
        <v>57.25</v>
      </c>
      <c r="J5216" s="24">
        <v>229</v>
      </c>
      <c r="K5216" s="21">
        <v>0</v>
      </c>
      <c r="L5216" s="21">
        <v>0</v>
      </c>
      <c r="M5216" s="21">
        <f>COUNTIF($A$2:$A$5481,A5216)</f>
        <v>3</v>
      </c>
      <c r="N5216" s="24">
        <f t="shared" si="81"/>
        <v>229.0005216</v>
      </c>
    </row>
    <row r="5217" spans="1:14">
      <c r="A5217" s="21" t="s">
        <v>623</v>
      </c>
      <c r="B5217" s="21" t="s">
        <v>926</v>
      </c>
      <c r="C5217" s="21" t="s">
        <v>182</v>
      </c>
      <c r="D5217" s="21" t="s">
        <v>921</v>
      </c>
      <c r="E5217" s="21">
        <v>8</v>
      </c>
      <c r="F5217" s="22">
        <v>46136.6605671296</v>
      </c>
      <c r="G5217" s="22"/>
      <c r="H5217" s="23">
        <v>410.88</v>
      </c>
      <c r="I5217" s="23">
        <v>51.36</v>
      </c>
      <c r="J5217" s="24">
        <v>410.88</v>
      </c>
      <c r="K5217" s="21">
        <v>0</v>
      </c>
      <c r="L5217" s="21">
        <v>0</v>
      </c>
      <c r="M5217" s="21">
        <f>COUNTIF($A$2:$A$5481,A5217)</f>
        <v>3</v>
      </c>
      <c r="N5217" s="24">
        <f t="shared" si="81"/>
        <v>410.8805217</v>
      </c>
    </row>
    <row r="5218" spans="1:14">
      <c r="A5218" s="21" t="s">
        <v>621</v>
      </c>
      <c r="B5218" s="21" t="s">
        <v>26</v>
      </c>
      <c r="C5218" s="21" t="s">
        <v>26</v>
      </c>
      <c r="D5218" s="21" t="s">
        <v>921</v>
      </c>
      <c r="E5218" s="21">
        <v>0</v>
      </c>
      <c r="F5218" s="22">
        <v>45833.4474189815</v>
      </c>
      <c r="G5218" s="22">
        <v>46252.4607986111</v>
      </c>
      <c r="H5218" s="23">
        <v>7.18</v>
      </c>
      <c r="I5218" s="23">
        <v>3.59</v>
      </c>
      <c r="J5218" s="24">
        <v>0</v>
      </c>
      <c r="K5218" s="21">
        <v>0</v>
      </c>
      <c r="L5218" s="21">
        <v>0</v>
      </c>
      <c r="M5218" s="21">
        <f>COUNTIF($A$2:$A$5481,A5218)</f>
        <v>1</v>
      </c>
      <c r="N5218" s="24">
        <f t="shared" si="81"/>
        <v>0.0005218</v>
      </c>
    </row>
    <row r="5219" spans="1:14">
      <c r="A5219" s="21" t="s">
        <v>4664</v>
      </c>
      <c r="B5219" s="21" t="s">
        <v>926</v>
      </c>
      <c r="C5219" s="21" t="s">
        <v>26</v>
      </c>
      <c r="D5219" s="21" t="s">
        <v>921</v>
      </c>
      <c r="E5219" s="21">
        <v>24</v>
      </c>
      <c r="F5219" s="22">
        <v>45701.5819907407</v>
      </c>
      <c r="G5219" s="22"/>
      <c r="H5219" s="23">
        <v>117.6</v>
      </c>
      <c r="I5219" s="23">
        <v>4.9</v>
      </c>
      <c r="J5219" s="24">
        <v>117.6</v>
      </c>
      <c r="K5219" s="21">
        <v>0</v>
      </c>
      <c r="L5219" s="21">
        <v>0</v>
      </c>
      <c r="M5219" s="21">
        <f>COUNTIF($A$2:$A$5481,A5219)</f>
        <v>1</v>
      </c>
      <c r="N5219" s="24">
        <f t="shared" si="81"/>
        <v>117.6005219</v>
      </c>
    </row>
    <row r="5220" spans="1:14">
      <c r="A5220" s="21" t="s">
        <v>205</v>
      </c>
      <c r="B5220" s="21" t="s">
        <v>920</v>
      </c>
      <c r="C5220" s="21" t="s">
        <v>35</v>
      </c>
      <c r="D5220" s="21" t="s">
        <v>921</v>
      </c>
      <c r="E5220" s="21">
        <v>0</v>
      </c>
      <c r="F5220" s="22">
        <v>46036.5803125</v>
      </c>
      <c r="G5220" s="22">
        <v>46050.4412384259</v>
      </c>
      <c r="H5220" s="23">
        <v>198</v>
      </c>
      <c r="I5220" s="23">
        <v>198</v>
      </c>
      <c r="J5220" s="24">
        <v>0</v>
      </c>
      <c r="K5220" s="21">
        <v>0</v>
      </c>
      <c r="L5220" s="21">
        <v>0</v>
      </c>
      <c r="M5220" s="21">
        <f>COUNTIF($A$2:$A$5481,A5220)</f>
        <v>1</v>
      </c>
      <c r="N5220" s="24">
        <f t="shared" si="81"/>
        <v>0.000522</v>
      </c>
    </row>
    <row r="5221" spans="1:14">
      <c r="A5221" s="21" t="s">
        <v>332</v>
      </c>
      <c r="B5221" s="21" t="s">
        <v>920</v>
      </c>
      <c r="C5221" s="21" t="s">
        <v>35</v>
      </c>
      <c r="D5221" s="21" t="s">
        <v>921</v>
      </c>
      <c r="E5221" s="21">
        <v>1</v>
      </c>
      <c r="F5221" s="22">
        <v>45516.7368055556</v>
      </c>
      <c r="G5221" s="22">
        <v>46120.5650462963</v>
      </c>
      <c r="H5221" s="23">
        <v>580</v>
      </c>
      <c r="I5221" s="23">
        <v>290</v>
      </c>
      <c r="J5221" s="24">
        <v>290</v>
      </c>
      <c r="K5221" s="21">
        <v>0</v>
      </c>
      <c r="L5221" s="21">
        <v>0</v>
      </c>
      <c r="M5221" s="21">
        <f>COUNTIF($A$2:$A$5481,A5221)</f>
        <v>1</v>
      </c>
      <c r="N5221" s="24">
        <f t="shared" si="81"/>
        <v>290.0005221</v>
      </c>
    </row>
    <row r="5222" spans="1:14">
      <c r="A5222" s="21" t="s">
        <v>274</v>
      </c>
      <c r="B5222" s="21" t="s">
        <v>920</v>
      </c>
      <c r="C5222" s="21" t="s">
        <v>35</v>
      </c>
      <c r="D5222" s="21" t="s">
        <v>921</v>
      </c>
      <c r="E5222" s="21">
        <v>1</v>
      </c>
      <c r="F5222" s="22">
        <v>46050.6261689815</v>
      </c>
      <c r="G5222" s="22">
        <v>46073.434212963</v>
      </c>
      <c r="H5222" s="23">
        <v>3023.48</v>
      </c>
      <c r="I5222" s="23">
        <v>2542.09</v>
      </c>
      <c r="J5222" s="24">
        <v>2542.09</v>
      </c>
      <c r="K5222" s="21">
        <v>0</v>
      </c>
      <c r="L5222" s="21">
        <v>0</v>
      </c>
      <c r="M5222" s="21">
        <f>COUNTIF($A$2:$A$5481,A5222)</f>
        <v>1</v>
      </c>
      <c r="N5222" s="24">
        <f t="shared" si="81"/>
        <v>2542.0905222</v>
      </c>
    </row>
    <row r="5223" spans="1:14">
      <c r="A5223" s="21" t="s">
        <v>293</v>
      </c>
      <c r="B5223" s="21" t="s">
        <v>920</v>
      </c>
      <c r="C5223" s="21" t="s">
        <v>35</v>
      </c>
      <c r="D5223" s="21" t="s">
        <v>921</v>
      </c>
      <c r="E5223" s="21">
        <v>0</v>
      </c>
      <c r="F5223" s="22">
        <v>45390.6048611111</v>
      </c>
      <c r="G5223" s="22">
        <v>45393.8701388889</v>
      </c>
      <c r="H5223" s="23">
        <v>647.17</v>
      </c>
      <c r="I5223" s="23">
        <v>647.17</v>
      </c>
      <c r="J5223" s="24">
        <v>0</v>
      </c>
      <c r="K5223" s="21">
        <v>0</v>
      </c>
      <c r="L5223" s="21">
        <v>0</v>
      </c>
      <c r="M5223" s="21">
        <f>COUNTIF($A$2:$A$5481,A5223)</f>
        <v>2</v>
      </c>
      <c r="N5223" s="24">
        <f t="shared" si="81"/>
        <v>0.0005223</v>
      </c>
    </row>
    <row r="5224" spans="1:14">
      <c r="A5224" s="21" t="s">
        <v>293</v>
      </c>
      <c r="B5224" s="21" t="s">
        <v>920</v>
      </c>
      <c r="C5224" s="21" t="s">
        <v>26</v>
      </c>
      <c r="D5224" s="21" t="s">
        <v>921</v>
      </c>
      <c r="E5224" s="21">
        <v>0</v>
      </c>
      <c r="F5224" s="22">
        <v>46062.3520601852</v>
      </c>
      <c r="G5224" s="22">
        <v>46090.4147453704</v>
      </c>
      <c r="H5224" s="23">
        <v>750</v>
      </c>
      <c r="I5224" s="23">
        <v>750</v>
      </c>
      <c r="J5224" s="24">
        <v>0</v>
      </c>
      <c r="K5224" s="21">
        <v>0</v>
      </c>
      <c r="L5224" s="21">
        <v>0</v>
      </c>
      <c r="M5224" s="21">
        <f>COUNTIF($A$2:$A$5481,A5224)</f>
        <v>2</v>
      </c>
      <c r="N5224" s="24">
        <f t="shared" si="81"/>
        <v>0.0005224</v>
      </c>
    </row>
    <row r="5225" spans="1:14">
      <c r="A5225" s="21" t="s">
        <v>224</v>
      </c>
      <c r="B5225" s="21" t="s">
        <v>920</v>
      </c>
      <c r="C5225" s="21" t="s">
        <v>26</v>
      </c>
      <c r="D5225" s="21" t="s">
        <v>921</v>
      </c>
      <c r="E5225" s="21">
        <v>0</v>
      </c>
      <c r="F5225" s="22">
        <v>45953.3736458333</v>
      </c>
      <c r="G5225" s="22">
        <v>46099.6609490741</v>
      </c>
      <c r="H5225" s="23">
        <v>1500</v>
      </c>
      <c r="I5225" s="23">
        <v>750</v>
      </c>
      <c r="J5225" s="24">
        <v>0</v>
      </c>
      <c r="K5225" s="21">
        <v>0</v>
      </c>
      <c r="L5225" s="21">
        <v>0</v>
      </c>
      <c r="M5225" s="21">
        <f>COUNTIF($A$2:$A$5481,A5225)</f>
        <v>2</v>
      </c>
      <c r="N5225" s="24">
        <f t="shared" si="81"/>
        <v>0.0005225</v>
      </c>
    </row>
    <row r="5226" spans="1:14">
      <c r="A5226" s="21" t="s">
        <v>224</v>
      </c>
      <c r="B5226" s="21" t="s">
        <v>920</v>
      </c>
      <c r="C5226" s="21" t="s">
        <v>35</v>
      </c>
      <c r="D5226" s="21" t="s">
        <v>921</v>
      </c>
      <c r="E5226" s="21">
        <v>3</v>
      </c>
      <c r="F5226" s="22">
        <v>46227.6881944445</v>
      </c>
      <c r="G5226" s="22">
        <v>46225.4145138889</v>
      </c>
      <c r="H5226" s="23">
        <v>860</v>
      </c>
      <c r="I5226" s="23">
        <v>826.6666666667</v>
      </c>
      <c r="J5226" s="24">
        <v>2480.01</v>
      </c>
      <c r="K5226" s="21">
        <v>0</v>
      </c>
      <c r="L5226" s="21">
        <v>0</v>
      </c>
      <c r="M5226" s="21">
        <f>COUNTIF($A$2:$A$5481,A5226)</f>
        <v>2</v>
      </c>
      <c r="N5226" s="24">
        <f t="shared" si="81"/>
        <v>2480.0105226</v>
      </c>
    </row>
    <row r="5227" spans="1:14">
      <c r="A5227" s="21" t="s">
        <v>4665</v>
      </c>
      <c r="B5227" s="21" t="s">
        <v>920</v>
      </c>
      <c r="C5227" s="21" t="s">
        <v>26</v>
      </c>
      <c r="D5227" s="21" t="s">
        <v>921</v>
      </c>
      <c r="E5227" s="21">
        <v>1</v>
      </c>
      <c r="F5227" s="22">
        <v>46155.4388888889</v>
      </c>
      <c r="G5227" s="22"/>
      <c r="H5227" s="23">
        <v>9.9</v>
      </c>
      <c r="I5227" s="23">
        <v>9.9</v>
      </c>
      <c r="J5227" s="24">
        <v>9.9</v>
      </c>
      <c r="K5227" s="21">
        <v>0</v>
      </c>
      <c r="L5227" s="21">
        <v>0</v>
      </c>
      <c r="M5227" s="21">
        <f>COUNTIF($A$2:$A$5481,A5227)</f>
        <v>1</v>
      </c>
      <c r="N5227" s="24">
        <f t="shared" si="81"/>
        <v>9.9005227</v>
      </c>
    </row>
    <row r="5228" spans="1:14">
      <c r="A5228" s="21" t="s">
        <v>4666</v>
      </c>
      <c r="B5228" s="21" t="s">
        <v>920</v>
      </c>
      <c r="C5228" s="21" t="s">
        <v>35</v>
      </c>
      <c r="D5228" s="21" t="s">
        <v>921</v>
      </c>
      <c r="E5228" s="21">
        <v>2</v>
      </c>
      <c r="F5228" s="22">
        <v>45849.3919097222</v>
      </c>
      <c r="G5228" s="22">
        <v>45793.4713888889</v>
      </c>
      <c r="H5228" s="23">
        <v>80</v>
      </c>
      <c r="I5228" s="23">
        <v>40</v>
      </c>
      <c r="J5228" s="24">
        <v>80</v>
      </c>
      <c r="K5228" s="21">
        <v>0</v>
      </c>
      <c r="L5228" s="21">
        <v>0</v>
      </c>
      <c r="M5228" s="21">
        <f>COUNTIF($A$2:$A$5481,A5228)</f>
        <v>1</v>
      </c>
      <c r="N5228" s="24">
        <f t="shared" si="81"/>
        <v>80.0005228</v>
      </c>
    </row>
    <row r="5229" spans="1:14">
      <c r="A5229" s="21" t="s">
        <v>899</v>
      </c>
      <c r="B5229" s="21" t="s">
        <v>920</v>
      </c>
      <c r="C5229" s="21" t="s">
        <v>26</v>
      </c>
      <c r="D5229" s="21" t="s">
        <v>921</v>
      </c>
      <c r="E5229" s="21">
        <v>0</v>
      </c>
      <c r="F5229" s="22">
        <v>46276.3743055556</v>
      </c>
      <c r="G5229" s="22">
        <v>46281.5978240741</v>
      </c>
      <c r="H5229" s="23">
        <v>850</v>
      </c>
      <c r="I5229" s="23">
        <v>850</v>
      </c>
      <c r="J5229" s="24">
        <v>0</v>
      </c>
      <c r="K5229" s="21">
        <v>0</v>
      </c>
      <c r="L5229" s="21">
        <v>0</v>
      </c>
      <c r="M5229" s="21">
        <f>COUNTIF($A$2:$A$5481,A5229)</f>
        <v>1</v>
      </c>
      <c r="N5229" s="24">
        <f t="shared" si="81"/>
        <v>0.0005229</v>
      </c>
    </row>
    <row r="5230" spans="1:14">
      <c r="A5230" s="21" t="s">
        <v>4667</v>
      </c>
      <c r="B5230" s="21" t="s">
        <v>949</v>
      </c>
      <c r="C5230" s="21" t="s">
        <v>182</v>
      </c>
      <c r="D5230" s="21" t="s">
        <v>921</v>
      </c>
      <c r="E5230" s="21">
        <v>0</v>
      </c>
      <c r="F5230" s="22">
        <v>45307.3745601852</v>
      </c>
      <c r="G5230" s="22">
        <v>45310.4238888889</v>
      </c>
      <c r="H5230" s="23">
        <v>27.86</v>
      </c>
      <c r="I5230" s="23">
        <v>1.99</v>
      </c>
      <c r="J5230" s="24">
        <v>0</v>
      </c>
      <c r="K5230" s="21">
        <v>0</v>
      </c>
      <c r="L5230" s="21">
        <v>0</v>
      </c>
      <c r="M5230" s="21">
        <f>COUNTIF($A$2:$A$5481,A5230)</f>
        <v>2</v>
      </c>
      <c r="N5230" s="24">
        <f t="shared" si="81"/>
        <v>0.000523</v>
      </c>
    </row>
    <row r="5231" spans="1:14">
      <c r="A5231" s="21" t="s">
        <v>4667</v>
      </c>
      <c r="B5231" s="21" t="s">
        <v>949</v>
      </c>
      <c r="C5231" s="21" t="s">
        <v>26</v>
      </c>
      <c r="D5231" s="21" t="s">
        <v>921</v>
      </c>
      <c r="E5231" s="21">
        <v>8</v>
      </c>
      <c r="F5231" s="22">
        <v>45338.3729166667</v>
      </c>
      <c r="G5231" s="22">
        <v>45324.4903819444</v>
      </c>
      <c r="H5231" s="23">
        <v>15.92</v>
      </c>
      <c r="I5231" s="23">
        <v>1.99</v>
      </c>
      <c r="J5231" s="24">
        <v>15.92</v>
      </c>
      <c r="K5231" s="21">
        <v>0</v>
      </c>
      <c r="L5231" s="21">
        <v>0</v>
      </c>
      <c r="M5231" s="21">
        <f>COUNTIF($A$2:$A$5481,A5231)</f>
        <v>2</v>
      </c>
      <c r="N5231" s="24">
        <f t="shared" si="81"/>
        <v>15.9205231</v>
      </c>
    </row>
    <row r="5232" spans="1:14">
      <c r="A5232" s="21" t="s">
        <v>4668</v>
      </c>
      <c r="B5232" s="21" t="s">
        <v>26</v>
      </c>
      <c r="C5232" s="21" t="s">
        <v>26</v>
      </c>
      <c r="D5232" s="21" t="s">
        <v>921</v>
      </c>
      <c r="E5232" s="21">
        <v>2</v>
      </c>
      <c r="F5232" s="22">
        <v>46175.5672106482</v>
      </c>
      <c r="G5232" s="22"/>
      <c r="H5232" s="23">
        <v>30</v>
      </c>
      <c r="I5232" s="23">
        <v>30</v>
      </c>
      <c r="J5232" s="24">
        <v>60</v>
      </c>
      <c r="K5232" s="21">
        <v>0</v>
      </c>
      <c r="L5232" s="21">
        <v>0</v>
      </c>
      <c r="M5232" s="21">
        <f>COUNTIF($A$2:$A$5481,A5232)</f>
        <v>1</v>
      </c>
      <c r="N5232" s="24">
        <f t="shared" si="81"/>
        <v>60.0005232</v>
      </c>
    </row>
    <row r="5233" spans="1:14">
      <c r="A5233" s="21" t="s">
        <v>643</v>
      </c>
      <c r="B5233" s="21" t="s">
        <v>948</v>
      </c>
      <c r="C5233" s="21" t="s">
        <v>641</v>
      </c>
      <c r="D5233" s="21" t="s">
        <v>921</v>
      </c>
      <c r="E5233" s="21">
        <v>0</v>
      </c>
      <c r="F5233" s="22">
        <v>45412.312349537</v>
      </c>
      <c r="G5233" s="22">
        <v>46252.4934722222</v>
      </c>
      <c r="H5233" s="23">
        <v>374.06</v>
      </c>
      <c r="I5233" s="23">
        <v>187.03</v>
      </c>
      <c r="J5233" s="24">
        <v>0</v>
      </c>
      <c r="K5233" s="21">
        <v>0</v>
      </c>
      <c r="L5233" s="21">
        <v>0</v>
      </c>
      <c r="M5233" s="21">
        <f>COUNTIF($A$2:$A$5481,A5233)</f>
        <v>1</v>
      </c>
      <c r="N5233" s="24">
        <f t="shared" si="81"/>
        <v>0.0005233</v>
      </c>
    </row>
    <row r="5234" spans="1:14">
      <c r="A5234" s="21" t="s">
        <v>642</v>
      </c>
      <c r="B5234" s="21" t="s">
        <v>948</v>
      </c>
      <c r="C5234" s="21" t="s">
        <v>641</v>
      </c>
      <c r="D5234" s="21" t="s">
        <v>2131</v>
      </c>
      <c r="E5234" s="21">
        <v>0</v>
      </c>
      <c r="F5234" s="22">
        <v>45412.312349537</v>
      </c>
      <c r="G5234" s="22">
        <v>46252.4934606482</v>
      </c>
      <c r="H5234" s="23">
        <v>250.48</v>
      </c>
      <c r="I5234" s="23">
        <v>125.24</v>
      </c>
      <c r="J5234" s="24">
        <v>0</v>
      </c>
      <c r="K5234" s="21">
        <v>0</v>
      </c>
      <c r="L5234" s="21">
        <v>0</v>
      </c>
      <c r="M5234" s="21">
        <f>COUNTIF($A$2:$A$5481,A5234)</f>
        <v>2</v>
      </c>
      <c r="N5234" s="24">
        <f t="shared" si="81"/>
        <v>0.0005234</v>
      </c>
    </row>
    <row r="5235" spans="1:14">
      <c r="A5235" s="21" t="s">
        <v>642</v>
      </c>
      <c r="B5235" s="21" t="s">
        <v>948</v>
      </c>
      <c r="C5235" s="21" t="s">
        <v>26</v>
      </c>
      <c r="D5235" s="21" t="s">
        <v>2131</v>
      </c>
      <c r="E5235" s="21">
        <v>16.03</v>
      </c>
      <c r="F5235" s="22">
        <v>45617.379212963</v>
      </c>
      <c r="G5235" s="22"/>
      <c r="H5235" s="23">
        <v>865.45</v>
      </c>
      <c r="I5235" s="23">
        <v>64.24186</v>
      </c>
      <c r="J5235" s="24">
        <v>1029.7672</v>
      </c>
      <c r="K5235" s="21">
        <v>0</v>
      </c>
      <c r="L5235" s="21">
        <v>0</v>
      </c>
      <c r="M5235" s="21">
        <f>COUNTIF($A$2:$A$5481,A5235)</f>
        <v>2</v>
      </c>
      <c r="N5235" s="24">
        <f t="shared" si="81"/>
        <v>1029.7677235</v>
      </c>
    </row>
    <row r="5236" spans="1:14">
      <c r="A5236" s="21" t="s">
        <v>640</v>
      </c>
      <c r="B5236" s="21" t="s">
        <v>948</v>
      </c>
      <c r="C5236" s="21" t="s">
        <v>641</v>
      </c>
      <c r="D5236" s="21" t="s">
        <v>921</v>
      </c>
      <c r="E5236" s="21">
        <v>0</v>
      </c>
      <c r="F5236" s="22">
        <v>45412.312349537</v>
      </c>
      <c r="G5236" s="22">
        <v>46252.4934490741</v>
      </c>
      <c r="H5236" s="23">
        <v>318.96</v>
      </c>
      <c r="I5236" s="23">
        <v>159.48</v>
      </c>
      <c r="J5236" s="24">
        <v>0</v>
      </c>
      <c r="K5236" s="21">
        <v>0</v>
      </c>
      <c r="L5236" s="21">
        <v>0</v>
      </c>
      <c r="M5236" s="21">
        <f>COUNTIF($A$2:$A$5481,A5236)</f>
        <v>1</v>
      </c>
      <c r="N5236" s="24">
        <f t="shared" si="81"/>
        <v>0.0005236</v>
      </c>
    </row>
    <row r="5237" spans="1:14">
      <c r="A5237" s="21" t="s">
        <v>631</v>
      </c>
      <c r="B5237" s="21" t="s">
        <v>949</v>
      </c>
      <c r="C5237" s="21" t="s">
        <v>26</v>
      </c>
      <c r="D5237" s="21" t="s">
        <v>921</v>
      </c>
      <c r="E5237" s="21">
        <v>0</v>
      </c>
      <c r="F5237" s="22">
        <v>45510.3854861111</v>
      </c>
      <c r="G5237" s="22">
        <v>46252.4743865741</v>
      </c>
      <c r="H5237" s="23">
        <v>25.8</v>
      </c>
      <c r="I5237" s="23">
        <v>6.45</v>
      </c>
      <c r="J5237" s="24">
        <v>0</v>
      </c>
      <c r="K5237" s="21">
        <v>0</v>
      </c>
      <c r="L5237" s="21">
        <v>0</v>
      </c>
      <c r="M5237" s="21">
        <f>COUNTIF($A$2:$A$5481,A5237)</f>
        <v>1</v>
      </c>
      <c r="N5237" s="24">
        <f t="shared" si="81"/>
        <v>0.0005237</v>
      </c>
    </row>
    <row r="5238" spans="1:14">
      <c r="A5238" s="21" t="s">
        <v>4669</v>
      </c>
      <c r="B5238" s="21" t="s">
        <v>920</v>
      </c>
      <c r="C5238" s="21" t="s">
        <v>26</v>
      </c>
      <c r="D5238" s="21" t="s">
        <v>2339</v>
      </c>
      <c r="E5238" s="21">
        <v>24</v>
      </c>
      <c r="F5238" s="22">
        <v>46128.5838773148</v>
      </c>
      <c r="G5238" s="22"/>
      <c r="H5238" s="23">
        <v>528</v>
      </c>
      <c r="I5238" s="23">
        <v>22</v>
      </c>
      <c r="J5238" s="24">
        <v>528</v>
      </c>
      <c r="K5238" s="21">
        <v>0</v>
      </c>
      <c r="L5238" s="21">
        <v>0</v>
      </c>
      <c r="M5238" s="21">
        <f>COUNTIF($A$2:$A$5481,A5238)</f>
        <v>1</v>
      </c>
      <c r="N5238" s="24">
        <f t="shared" si="81"/>
        <v>528.0005238</v>
      </c>
    </row>
    <row r="5239" spans="1:14">
      <c r="A5239" s="21" t="s">
        <v>394</v>
      </c>
      <c r="B5239" s="21" t="s">
        <v>920</v>
      </c>
      <c r="C5239" s="21" t="s">
        <v>35</v>
      </c>
      <c r="D5239" s="21" t="s">
        <v>2339</v>
      </c>
      <c r="E5239" s="21">
        <v>1</v>
      </c>
      <c r="F5239" s="22">
        <v>46240.54375</v>
      </c>
      <c r="G5239" s="22">
        <v>46172.39375</v>
      </c>
      <c r="H5239" s="23">
        <v>3345.73</v>
      </c>
      <c r="I5239" s="23">
        <v>3345.73</v>
      </c>
      <c r="J5239" s="24">
        <v>3345.73</v>
      </c>
      <c r="K5239" s="21">
        <v>0</v>
      </c>
      <c r="L5239" s="21">
        <v>0</v>
      </c>
      <c r="M5239" s="21">
        <f>COUNTIF($A$2:$A$5481,A5239)</f>
        <v>1</v>
      </c>
      <c r="N5239" s="24">
        <f t="shared" si="81"/>
        <v>3345.7305239</v>
      </c>
    </row>
    <row r="5240" spans="1:14">
      <c r="A5240" s="21" t="s">
        <v>4670</v>
      </c>
      <c r="B5240" s="21" t="s">
        <v>920</v>
      </c>
      <c r="C5240" s="21" t="s">
        <v>26</v>
      </c>
      <c r="D5240" s="21" t="s">
        <v>921</v>
      </c>
      <c r="E5240" s="21">
        <v>5</v>
      </c>
      <c r="F5240" s="22">
        <v>45513.6784722222</v>
      </c>
      <c r="G5240" s="22"/>
      <c r="H5240" s="23">
        <v>443</v>
      </c>
      <c r="I5240" s="23">
        <v>88.6</v>
      </c>
      <c r="J5240" s="24">
        <v>443</v>
      </c>
      <c r="K5240" s="21">
        <v>0</v>
      </c>
      <c r="L5240" s="21">
        <v>0</v>
      </c>
      <c r="M5240" s="21">
        <f>COUNTIF($A$2:$A$5481,A5240)</f>
        <v>1</v>
      </c>
      <c r="N5240" s="24">
        <f t="shared" si="81"/>
        <v>443.000524</v>
      </c>
    </row>
    <row r="5241" spans="1:14">
      <c r="A5241" s="21" t="s">
        <v>4671</v>
      </c>
      <c r="B5241" s="21" t="s">
        <v>920</v>
      </c>
      <c r="C5241" s="21" t="s">
        <v>35</v>
      </c>
      <c r="D5241" s="21" t="s">
        <v>921</v>
      </c>
      <c r="E5241" s="21">
        <v>4</v>
      </c>
      <c r="F5241" s="22">
        <v>45385.3125578704</v>
      </c>
      <c r="G5241" s="22"/>
      <c r="H5241" s="23">
        <v>184</v>
      </c>
      <c r="I5241" s="23">
        <v>46</v>
      </c>
      <c r="J5241" s="24">
        <v>184</v>
      </c>
      <c r="K5241" s="21">
        <v>0</v>
      </c>
      <c r="L5241" s="21">
        <v>0</v>
      </c>
      <c r="M5241" s="21">
        <f>COUNTIF($A$2:$A$5481,A5241)</f>
        <v>1</v>
      </c>
      <c r="N5241" s="24">
        <f t="shared" si="81"/>
        <v>184.0005241</v>
      </c>
    </row>
    <row r="5242" spans="1:14">
      <c r="A5242" s="21" t="s">
        <v>416</v>
      </c>
      <c r="B5242" s="21" t="s">
        <v>920</v>
      </c>
      <c r="C5242" s="21" t="s">
        <v>26</v>
      </c>
      <c r="D5242" s="21" t="s">
        <v>2339</v>
      </c>
      <c r="E5242" s="21">
        <v>398</v>
      </c>
      <c r="F5242" s="22">
        <v>45777.8035185185</v>
      </c>
      <c r="G5242" s="22">
        <v>46195.6659722222</v>
      </c>
      <c r="H5242" s="23">
        <v>3220</v>
      </c>
      <c r="I5242" s="23">
        <v>15.65</v>
      </c>
      <c r="J5242" s="24">
        <v>6228.7</v>
      </c>
      <c r="K5242" s="21">
        <v>0</v>
      </c>
      <c r="L5242" s="21">
        <v>0</v>
      </c>
      <c r="M5242" s="21">
        <f>COUNTIF($A$2:$A$5481,A5242)</f>
        <v>2</v>
      </c>
      <c r="N5242" s="24">
        <f t="shared" si="81"/>
        <v>6228.7005242</v>
      </c>
    </row>
    <row r="5243" spans="1:14">
      <c r="A5243" s="21" t="s">
        <v>416</v>
      </c>
      <c r="B5243" s="21" t="s">
        <v>920</v>
      </c>
      <c r="C5243" s="21" t="s">
        <v>35</v>
      </c>
      <c r="D5243" s="21" t="s">
        <v>2339</v>
      </c>
      <c r="E5243" s="21">
        <v>1240</v>
      </c>
      <c r="F5243" s="22">
        <v>45897.6110648148</v>
      </c>
      <c r="G5243" s="22">
        <v>45343.5197337963</v>
      </c>
      <c r="H5243" s="23">
        <v>3392</v>
      </c>
      <c r="I5243" s="23">
        <v>15.8207829032</v>
      </c>
      <c r="J5243" s="24">
        <v>19616.8</v>
      </c>
      <c r="K5243" s="21">
        <v>0</v>
      </c>
      <c r="L5243" s="21">
        <v>0</v>
      </c>
      <c r="M5243" s="21">
        <f>COUNTIF($A$2:$A$5481,A5243)</f>
        <v>2</v>
      </c>
      <c r="N5243" s="24">
        <f t="shared" si="81"/>
        <v>19616.8005243</v>
      </c>
    </row>
    <row r="5244" spans="1:14">
      <c r="A5244" s="21" t="s">
        <v>4672</v>
      </c>
      <c r="B5244" s="21" t="s">
        <v>26</v>
      </c>
      <c r="C5244" s="21" t="s">
        <v>26</v>
      </c>
      <c r="D5244" s="21" t="s">
        <v>921</v>
      </c>
      <c r="E5244" s="21">
        <v>30</v>
      </c>
      <c r="F5244" s="22">
        <v>46233.5372685185</v>
      </c>
      <c r="G5244" s="22"/>
      <c r="H5244" s="23">
        <v>30</v>
      </c>
      <c r="I5244" s="23">
        <v>1</v>
      </c>
      <c r="J5244" s="24">
        <v>30</v>
      </c>
      <c r="K5244" s="21">
        <v>0</v>
      </c>
      <c r="L5244" s="21">
        <v>0</v>
      </c>
      <c r="M5244" s="21">
        <f>COUNTIF($A$2:$A$5481,A5244)</f>
        <v>1</v>
      </c>
      <c r="N5244" s="24">
        <f t="shared" si="81"/>
        <v>30.0005244</v>
      </c>
    </row>
    <row r="5245" spans="1:14">
      <c r="A5245" s="21" t="s">
        <v>600</v>
      </c>
      <c r="B5245" s="21" t="s">
        <v>26</v>
      </c>
      <c r="C5245" s="21" t="s">
        <v>26</v>
      </c>
      <c r="D5245" s="21" t="s">
        <v>921</v>
      </c>
      <c r="E5245" s="21">
        <v>1</v>
      </c>
      <c r="F5245" s="22">
        <v>46178.7129513889</v>
      </c>
      <c r="G5245" s="22">
        <v>46252.3675462963</v>
      </c>
      <c r="H5245" s="23">
        <v>53.6</v>
      </c>
      <c r="I5245" s="23">
        <v>24.9842857143</v>
      </c>
      <c r="J5245" s="24">
        <v>24.98</v>
      </c>
      <c r="K5245" s="21">
        <v>0</v>
      </c>
      <c r="L5245" s="21">
        <v>0</v>
      </c>
      <c r="M5245" s="21">
        <f>COUNTIF($A$2:$A$5481,A5245)</f>
        <v>1</v>
      </c>
      <c r="N5245" s="24">
        <f t="shared" si="81"/>
        <v>24.9805245</v>
      </c>
    </row>
    <row r="5246" spans="1:14">
      <c r="A5246" s="21" t="s">
        <v>4673</v>
      </c>
      <c r="B5246" s="21" t="s">
        <v>920</v>
      </c>
      <c r="C5246" s="21" t="s">
        <v>26</v>
      </c>
      <c r="D5246" s="21" t="s">
        <v>921</v>
      </c>
      <c r="E5246" s="21">
        <v>4</v>
      </c>
      <c r="F5246" s="22">
        <v>45841.3473263889</v>
      </c>
      <c r="G5246" s="22"/>
      <c r="H5246" s="23">
        <v>35.06</v>
      </c>
      <c r="I5246" s="23">
        <v>17.065</v>
      </c>
      <c r="J5246" s="24">
        <v>68.28</v>
      </c>
      <c r="K5246" s="21">
        <v>0</v>
      </c>
      <c r="L5246" s="21">
        <v>0</v>
      </c>
      <c r="M5246" s="21">
        <f>COUNTIF($A$2:$A$5481,A5246)</f>
        <v>1</v>
      </c>
      <c r="N5246" s="24">
        <f t="shared" si="81"/>
        <v>68.2805246</v>
      </c>
    </row>
    <row r="5247" spans="1:14">
      <c r="A5247" s="21" t="s">
        <v>4674</v>
      </c>
      <c r="B5247" s="21" t="s">
        <v>920</v>
      </c>
      <c r="C5247" s="21" t="s">
        <v>26</v>
      </c>
      <c r="D5247" s="21" t="s">
        <v>921</v>
      </c>
      <c r="E5247" s="21">
        <v>6</v>
      </c>
      <c r="F5247" s="22">
        <v>45439.8336111111</v>
      </c>
      <c r="G5247" s="22"/>
      <c r="H5247" s="23">
        <v>174</v>
      </c>
      <c r="I5247" s="23">
        <v>29</v>
      </c>
      <c r="J5247" s="24">
        <v>174</v>
      </c>
      <c r="K5247" s="21">
        <v>0</v>
      </c>
      <c r="L5247" s="21">
        <v>0</v>
      </c>
      <c r="M5247" s="21">
        <f>COUNTIF($A$2:$A$5481,A5247)</f>
        <v>1</v>
      </c>
      <c r="N5247" s="24">
        <f t="shared" si="81"/>
        <v>174.0005247</v>
      </c>
    </row>
    <row r="5248" spans="1:14">
      <c r="A5248" s="21" t="s">
        <v>585</v>
      </c>
      <c r="B5248" s="21" t="s">
        <v>26</v>
      </c>
      <c r="C5248" s="21" t="s">
        <v>26</v>
      </c>
      <c r="D5248" s="21" t="s">
        <v>921</v>
      </c>
      <c r="E5248" s="21">
        <v>0</v>
      </c>
      <c r="F5248" s="22">
        <v>45345.4347222222</v>
      </c>
      <c r="G5248" s="22">
        <v>46252.347974537</v>
      </c>
      <c r="H5248" s="23">
        <v>4.9</v>
      </c>
      <c r="I5248" s="23">
        <v>4.9</v>
      </c>
      <c r="J5248" s="24">
        <v>0</v>
      </c>
      <c r="K5248" s="21">
        <v>0</v>
      </c>
      <c r="L5248" s="21">
        <v>0</v>
      </c>
      <c r="M5248" s="21">
        <f>COUNTIF($A$2:$A$5481,A5248)</f>
        <v>1</v>
      </c>
      <c r="N5248" s="24">
        <f t="shared" si="81"/>
        <v>0.0005248</v>
      </c>
    </row>
    <row r="5249" spans="1:14">
      <c r="A5249" s="21" t="s">
        <v>4675</v>
      </c>
      <c r="B5249" s="21" t="s">
        <v>920</v>
      </c>
      <c r="C5249" s="21" t="s">
        <v>35</v>
      </c>
      <c r="D5249" s="21" t="s">
        <v>921</v>
      </c>
      <c r="E5249" s="21">
        <v>12</v>
      </c>
      <c r="F5249" s="22">
        <v>45313.7501157407</v>
      </c>
      <c r="G5249" s="22"/>
      <c r="H5249" s="23">
        <v>262.8</v>
      </c>
      <c r="I5249" s="23">
        <v>21.9</v>
      </c>
      <c r="J5249" s="24">
        <v>262.8</v>
      </c>
      <c r="K5249" s="21">
        <v>0</v>
      </c>
      <c r="L5249" s="21">
        <v>0</v>
      </c>
      <c r="M5249" s="21">
        <f>COUNTIF($A$2:$A$5481,A5249)</f>
        <v>2</v>
      </c>
      <c r="N5249" s="24">
        <f t="shared" si="81"/>
        <v>262.8005249</v>
      </c>
    </row>
    <row r="5250" spans="1:14">
      <c r="A5250" s="21" t="s">
        <v>4675</v>
      </c>
      <c r="B5250" s="21" t="s">
        <v>920</v>
      </c>
      <c r="C5250" s="21" t="s">
        <v>26</v>
      </c>
      <c r="D5250" s="21" t="s">
        <v>921</v>
      </c>
      <c r="E5250" s="21">
        <v>12</v>
      </c>
      <c r="F5250" s="22">
        <v>45916.709375</v>
      </c>
      <c r="G5250" s="22"/>
      <c r="H5250" s="23">
        <v>310.8</v>
      </c>
      <c r="I5250" s="23">
        <v>25.9</v>
      </c>
      <c r="J5250" s="24">
        <v>310.8</v>
      </c>
      <c r="K5250" s="21">
        <v>0</v>
      </c>
      <c r="L5250" s="21">
        <v>0</v>
      </c>
      <c r="M5250" s="21">
        <f>COUNTIF($A$2:$A$5481,A5250)</f>
        <v>2</v>
      </c>
      <c r="N5250" s="24">
        <f t="shared" ref="N5250:N5313" si="82">J5250+ROW()/10000000</f>
        <v>310.800525</v>
      </c>
    </row>
    <row r="5251" spans="1:14">
      <c r="A5251" s="21" t="s">
        <v>4676</v>
      </c>
      <c r="B5251" s="21" t="s">
        <v>920</v>
      </c>
      <c r="C5251" s="21" t="s">
        <v>35</v>
      </c>
      <c r="D5251" s="21" t="s">
        <v>921</v>
      </c>
      <c r="E5251" s="21">
        <v>1</v>
      </c>
      <c r="F5251" s="22">
        <v>45273.4932638889</v>
      </c>
      <c r="G5251" s="22"/>
      <c r="H5251" s="23">
        <v>45.9</v>
      </c>
      <c r="I5251" s="23">
        <v>45.9</v>
      </c>
      <c r="J5251" s="24">
        <v>45.9</v>
      </c>
      <c r="K5251" s="21">
        <v>0</v>
      </c>
      <c r="L5251" s="21">
        <v>0</v>
      </c>
      <c r="M5251" s="21">
        <f>COUNTIF($A$2:$A$5481,A5251)</f>
        <v>1</v>
      </c>
      <c r="N5251" s="24">
        <f t="shared" si="82"/>
        <v>45.9005251</v>
      </c>
    </row>
    <row r="5252" spans="1:14">
      <c r="A5252" s="21" t="s">
        <v>4677</v>
      </c>
      <c r="B5252" s="21" t="s">
        <v>26</v>
      </c>
      <c r="C5252" s="21" t="s">
        <v>26</v>
      </c>
      <c r="D5252" s="21" t="s">
        <v>921</v>
      </c>
      <c r="E5252" s="21">
        <v>10</v>
      </c>
      <c r="F5252" s="22">
        <v>45902.6624189815</v>
      </c>
      <c r="G5252" s="22"/>
      <c r="H5252" s="23">
        <v>54.9</v>
      </c>
      <c r="I5252" s="23">
        <v>5.49</v>
      </c>
      <c r="J5252" s="24">
        <v>54.9</v>
      </c>
      <c r="K5252" s="21">
        <v>0</v>
      </c>
      <c r="L5252" s="21">
        <v>0</v>
      </c>
      <c r="M5252" s="21">
        <f>COUNTIF($A$2:$A$5481,A5252)</f>
        <v>1</v>
      </c>
      <c r="N5252" s="24">
        <f t="shared" si="82"/>
        <v>54.9005252</v>
      </c>
    </row>
    <row r="5253" spans="1:14">
      <c r="A5253" s="21" t="s">
        <v>4678</v>
      </c>
      <c r="B5253" s="21" t="s">
        <v>26</v>
      </c>
      <c r="C5253" s="21" t="s">
        <v>26</v>
      </c>
      <c r="D5253" s="21" t="s">
        <v>921</v>
      </c>
      <c r="E5253" s="21">
        <v>4</v>
      </c>
      <c r="F5253" s="22">
        <v>45534.4420601852</v>
      </c>
      <c r="G5253" s="22"/>
      <c r="H5253" s="23">
        <v>10.76</v>
      </c>
      <c r="I5253" s="23">
        <v>2.69</v>
      </c>
      <c r="J5253" s="24">
        <v>10.76</v>
      </c>
      <c r="K5253" s="21">
        <v>0</v>
      </c>
      <c r="L5253" s="21">
        <v>0</v>
      </c>
      <c r="M5253" s="21">
        <f>COUNTIF($A$2:$A$5481,A5253)</f>
        <v>1</v>
      </c>
      <c r="N5253" s="24">
        <f t="shared" si="82"/>
        <v>10.7605253</v>
      </c>
    </row>
    <row r="5254" spans="1:14">
      <c r="A5254" s="21" t="s">
        <v>4679</v>
      </c>
      <c r="B5254" s="21" t="s">
        <v>26</v>
      </c>
      <c r="C5254" s="21" t="s">
        <v>26</v>
      </c>
      <c r="D5254" s="21" t="s">
        <v>921</v>
      </c>
      <c r="E5254" s="21">
        <v>6</v>
      </c>
      <c r="F5254" s="22">
        <v>45488.6353125</v>
      </c>
      <c r="G5254" s="22"/>
      <c r="H5254" s="23">
        <v>13.64</v>
      </c>
      <c r="I5254" s="23">
        <v>4.90667</v>
      </c>
      <c r="J5254" s="24">
        <v>29.46</v>
      </c>
      <c r="K5254" s="21">
        <v>0</v>
      </c>
      <c r="L5254" s="21">
        <v>0</v>
      </c>
      <c r="M5254" s="21">
        <f>COUNTIF($A$2:$A$5481,A5254)</f>
        <v>1</v>
      </c>
      <c r="N5254" s="24">
        <f t="shared" si="82"/>
        <v>29.4605254</v>
      </c>
    </row>
    <row r="5255" spans="1:14">
      <c r="A5255" s="21" t="s">
        <v>750</v>
      </c>
      <c r="B5255" s="21" t="s">
        <v>26</v>
      </c>
      <c r="C5255" s="21" t="s">
        <v>26</v>
      </c>
      <c r="D5255" s="21" t="s">
        <v>921</v>
      </c>
      <c r="E5255" s="21">
        <v>0</v>
      </c>
      <c r="F5255" s="22">
        <v>45589.6118055556</v>
      </c>
      <c r="G5255" s="22">
        <v>46252.6094791667</v>
      </c>
      <c r="H5255" s="23">
        <v>58</v>
      </c>
      <c r="I5255" s="23">
        <v>58</v>
      </c>
      <c r="J5255" s="24">
        <v>0</v>
      </c>
      <c r="K5255" s="21">
        <v>0</v>
      </c>
      <c r="L5255" s="21">
        <v>0</v>
      </c>
      <c r="M5255" s="21">
        <f>COUNTIF($A$2:$A$5481,A5255)</f>
        <v>1</v>
      </c>
      <c r="N5255" s="24">
        <f t="shared" si="82"/>
        <v>0.0005255</v>
      </c>
    </row>
    <row r="5256" spans="1:14">
      <c r="A5256" s="21" t="s">
        <v>4680</v>
      </c>
      <c r="B5256" s="21" t="s">
        <v>1175</v>
      </c>
      <c r="C5256" s="21" t="s">
        <v>26</v>
      </c>
      <c r="D5256" s="21" t="s">
        <v>921</v>
      </c>
      <c r="E5256" s="21">
        <v>4</v>
      </c>
      <c r="F5256" s="22">
        <v>46121.8298148148</v>
      </c>
      <c r="G5256" s="22"/>
      <c r="H5256" s="23">
        <v>4</v>
      </c>
      <c r="I5256" s="23">
        <v>1</v>
      </c>
      <c r="J5256" s="24">
        <v>4</v>
      </c>
      <c r="K5256" s="21">
        <v>0</v>
      </c>
      <c r="L5256" s="21">
        <v>0</v>
      </c>
      <c r="M5256" s="21">
        <f>COUNTIF($A$2:$A$5481,A5256)</f>
        <v>1</v>
      </c>
      <c r="N5256" s="24">
        <f t="shared" si="82"/>
        <v>4.0005256</v>
      </c>
    </row>
    <row r="5257" spans="1:14">
      <c r="A5257" s="21" t="s">
        <v>4681</v>
      </c>
      <c r="B5257" s="21" t="s">
        <v>929</v>
      </c>
      <c r="C5257" s="21" t="s">
        <v>26</v>
      </c>
      <c r="D5257" s="21" t="s">
        <v>921</v>
      </c>
      <c r="E5257" s="21">
        <v>1</v>
      </c>
      <c r="F5257" s="22">
        <v>46087.4048611111</v>
      </c>
      <c r="G5257" s="22"/>
      <c r="H5257" s="23">
        <v>6.8</v>
      </c>
      <c r="I5257" s="23">
        <v>6.8</v>
      </c>
      <c r="J5257" s="24">
        <v>6.8</v>
      </c>
      <c r="K5257" s="21">
        <v>0</v>
      </c>
      <c r="L5257" s="21">
        <v>0</v>
      </c>
      <c r="M5257" s="21">
        <f>COUNTIF($A$2:$A$5481,A5257)</f>
        <v>1</v>
      </c>
      <c r="N5257" s="24">
        <f t="shared" si="82"/>
        <v>6.8005257</v>
      </c>
    </row>
    <row r="5258" spans="1:14">
      <c r="A5258" s="21" t="s">
        <v>4682</v>
      </c>
      <c r="B5258" s="21" t="s">
        <v>920</v>
      </c>
      <c r="C5258" s="21" t="s">
        <v>35</v>
      </c>
      <c r="D5258" s="21" t="s">
        <v>921</v>
      </c>
      <c r="E5258" s="21">
        <v>2</v>
      </c>
      <c r="F5258" s="22">
        <v>45344.8438425926</v>
      </c>
      <c r="G5258" s="22">
        <v>45350.4446990741</v>
      </c>
      <c r="H5258" s="23">
        <v>128</v>
      </c>
      <c r="I5258" s="23">
        <v>32</v>
      </c>
      <c r="J5258" s="24">
        <v>64</v>
      </c>
      <c r="K5258" s="21">
        <v>0</v>
      </c>
      <c r="L5258" s="21">
        <v>0</v>
      </c>
      <c r="M5258" s="21">
        <f>COUNTIF($A$2:$A$5481,A5258)</f>
        <v>1</v>
      </c>
      <c r="N5258" s="24">
        <f t="shared" si="82"/>
        <v>64.0005258</v>
      </c>
    </row>
    <row r="5259" spans="1:14">
      <c r="A5259" s="21" t="s">
        <v>4683</v>
      </c>
      <c r="B5259" s="21" t="s">
        <v>26</v>
      </c>
      <c r="C5259" s="21" t="s">
        <v>26</v>
      </c>
      <c r="D5259" s="21" t="s">
        <v>921</v>
      </c>
      <c r="E5259" s="21">
        <v>8</v>
      </c>
      <c r="F5259" s="22">
        <v>45833.4441666667</v>
      </c>
      <c r="G5259" s="22"/>
      <c r="H5259" s="23">
        <v>8</v>
      </c>
      <c r="I5259" s="23">
        <v>1</v>
      </c>
      <c r="J5259" s="24">
        <v>8</v>
      </c>
      <c r="K5259" s="21">
        <v>0</v>
      </c>
      <c r="L5259" s="21">
        <v>0</v>
      </c>
      <c r="M5259" s="21">
        <f>COUNTIF($A$2:$A$5481,A5259)</f>
        <v>1</v>
      </c>
      <c r="N5259" s="24">
        <f t="shared" si="82"/>
        <v>8.0005259</v>
      </c>
    </row>
    <row r="5260" spans="1:14">
      <c r="A5260" s="21" t="s">
        <v>4684</v>
      </c>
      <c r="B5260" s="21" t="s">
        <v>26</v>
      </c>
      <c r="C5260" s="21" t="s">
        <v>26</v>
      </c>
      <c r="D5260" s="21" t="s">
        <v>921</v>
      </c>
      <c r="E5260" s="21">
        <v>1</v>
      </c>
      <c r="F5260" s="22">
        <v>45495.4178125</v>
      </c>
      <c r="G5260" s="22"/>
      <c r="H5260" s="23">
        <v>74.94</v>
      </c>
      <c r="I5260" s="23">
        <v>74.94</v>
      </c>
      <c r="J5260" s="24">
        <v>74.94</v>
      </c>
      <c r="K5260" s="21">
        <v>0</v>
      </c>
      <c r="L5260" s="21">
        <v>0</v>
      </c>
      <c r="M5260" s="21">
        <f>COUNTIF($A$2:$A$5481,A5260)</f>
        <v>1</v>
      </c>
      <c r="N5260" s="24">
        <f t="shared" si="82"/>
        <v>74.940526</v>
      </c>
    </row>
    <row r="5261" spans="1:14">
      <c r="A5261" s="21" t="s">
        <v>4685</v>
      </c>
      <c r="B5261" s="21" t="s">
        <v>26</v>
      </c>
      <c r="C5261" s="21" t="s">
        <v>26</v>
      </c>
      <c r="D5261" s="21" t="s">
        <v>921</v>
      </c>
      <c r="E5261" s="21">
        <v>1</v>
      </c>
      <c r="F5261" s="22">
        <v>45495.4027546296</v>
      </c>
      <c r="G5261" s="22"/>
      <c r="H5261" s="23">
        <v>74.94</v>
      </c>
      <c r="I5261" s="23">
        <v>74.94</v>
      </c>
      <c r="J5261" s="24">
        <v>74.94</v>
      </c>
      <c r="K5261" s="21">
        <v>0</v>
      </c>
      <c r="L5261" s="21">
        <v>0</v>
      </c>
      <c r="M5261" s="21">
        <f>COUNTIF($A$2:$A$5481,A5261)</f>
        <v>1</v>
      </c>
      <c r="N5261" s="24">
        <f t="shared" si="82"/>
        <v>74.9405261</v>
      </c>
    </row>
    <row r="5262" spans="1:14">
      <c r="A5262" s="21" t="s">
        <v>4686</v>
      </c>
      <c r="B5262" s="21" t="s">
        <v>26</v>
      </c>
      <c r="C5262" s="21" t="s">
        <v>26</v>
      </c>
      <c r="D5262" s="21" t="s">
        <v>921</v>
      </c>
      <c r="E5262" s="21">
        <v>2</v>
      </c>
      <c r="F5262" s="22">
        <v>46237.7013078704</v>
      </c>
      <c r="G5262" s="22"/>
      <c r="H5262" s="23">
        <v>90</v>
      </c>
      <c r="I5262" s="23">
        <v>57.655</v>
      </c>
      <c r="J5262" s="24">
        <v>115.32</v>
      </c>
      <c r="K5262" s="21">
        <v>0</v>
      </c>
      <c r="L5262" s="21">
        <v>0</v>
      </c>
      <c r="M5262" s="21">
        <f>COUNTIF($A$2:$A$5481,A5262)</f>
        <v>1</v>
      </c>
      <c r="N5262" s="24">
        <f t="shared" si="82"/>
        <v>115.3205262</v>
      </c>
    </row>
    <row r="5263" spans="1:14">
      <c r="A5263" s="21" t="s">
        <v>4687</v>
      </c>
      <c r="B5263" s="21" t="s">
        <v>920</v>
      </c>
      <c r="C5263" s="21" t="s">
        <v>26</v>
      </c>
      <c r="D5263" s="21" t="s">
        <v>931</v>
      </c>
      <c r="E5263" s="21">
        <v>1</v>
      </c>
      <c r="F5263" s="22">
        <v>45775.4241319444</v>
      </c>
      <c r="G5263" s="22"/>
      <c r="H5263" s="23">
        <v>65</v>
      </c>
      <c r="I5263" s="23">
        <v>65</v>
      </c>
      <c r="J5263" s="24">
        <v>65</v>
      </c>
      <c r="K5263" s="21">
        <v>0</v>
      </c>
      <c r="L5263" s="21">
        <v>0</v>
      </c>
      <c r="M5263" s="21">
        <f>COUNTIF($A$2:$A$5481,A5263)</f>
        <v>1</v>
      </c>
      <c r="N5263" s="24">
        <f t="shared" si="82"/>
        <v>65.0005263</v>
      </c>
    </row>
    <row r="5264" spans="1:14">
      <c r="A5264" s="21" t="s">
        <v>4688</v>
      </c>
      <c r="B5264" s="21" t="s">
        <v>1175</v>
      </c>
      <c r="C5264" s="21" t="s">
        <v>26</v>
      </c>
      <c r="D5264" s="21" t="s">
        <v>921</v>
      </c>
      <c r="E5264" s="21">
        <v>3</v>
      </c>
      <c r="F5264" s="22">
        <v>45742.8269675926</v>
      </c>
      <c r="G5264" s="22"/>
      <c r="H5264" s="23">
        <v>92.4</v>
      </c>
      <c r="I5264" s="23">
        <v>30.8</v>
      </c>
      <c r="J5264" s="24">
        <v>92.4</v>
      </c>
      <c r="K5264" s="21">
        <v>0</v>
      </c>
      <c r="L5264" s="21">
        <v>0</v>
      </c>
      <c r="M5264" s="21">
        <f>COUNTIF($A$2:$A$5481,A5264)</f>
        <v>1</v>
      </c>
      <c r="N5264" s="24">
        <f t="shared" si="82"/>
        <v>92.4005264</v>
      </c>
    </row>
    <row r="5265" spans="1:14">
      <c r="A5265" s="21" t="s">
        <v>4689</v>
      </c>
      <c r="B5265" s="21" t="s">
        <v>929</v>
      </c>
      <c r="C5265" s="21" t="s">
        <v>414</v>
      </c>
      <c r="D5265" s="21" t="s">
        <v>921</v>
      </c>
      <c r="E5265" s="21">
        <v>3</v>
      </c>
      <c r="F5265" s="22">
        <v>45282.8059837963</v>
      </c>
      <c r="G5265" s="22"/>
      <c r="H5265" s="23">
        <v>9.9</v>
      </c>
      <c r="I5265" s="23">
        <v>3.3</v>
      </c>
      <c r="J5265" s="24">
        <v>9.9</v>
      </c>
      <c r="K5265" s="21">
        <v>1</v>
      </c>
      <c r="L5265" s="21">
        <v>5</v>
      </c>
      <c r="M5265" s="21">
        <f>COUNTIF($A$2:$A$5481,A5265)</f>
        <v>1</v>
      </c>
      <c r="N5265" s="24">
        <f t="shared" si="82"/>
        <v>9.9005265</v>
      </c>
    </row>
    <row r="5266" spans="1:14">
      <c r="A5266" s="21" t="s">
        <v>4690</v>
      </c>
      <c r="B5266" s="21" t="s">
        <v>920</v>
      </c>
      <c r="C5266" s="21" t="s">
        <v>26</v>
      </c>
      <c r="D5266" s="21" t="s">
        <v>921</v>
      </c>
      <c r="E5266" s="21">
        <v>15</v>
      </c>
      <c r="F5266" s="22">
        <v>46205.7207986111</v>
      </c>
      <c r="G5266" s="22"/>
      <c r="H5266" s="23">
        <v>42</v>
      </c>
      <c r="I5266" s="23">
        <v>18</v>
      </c>
      <c r="J5266" s="24">
        <v>270</v>
      </c>
      <c r="K5266" s="21">
        <v>0</v>
      </c>
      <c r="L5266" s="21">
        <v>0</v>
      </c>
      <c r="M5266" s="21">
        <f>COUNTIF($A$2:$A$5481,A5266)</f>
        <v>1</v>
      </c>
      <c r="N5266" s="24">
        <f t="shared" si="82"/>
        <v>270.0005266</v>
      </c>
    </row>
    <row r="5267" spans="1:14">
      <c r="A5267" s="21" t="s">
        <v>4691</v>
      </c>
      <c r="B5267" s="21" t="s">
        <v>26</v>
      </c>
      <c r="C5267" s="21" t="s">
        <v>26</v>
      </c>
      <c r="D5267" s="21" t="s">
        <v>921</v>
      </c>
      <c r="E5267" s="21">
        <v>13</v>
      </c>
      <c r="F5267" s="22">
        <v>46111.3875</v>
      </c>
      <c r="G5267" s="22"/>
      <c r="H5267" s="23">
        <v>35</v>
      </c>
      <c r="I5267" s="23">
        <v>6.0769230769</v>
      </c>
      <c r="J5267" s="24">
        <v>79.04</v>
      </c>
      <c r="K5267" s="21">
        <v>0</v>
      </c>
      <c r="L5267" s="21">
        <v>0</v>
      </c>
      <c r="M5267" s="21">
        <f>COUNTIF($A$2:$A$5481,A5267)</f>
        <v>1</v>
      </c>
      <c r="N5267" s="24">
        <f t="shared" si="82"/>
        <v>79.0405267</v>
      </c>
    </row>
    <row r="5268" spans="1:14">
      <c r="A5268" s="21" t="s">
        <v>4692</v>
      </c>
      <c r="B5268" s="21" t="s">
        <v>920</v>
      </c>
      <c r="C5268" s="21" t="s">
        <v>26</v>
      </c>
      <c r="D5268" s="21" t="s">
        <v>921</v>
      </c>
      <c r="E5268" s="21">
        <v>1</v>
      </c>
      <c r="F5268" s="22">
        <v>45992.5357638889</v>
      </c>
      <c r="G5268" s="22"/>
      <c r="H5268" s="23">
        <v>5.96</v>
      </c>
      <c r="I5268" s="23">
        <v>5.96</v>
      </c>
      <c r="J5268" s="24">
        <v>5.96</v>
      </c>
      <c r="K5268" s="21">
        <v>0</v>
      </c>
      <c r="L5268" s="21">
        <v>0</v>
      </c>
      <c r="M5268" s="21">
        <f>COUNTIF($A$2:$A$5481,A5268)</f>
        <v>1</v>
      </c>
      <c r="N5268" s="24">
        <f t="shared" si="82"/>
        <v>5.9605268</v>
      </c>
    </row>
    <row r="5269" spans="1:14">
      <c r="A5269" s="21" t="s">
        <v>4693</v>
      </c>
      <c r="B5269" s="21" t="s">
        <v>929</v>
      </c>
      <c r="C5269" s="21" t="s">
        <v>26</v>
      </c>
      <c r="D5269" s="21" t="s">
        <v>921</v>
      </c>
      <c r="E5269" s="21">
        <v>4</v>
      </c>
      <c r="F5269" s="22">
        <v>46031.3832407407</v>
      </c>
      <c r="G5269" s="22"/>
      <c r="H5269" s="23">
        <v>6.2</v>
      </c>
      <c r="I5269" s="23">
        <v>1.55</v>
      </c>
      <c r="J5269" s="24">
        <v>6.2</v>
      </c>
      <c r="K5269" s="21">
        <v>0</v>
      </c>
      <c r="L5269" s="21">
        <v>0</v>
      </c>
      <c r="M5269" s="21">
        <f>COUNTIF($A$2:$A$5481,A5269)</f>
        <v>1</v>
      </c>
      <c r="N5269" s="24">
        <f t="shared" si="82"/>
        <v>6.2005269</v>
      </c>
    </row>
    <row r="5270" spans="1:14">
      <c r="A5270" s="21" t="s">
        <v>4694</v>
      </c>
      <c r="B5270" s="21" t="s">
        <v>929</v>
      </c>
      <c r="C5270" s="21" t="s">
        <v>26</v>
      </c>
      <c r="D5270" s="21" t="s">
        <v>921</v>
      </c>
      <c r="E5270" s="21">
        <v>3</v>
      </c>
      <c r="F5270" s="22">
        <v>45971.3494444444</v>
      </c>
      <c r="G5270" s="22"/>
      <c r="H5270" s="23">
        <v>241.95</v>
      </c>
      <c r="I5270" s="23">
        <v>80.65</v>
      </c>
      <c r="J5270" s="24">
        <v>241.95</v>
      </c>
      <c r="K5270" s="21">
        <v>0</v>
      </c>
      <c r="L5270" s="21">
        <v>0</v>
      </c>
      <c r="M5270" s="21">
        <f>COUNTIF($A$2:$A$5481,A5270)</f>
        <v>1</v>
      </c>
      <c r="N5270" s="24">
        <f t="shared" si="82"/>
        <v>241.950527</v>
      </c>
    </row>
    <row r="5271" spans="1:14">
      <c r="A5271" s="21" t="s">
        <v>4695</v>
      </c>
      <c r="B5271" s="21" t="s">
        <v>929</v>
      </c>
      <c r="C5271" s="21" t="s">
        <v>26</v>
      </c>
      <c r="D5271" s="21" t="s">
        <v>921</v>
      </c>
      <c r="E5271" s="21">
        <v>3</v>
      </c>
      <c r="F5271" s="22">
        <v>46056.8221875</v>
      </c>
      <c r="G5271" s="22"/>
      <c r="H5271" s="23">
        <v>248.7</v>
      </c>
      <c r="I5271" s="23">
        <v>82.9</v>
      </c>
      <c r="J5271" s="24">
        <v>248.7</v>
      </c>
      <c r="K5271" s="21">
        <v>0</v>
      </c>
      <c r="L5271" s="21">
        <v>0</v>
      </c>
      <c r="M5271" s="21">
        <f>COUNTIF($A$2:$A$5481,A5271)</f>
        <v>1</v>
      </c>
      <c r="N5271" s="24">
        <f t="shared" si="82"/>
        <v>248.7005271</v>
      </c>
    </row>
    <row r="5272" spans="1:14">
      <c r="A5272" s="21" t="s">
        <v>4696</v>
      </c>
      <c r="B5272" s="21" t="s">
        <v>929</v>
      </c>
      <c r="C5272" s="21" t="s">
        <v>414</v>
      </c>
      <c r="D5272" s="21" t="s">
        <v>921</v>
      </c>
      <c r="E5272" s="21">
        <v>1</v>
      </c>
      <c r="F5272" s="22">
        <v>45313.7814930556</v>
      </c>
      <c r="G5272" s="22"/>
      <c r="H5272" s="23">
        <v>114.7</v>
      </c>
      <c r="I5272" s="23">
        <v>114.7</v>
      </c>
      <c r="J5272" s="24">
        <v>114.7</v>
      </c>
      <c r="K5272" s="21">
        <v>0</v>
      </c>
      <c r="L5272" s="21">
        <v>0</v>
      </c>
      <c r="M5272" s="21">
        <f>COUNTIF($A$2:$A$5481,A5272)</f>
        <v>3</v>
      </c>
      <c r="N5272" s="24">
        <f t="shared" si="82"/>
        <v>114.7005272</v>
      </c>
    </row>
    <row r="5273" spans="1:14">
      <c r="A5273" s="21" t="s">
        <v>4696</v>
      </c>
      <c r="B5273" s="21" t="s">
        <v>929</v>
      </c>
      <c r="C5273" s="21" t="s">
        <v>390</v>
      </c>
      <c r="D5273" s="21" t="s">
        <v>921</v>
      </c>
      <c r="E5273" s="21">
        <v>2</v>
      </c>
      <c r="F5273" s="22">
        <v>45327.5947800926</v>
      </c>
      <c r="G5273" s="22"/>
      <c r="H5273" s="23">
        <v>196</v>
      </c>
      <c r="I5273" s="23">
        <v>98</v>
      </c>
      <c r="J5273" s="24">
        <v>196</v>
      </c>
      <c r="K5273" s="21">
        <v>0</v>
      </c>
      <c r="L5273" s="21">
        <v>0</v>
      </c>
      <c r="M5273" s="21">
        <f>COUNTIF($A$2:$A$5481,A5273)</f>
        <v>3</v>
      </c>
      <c r="N5273" s="24">
        <f t="shared" si="82"/>
        <v>196.0005273</v>
      </c>
    </row>
    <row r="5274" spans="1:14">
      <c r="A5274" s="21" t="s">
        <v>4696</v>
      </c>
      <c r="B5274" s="21" t="s">
        <v>929</v>
      </c>
      <c r="C5274" s="21" t="s">
        <v>26</v>
      </c>
      <c r="D5274" s="21" t="s">
        <v>921</v>
      </c>
      <c r="E5274" s="21">
        <v>2</v>
      </c>
      <c r="F5274" s="22">
        <v>45406.8084027778</v>
      </c>
      <c r="G5274" s="22"/>
      <c r="H5274" s="23">
        <v>174.8</v>
      </c>
      <c r="I5274" s="23">
        <v>87.4</v>
      </c>
      <c r="J5274" s="24">
        <v>174.8</v>
      </c>
      <c r="K5274" s="21">
        <v>0</v>
      </c>
      <c r="L5274" s="21">
        <v>0</v>
      </c>
      <c r="M5274" s="21">
        <f>COUNTIF($A$2:$A$5481,A5274)</f>
        <v>3</v>
      </c>
      <c r="N5274" s="24">
        <f t="shared" si="82"/>
        <v>174.8005274</v>
      </c>
    </row>
    <row r="5275" spans="1:14">
      <c r="A5275" s="21" t="s">
        <v>4697</v>
      </c>
      <c r="B5275" s="21" t="s">
        <v>920</v>
      </c>
      <c r="C5275" s="21" t="s">
        <v>26</v>
      </c>
      <c r="D5275" s="21" t="s">
        <v>921</v>
      </c>
      <c r="E5275" s="21">
        <v>1</v>
      </c>
      <c r="F5275" s="22">
        <v>45407.7394444444</v>
      </c>
      <c r="G5275" s="22"/>
      <c r="H5275" s="23">
        <v>72</v>
      </c>
      <c r="I5275" s="23">
        <v>72</v>
      </c>
      <c r="J5275" s="24">
        <v>72</v>
      </c>
      <c r="K5275" s="21">
        <v>0</v>
      </c>
      <c r="L5275" s="21">
        <v>0</v>
      </c>
      <c r="M5275" s="21">
        <f>COUNTIF($A$2:$A$5481,A5275)</f>
        <v>1</v>
      </c>
      <c r="N5275" s="24">
        <f t="shared" si="82"/>
        <v>72.0005275</v>
      </c>
    </row>
    <row r="5276" spans="1:14">
      <c r="A5276" s="21" t="s">
        <v>4698</v>
      </c>
      <c r="B5276" s="21" t="s">
        <v>26</v>
      </c>
      <c r="C5276" s="21" t="s">
        <v>26</v>
      </c>
      <c r="D5276" s="21" t="s">
        <v>931</v>
      </c>
      <c r="E5276" s="21">
        <v>0</v>
      </c>
      <c r="F5276" s="22">
        <v>45505.3654282407</v>
      </c>
      <c r="G5276" s="22">
        <v>45510.4389814815</v>
      </c>
      <c r="H5276" s="23">
        <v>907</v>
      </c>
      <c r="I5276" s="23">
        <v>907</v>
      </c>
      <c r="J5276" s="24">
        <v>0</v>
      </c>
      <c r="K5276" s="21">
        <v>0</v>
      </c>
      <c r="L5276" s="21">
        <v>0</v>
      </c>
      <c r="M5276" s="21">
        <f>COUNTIF($A$2:$A$5481,A5276)</f>
        <v>2</v>
      </c>
      <c r="N5276" s="24">
        <f t="shared" si="82"/>
        <v>0.0005276</v>
      </c>
    </row>
    <row r="5277" spans="1:14">
      <c r="A5277" s="21" t="s">
        <v>4698</v>
      </c>
      <c r="B5277" s="21" t="s">
        <v>26</v>
      </c>
      <c r="C5277" s="21" t="s">
        <v>35</v>
      </c>
      <c r="D5277" s="21" t="s">
        <v>931</v>
      </c>
      <c r="E5277" s="21">
        <v>1</v>
      </c>
      <c r="F5277" s="22">
        <v>45527.5973958333</v>
      </c>
      <c r="G5277" s="22">
        <v>45530.6835648148</v>
      </c>
      <c r="H5277" s="23">
        <v>1020</v>
      </c>
      <c r="I5277" s="23">
        <v>510</v>
      </c>
      <c r="J5277" s="24">
        <v>510</v>
      </c>
      <c r="K5277" s="21">
        <v>0</v>
      </c>
      <c r="L5277" s="21">
        <v>0</v>
      </c>
      <c r="M5277" s="21">
        <f>COUNTIF($A$2:$A$5481,A5277)</f>
        <v>2</v>
      </c>
      <c r="N5277" s="24">
        <f t="shared" si="82"/>
        <v>510.0005277</v>
      </c>
    </row>
    <row r="5278" spans="1:14">
      <c r="A5278" s="21" t="s">
        <v>4699</v>
      </c>
      <c r="B5278" s="21" t="s">
        <v>1346</v>
      </c>
      <c r="C5278" s="21" t="s">
        <v>38</v>
      </c>
      <c r="D5278" s="21" t="s">
        <v>921</v>
      </c>
      <c r="E5278" s="21">
        <v>2</v>
      </c>
      <c r="F5278" s="22">
        <v>45987.5967939815</v>
      </c>
      <c r="G5278" s="22"/>
      <c r="H5278" s="23">
        <v>338.86</v>
      </c>
      <c r="I5278" s="23">
        <v>169.43</v>
      </c>
      <c r="J5278" s="24">
        <v>338.86</v>
      </c>
      <c r="K5278" s="21">
        <v>0</v>
      </c>
      <c r="L5278" s="21">
        <v>0</v>
      </c>
      <c r="M5278" s="21">
        <f>COUNTIF($A$2:$A$5481,A5278)</f>
        <v>2</v>
      </c>
      <c r="N5278" s="24">
        <f t="shared" si="82"/>
        <v>338.8605278</v>
      </c>
    </row>
    <row r="5279" spans="1:14">
      <c r="A5279" s="21" t="s">
        <v>4699</v>
      </c>
      <c r="B5279" s="21" t="s">
        <v>1346</v>
      </c>
      <c r="C5279" s="21" t="s">
        <v>390</v>
      </c>
      <c r="D5279" s="21" t="s">
        <v>921</v>
      </c>
      <c r="E5279" s="21">
        <v>15</v>
      </c>
      <c r="F5279" s="22">
        <v>46169.55</v>
      </c>
      <c r="G5279" s="22">
        <v>45922.4371990741</v>
      </c>
      <c r="H5279" s="23">
        <v>675.12</v>
      </c>
      <c r="I5279" s="23">
        <v>158.7866666667</v>
      </c>
      <c r="J5279" s="24">
        <v>2381.85</v>
      </c>
      <c r="K5279" s="21">
        <v>0</v>
      </c>
      <c r="L5279" s="21">
        <v>0</v>
      </c>
      <c r="M5279" s="21">
        <f>COUNTIF($A$2:$A$5481,A5279)</f>
        <v>2</v>
      </c>
      <c r="N5279" s="24">
        <f t="shared" si="82"/>
        <v>2381.8505279</v>
      </c>
    </row>
    <row r="5280" spans="1:14">
      <c r="A5280" s="21" t="s">
        <v>665</v>
      </c>
      <c r="B5280" s="21" t="s">
        <v>1175</v>
      </c>
      <c r="C5280" s="21" t="s">
        <v>26</v>
      </c>
      <c r="D5280" s="21" t="s">
        <v>921</v>
      </c>
      <c r="E5280" s="21">
        <v>0</v>
      </c>
      <c r="F5280" s="22">
        <v>46245.6010648148</v>
      </c>
      <c r="G5280" s="22">
        <v>46252.5529513889</v>
      </c>
      <c r="H5280" s="23">
        <v>3599</v>
      </c>
      <c r="I5280" s="23">
        <v>3599</v>
      </c>
      <c r="J5280" s="24">
        <v>0</v>
      </c>
      <c r="K5280" s="21">
        <v>0</v>
      </c>
      <c r="L5280" s="21">
        <v>0</v>
      </c>
      <c r="M5280" s="21">
        <f>COUNTIF($A$2:$A$5481,A5280)</f>
        <v>1</v>
      </c>
      <c r="N5280" s="24">
        <f t="shared" si="82"/>
        <v>0.000528</v>
      </c>
    </row>
    <row r="5281" spans="1:14">
      <c r="A5281" s="21" t="s">
        <v>664</v>
      </c>
      <c r="B5281" s="21" t="s">
        <v>1175</v>
      </c>
      <c r="C5281" s="21" t="s">
        <v>26</v>
      </c>
      <c r="D5281" s="21" t="s">
        <v>921</v>
      </c>
      <c r="E5281" s="21">
        <v>0</v>
      </c>
      <c r="F5281" s="22">
        <v>45958.5467592593</v>
      </c>
      <c r="G5281" s="22">
        <v>46252.5529398148</v>
      </c>
      <c r="H5281" s="23">
        <v>600</v>
      </c>
      <c r="I5281" s="23">
        <v>300</v>
      </c>
      <c r="J5281" s="24">
        <v>0</v>
      </c>
      <c r="K5281" s="21">
        <v>0</v>
      </c>
      <c r="L5281" s="21">
        <v>0</v>
      </c>
      <c r="M5281" s="21">
        <f>COUNTIF($A$2:$A$5481,A5281)</f>
        <v>1</v>
      </c>
      <c r="N5281" s="24">
        <f t="shared" si="82"/>
        <v>0.0005281</v>
      </c>
    </row>
    <row r="5282" spans="1:14">
      <c r="A5282" s="21" t="s">
        <v>508</v>
      </c>
      <c r="B5282" s="21" t="s">
        <v>920</v>
      </c>
      <c r="C5282" s="21" t="s">
        <v>35</v>
      </c>
      <c r="D5282" s="21" t="s">
        <v>921</v>
      </c>
      <c r="E5282" s="21">
        <v>4</v>
      </c>
      <c r="F5282" s="22">
        <v>46237.5763888889</v>
      </c>
      <c r="G5282" s="22">
        <v>46240.6669675926</v>
      </c>
      <c r="H5282" s="23">
        <v>17.76</v>
      </c>
      <c r="I5282" s="23">
        <v>2.96</v>
      </c>
      <c r="J5282" s="24">
        <v>11.84</v>
      </c>
      <c r="K5282" s="21">
        <v>0</v>
      </c>
      <c r="L5282" s="21">
        <v>0</v>
      </c>
      <c r="M5282" s="21">
        <f>COUNTIF($A$2:$A$5481,A5282)</f>
        <v>1</v>
      </c>
      <c r="N5282" s="24">
        <f t="shared" si="82"/>
        <v>11.8405282</v>
      </c>
    </row>
    <row r="5283" spans="1:14">
      <c r="A5283" s="21" t="s">
        <v>4700</v>
      </c>
      <c r="B5283" s="21" t="s">
        <v>920</v>
      </c>
      <c r="C5283" s="21" t="s">
        <v>35</v>
      </c>
      <c r="D5283" s="21" t="s">
        <v>921</v>
      </c>
      <c r="E5283" s="21">
        <v>4</v>
      </c>
      <c r="F5283" s="22">
        <v>46237.5763888889</v>
      </c>
      <c r="G5283" s="22"/>
      <c r="H5283" s="23">
        <v>40.28</v>
      </c>
      <c r="I5283" s="23">
        <v>10.07</v>
      </c>
      <c r="J5283" s="24">
        <v>40.28</v>
      </c>
      <c r="K5283" s="21">
        <v>0</v>
      </c>
      <c r="L5283" s="21">
        <v>0</v>
      </c>
      <c r="M5283" s="21">
        <f>COUNTIF($A$2:$A$5481,A5283)</f>
        <v>1</v>
      </c>
      <c r="N5283" s="24">
        <f t="shared" si="82"/>
        <v>40.2805283</v>
      </c>
    </row>
    <row r="5284" spans="1:14">
      <c r="A5284" s="21" t="s">
        <v>4701</v>
      </c>
      <c r="B5284" s="21" t="s">
        <v>920</v>
      </c>
      <c r="C5284" s="21" t="s">
        <v>26</v>
      </c>
      <c r="D5284" s="21" t="s">
        <v>921</v>
      </c>
      <c r="E5284" s="21">
        <v>1</v>
      </c>
      <c r="F5284" s="22">
        <v>45933.5603819444</v>
      </c>
      <c r="G5284" s="22">
        <v>45973.4512962963</v>
      </c>
      <c r="H5284" s="23">
        <v>152.52</v>
      </c>
      <c r="I5284" s="23">
        <v>50.84</v>
      </c>
      <c r="J5284" s="24">
        <v>50.84</v>
      </c>
      <c r="K5284" s="21">
        <v>0</v>
      </c>
      <c r="L5284" s="21">
        <v>0</v>
      </c>
      <c r="M5284" s="21">
        <f>COUNTIF($A$2:$A$5481,A5284)</f>
        <v>1</v>
      </c>
      <c r="N5284" s="24">
        <f t="shared" si="82"/>
        <v>50.8405284</v>
      </c>
    </row>
    <row r="5285" spans="1:14">
      <c r="A5285" s="21" t="s">
        <v>4702</v>
      </c>
      <c r="B5285" s="21" t="s">
        <v>920</v>
      </c>
      <c r="C5285" s="21" t="s">
        <v>26</v>
      </c>
      <c r="D5285" s="21" t="s">
        <v>921</v>
      </c>
      <c r="E5285" s="21">
        <v>3</v>
      </c>
      <c r="F5285" s="22">
        <v>45933.5603819444</v>
      </c>
      <c r="G5285" s="22"/>
      <c r="H5285" s="23">
        <v>152.55</v>
      </c>
      <c r="I5285" s="23">
        <v>50.85</v>
      </c>
      <c r="J5285" s="24">
        <v>152.55</v>
      </c>
      <c r="K5285" s="21">
        <v>0</v>
      </c>
      <c r="L5285" s="21">
        <v>0</v>
      </c>
      <c r="M5285" s="21">
        <f>COUNTIF($A$2:$A$5481,A5285)</f>
        <v>1</v>
      </c>
      <c r="N5285" s="24">
        <f t="shared" si="82"/>
        <v>152.5505285</v>
      </c>
    </row>
    <row r="5286" spans="1:14">
      <c r="A5286" s="21" t="s">
        <v>4703</v>
      </c>
      <c r="B5286" s="21" t="s">
        <v>920</v>
      </c>
      <c r="C5286" s="21" t="s">
        <v>26</v>
      </c>
      <c r="D5286" s="21" t="s">
        <v>921</v>
      </c>
      <c r="E5286" s="21">
        <v>0</v>
      </c>
      <c r="F5286" s="22">
        <v>46003.5726273148</v>
      </c>
      <c r="G5286" s="22">
        <v>46013.5620833333</v>
      </c>
      <c r="H5286" s="23">
        <v>125.41</v>
      </c>
      <c r="I5286" s="23">
        <v>125.41</v>
      </c>
      <c r="J5286" s="24">
        <v>0</v>
      </c>
      <c r="K5286" s="21">
        <v>0</v>
      </c>
      <c r="L5286" s="21">
        <v>0</v>
      </c>
      <c r="M5286" s="21">
        <f>COUNTIF($A$2:$A$5481,A5286)</f>
        <v>1</v>
      </c>
      <c r="N5286" s="24">
        <f t="shared" si="82"/>
        <v>0.0005286</v>
      </c>
    </row>
    <row r="5287" spans="1:14">
      <c r="A5287" s="21" t="s">
        <v>4704</v>
      </c>
      <c r="B5287" s="21" t="s">
        <v>26</v>
      </c>
      <c r="C5287" s="21" t="s">
        <v>26</v>
      </c>
      <c r="D5287" s="21" t="s">
        <v>921</v>
      </c>
      <c r="E5287" s="21">
        <v>2</v>
      </c>
      <c r="F5287" s="22">
        <v>45484.4106481482</v>
      </c>
      <c r="G5287" s="22">
        <v>45625.4736458333</v>
      </c>
      <c r="H5287" s="23">
        <v>296.85</v>
      </c>
      <c r="I5287" s="23">
        <v>98.95</v>
      </c>
      <c r="J5287" s="24">
        <v>197.9</v>
      </c>
      <c r="K5287" s="21">
        <v>0</v>
      </c>
      <c r="L5287" s="21">
        <v>0</v>
      </c>
      <c r="M5287" s="21">
        <f>COUNTIF($A$2:$A$5481,A5287)</f>
        <v>1</v>
      </c>
      <c r="N5287" s="24">
        <f t="shared" si="82"/>
        <v>197.9005287</v>
      </c>
    </row>
    <row r="5288" spans="1:14">
      <c r="A5288" s="21" t="s">
        <v>4705</v>
      </c>
      <c r="B5288" s="21" t="s">
        <v>26</v>
      </c>
      <c r="C5288" s="21" t="s">
        <v>26</v>
      </c>
      <c r="D5288" s="21" t="s">
        <v>921</v>
      </c>
      <c r="E5288" s="21">
        <v>2</v>
      </c>
      <c r="F5288" s="22">
        <v>45484.4106481482</v>
      </c>
      <c r="G5288" s="22">
        <v>45625.4736342593</v>
      </c>
      <c r="H5288" s="23">
        <v>296.85</v>
      </c>
      <c r="I5288" s="23">
        <v>98.95</v>
      </c>
      <c r="J5288" s="24">
        <v>197.9</v>
      </c>
      <c r="K5288" s="21">
        <v>0</v>
      </c>
      <c r="L5288" s="21">
        <v>0</v>
      </c>
      <c r="M5288" s="21">
        <f>COUNTIF($A$2:$A$5481,A5288)</f>
        <v>1</v>
      </c>
      <c r="N5288" s="24">
        <f t="shared" si="82"/>
        <v>197.9005288</v>
      </c>
    </row>
    <row r="5289" spans="1:14">
      <c r="A5289" s="21" t="s">
        <v>4706</v>
      </c>
      <c r="B5289" s="21" t="s">
        <v>949</v>
      </c>
      <c r="C5289" s="21" t="s">
        <v>26</v>
      </c>
      <c r="D5289" s="21" t="s">
        <v>921</v>
      </c>
      <c r="E5289" s="21">
        <v>0</v>
      </c>
      <c r="F5289" s="22">
        <v>45323.3923611111</v>
      </c>
      <c r="G5289" s="22">
        <v>45324.4904976852</v>
      </c>
      <c r="H5289" s="23">
        <v>160.661</v>
      </c>
      <c r="I5289" s="23">
        <v>7.49002</v>
      </c>
      <c r="J5289" s="24">
        <v>0</v>
      </c>
      <c r="K5289" s="21">
        <v>0</v>
      </c>
      <c r="L5289" s="21">
        <v>0</v>
      </c>
      <c r="M5289" s="21">
        <f>COUNTIF($A$2:$A$5481,A5289)</f>
        <v>1</v>
      </c>
      <c r="N5289" s="24">
        <f t="shared" si="82"/>
        <v>0.0005289</v>
      </c>
    </row>
    <row r="5290" spans="1:14">
      <c r="A5290" s="21" t="s">
        <v>4707</v>
      </c>
      <c r="B5290" s="21" t="s">
        <v>929</v>
      </c>
      <c r="C5290" s="21" t="s">
        <v>414</v>
      </c>
      <c r="D5290" s="21" t="s">
        <v>921</v>
      </c>
      <c r="E5290" s="21">
        <v>1</v>
      </c>
      <c r="F5290" s="22">
        <v>45293.3591898148</v>
      </c>
      <c r="G5290" s="22"/>
      <c r="H5290" s="23">
        <v>460.5</v>
      </c>
      <c r="I5290" s="23">
        <v>460.5</v>
      </c>
      <c r="J5290" s="24">
        <v>460.5</v>
      </c>
      <c r="K5290" s="21">
        <v>0</v>
      </c>
      <c r="L5290" s="21">
        <v>0</v>
      </c>
      <c r="M5290" s="21">
        <f>COUNTIF($A$2:$A$5481,A5290)</f>
        <v>2</v>
      </c>
      <c r="N5290" s="24">
        <f t="shared" si="82"/>
        <v>460.500529</v>
      </c>
    </row>
    <row r="5291" spans="1:14">
      <c r="A5291" s="21" t="s">
        <v>4707</v>
      </c>
      <c r="B5291" s="21" t="s">
        <v>929</v>
      </c>
      <c r="C5291" s="21" t="s">
        <v>35</v>
      </c>
      <c r="D5291" s="21" t="s">
        <v>921</v>
      </c>
      <c r="E5291" s="21">
        <v>1</v>
      </c>
      <c r="F5291" s="22">
        <v>45329.4507175926</v>
      </c>
      <c r="G5291" s="22"/>
      <c r="H5291" s="23">
        <v>460.5</v>
      </c>
      <c r="I5291" s="23">
        <v>460.5</v>
      </c>
      <c r="J5291" s="24">
        <v>460.5</v>
      </c>
      <c r="K5291" s="21">
        <v>0</v>
      </c>
      <c r="L5291" s="21">
        <v>0</v>
      </c>
      <c r="M5291" s="21">
        <f>COUNTIF($A$2:$A$5481,A5291)</f>
        <v>2</v>
      </c>
      <c r="N5291" s="24">
        <f t="shared" si="82"/>
        <v>460.5005291</v>
      </c>
    </row>
    <row r="5292" spans="1:14">
      <c r="A5292" s="21" t="s">
        <v>4708</v>
      </c>
      <c r="B5292" s="21" t="s">
        <v>920</v>
      </c>
      <c r="C5292" s="21" t="s">
        <v>26</v>
      </c>
      <c r="D5292" s="21" t="s">
        <v>921</v>
      </c>
      <c r="E5292" s="21">
        <v>10</v>
      </c>
      <c r="F5292" s="22">
        <v>45411.8452546296</v>
      </c>
      <c r="G5292" s="22"/>
      <c r="H5292" s="23">
        <v>25.5</v>
      </c>
      <c r="I5292" s="23">
        <v>2.55</v>
      </c>
      <c r="J5292" s="24">
        <v>25.5</v>
      </c>
      <c r="K5292" s="21">
        <v>0</v>
      </c>
      <c r="L5292" s="21">
        <v>0</v>
      </c>
      <c r="M5292" s="21">
        <f>COUNTIF($A$2:$A$5481,A5292)</f>
        <v>1</v>
      </c>
      <c r="N5292" s="24">
        <f t="shared" si="82"/>
        <v>25.5005292</v>
      </c>
    </row>
    <row r="5293" spans="1:14">
      <c r="A5293" s="21" t="s">
        <v>4709</v>
      </c>
      <c r="B5293" s="21" t="s">
        <v>26</v>
      </c>
      <c r="C5293" s="21" t="s">
        <v>26</v>
      </c>
      <c r="D5293" s="21" t="s">
        <v>921</v>
      </c>
      <c r="E5293" s="21">
        <v>10</v>
      </c>
      <c r="F5293" s="22">
        <v>45866.5685416667</v>
      </c>
      <c r="G5293" s="22"/>
      <c r="H5293" s="23">
        <v>22</v>
      </c>
      <c r="I5293" s="23">
        <v>3.34</v>
      </c>
      <c r="J5293" s="24">
        <v>33.4</v>
      </c>
      <c r="K5293" s="21">
        <v>0</v>
      </c>
      <c r="L5293" s="21">
        <v>0</v>
      </c>
      <c r="M5293" s="21">
        <f>COUNTIF($A$2:$A$5481,A5293)</f>
        <v>1</v>
      </c>
      <c r="N5293" s="24">
        <f t="shared" si="82"/>
        <v>33.4005293</v>
      </c>
    </row>
    <row r="5294" spans="1:14">
      <c r="A5294" s="21" t="s">
        <v>4710</v>
      </c>
      <c r="B5294" s="21" t="s">
        <v>26</v>
      </c>
      <c r="C5294" s="21" t="s">
        <v>26</v>
      </c>
      <c r="D5294" s="21" t="s">
        <v>921</v>
      </c>
      <c r="E5294" s="21">
        <v>6</v>
      </c>
      <c r="F5294" s="22">
        <v>45566.8418402778</v>
      </c>
      <c r="G5294" s="22"/>
      <c r="H5294" s="23">
        <v>17.4</v>
      </c>
      <c r="I5294" s="23">
        <v>2.9</v>
      </c>
      <c r="J5294" s="24">
        <v>17.4</v>
      </c>
      <c r="K5294" s="21">
        <v>0</v>
      </c>
      <c r="L5294" s="21">
        <v>0</v>
      </c>
      <c r="M5294" s="21">
        <f>COUNTIF($A$2:$A$5481,A5294)</f>
        <v>1</v>
      </c>
      <c r="N5294" s="24">
        <f t="shared" si="82"/>
        <v>17.4005294</v>
      </c>
    </row>
    <row r="5295" spans="1:14">
      <c r="A5295" s="21" t="s">
        <v>4711</v>
      </c>
      <c r="B5295" s="21" t="s">
        <v>920</v>
      </c>
      <c r="C5295" s="21" t="s">
        <v>26</v>
      </c>
      <c r="D5295" s="21" t="s">
        <v>921</v>
      </c>
      <c r="E5295" s="21">
        <v>2</v>
      </c>
      <c r="F5295" s="22">
        <v>45999.3940625</v>
      </c>
      <c r="G5295" s="22"/>
      <c r="H5295" s="23">
        <v>190</v>
      </c>
      <c r="I5295" s="23">
        <v>95</v>
      </c>
      <c r="J5295" s="24">
        <v>190</v>
      </c>
      <c r="K5295" s="21">
        <v>0</v>
      </c>
      <c r="L5295" s="21">
        <v>0</v>
      </c>
      <c r="M5295" s="21">
        <f>COUNTIF($A$2:$A$5481,A5295)</f>
        <v>1</v>
      </c>
      <c r="N5295" s="24">
        <f t="shared" si="82"/>
        <v>190.0005295</v>
      </c>
    </row>
    <row r="5296" spans="1:14">
      <c r="A5296" s="21" t="s">
        <v>4712</v>
      </c>
      <c r="B5296" s="21" t="s">
        <v>920</v>
      </c>
      <c r="C5296" s="21" t="s">
        <v>26</v>
      </c>
      <c r="D5296" s="21" t="s">
        <v>921</v>
      </c>
      <c r="E5296" s="21">
        <v>2</v>
      </c>
      <c r="F5296" s="22">
        <v>45999.3940625</v>
      </c>
      <c r="G5296" s="22"/>
      <c r="H5296" s="23">
        <v>96</v>
      </c>
      <c r="I5296" s="23">
        <v>48</v>
      </c>
      <c r="J5296" s="24">
        <v>96</v>
      </c>
      <c r="K5296" s="21">
        <v>0</v>
      </c>
      <c r="L5296" s="21">
        <v>0</v>
      </c>
      <c r="M5296" s="21">
        <f>COUNTIF($A$2:$A$5481,A5296)</f>
        <v>1</v>
      </c>
      <c r="N5296" s="24">
        <f t="shared" si="82"/>
        <v>96.0005296</v>
      </c>
    </row>
    <row r="5297" spans="1:14">
      <c r="A5297" s="21" t="s">
        <v>4713</v>
      </c>
      <c r="B5297" s="21" t="s">
        <v>26</v>
      </c>
      <c r="C5297" s="21" t="s">
        <v>182</v>
      </c>
      <c r="D5297" s="21" t="s">
        <v>921</v>
      </c>
      <c r="E5297" s="21">
        <v>5</v>
      </c>
      <c r="F5297" s="22">
        <v>45434.3576388889</v>
      </c>
      <c r="G5297" s="22"/>
      <c r="H5297" s="23">
        <v>72.3</v>
      </c>
      <c r="I5297" s="23">
        <v>27.048</v>
      </c>
      <c r="J5297" s="24">
        <v>135.25</v>
      </c>
      <c r="K5297" s="21">
        <v>0</v>
      </c>
      <c r="L5297" s="21">
        <v>0</v>
      </c>
      <c r="M5297" s="21">
        <f>COUNTIF($A$2:$A$5481,A5297)</f>
        <v>2</v>
      </c>
      <c r="N5297" s="24">
        <f t="shared" si="82"/>
        <v>135.2505297</v>
      </c>
    </row>
    <row r="5298" spans="1:14">
      <c r="A5298" s="21" t="s">
        <v>4713</v>
      </c>
      <c r="B5298" s="21" t="s">
        <v>26</v>
      </c>
      <c r="C5298" s="21" t="s">
        <v>26</v>
      </c>
      <c r="D5298" s="21" t="s">
        <v>921</v>
      </c>
      <c r="E5298" s="21">
        <v>100</v>
      </c>
      <c r="F5298" s="22">
        <v>45526.4375810185</v>
      </c>
      <c r="G5298" s="22"/>
      <c r="H5298" s="23">
        <v>34</v>
      </c>
      <c r="I5298" s="23">
        <v>0.34</v>
      </c>
      <c r="J5298" s="24">
        <v>34</v>
      </c>
      <c r="K5298" s="21">
        <v>0</v>
      </c>
      <c r="L5298" s="21">
        <v>0</v>
      </c>
      <c r="M5298" s="21">
        <f>COUNTIF($A$2:$A$5481,A5298)</f>
        <v>2</v>
      </c>
      <c r="N5298" s="24">
        <f t="shared" si="82"/>
        <v>34.0005298</v>
      </c>
    </row>
    <row r="5299" spans="1:14">
      <c r="A5299" s="21" t="s">
        <v>4714</v>
      </c>
      <c r="B5299" s="21" t="s">
        <v>26</v>
      </c>
      <c r="C5299" s="21" t="s">
        <v>182</v>
      </c>
      <c r="D5299" s="21" t="s">
        <v>921</v>
      </c>
      <c r="E5299" s="21">
        <v>5</v>
      </c>
      <c r="F5299" s="22">
        <v>45434.3576388889</v>
      </c>
      <c r="G5299" s="22"/>
      <c r="H5299" s="23">
        <v>23.01</v>
      </c>
      <c r="I5299" s="23">
        <v>6.254</v>
      </c>
      <c r="J5299" s="24">
        <v>31.25</v>
      </c>
      <c r="K5299" s="21">
        <v>0</v>
      </c>
      <c r="L5299" s="21">
        <v>0</v>
      </c>
      <c r="M5299" s="21">
        <f>COUNTIF($A$2:$A$5481,A5299)</f>
        <v>2</v>
      </c>
      <c r="N5299" s="24">
        <f t="shared" si="82"/>
        <v>31.2505299</v>
      </c>
    </row>
    <row r="5300" spans="1:14">
      <c r="A5300" s="21" t="s">
        <v>4714</v>
      </c>
      <c r="B5300" s="21" t="s">
        <v>26</v>
      </c>
      <c r="C5300" s="21" t="s">
        <v>26</v>
      </c>
      <c r="D5300" s="21" t="s">
        <v>921</v>
      </c>
      <c r="E5300" s="21">
        <v>2</v>
      </c>
      <c r="F5300" s="22">
        <v>45989.3974421296</v>
      </c>
      <c r="G5300" s="22"/>
      <c r="H5300" s="23">
        <v>7.1</v>
      </c>
      <c r="I5300" s="23">
        <v>5.96</v>
      </c>
      <c r="J5300" s="24">
        <v>11.92</v>
      </c>
      <c r="K5300" s="21">
        <v>0</v>
      </c>
      <c r="L5300" s="21">
        <v>0</v>
      </c>
      <c r="M5300" s="21">
        <f>COUNTIF($A$2:$A$5481,A5300)</f>
        <v>2</v>
      </c>
      <c r="N5300" s="24">
        <f t="shared" si="82"/>
        <v>11.92053</v>
      </c>
    </row>
    <row r="5301" spans="1:14">
      <c r="A5301" s="21" t="s">
        <v>4715</v>
      </c>
      <c r="B5301" s="21" t="s">
        <v>26</v>
      </c>
      <c r="C5301" s="21" t="s">
        <v>182</v>
      </c>
      <c r="D5301" s="21" t="s">
        <v>921</v>
      </c>
      <c r="E5301" s="21">
        <v>7</v>
      </c>
      <c r="F5301" s="22">
        <v>45338.3677314815</v>
      </c>
      <c r="G5301" s="22"/>
      <c r="H5301" s="23">
        <v>126.49</v>
      </c>
      <c r="I5301" s="23">
        <v>18.07</v>
      </c>
      <c r="J5301" s="24">
        <v>126.49</v>
      </c>
      <c r="K5301" s="21">
        <v>0</v>
      </c>
      <c r="L5301" s="21">
        <v>0</v>
      </c>
      <c r="M5301" s="21">
        <f>COUNTIF($A$2:$A$5481,A5301)</f>
        <v>2</v>
      </c>
      <c r="N5301" s="24">
        <f t="shared" si="82"/>
        <v>126.4905301</v>
      </c>
    </row>
    <row r="5302" spans="1:14">
      <c r="A5302" s="21" t="s">
        <v>4715</v>
      </c>
      <c r="B5302" s="21" t="s">
        <v>26</v>
      </c>
      <c r="C5302" s="21" t="s">
        <v>26</v>
      </c>
      <c r="D5302" s="21" t="s">
        <v>921</v>
      </c>
      <c r="E5302" s="21">
        <v>1</v>
      </c>
      <c r="F5302" s="22">
        <v>45588.6566203704</v>
      </c>
      <c r="G5302" s="22"/>
      <c r="H5302" s="23">
        <v>65.69</v>
      </c>
      <c r="I5302" s="23">
        <v>65.69</v>
      </c>
      <c r="J5302" s="24">
        <v>65.69</v>
      </c>
      <c r="K5302" s="21">
        <v>0</v>
      </c>
      <c r="L5302" s="21">
        <v>0</v>
      </c>
      <c r="M5302" s="21">
        <f>COUNTIF($A$2:$A$5481,A5302)</f>
        <v>2</v>
      </c>
      <c r="N5302" s="24">
        <f t="shared" si="82"/>
        <v>65.6905302</v>
      </c>
    </row>
    <row r="5303" spans="1:14">
      <c r="A5303" s="21" t="s">
        <v>4716</v>
      </c>
      <c r="B5303" s="21" t="s">
        <v>26</v>
      </c>
      <c r="C5303" s="21" t="s">
        <v>182</v>
      </c>
      <c r="D5303" s="21" t="s">
        <v>921</v>
      </c>
      <c r="E5303" s="21">
        <v>0</v>
      </c>
      <c r="F5303" s="22">
        <v>45338.3677314815</v>
      </c>
      <c r="G5303" s="22">
        <v>45359.4340046296</v>
      </c>
      <c r="H5303" s="23">
        <v>31.65</v>
      </c>
      <c r="I5303" s="23">
        <v>31.65</v>
      </c>
      <c r="J5303" s="24">
        <v>0</v>
      </c>
      <c r="K5303" s="21">
        <v>0</v>
      </c>
      <c r="L5303" s="21">
        <v>0</v>
      </c>
      <c r="M5303" s="21">
        <f>COUNTIF($A$2:$A$5481,A5303)</f>
        <v>2</v>
      </c>
      <c r="N5303" s="24">
        <f t="shared" si="82"/>
        <v>0.0005303</v>
      </c>
    </row>
    <row r="5304" spans="1:14">
      <c r="A5304" s="21" t="s">
        <v>4716</v>
      </c>
      <c r="B5304" s="21" t="s">
        <v>26</v>
      </c>
      <c r="C5304" s="21" t="s">
        <v>26</v>
      </c>
      <c r="D5304" s="21" t="s">
        <v>921</v>
      </c>
      <c r="E5304" s="21">
        <v>1</v>
      </c>
      <c r="F5304" s="22">
        <v>45989.3974421296</v>
      </c>
      <c r="G5304" s="22"/>
      <c r="H5304" s="23">
        <v>33.76</v>
      </c>
      <c r="I5304" s="23">
        <v>33.76</v>
      </c>
      <c r="J5304" s="24">
        <v>33.76</v>
      </c>
      <c r="K5304" s="21">
        <v>0</v>
      </c>
      <c r="L5304" s="21">
        <v>0</v>
      </c>
      <c r="M5304" s="21">
        <f>COUNTIF($A$2:$A$5481,A5304)</f>
        <v>2</v>
      </c>
      <c r="N5304" s="24">
        <f t="shared" si="82"/>
        <v>33.7605304</v>
      </c>
    </row>
    <row r="5305" spans="1:14">
      <c r="A5305" s="21" t="s">
        <v>4717</v>
      </c>
      <c r="B5305" s="21" t="s">
        <v>26</v>
      </c>
      <c r="C5305" s="21" t="s">
        <v>26</v>
      </c>
      <c r="D5305" s="21" t="s">
        <v>921</v>
      </c>
      <c r="E5305" s="21">
        <v>3</v>
      </c>
      <c r="F5305" s="22">
        <v>45747.3550810185</v>
      </c>
      <c r="G5305" s="22"/>
      <c r="H5305" s="23">
        <v>32.09</v>
      </c>
      <c r="I5305" s="23">
        <v>31.64333</v>
      </c>
      <c r="J5305" s="24">
        <v>94.92</v>
      </c>
      <c r="K5305" s="21">
        <v>0</v>
      </c>
      <c r="L5305" s="21">
        <v>0</v>
      </c>
      <c r="M5305" s="21">
        <f>COUNTIF($A$2:$A$5481,A5305)</f>
        <v>1</v>
      </c>
      <c r="N5305" s="24">
        <f t="shared" si="82"/>
        <v>94.9205305</v>
      </c>
    </row>
    <row r="5306" spans="1:14">
      <c r="A5306" s="21" t="s">
        <v>4718</v>
      </c>
      <c r="B5306" s="21" t="s">
        <v>26</v>
      </c>
      <c r="C5306" s="21" t="s">
        <v>182</v>
      </c>
      <c r="D5306" s="21" t="s">
        <v>921</v>
      </c>
      <c r="E5306" s="21">
        <v>9</v>
      </c>
      <c r="F5306" s="22">
        <v>45434.3576388889</v>
      </c>
      <c r="G5306" s="22"/>
      <c r="H5306" s="23">
        <v>147.14</v>
      </c>
      <c r="I5306" s="23">
        <v>23.34222</v>
      </c>
      <c r="J5306" s="24">
        <v>210.06</v>
      </c>
      <c r="K5306" s="21">
        <v>0</v>
      </c>
      <c r="L5306" s="21">
        <v>0</v>
      </c>
      <c r="M5306" s="21">
        <f>COUNTIF($A$2:$A$5481,A5306)</f>
        <v>2</v>
      </c>
      <c r="N5306" s="24">
        <f t="shared" si="82"/>
        <v>210.0605306</v>
      </c>
    </row>
    <row r="5307" spans="1:14">
      <c r="A5307" s="21" t="s">
        <v>4718</v>
      </c>
      <c r="B5307" s="21" t="s">
        <v>26</v>
      </c>
      <c r="C5307" s="21" t="s">
        <v>26</v>
      </c>
      <c r="D5307" s="21" t="s">
        <v>921</v>
      </c>
      <c r="E5307" s="21">
        <v>9</v>
      </c>
      <c r="F5307" s="22">
        <v>46065.6945949074</v>
      </c>
      <c r="G5307" s="22"/>
      <c r="H5307" s="23">
        <v>51.52</v>
      </c>
      <c r="I5307" s="23">
        <v>42.1011111111</v>
      </c>
      <c r="J5307" s="24">
        <v>378.9</v>
      </c>
      <c r="K5307" s="21">
        <v>0</v>
      </c>
      <c r="L5307" s="21">
        <v>0</v>
      </c>
      <c r="M5307" s="21">
        <f>COUNTIF($A$2:$A$5481,A5307)</f>
        <v>2</v>
      </c>
      <c r="N5307" s="24">
        <f t="shared" si="82"/>
        <v>378.9005307</v>
      </c>
    </row>
    <row r="5308" spans="1:14">
      <c r="A5308" s="21" t="s">
        <v>4719</v>
      </c>
      <c r="B5308" s="21" t="s">
        <v>26</v>
      </c>
      <c r="C5308" s="21" t="s">
        <v>182</v>
      </c>
      <c r="D5308" s="21" t="s">
        <v>921</v>
      </c>
      <c r="E5308" s="21">
        <v>4</v>
      </c>
      <c r="F5308" s="22">
        <v>45434.3576388889</v>
      </c>
      <c r="G5308" s="22"/>
      <c r="H5308" s="23">
        <v>43.92</v>
      </c>
      <c r="I5308" s="23">
        <v>18.025</v>
      </c>
      <c r="J5308" s="24">
        <v>72.12</v>
      </c>
      <c r="K5308" s="21">
        <v>0</v>
      </c>
      <c r="L5308" s="21">
        <v>0</v>
      </c>
      <c r="M5308" s="21">
        <f>COUNTIF($A$2:$A$5481,A5308)</f>
        <v>2</v>
      </c>
      <c r="N5308" s="24">
        <f t="shared" si="82"/>
        <v>72.1205308</v>
      </c>
    </row>
    <row r="5309" spans="1:14">
      <c r="A5309" s="21" t="s">
        <v>4719</v>
      </c>
      <c r="B5309" s="21" t="s">
        <v>26</v>
      </c>
      <c r="C5309" s="21" t="s">
        <v>26</v>
      </c>
      <c r="D5309" s="21" t="s">
        <v>921</v>
      </c>
      <c r="E5309" s="21">
        <v>5</v>
      </c>
      <c r="F5309" s="22">
        <v>45747.3550810185</v>
      </c>
      <c r="G5309" s="22"/>
      <c r="H5309" s="23">
        <v>29</v>
      </c>
      <c r="I5309" s="23">
        <v>16.774</v>
      </c>
      <c r="J5309" s="24">
        <v>83.85</v>
      </c>
      <c r="K5309" s="21">
        <v>0</v>
      </c>
      <c r="L5309" s="21">
        <v>0</v>
      </c>
      <c r="M5309" s="21">
        <f>COUNTIF($A$2:$A$5481,A5309)</f>
        <v>2</v>
      </c>
      <c r="N5309" s="24">
        <f t="shared" si="82"/>
        <v>83.8505309</v>
      </c>
    </row>
    <row r="5310" spans="1:14">
      <c r="A5310" s="21" t="s">
        <v>4720</v>
      </c>
      <c r="B5310" s="21" t="s">
        <v>26</v>
      </c>
      <c r="C5310" s="21" t="s">
        <v>182</v>
      </c>
      <c r="D5310" s="21" t="s">
        <v>921</v>
      </c>
      <c r="E5310" s="21">
        <v>6</v>
      </c>
      <c r="F5310" s="22">
        <v>45434.3576388889</v>
      </c>
      <c r="G5310" s="22"/>
      <c r="H5310" s="23">
        <v>35.8</v>
      </c>
      <c r="I5310" s="23">
        <v>7.98</v>
      </c>
      <c r="J5310" s="24">
        <v>47.88</v>
      </c>
      <c r="K5310" s="21">
        <v>0</v>
      </c>
      <c r="L5310" s="21">
        <v>0</v>
      </c>
      <c r="M5310" s="21">
        <f>COUNTIF($A$2:$A$5481,A5310)</f>
        <v>2</v>
      </c>
      <c r="N5310" s="24">
        <f t="shared" si="82"/>
        <v>47.880531</v>
      </c>
    </row>
    <row r="5311" spans="1:14">
      <c r="A5311" s="21" t="s">
        <v>4720</v>
      </c>
      <c r="B5311" s="21" t="s">
        <v>26</v>
      </c>
      <c r="C5311" s="21" t="s">
        <v>26</v>
      </c>
      <c r="D5311" s="21" t="s">
        <v>921</v>
      </c>
      <c r="E5311" s="21">
        <v>4</v>
      </c>
      <c r="F5311" s="22">
        <v>45989.3974421296</v>
      </c>
      <c r="G5311" s="22">
        <v>45807.4600231482</v>
      </c>
      <c r="H5311" s="23">
        <v>6.94</v>
      </c>
      <c r="I5311" s="23">
        <v>6.64</v>
      </c>
      <c r="J5311" s="24">
        <v>26.56</v>
      </c>
      <c r="K5311" s="21">
        <v>0</v>
      </c>
      <c r="L5311" s="21">
        <v>0</v>
      </c>
      <c r="M5311" s="21">
        <f>COUNTIF($A$2:$A$5481,A5311)</f>
        <v>2</v>
      </c>
      <c r="N5311" s="24">
        <f t="shared" si="82"/>
        <v>26.5605311</v>
      </c>
    </row>
    <row r="5312" spans="1:14">
      <c r="A5312" s="21" t="s">
        <v>4721</v>
      </c>
      <c r="B5312" s="21" t="s">
        <v>929</v>
      </c>
      <c r="C5312" s="21" t="s">
        <v>26</v>
      </c>
      <c r="D5312" s="21" t="s">
        <v>921</v>
      </c>
      <c r="E5312" s="21">
        <v>1</v>
      </c>
      <c r="F5312" s="22">
        <v>46267.6631944445</v>
      </c>
      <c r="G5312" s="22"/>
      <c r="H5312" s="23">
        <v>23</v>
      </c>
      <c r="I5312" s="23">
        <v>23</v>
      </c>
      <c r="J5312" s="24">
        <v>23</v>
      </c>
      <c r="K5312" s="21">
        <v>0</v>
      </c>
      <c r="L5312" s="21">
        <v>0</v>
      </c>
      <c r="M5312" s="21">
        <f>COUNTIF($A$2:$A$5481,A5312)</f>
        <v>1</v>
      </c>
      <c r="N5312" s="24">
        <f t="shared" si="82"/>
        <v>23.0005312</v>
      </c>
    </row>
    <row r="5313" spans="1:14">
      <c r="A5313" s="21" t="s">
        <v>4722</v>
      </c>
      <c r="B5313" s="21" t="s">
        <v>920</v>
      </c>
      <c r="C5313" s="21" t="s">
        <v>35</v>
      </c>
      <c r="D5313" s="21" t="s">
        <v>921</v>
      </c>
      <c r="E5313" s="21">
        <v>0</v>
      </c>
      <c r="F5313" s="22">
        <v>45433.5425347222</v>
      </c>
      <c r="G5313" s="22">
        <v>45433.5850462963</v>
      </c>
      <c r="H5313" s="23">
        <v>6</v>
      </c>
      <c r="I5313" s="23">
        <v>0</v>
      </c>
      <c r="J5313" s="24">
        <v>0</v>
      </c>
      <c r="K5313" s="21">
        <v>0</v>
      </c>
      <c r="L5313" s="21">
        <v>0</v>
      </c>
      <c r="M5313" s="21">
        <f>COUNTIF($A$2:$A$5481,A5313)</f>
        <v>1</v>
      </c>
      <c r="N5313" s="24">
        <f t="shared" si="82"/>
        <v>0.0005313</v>
      </c>
    </row>
    <row r="5314" spans="1:14">
      <c r="A5314" s="21" t="s">
        <v>4723</v>
      </c>
      <c r="B5314" s="21" t="s">
        <v>26</v>
      </c>
      <c r="C5314" s="21" t="s">
        <v>26</v>
      </c>
      <c r="D5314" s="21" t="s">
        <v>921</v>
      </c>
      <c r="E5314" s="21">
        <v>400</v>
      </c>
      <c r="F5314" s="22">
        <v>46066.5512731482</v>
      </c>
      <c r="G5314" s="22"/>
      <c r="H5314" s="23">
        <v>88</v>
      </c>
      <c r="I5314" s="23">
        <v>0.22</v>
      </c>
      <c r="J5314" s="24">
        <v>88</v>
      </c>
      <c r="K5314" s="21">
        <v>0</v>
      </c>
      <c r="L5314" s="21">
        <v>0</v>
      </c>
      <c r="M5314" s="21">
        <f>COUNTIF($A$2:$A$5481,A5314)</f>
        <v>1</v>
      </c>
      <c r="N5314" s="24">
        <f t="shared" ref="N5314:N5377" si="83">J5314+ROW()/10000000</f>
        <v>88.0005314</v>
      </c>
    </row>
    <row r="5315" spans="1:14">
      <c r="A5315" s="21" t="s">
        <v>4724</v>
      </c>
      <c r="B5315" s="21" t="s">
        <v>26</v>
      </c>
      <c r="C5315" s="21" t="s">
        <v>26</v>
      </c>
      <c r="D5315" s="21" t="s">
        <v>921</v>
      </c>
      <c r="E5315" s="21">
        <v>2</v>
      </c>
      <c r="F5315" s="22">
        <v>45747.3550810185</v>
      </c>
      <c r="G5315" s="22"/>
      <c r="H5315" s="23">
        <v>51.66</v>
      </c>
      <c r="I5315" s="23">
        <v>63.715</v>
      </c>
      <c r="J5315" s="24">
        <v>127.44</v>
      </c>
      <c r="K5315" s="21">
        <v>0</v>
      </c>
      <c r="L5315" s="21">
        <v>0</v>
      </c>
      <c r="M5315" s="21">
        <f>COUNTIF($A$2:$A$5481,A5315)</f>
        <v>1</v>
      </c>
      <c r="N5315" s="24">
        <f t="shared" si="83"/>
        <v>127.4405315</v>
      </c>
    </row>
    <row r="5316" spans="1:14">
      <c r="A5316" s="21" t="s">
        <v>4725</v>
      </c>
      <c r="B5316" s="21" t="s">
        <v>920</v>
      </c>
      <c r="C5316" s="21" t="s">
        <v>26</v>
      </c>
      <c r="D5316" s="21" t="s">
        <v>921</v>
      </c>
      <c r="E5316" s="21">
        <v>302</v>
      </c>
      <c r="F5316" s="22">
        <v>46065.6945949074</v>
      </c>
      <c r="G5316" s="22"/>
      <c r="H5316" s="23">
        <v>49.18</v>
      </c>
      <c r="I5316" s="23">
        <v>0.9608609272</v>
      </c>
      <c r="J5316" s="24">
        <v>289.92</v>
      </c>
      <c r="K5316" s="21">
        <v>0</v>
      </c>
      <c r="L5316" s="21">
        <v>0</v>
      </c>
      <c r="M5316" s="21">
        <f>COUNTIF($A$2:$A$5481,A5316)</f>
        <v>1</v>
      </c>
      <c r="N5316" s="24">
        <f t="shared" si="83"/>
        <v>289.9205316</v>
      </c>
    </row>
    <row r="5317" spans="1:14">
      <c r="A5317" s="21" t="s">
        <v>4726</v>
      </c>
      <c r="B5317" s="21" t="s">
        <v>920</v>
      </c>
      <c r="C5317" s="21" t="s">
        <v>26</v>
      </c>
      <c r="D5317" s="21" t="s">
        <v>921</v>
      </c>
      <c r="E5317" s="21">
        <v>401</v>
      </c>
      <c r="F5317" s="22">
        <v>46178.7129513889</v>
      </c>
      <c r="G5317" s="22"/>
      <c r="H5317" s="23">
        <v>158.7</v>
      </c>
      <c r="I5317" s="23">
        <v>1.7448877805</v>
      </c>
      <c r="J5317" s="24">
        <v>697.74</v>
      </c>
      <c r="K5317" s="21">
        <v>0</v>
      </c>
      <c r="L5317" s="21">
        <v>0</v>
      </c>
      <c r="M5317" s="21">
        <f>COUNTIF($A$2:$A$5481,A5317)</f>
        <v>1</v>
      </c>
      <c r="N5317" s="24">
        <f t="shared" si="83"/>
        <v>697.7405317</v>
      </c>
    </row>
    <row r="5318" spans="1:14">
      <c r="A5318" s="21" t="s">
        <v>4727</v>
      </c>
      <c r="B5318" s="21" t="s">
        <v>26</v>
      </c>
      <c r="C5318" s="21" t="s">
        <v>26</v>
      </c>
      <c r="D5318" s="21" t="s">
        <v>921</v>
      </c>
      <c r="E5318" s="21">
        <v>1</v>
      </c>
      <c r="F5318" s="22">
        <v>45996.3817708333</v>
      </c>
      <c r="G5318" s="22"/>
      <c r="H5318" s="23">
        <v>24.91</v>
      </c>
      <c r="I5318" s="23">
        <v>24.91</v>
      </c>
      <c r="J5318" s="24">
        <v>24.91</v>
      </c>
      <c r="K5318" s="21">
        <v>0</v>
      </c>
      <c r="L5318" s="21">
        <v>0</v>
      </c>
      <c r="M5318" s="21">
        <f>COUNTIF($A$2:$A$5481,A5318)</f>
        <v>1</v>
      </c>
      <c r="N5318" s="24">
        <f t="shared" si="83"/>
        <v>24.9105318</v>
      </c>
    </row>
    <row r="5319" spans="1:14">
      <c r="A5319" s="21" t="s">
        <v>4728</v>
      </c>
      <c r="B5319" s="21" t="s">
        <v>26</v>
      </c>
      <c r="C5319" s="21" t="s">
        <v>26</v>
      </c>
      <c r="D5319" s="21" t="s">
        <v>921</v>
      </c>
      <c r="E5319" s="21">
        <v>404</v>
      </c>
      <c r="F5319" s="22">
        <v>46178.7129513889</v>
      </c>
      <c r="G5319" s="22"/>
      <c r="H5319" s="23">
        <v>162.8</v>
      </c>
      <c r="I5319" s="23">
        <v>0.7297029703</v>
      </c>
      <c r="J5319" s="24">
        <v>294.92</v>
      </c>
      <c r="K5319" s="21">
        <v>0</v>
      </c>
      <c r="L5319" s="21">
        <v>0</v>
      </c>
      <c r="M5319" s="21">
        <f>COUNTIF($A$2:$A$5481,A5319)</f>
        <v>1</v>
      </c>
      <c r="N5319" s="24">
        <f t="shared" si="83"/>
        <v>294.9205319</v>
      </c>
    </row>
    <row r="5320" spans="1:14">
      <c r="A5320" s="21" t="s">
        <v>4729</v>
      </c>
      <c r="B5320" s="21" t="s">
        <v>26</v>
      </c>
      <c r="C5320" s="21" t="s">
        <v>26</v>
      </c>
      <c r="D5320" s="21" t="s">
        <v>921</v>
      </c>
      <c r="E5320" s="21">
        <v>407</v>
      </c>
      <c r="F5320" s="22">
        <v>46178.7129513889</v>
      </c>
      <c r="G5320" s="22">
        <v>45800.4503587963</v>
      </c>
      <c r="H5320" s="23">
        <v>114.8</v>
      </c>
      <c r="I5320" s="23">
        <v>0.5104668305</v>
      </c>
      <c r="J5320" s="24">
        <v>207.57</v>
      </c>
      <c r="K5320" s="21">
        <v>0</v>
      </c>
      <c r="L5320" s="21">
        <v>0</v>
      </c>
      <c r="M5320" s="21">
        <f>COUNTIF($A$2:$A$5481,A5320)</f>
        <v>1</v>
      </c>
      <c r="N5320" s="24">
        <f t="shared" si="83"/>
        <v>207.570532</v>
      </c>
    </row>
    <row r="5321" spans="1:14">
      <c r="A5321" s="21" t="s">
        <v>4730</v>
      </c>
      <c r="B5321" s="21" t="s">
        <v>26</v>
      </c>
      <c r="C5321" s="21" t="s">
        <v>26</v>
      </c>
      <c r="D5321" s="21" t="s">
        <v>921</v>
      </c>
      <c r="E5321" s="21">
        <v>7</v>
      </c>
      <c r="F5321" s="22">
        <v>45996.3817708333</v>
      </c>
      <c r="G5321" s="22">
        <v>45854.4516550926</v>
      </c>
      <c r="H5321" s="23">
        <v>29.68</v>
      </c>
      <c r="I5321" s="23">
        <v>36.8994285714</v>
      </c>
      <c r="J5321" s="24">
        <v>258.3</v>
      </c>
      <c r="K5321" s="21">
        <v>0</v>
      </c>
      <c r="L5321" s="21">
        <v>0</v>
      </c>
      <c r="M5321" s="21">
        <f>COUNTIF($A$2:$A$5481,A5321)</f>
        <v>1</v>
      </c>
      <c r="N5321" s="24">
        <f t="shared" si="83"/>
        <v>258.3005321</v>
      </c>
    </row>
    <row r="5322" spans="1:14">
      <c r="A5322" s="21" t="s">
        <v>4731</v>
      </c>
      <c r="B5322" s="21" t="s">
        <v>26</v>
      </c>
      <c r="C5322" s="21" t="s">
        <v>26</v>
      </c>
      <c r="D5322" s="21" t="s">
        <v>921</v>
      </c>
      <c r="E5322" s="21">
        <v>402</v>
      </c>
      <c r="F5322" s="22">
        <v>46066.5512731482</v>
      </c>
      <c r="G5322" s="22"/>
      <c r="H5322" s="23">
        <v>160</v>
      </c>
      <c r="I5322" s="23">
        <v>0.4824378109</v>
      </c>
      <c r="J5322" s="24">
        <v>192.96</v>
      </c>
      <c r="K5322" s="21">
        <v>0</v>
      </c>
      <c r="L5322" s="21">
        <v>0</v>
      </c>
      <c r="M5322" s="21">
        <f>COUNTIF($A$2:$A$5481,A5322)</f>
        <v>1</v>
      </c>
      <c r="N5322" s="24">
        <f t="shared" si="83"/>
        <v>192.9605322</v>
      </c>
    </row>
    <row r="5323" spans="1:14">
      <c r="A5323" s="21" t="s">
        <v>4732</v>
      </c>
      <c r="B5323" s="21" t="s">
        <v>26</v>
      </c>
      <c r="C5323" s="21" t="s">
        <v>26</v>
      </c>
      <c r="D5323" s="21" t="s">
        <v>921</v>
      </c>
      <c r="E5323" s="21">
        <v>2</v>
      </c>
      <c r="F5323" s="22">
        <v>45996.3817708333</v>
      </c>
      <c r="G5323" s="22"/>
      <c r="H5323" s="23">
        <v>28.3</v>
      </c>
      <c r="I5323" s="23">
        <v>14.15</v>
      </c>
      <c r="J5323" s="24">
        <v>28.3</v>
      </c>
      <c r="K5323" s="21">
        <v>0</v>
      </c>
      <c r="L5323" s="21">
        <v>0</v>
      </c>
      <c r="M5323" s="21">
        <f>COUNTIF($A$2:$A$5481,A5323)</f>
        <v>1</v>
      </c>
      <c r="N5323" s="24">
        <f t="shared" si="83"/>
        <v>28.3005323</v>
      </c>
    </row>
    <row r="5324" spans="1:14">
      <c r="A5324" s="21" t="s">
        <v>4733</v>
      </c>
      <c r="B5324" s="21" t="s">
        <v>920</v>
      </c>
      <c r="C5324" s="21" t="s">
        <v>26</v>
      </c>
      <c r="D5324" s="21" t="s">
        <v>921</v>
      </c>
      <c r="E5324" s="21">
        <v>106</v>
      </c>
      <c r="F5324" s="22">
        <v>45996.3817708333</v>
      </c>
      <c r="G5324" s="22">
        <v>45854.4516435185</v>
      </c>
      <c r="H5324" s="23">
        <v>42.4</v>
      </c>
      <c r="I5324" s="23">
        <v>1.7699888679</v>
      </c>
      <c r="J5324" s="24">
        <v>187.62</v>
      </c>
      <c r="K5324" s="21">
        <v>0</v>
      </c>
      <c r="L5324" s="21">
        <v>0</v>
      </c>
      <c r="M5324" s="21">
        <f>COUNTIF($A$2:$A$5481,A5324)</f>
        <v>1</v>
      </c>
      <c r="N5324" s="24">
        <f t="shared" si="83"/>
        <v>187.6205324</v>
      </c>
    </row>
    <row r="5325" spans="1:14">
      <c r="A5325" s="21" t="s">
        <v>4734</v>
      </c>
      <c r="B5325" s="21" t="s">
        <v>26</v>
      </c>
      <c r="C5325" s="21" t="s">
        <v>26</v>
      </c>
      <c r="D5325" s="21" t="s">
        <v>921</v>
      </c>
      <c r="E5325" s="21">
        <v>2</v>
      </c>
      <c r="F5325" s="22">
        <v>45996.3817708333</v>
      </c>
      <c r="G5325" s="22"/>
      <c r="H5325" s="23">
        <v>11.28</v>
      </c>
      <c r="I5325" s="23">
        <v>5.64</v>
      </c>
      <c r="J5325" s="24">
        <v>11.28</v>
      </c>
      <c r="K5325" s="21">
        <v>0</v>
      </c>
      <c r="L5325" s="21">
        <v>0</v>
      </c>
      <c r="M5325" s="21">
        <f>COUNTIF($A$2:$A$5481,A5325)</f>
        <v>1</v>
      </c>
      <c r="N5325" s="24">
        <f t="shared" si="83"/>
        <v>11.2805325</v>
      </c>
    </row>
    <row r="5326" spans="1:14">
      <c r="A5326" s="21" t="s">
        <v>4735</v>
      </c>
      <c r="B5326" s="21" t="s">
        <v>26</v>
      </c>
      <c r="C5326" s="21" t="s">
        <v>26</v>
      </c>
      <c r="D5326" s="21" t="s">
        <v>921</v>
      </c>
      <c r="E5326" s="21">
        <v>2</v>
      </c>
      <c r="F5326" s="22">
        <v>45996.3817708333</v>
      </c>
      <c r="G5326" s="22"/>
      <c r="H5326" s="23">
        <v>8</v>
      </c>
      <c r="I5326" s="23">
        <v>4</v>
      </c>
      <c r="J5326" s="24">
        <v>8</v>
      </c>
      <c r="K5326" s="21">
        <v>0</v>
      </c>
      <c r="L5326" s="21">
        <v>0</v>
      </c>
      <c r="M5326" s="21">
        <f>COUNTIF($A$2:$A$5481,A5326)</f>
        <v>1</v>
      </c>
      <c r="N5326" s="24">
        <f t="shared" si="83"/>
        <v>8.0005326</v>
      </c>
    </row>
    <row r="5327" spans="1:14">
      <c r="A5327" s="21" t="s">
        <v>4736</v>
      </c>
      <c r="B5327" s="21" t="s">
        <v>26</v>
      </c>
      <c r="C5327" s="21" t="s">
        <v>26</v>
      </c>
      <c r="D5327" s="21" t="s">
        <v>921</v>
      </c>
      <c r="E5327" s="21">
        <v>404</v>
      </c>
      <c r="F5327" s="22">
        <v>46178.7129513889</v>
      </c>
      <c r="G5327" s="22"/>
      <c r="H5327" s="23">
        <v>139.96</v>
      </c>
      <c r="I5327" s="23">
        <v>0.8810891089</v>
      </c>
      <c r="J5327" s="24">
        <v>355.52</v>
      </c>
      <c r="K5327" s="21">
        <v>0</v>
      </c>
      <c r="L5327" s="21">
        <v>0</v>
      </c>
      <c r="M5327" s="21">
        <f>COUNTIF($A$2:$A$5481,A5327)</f>
        <v>1</v>
      </c>
      <c r="N5327" s="24">
        <f t="shared" si="83"/>
        <v>355.5205327</v>
      </c>
    </row>
    <row r="5328" spans="1:14">
      <c r="A5328" s="21" t="s">
        <v>4737</v>
      </c>
      <c r="B5328" s="21" t="s">
        <v>26</v>
      </c>
      <c r="C5328" s="21" t="s">
        <v>26</v>
      </c>
      <c r="D5328" s="21" t="s">
        <v>921</v>
      </c>
      <c r="E5328" s="21">
        <v>4</v>
      </c>
      <c r="F5328" s="22">
        <v>46065.7193865741</v>
      </c>
      <c r="G5328" s="22"/>
      <c r="H5328" s="23">
        <v>134.32</v>
      </c>
      <c r="I5328" s="23">
        <v>66.7925</v>
      </c>
      <c r="J5328" s="24">
        <v>267.16</v>
      </c>
      <c r="K5328" s="21">
        <v>0</v>
      </c>
      <c r="L5328" s="21">
        <v>0</v>
      </c>
      <c r="M5328" s="21">
        <f>COUNTIF($A$2:$A$5481,A5328)</f>
        <v>1</v>
      </c>
      <c r="N5328" s="24">
        <f t="shared" si="83"/>
        <v>267.1605328</v>
      </c>
    </row>
    <row r="5329" spans="1:14">
      <c r="A5329" s="21" t="s">
        <v>4738</v>
      </c>
      <c r="B5329" s="21" t="s">
        <v>929</v>
      </c>
      <c r="C5329" s="21" t="s">
        <v>182</v>
      </c>
      <c r="D5329" s="21" t="s">
        <v>921</v>
      </c>
      <c r="E5329" s="21">
        <v>20</v>
      </c>
      <c r="F5329" s="22">
        <v>45327.5856134259</v>
      </c>
      <c r="G5329" s="22"/>
      <c r="H5329" s="23">
        <v>78</v>
      </c>
      <c r="I5329" s="23">
        <v>3.9</v>
      </c>
      <c r="J5329" s="24">
        <v>78</v>
      </c>
      <c r="K5329" s="21">
        <v>0</v>
      </c>
      <c r="L5329" s="21">
        <v>0</v>
      </c>
      <c r="M5329" s="21">
        <f>COUNTIF($A$2:$A$5481,A5329)</f>
        <v>1</v>
      </c>
      <c r="N5329" s="24">
        <f t="shared" si="83"/>
        <v>78.0005329</v>
      </c>
    </row>
    <row r="5330" spans="1:14">
      <c r="A5330" s="21" t="s">
        <v>4739</v>
      </c>
      <c r="B5330" s="21" t="s">
        <v>929</v>
      </c>
      <c r="C5330" s="21" t="s">
        <v>182</v>
      </c>
      <c r="D5330" s="21" t="s">
        <v>921</v>
      </c>
      <c r="E5330" s="21">
        <v>10</v>
      </c>
      <c r="F5330" s="22">
        <v>45320.6467361111</v>
      </c>
      <c r="G5330" s="22"/>
      <c r="H5330" s="23">
        <v>38.1</v>
      </c>
      <c r="I5330" s="23">
        <v>3.81</v>
      </c>
      <c r="J5330" s="24">
        <v>38.1</v>
      </c>
      <c r="K5330" s="21">
        <v>0</v>
      </c>
      <c r="L5330" s="21">
        <v>0</v>
      </c>
      <c r="M5330" s="21">
        <f>COUNTIF($A$2:$A$5481,A5330)</f>
        <v>2</v>
      </c>
      <c r="N5330" s="24">
        <f t="shared" si="83"/>
        <v>38.100533</v>
      </c>
    </row>
    <row r="5331" spans="1:14">
      <c r="A5331" s="21" t="s">
        <v>4739</v>
      </c>
      <c r="B5331" s="21" t="s">
        <v>929</v>
      </c>
      <c r="C5331" s="21" t="s">
        <v>26</v>
      </c>
      <c r="D5331" s="21" t="s">
        <v>921</v>
      </c>
      <c r="E5331" s="21">
        <v>5</v>
      </c>
      <c r="F5331" s="22">
        <v>46042.5588425926</v>
      </c>
      <c r="G5331" s="22"/>
      <c r="H5331" s="23">
        <v>40</v>
      </c>
      <c r="I5331" s="23">
        <v>8</v>
      </c>
      <c r="J5331" s="24">
        <v>40</v>
      </c>
      <c r="K5331" s="21">
        <v>0</v>
      </c>
      <c r="L5331" s="21">
        <v>0</v>
      </c>
      <c r="M5331" s="21">
        <f>COUNTIF($A$2:$A$5481,A5331)</f>
        <v>2</v>
      </c>
      <c r="N5331" s="24">
        <f t="shared" si="83"/>
        <v>40.0005331</v>
      </c>
    </row>
    <row r="5332" spans="1:14">
      <c r="A5332" s="21" t="s">
        <v>4740</v>
      </c>
      <c r="B5332" s="21" t="s">
        <v>929</v>
      </c>
      <c r="C5332" s="21" t="s">
        <v>182</v>
      </c>
      <c r="D5332" s="21" t="s">
        <v>921</v>
      </c>
      <c r="E5332" s="21">
        <v>10</v>
      </c>
      <c r="F5332" s="22">
        <v>45321.6454282407</v>
      </c>
      <c r="G5332" s="22"/>
      <c r="H5332" s="23">
        <v>37.1</v>
      </c>
      <c r="I5332" s="23">
        <v>3.71</v>
      </c>
      <c r="J5332" s="24">
        <v>37.1</v>
      </c>
      <c r="K5332" s="21">
        <v>0</v>
      </c>
      <c r="L5332" s="21">
        <v>0</v>
      </c>
      <c r="M5332" s="21">
        <f>COUNTIF($A$2:$A$5481,A5332)</f>
        <v>1</v>
      </c>
      <c r="N5332" s="24">
        <f t="shared" si="83"/>
        <v>37.1005332</v>
      </c>
    </row>
    <row r="5333" spans="1:14">
      <c r="A5333" s="21" t="s">
        <v>4741</v>
      </c>
      <c r="B5333" s="21" t="s">
        <v>929</v>
      </c>
      <c r="C5333" s="21" t="s">
        <v>182</v>
      </c>
      <c r="D5333" s="21" t="s">
        <v>921</v>
      </c>
      <c r="E5333" s="21">
        <v>10</v>
      </c>
      <c r="F5333" s="22">
        <v>45320.6403935185</v>
      </c>
      <c r="G5333" s="22"/>
      <c r="H5333" s="23">
        <v>35.7</v>
      </c>
      <c r="I5333" s="23">
        <v>3.57</v>
      </c>
      <c r="J5333" s="24">
        <v>35.7</v>
      </c>
      <c r="K5333" s="21">
        <v>0</v>
      </c>
      <c r="L5333" s="21">
        <v>0</v>
      </c>
      <c r="M5333" s="21">
        <f>COUNTIF($A$2:$A$5481,A5333)</f>
        <v>2</v>
      </c>
      <c r="N5333" s="24">
        <f t="shared" si="83"/>
        <v>35.7005333</v>
      </c>
    </row>
    <row r="5334" spans="1:14">
      <c r="A5334" s="21" t="s">
        <v>4741</v>
      </c>
      <c r="B5334" s="21" t="s">
        <v>929</v>
      </c>
      <c r="C5334" s="21" t="s">
        <v>26</v>
      </c>
      <c r="D5334" s="21" t="s">
        <v>921</v>
      </c>
      <c r="E5334" s="21">
        <v>10</v>
      </c>
      <c r="F5334" s="22">
        <v>45693.8265972222</v>
      </c>
      <c r="G5334" s="22"/>
      <c r="H5334" s="23">
        <v>37</v>
      </c>
      <c r="I5334" s="23">
        <v>3.7</v>
      </c>
      <c r="J5334" s="24">
        <v>37</v>
      </c>
      <c r="K5334" s="21">
        <v>0</v>
      </c>
      <c r="L5334" s="21">
        <v>0</v>
      </c>
      <c r="M5334" s="21">
        <f>COUNTIF($A$2:$A$5481,A5334)</f>
        <v>2</v>
      </c>
      <c r="N5334" s="24">
        <f t="shared" si="83"/>
        <v>37.0005334</v>
      </c>
    </row>
    <row r="5335" spans="1:14">
      <c r="A5335" s="21" t="s">
        <v>4742</v>
      </c>
      <c r="B5335" s="21" t="s">
        <v>929</v>
      </c>
      <c r="C5335" s="21" t="s">
        <v>182</v>
      </c>
      <c r="D5335" s="21" t="s">
        <v>921</v>
      </c>
      <c r="E5335" s="21">
        <v>10</v>
      </c>
      <c r="F5335" s="22">
        <v>45320.6483217593</v>
      </c>
      <c r="G5335" s="22"/>
      <c r="H5335" s="23">
        <v>35.3</v>
      </c>
      <c r="I5335" s="23">
        <v>3.53</v>
      </c>
      <c r="J5335" s="24">
        <v>35.3</v>
      </c>
      <c r="K5335" s="21">
        <v>0</v>
      </c>
      <c r="L5335" s="21">
        <v>0</v>
      </c>
      <c r="M5335" s="21">
        <f>COUNTIF($A$2:$A$5481,A5335)</f>
        <v>1</v>
      </c>
      <c r="N5335" s="24">
        <f t="shared" si="83"/>
        <v>35.3005335</v>
      </c>
    </row>
    <row r="5336" spans="1:14">
      <c r="A5336" s="21" t="s">
        <v>4743</v>
      </c>
      <c r="B5336" s="21" t="s">
        <v>26</v>
      </c>
      <c r="C5336" s="21" t="s">
        <v>26</v>
      </c>
      <c r="D5336" s="21" t="s">
        <v>921</v>
      </c>
      <c r="E5336" s="21">
        <v>20</v>
      </c>
      <c r="F5336" s="22">
        <v>46120.5298611111</v>
      </c>
      <c r="G5336" s="22"/>
      <c r="H5336" s="23">
        <v>47.9</v>
      </c>
      <c r="I5336" s="23">
        <v>5.245</v>
      </c>
      <c r="J5336" s="24">
        <v>105</v>
      </c>
      <c r="K5336" s="21">
        <v>0</v>
      </c>
      <c r="L5336" s="21">
        <v>0</v>
      </c>
      <c r="M5336" s="21">
        <f>COUNTIF($A$2:$A$5481,A5336)</f>
        <v>1</v>
      </c>
      <c r="N5336" s="24">
        <f t="shared" si="83"/>
        <v>105.0005336</v>
      </c>
    </row>
    <row r="5337" spans="1:14">
      <c r="A5337" s="21" t="s">
        <v>4744</v>
      </c>
      <c r="B5337" s="21" t="s">
        <v>26</v>
      </c>
      <c r="C5337" s="21" t="s">
        <v>26</v>
      </c>
      <c r="D5337" s="21" t="s">
        <v>921</v>
      </c>
      <c r="E5337" s="21">
        <v>29</v>
      </c>
      <c r="F5337" s="22">
        <v>46120.5298611111</v>
      </c>
      <c r="G5337" s="22"/>
      <c r="H5337" s="23">
        <v>24.45</v>
      </c>
      <c r="I5337" s="23">
        <v>2.0389655172</v>
      </c>
      <c r="J5337" s="24">
        <v>59.16</v>
      </c>
      <c r="K5337" s="21">
        <v>0</v>
      </c>
      <c r="L5337" s="21">
        <v>0</v>
      </c>
      <c r="M5337" s="21">
        <f>COUNTIF($A$2:$A$5481,A5337)</f>
        <v>1</v>
      </c>
      <c r="N5337" s="24">
        <f t="shared" si="83"/>
        <v>59.1605337</v>
      </c>
    </row>
    <row r="5338" spans="1:14">
      <c r="A5338" s="21" t="s">
        <v>4745</v>
      </c>
      <c r="B5338" s="21" t="s">
        <v>26</v>
      </c>
      <c r="C5338" s="21" t="s">
        <v>26</v>
      </c>
      <c r="D5338" s="21" t="s">
        <v>921</v>
      </c>
      <c r="E5338" s="21">
        <v>40</v>
      </c>
      <c r="F5338" s="22">
        <v>46120.5298611111</v>
      </c>
      <c r="G5338" s="22"/>
      <c r="H5338" s="23">
        <v>17</v>
      </c>
      <c r="I5338" s="23">
        <v>2.605</v>
      </c>
      <c r="J5338" s="24">
        <v>104.4</v>
      </c>
      <c r="K5338" s="21">
        <v>0</v>
      </c>
      <c r="L5338" s="21">
        <v>0</v>
      </c>
      <c r="M5338" s="21">
        <f>COUNTIF($A$2:$A$5481,A5338)</f>
        <v>1</v>
      </c>
      <c r="N5338" s="24">
        <f t="shared" si="83"/>
        <v>104.4005338</v>
      </c>
    </row>
    <row r="5339" spans="1:14">
      <c r="A5339" s="21" t="s">
        <v>4746</v>
      </c>
      <c r="B5339" s="21" t="s">
        <v>920</v>
      </c>
      <c r="C5339" s="21" t="s">
        <v>26</v>
      </c>
      <c r="D5339" s="21" t="s">
        <v>921</v>
      </c>
      <c r="E5339" s="21">
        <v>3</v>
      </c>
      <c r="F5339" s="22">
        <v>45996.5755324074</v>
      </c>
      <c r="G5339" s="22"/>
      <c r="H5339" s="23">
        <v>207</v>
      </c>
      <c r="I5339" s="23">
        <v>69</v>
      </c>
      <c r="J5339" s="24">
        <v>207</v>
      </c>
      <c r="K5339" s="21">
        <v>0</v>
      </c>
      <c r="L5339" s="21">
        <v>0</v>
      </c>
      <c r="M5339" s="21">
        <f>COUNTIF($A$2:$A$5481,A5339)</f>
        <v>1</v>
      </c>
      <c r="N5339" s="24">
        <f t="shared" si="83"/>
        <v>207.0005339</v>
      </c>
    </row>
    <row r="5340" spans="1:14">
      <c r="A5340" s="21" t="s">
        <v>4747</v>
      </c>
      <c r="B5340" s="21" t="s">
        <v>920</v>
      </c>
      <c r="C5340" s="21" t="s">
        <v>35</v>
      </c>
      <c r="D5340" s="21" t="s">
        <v>921</v>
      </c>
      <c r="E5340" s="21">
        <v>1</v>
      </c>
      <c r="F5340" s="22">
        <v>45314.4539930556</v>
      </c>
      <c r="G5340" s="22"/>
      <c r="H5340" s="23">
        <v>11.1</v>
      </c>
      <c r="I5340" s="23">
        <v>11.1</v>
      </c>
      <c r="J5340" s="24">
        <v>11.1</v>
      </c>
      <c r="K5340" s="21">
        <v>0</v>
      </c>
      <c r="L5340" s="21">
        <v>0</v>
      </c>
      <c r="M5340" s="21">
        <f>COUNTIF($A$2:$A$5481,A5340)</f>
        <v>1</v>
      </c>
      <c r="N5340" s="24">
        <f t="shared" si="83"/>
        <v>11.100534</v>
      </c>
    </row>
    <row r="5341" spans="1:14">
      <c r="A5341" s="21" t="s">
        <v>4748</v>
      </c>
      <c r="B5341" s="21" t="s">
        <v>920</v>
      </c>
      <c r="C5341" s="21" t="s">
        <v>26</v>
      </c>
      <c r="D5341" s="21" t="s">
        <v>921</v>
      </c>
      <c r="E5341" s="21">
        <v>10</v>
      </c>
      <c r="F5341" s="22">
        <v>45455.7932523148</v>
      </c>
      <c r="G5341" s="22"/>
      <c r="H5341" s="23">
        <v>62.4</v>
      </c>
      <c r="I5341" s="23">
        <v>6.24</v>
      </c>
      <c r="J5341" s="24">
        <v>62.4</v>
      </c>
      <c r="K5341" s="21">
        <v>0</v>
      </c>
      <c r="L5341" s="21">
        <v>0</v>
      </c>
      <c r="M5341" s="21">
        <f>COUNTIF($A$2:$A$5481,A5341)</f>
        <v>1</v>
      </c>
      <c r="N5341" s="24">
        <f t="shared" si="83"/>
        <v>62.4005341</v>
      </c>
    </row>
    <row r="5342" spans="1:14">
      <c r="A5342" s="21" t="s">
        <v>4749</v>
      </c>
      <c r="B5342" s="21" t="s">
        <v>920</v>
      </c>
      <c r="C5342" s="21" t="s">
        <v>26</v>
      </c>
      <c r="D5342" s="21" t="s">
        <v>921</v>
      </c>
      <c r="E5342" s="21">
        <v>14</v>
      </c>
      <c r="F5342" s="22">
        <v>46042.5588425926</v>
      </c>
      <c r="G5342" s="22"/>
      <c r="H5342" s="23">
        <v>36.8</v>
      </c>
      <c r="I5342" s="23">
        <v>5.6642857143</v>
      </c>
      <c r="J5342" s="24">
        <v>79.24</v>
      </c>
      <c r="K5342" s="21">
        <v>0</v>
      </c>
      <c r="L5342" s="21">
        <v>0</v>
      </c>
      <c r="M5342" s="21">
        <f>COUNTIF($A$2:$A$5481,A5342)</f>
        <v>1</v>
      </c>
      <c r="N5342" s="24">
        <f t="shared" si="83"/>
        <v>79.2405342</v>
      </c>
    </row>
    <row r="5343" spans="1:14">
      <c r="A5343" s="21" t="s">
        <v>4750</v>
      </c>
      <c r="B5343" s="21" t="s">
        <v>920</v>
      </c>
      <c r="C5343" s="21" t="s">
        <v>26</v>
      </c>
      <c r="D5343" s="21" t="s">
        <v>921</v>
      </c>
      <c r="E5343" s="21">
        <v>15</v>
      </c>
      <c r="F5343" s="22">
        <v>46042.5588425926</v>
      </c>
      <c r="G5343" s="22"/>
      <c r="H5343" s="23">
        <v>40</v>
      </c>
      <c r="I5343" s="23">
        <v>5.4</v>
      </c>
      <c r="J5343" s="24">
        <v>81</v>
      </c>
      <c r="K5343" s="21">
        <v>0</v>
      </c>
      <c r="L5343" s="21">
        <v>0</v>
      </c>
      <c r="M5343" s="21">
        <f>COUNTIF($A$2:$A$5481,A5343)</f>
        <v>1</v>
      </c>
      <c r="N5343" s="24">
        <f t="shared" si="83"/>
        <v>81.0005343</v>
      </c>
    </row>
    <row r="5344" spans="1:14">
      <c r="A5344" s="21" t="s">
        <v>4751</v>
      </c>
      <c r="B5344" s="21" t="s">
        <v>920</v>
      </c>
      <c r="C5344" s="21" t="s">
        <v>26</v>
      </c>
      <c r="D5344" s="21" t="s">
        <v>931</v>
      </c>
      <c r="E5344" s="21">
        <v>3</v>
      </c>
      <c r="F5344" s="22">
        <v>45996.5755324074</v>
      </c>
      <c r="G5344" s="22"/>
      <c r="H5344" s="23">
        <v>44</v>
      </c>
      <c r="I5344" s="23">
        <v>44</v>
      </c>
      <c r="J5344" s="24">
        <v>132</v>
      </c>
      <c r="K5344" s="21">
        <v>0</v>
      </c>
      <c r="L5344" s="21">
        <v>0</v>
      </c>
      <c r="M5344" s="21">
        <f>COUNTIF($A$2:$A$5481,A5344)</f>
        <v>1</v>
      </c>
      <c r="N5344" s="24">
        <f t="shared" si="83"/>
        <v>132.0005344</v>
      </c>
    </row>
    <row r="5345" spans="1:14">
      <c r="A5345" s="21" t="s">
        <v>4752</v>
      </c>
      <c r="B5345" s="21" t="s">
        <v>920</v>
      </c>
      <c r="C5345" s="21" t="s">
        <v>26</v>
      </c>
      <c r="D5345" s="21" t="s">
        <v>931</v>
      </c>
      <c r="E5345" s="21">
        <v>3</v>
      </c>
      <c r="F5345" s="22">
        <v>45945.7190393519</v>
      </c>
      <c r="G5345" s="22"/>
      <c r="H5345" s="23">
        <v>213</v>
      </c>
      <c r="I5345" s="23">
        <v>71</v>
      </c>
      <c r="J5345" s="24">
        <v>213</v>
      </c>
      <c r="K5345" s="21">
        <v>0</v>
      </c>
      <c r="L5345" s="21">
        <v>0</v>
      </c>
      <c r="M5345" s="21">
        <f>COUNTIF($A$2:$A$5481,A5345)</f>
        <v>1</v>
      </c>
      <c r="N5345" s="24">
        <f t="shared" si="83"/>
        <v>213.0005345</v>
      </c>
    </row>
    <row r="5346" spans="1:14">
      <c r="A5346" s="21" t="s">
        <v>4753</v>
      </c>
      <c r="B5346" s="21" t="s">
        <v>920</v>
      </c>
      <c r="C5346" s="21" t="s">
        <v>26</v>
      </c>
      <c r="D5346" s="21" t="s">
        <v>931</v>
      </c>
      <c r="E5346" s="21">
        <v>0</v>
      </c>
      <c r="F5346" s="22">
        <v>45544.5967476852</v>
      </c>
      <c r="G5346" s="22">
        <v>45596.3627314815</v>
      </c>
      <c r="H5346" s="23">
        <v>99</v>
      </c>
      <c r="I5346" s="23">
        <v>33</v>
      </c>
      <c r="J5346" s="24">
        <v>0</v>
      </c>
      <c r="K5346" s="21">
        <v>0</v>
      </c>
      <c r="L5346" s="21">
        <v>0</v>
      </c>
      <c r="M5346" s="21">
        <f>COUNTIF($A$2:$A$5481,A5346)</f>
        <v>1</v>
      </c>
      <c r="N5346" s="24">
        <f t="shared" si="83"/>
        <v>0.0005346</v>
      </c>
    </row>
    <row r="5347" spans="1:14">
      <c r="A5347" s="21" t="s">
        <v>4754</v>
      </c>
      <c r="B5347" s="21" t="s">
        <v>920</v>
      </c>
      <c r="C5347" s="21" t="s">
        <v>26</v>
      </c>
      <c r="D5347" s="21" t="s">
        <v>921</v>
      </c>
      <c r="E5347" s="21">
        <v>2</v>
      </c>
      <c r="F5347" s="22">
        <v>45999.3940625</v>
      </c>
      <c r="G5347" s="22"/>
      <c r="H5347" s="23">
        <v>480</v>
      </c>
      <c r="I5347" s="23">
        <v>240</v>
      </c>
      <c r="J5347" s="24">
        <v>480</v>
      </c>
      <c r="K5347" s="21">
        <v>0</v>
      </c>
      <c r="L5347" s="21">
        <v>0</v>
      </c>
      <c r="M5347" s="21">
        <f>COUNTIF($A$2:$A$5481,A5347)</f>
        <v>1</v>
      </c>
      <c r="N5347" s="24">
        <f t="shared" si="83"/>
        <v>480.0005347</v>
      </c>
    </row>
    <row r="5348" spans="1:14">
      <c r="A5348" s="21" t="s">
        <v>4755</v>
      </c>
      <c r="B5348" s="21" t="s">
        <v>26</v>
      </c>
      <c r="C5348" s="21" t="s">
        <v>26</v>
      </c>
      <c r="D5348" s="21" t="s">
        <v>921</v>
      </c>
      <c r="E5348" s="21">
        <v>5</v>
      </c>
      <c r="F5348" s="22">
        <v>46136.5682638889</v>
      </c>
      <c r="G5348" s="22"/>
      <c r="H5348" s="23">
        <v>49.18</v>
      </c>
      <c r="I5348" s="23">
        <v>18.208</v>
      </c>
      <c r="J5348" s="24">
        <v>91.05</v>
      </c>
      <c r="K5348" s="21">
        <v>0</v>
      </c>
      <c r="L5348" s="21">
        <v>0</v>
      </c>
      <c r="M5348" s="21">
        <f>COUNTIF($A$2:$A$5481,A5348)</f>
        <v>1</v>
      </c>
      <c r="N5348" s="24">
        <f t="shared" si="83"/>
        <v>91.0505348</v>
      </c>
    </row>
    <row r="5349" spans="1:14">
      <c r="A5349" s="21" t="s">
        <v>4756</v>
      </c>
      <c r="B5349" s="21" t="s">
        <v>26</v>
      </c>
      <c r="C5349" s="21" t="s">
        <v>26</v>
      </c>
      <c r="D5349" s="21" t="s">
        <v>921</v>
      </c>
      <c r="E5349" s="21">
        <v>10</v>
      </c>
      <c r="F5349" s="22">
        <v>46097.5796180556</v>
      </c>
      <c r="G5349" s="22"/>
      <c r="H5349" s="23">
        <v>16.3</v>
      </c>
      <c r="I5349" s="23">
        <v>1.63</v>
      </c>
      <c r="J5349" s="24">
        <v>16.3</v>
      </c>
      <c r="K5349" s="21">
        <v>0</v>
      </c>
      <c r="L5349" s="21">
        <v>0</v>
      </c>
      <c r="M5349" s="21">
        <f>COUNTIF($A$2:$A$5481,A5349)</f>
        <v>1</v>
      </c>
      <c r="N5349" s="24">
        <f t="shared" si="83"/>
        <v>16.3005349</v>
      </c>
    </row>
    <row r="5350" spans="1:14">
      <c r="A5350" s="21" t="s">
        <v>4757</v>
      </c>
      <c r="B5350" s="21" t="s">
        <v>26</v>
      </c>
      <c r="C5350" s="21" t="s">
        <v>26</v>
      </c>
      <c r="D5350" s="21" t="s">
        <v>931</v>
      </c>
      <c r="E5350" s="21">
        <v>2</v>
      </c>
      <c r="F5350" s="22">
        <v>45414.4819444444</v>
      </c>
      <c r="G5350" s="22"/>
      <c r="H5350" s="23">
        <v>30</v>
      </c>
      <c r="I5350" s="23">
        <v>15</v>
      </c>
      <c r="J5350" s="24">
        <v>30</v>
      </c>
      <c r="K5350" s="21">
        <v>0</v>
      </c>
      <c r="L5350" s="21">
        <v>0</v>
      </c>
      <c r="M5350" s="21">
        <f>COUNTIF($A$2:$A$5481,A5350)</f>
        <v>1</v>
      </c>
      <c r="N5350" s="24">
        <f t="shared" si="83"/>
        <v>30.000535</v>
      </c>
    </row>
    <row r="5351" spans="1:14">
      <c r="A5351" s="21" t="s">
        <v>399</v>
      </c>
      <c r="B5351" s="21" t="s">
        <v>920</v>
      </c>
      <c r="C5351" s="21" t="s">
        <v>26</v>
      </c>
      <c r="D5351" s="21" t="s">
        <v>921</v>
      </c>
      <c r="E5351" s="21">
        <v>3</v>
      </c>
      <c r="F5351" s="22">
        <v>46038.5921064815</v>
      </c>
      <c r="G5351" s="22">
        <v>46181.8533101852</v>
      </c>
      <c r="H5351" s="23">
        <v>104</v>
      </c>
      <c r="I5351" s="23">
        <v>26</v>
      </c>
      <c r="J5351" s="24">
        <v>78</v>
      </c>
      <c r="K5351" s="21">
        <v>0</v>
      </c>
      <c r="L5351" s="21">
        <v>0</v>
      </c>
      <c r="M5351" s="21">
        <f>COUNTIF($A$2:$A$5481,A5351)</f>
        <v>1</v>
      </c>
      <c r="N5351" s="24">
        <f t="shared" si="83"/>
        <v>78.0005351</v>
      </c>
    </row>
    <row r="5352" spans="1:14">
      <c r="A5352" s="21" t="s">
        <v>4758</v>
      </c>
      <c r="B5352" s="21" t="s">
        <v>920</v>
      </c>
      <c r="C5352" s="21" t="s">
        <v>26</v>
      </c>
      <c r="D5352" s="21" t="s">
        <v>931</v>
      </c>
      <c r="E5352" s="21">
        <v>25</v>
      </c>
      <c r="F5352" s="22">
        <v>45916.709375</v>
      </c>
      <c r="G5352" s="22"/>
      <c r="H5352" s="23">
        <v>47</v>
      </c>
      <c r="I5352" s="23">
        <v>1.88</v>
      </c>
      <c r="J5352" s="24">
        <v>47</v>
      </c>
      <c r="K5352" s="21">
        <v>0</v>
      </c>
      <c r="L5352" s="21">
        <v>0</v>
      </c>
      <c r="M5352" s="21">
        <f>COUNTIF($A$2:$A$5481,A5352)</f>
        <v>1</v>
      </c>
      <c r="N5352" s="24">
        <f t="shared" si="83"/>
        <v>47.0005352</v>
      </c>
    </row>
    <row r="5353" spans="1:14">
      <c r="A5353" s="21" t="s">
        <v>4759</v>
      </c>
      <c r="B5353" s="21" t="s">
        <v>26</v>
      </c>
      <c r="C5353" s="21" t="s">
        <v>26</v>
      </c>
      <c r="D5353" s="21" t="s">
        <v>921</v>
      </c>
      <c r="E5353" s="21">
        <v>400</v>
      </c>
      <c r="F5353" s="22">
        <v>46216.6027777778</v>
      </c>
      <c r="G5353" s="22"/>
      <c r="H5353" s="23">
        <v>376</v>
      </c>
      <c r="I5353" s="23">
        <v>0.94</v>
      </c>
      <c r="J5353" s="24">
        <v>376</v>
      </c>
      <c r="K5353" s="21">
        <v>0</v>
      </c>
      <c r="L5353" s="21">
        <v>0</v>
      </c>
      <c r="M5353" s="21">
        <f>COUNTIF($A$2:$A$5481,A5353)</f>
        <v>1</v>
      </c>
      <c r="N5353" s="24">
        <f t="shared" si="83"/>
        <v>376.0005353</v>
      </c>
    </row>
    <row r="5354" spans="1:14">
      <c r="A5354" s="21" t="s">
        <v>4760</v>
      </c>
      <c r="B5354" s="21" t="s">
        <v>26</v>
      </c>
      <c r="C5354" s="21" t="s">
        <v>26</v>
      </c>
      <c r="D5354" s="21" t="s">
        <v>921</v>
      </c>
      <c r="E5354" s="21">
        <v>400</v>
      </c>
      <c r="F5354" s="22">
        <v>46216.6027777778</v>
      </c>
      <c r="G5354" s="22"/>
      <c r="H5354" s="23">
        <v>296</v>
      </c>
      <c r="I5354" s="23">
        <v>0.74</v>
      </c>
      <c r="J5354" s="24">
        <v>296</v>
      </c>
      <c r="K5354" s="21">
        <v>0</v>
      </c>
      <c r="L5354" s="21">
        <v>0</v>
      </c>
      <c r="M5354" s="21">
        <f>COUNTIF($A$2:$A$5481,A5354)</f>
        <v>1</v>
      </c>
      <c r="N5354" s="24">
        <f t="shared" si="83"/>
        <v>296.0005354</v>
      </c>
    </row>
    <row r="5355" spans="1:14">
      <c r="A5355" s="21" t="s">
        <v>4761</v>
      </c>
      <c r="B5355" s="21" t="s">
        <v>920</v>
      </c>
      <c r="C5355" s="21" t="s">
        <v>26</v>
      </c>
      <c r="D5355" s="21" t="s">
        <v>921</v>
      </c>
      <c r="E5355" s="21">
        <v>400</v>
      </c>
      <c r="F5355" s="22">
        <v>46216.6027777778</v>
      </c>
      <c r="G5355" s="22"/>
      <c r="H5355" s="23">
        <v>80</v>
      </c>
      <c r="I5355" s="23">
        <v>0.2</v>
      </c>
      <c r="J5355" s="24">
        <v>80</v>
      </c>
      <c r="K5355" s="21">
        <v>0</v>
      </c>
      <c r="L5355" s="21">
        <v>0</v>
      </c>
      <c r="M5355" s="21">
        <f>COUNTIF($A$2:$A$5481,A5355)</f>
        <v>1</v>
      </c>
      <c r="N5355" s="24">
        <f t="shared" si="83"/>
        <v>80.0005355</v>
      </c>
    </row>
    <row r="5356" spans="1:14">
      <c r="A5356" s="21" t="s">
        <v>4762</v>
      </c>
      <c r="B5356" s="21" t="s">
        <v>920</v>
      </c>
      <c r="C5356" s="21" t="s">
        <v>26</v>
      </c>
      <c r="D5356" s="21" t="s">
        <v>921</v>
      </c>
      <c r="E5356" s="21">
        <v>15</v>
      </c>
      <c r="F5356" s="22">
        <v>46216.6027777778</v>
      </c>
      <c r="G5356" s="22"/>
      <c r="H5356" s="23">
        <v>86.4</v>
      </c>
      <c r="I5356" s="23">
        <v>5.76</v>
      </c>
      <c r="J5356" s="24">
        <v>86.4</v>
      </c>
      <c r="K5356" s="21">
        <v>0</v>
      </c>
      <c r="L5356" s="21">
        <v>0</v>
      </c>
      <c r="M5356" s="21">
        <f>COUNTIF($A$2:$A$5481,A5356)</f>
        <v>1</v>
      </c>
      <c r="N5356" s="24">
        <f t="shared" si="83"/>
        <v>86.4005356</v>
      </c>
    </row>
    <row r="5357" spans="1:14">
      <c r="A5357" s="21" t="s">
        <v>4763</v>
      </c>
      <c r="B5357" s="21" t="s">
        <v>920</v>
      </c>
      <c r="C5357" s="21" t="s">
        <v>26</v>
      </c>
      <c r="D5357" s="21" t="s">
        <v>921</v>
      </c>
      <c r="E5357" s="21">
        <v>25</v>
      </c>
      <c r="F5357" s="22">
        <v>46216.6027777778</v>
      </c>
      <c r="G5357" s="22"/>
      <c r="H5357" s="23">
        <v>68.25</v>
      </c>
      <c r="I5357" s="23">
        <v>2.73</v>
      </c>
      <c r="J5357" s="24">
        <v>68.25</v>
      </c>
      <c r="K5357" s="21">
        <v>0</v>
      </c>
      <c r="L5357" s="21">
        <v>0</v>
      </c>
      <c r="M5357" s="21">
        <f>COUNTIF($A$2:$A$5481,A5357)</f>
        <v>1</v>
      </c>
      <c r="N5357" s="24">
        <f t="shared" si="83"/>
        <v>68.2505357</v>
      </c>
    </row>
    <row r="5358" spans="1:14">
      <c r="A5358" s="21" t="s">
        <v>4764</v>
      </c>
      <c r="B5358" s="21" t="s">
        <v>920</v>
      </c>
      <c r="C5358" s="21" t="s">
        <v>26</v>
      </c>
      <c r="D5358" s="21" t="s">
        <v>921</v>
      </c>
      <c r="E5358" s="21">
        <v>15</v>
      </c>
      <c r="F5358" s="22">
        <v>46216.6027777778</v>
      </c>
      <c r="G5358" s="22"/>
      <c r="H5358" s="23">
        <v>52.8</v>
      </c>
      <c r="I5358" s="23">
        <v>3.52</v>
      </c>
      <c r="J5358" s="24">
        <v>52.8</v>
      </c>
      <c r="K5358" s="21">
        <v>0</v>
      </c>
      <c r="L5358" s="21">
        <v>0</v>
      </c>
      <c r="M5358" s="21">
        <f>COUNTIF($A$2:$A$5481,A5358)</f>
        <v>1</v>
      </c>
      <c r="N5358" s="24">
        <f t="shared" si="83"/>
        <v>52.8005358</v>
      </c>
    </row>
    <row r="5359" spans="1:14">
      <c r="A5359" s="21" t="s">
        <v>4765</v>
      </c>
      <c r="B5359" s="21" t="s">
        <v>920</v>
      </c>
      <c r="C5359" s="21" t="s">
        <v>26</v>
      </c>
      <c r="D5359" s="21" t="s">
        <v>921</v>
      </c>
      <c r="E5359" s="21">
        <v>4</v>
      </c>
      <c r="F5359" s="22">
        <v>45939.5650347222</v>
      </c>
      <c r="G5359" s="22"/>
      <c r="H5359" s="23">
        <v>24</v>
      </c>
      <c r="I5359" s="23">
        <v>6</v>
      </c>
      <c r="J5359" s="24">
        <v>24</v>
      </c>
      <c r="K5359" s="21">
        <v>0</v>
      </c>
      <c r="L5359" s="21">
        <v>0</v>
      </c>
      <c r="M5359" s="21">
        <f>COUNTIF($A$2:$A$5481,A5359)</f>
        <v>1</v>
      </c>
      <c r="N5359" s="24">
        <f t="shared" si="83"/>
        <v>24.0005359</v>
      </c>
    </row>
    <row r="5360" spans="1:14">
      <c r="A5360" s="21" t="s">
        <v>4766</v>
      </c>
      <c r="B5360" s="21" t="s">
        <v>920</v>
      </c>
      <c r="C5360" s="21" t="s">
        <v>26</v>
      </c>
      <c r="D5360" s="21" t="s">
        <v>931</v>
      </c>
      <c r="E5360" s="21">
        <v>204</v>
      </c>
      <c r="F5360" s="22">
        <v>46178.7129513889</v>
      </c>
      <c r="G5360" s="22"/>
      <c r="H5360" s="23">
        <v>237.52</v>
      </c>
      <c r="I5360" s="23">
        <v>1.6054901961</v>
      </c>
      <c r="J5360" s="24">
        <v>328.44</v>
      </c>
      <c r="K5360" s="21">
        <v>0</v>
      </c>
      <c r="L5360" s="21">
        <v>0</v>
      </c>
      <c r="M5360" s="21">
        <f>COUNTIF($A$2:$A$5481,A5360)</f>
        <v>1</v>
      </c>
      <c r="N5360" s="24">
        <f t="shared" si="83"/>
        <v>328.440536</v>
      </c>
    </row>
    <row r="5361" spans="1:14">
      <c r="A5361" s="21" t="s">
        <v>4767</v>
      </c>
      <c r="B5361" s="21" t="s">
        <v>26</v>
      </c>
      <c r="C5361" s="21" t="s">
        <v>26</v>
      </c>
      <c r="D5361" s="21" t="s">
        <v>921</v>
      </c>
      <c r="E5361" s="21">
        <v>10</v>
      </c>
      <c r="F5361" s="22">
        <v>45897.8203240741</v>
      </c>
      <c r="G5361" s="22"/>
      <c r="H5361" s="23">
        <v>26.6</v>
      </c>
      <c r="I5361" s="23">
        <v>2.66</v>
      </c>
      <c r="J5361" s="24">
        <v>26.6</v>
      </c>
      <c r="K5361" s="21">
        <v>0</v>
      </c>
      <c r="L5361" s="21">
        <v>0</v>
      </c>
      <c r="M5361" s="21">
        <f>COUNTIF($A$2:$A$5481,A5361)</f>
        <v>1</v>
      </c>
      <c r="N5361" s="24">
        <f t="shared" si="83"/>
        <v>26.6005361</v>
      </c>
    </row>
    <row r="5362" spans="1:14">
      <c r="A5362" s="21" t="s">
        <v>4768</v>
      </c>
      <c r="B5362" s="21" t="s">
        <v>26</v>
      </c>
      <c r="C5362" s="21" t="s">
        <v>26</v>
      </c>
      <c r="D5362" s="21" t="s">
        <v>921</v>
      </c>
      <c r="E5362" s="21">
        <v>20</v>
      </c>
      <c r="F5362" s="22">
        <v>46136.6362384259</v>
      </c>
      <c r="G5362" s="22"/>
      <c r="H5362" s="23">
        <v>79.56</v>
      </c>
      <c r="I5362" s="23">
        <v>5.088</v>
      </c>
      <c r="J5362" s="24">
        <v>101.8</v>
      </c>
      <c r="K5362" s="21">
        <v>0</v>
      </c>
      <c r="L5362" s="21">
        <v>0</v>
      </c>
      <c r="M5362" s="21">
        <f>COUNTIF($A$2:$A$5481,A5362)</f>
        <v>1</v>
      </c>
      <c r="N5362" s="24">
        <f t="shared" si="83"/>
        <v>101.8005362</v>
      </c>
    </row>
    <row r="5363" spans="1:14">
      <c r="A5363" s="21" t="s">
        <v>4769</v>
      </c>
      <c r="B5363" s="21" t="s">
        <v>26</v>
      </c>
      <c r="C5363" s="21" t="s">
        <v>26</v>
      </c>
      <c r="D5363" s="21" t="s">
        <v>921</v>
      </c>
      <c r="E5363" s="21">
        <v>6</v>
      </c>
      <c r="F5363" s="22">
        <v>46175.8311921296</v>
      </c>
      <c r="G5363" s="22"/>
      <c r="H5363" s="23">
        <v>44</v>
      </c>
      <c r="I5363" s="23">
        <v>21.3333333333</v>
      </c>
      <c r="J5363" s="24">
        <v>127.98</v>
      </c>
      <c r="K5363" s="21">
        <v>0</v>
      </c>
      <c r="L5363" s="21">
        <v>0</v>
      </c>
      <c r="M5363" s="21">
        <f>COUNTIF($A$2:$A$5481,A5363)</f>
        <v>1</v>
      </c>
      <c r="N5363" s="24">
        <f t="shared" si="83"/>
        <v>127.9805363</v>
      </c>
    </row>
    <row r="5364" spans="1:14">
      <c r="A5364" s="21" t="s">
        <v>4770</v>
      </c>
      <c r="B5364" s="21" t="s">
        <v>26</v>
      </c>
      <c r="C5364" s="21" t="s">
        <v>26</v>
      </c>
      <c r="D5364" s="21" t="s">
        <v>921</v>
      </c>
      <c r="E5364" s="21">
        <v>202</v>
      </c>
      <c r="F5364" s="22">
        <v>45916.709375</v>
      </c>
      <c r="G5364" s="22"/>
      <c r="H5364" s="23">
        <v>90</v>
      </c>
      <c r="I5364" s="23">
        <v>0.7472277228</v>
      </c>
      <c r="J5364" s="24">
        <v>151.5</v>
      </c>
      <c r="K5364" s="21">
        <v>0</v>
      </c>
      <c r="L5364" s="21">
        <v>0</v>
      </c>
      <c r="M5364" s="21">
        <f>COUNTIF($A$2:$A$5481,A5364)</f>
        <v>1</v>
      </c>
      <c r="N5364" s="24">
        <f t="shared" si="83"/>
        <v>151.5005364</v>
      </c>
    </row>
    <row r="5365" spans="1:14">
      <c r="A5365" s="21" t="s">
        <v>4771</v>
      </c>
      <c r="B5365" s="21" t="s">
        <v>26</v>
      </c>
      <c r="C5365" s="21" t="s">
        <v>26</v>
      </c>
      <c r="D5365" s="21" t="s">
        <v>921</v>
      </c>
      <c r="E5365" s="21">
        <v>1</v>
      </c>
      <c r="F5365" s="22">
        <v>45638.3828587963</v>
      </c>
      <c r="G5365" s="22">
        <v>45777.4912152778</v>
      </c>
      <c r="H5365" s="23">
        <v>35.06</v>
      </c>
      <c r="I5365" s="23">
        <v>17.53</v>
      </c>
      <c r="J5365" s="24">
        <v>17.53</v>
      </c>
      <c r="K5365" s="21">
        <v>0</v>
      </c>
      <c r="L5365" s="21">
        <v>0</v>
      </c>
      <c r="M5365" s="21">
        <f>COUNTIF($A$2:$A$5481,A5365)</f>
        <v>1</v>
      </c>
      <c r="N5365" s="24">
        <f t="shared" si="83"/>
        <v>17.5305365</v>
      </c>
    </row>
    <row r="5366" spans="1:14">
      <c r="A5366" s="21" t="s">
        <v>4772</v>
      </c>
      <c r="B5366" s="21" t="s">
        <v>26</v>
      </c>
      <c r="C5366" s="21" t="s">
        <v>26</v>
      </c>
      <c r="D5366" s="21" t="s">
        <v>921</v>
      </c>
      <c r="E5366" s="21">
        <v>3</v>
      </c>
      <c r="F5366" s="22">
        <v>45638.3828587963</v>
      </c>
      <c r="G5366" s="22"/>
      <c r="H5366" s="23">
        <v>42</v>
      </c>
      <c r="I5366" s="23">
        <v>14</v>
      </c>
      <c r="J5366" s="24">
        <v>42</v>
      </c>
      <c r="K5366" s="21">
        <v>0</v>
      </c>
      <c r="L5366" s="21">
        <v>0</v>
      </c>
      <c r="M5366" s="21">
        <f>COUNTIF($A$2:$A$5481,A5366)</f>
        <v>1</v>
      </c>
      <c r="N5366" s="24">
        <f t="shared" si="83"/>
        <v>42.0005366</v>
      </c>
    </row>
    <row r="5367" spans="1:14">
      <c r="A5367" s="21" t="s">
        <v>4773</v>
      </c>
      <c r="B5367" s="21" t="s">
        <v>26</v>
      </c>
      <c r="C5367" s="21" t="s">
        <v>26</v>
      </c>
      <c r="D5367" s="21" t="s">
        <v>921</v>
      </c>
      <c r="E5367" s="21">
        <v>2</v>
      </c>
      <c r="F5367" s="22">
        <v>45638.3828587963</v>
      </c>
      <c r="G5367" s="22"/>
      <c r="H5367" s="23">
        <v>22.42</v>
      </c>
      <c r="I5367" s="23">
        <v>11.21</v>
      </c>
      <c r="J5367" s="24">
        <v>22.42</v>
      </c>
      <c r="K5367" s="21">
        <v>0</v>
      </c>
      <c r="L5367" s="21">
        <v>0</v>
      </c>
      <c r="M5367" s="21">
        <f>COUNTIF($A$2:$A$5481,A5367)</f>
        <v>1</v>
      </c>
      <c r="N5367" s="24">
        <f t="shared" si="83"/>
        <v>22.4205367</v>
      </c>
    </row>
    <row r="5368" spans="1:14">
      <c r="A5368" s="21" t="s">
        <v>570</v>
      </c>
      <c r="B5368" s="21" t="s">
        <v>26</v>
      </c>
      <c r="C5368" s="21" t="s">
        <v>26</v>
      </c>
      <c r="D5368" s="21" t="s">
        <v>921</v>
      </c>
      <c r="E5368" s="21">
        <v>0</v>
      </c>
      <c r="F5368" s="22">
        <v>46097.5796180556</v>
      </c>
      <c r="G5368" s="22">
        <v>46251.7556828704</v>
      </c>
      <c r="H5368" s="23">
        <v>16.3</v>
      </c>
      <c r="I5368" s="23">
        <v>4.0538709677</v>
      </c>
      <c r="J5368" s="24">
        <v>0</v>
      </c>
      <c r="K5368" s="21">
        <v>0</v>
      </c>
      <c r="L5368" s="21">
        <v>0</v>
      </c>
      <c r="M5368" s="21">
        <f>COUNTIF($A$2:$A$5481,A5368)</f>
        <v>1</v>
      </c>
      <c r="N5368" s="24">
        <f t="shared" si="83"/>
        <v>0.0005368</v>
      </c>
    </row>
    <row r="5369" spans="1:14">
      <c r="A5369" s="21" t="s">
        <v>569</v>
      </c>
      <c r="B5369" s="21" t="s">
        <v>920</v>
      </c>
      <c r="C5369" s="21" t="s">
        <v>26</v>
      </c>
      <c r="D5369" s="21" t="s">
        <v>921</v>
      </c>
      <c r="E5369" s="21">
        <v>0</v>
      </c>
      <c r="F5369" s="22">
        <v>46093.5711458333</v>
      </c>
      <c r="G5369" s="22">
        <v>46251.7556712963</v>
      </c>
      <c r="H5369" s="23">
        <v>16</v>
      </c>
      <c r="I5369" s="23">
        <v>2.0318181818</v>
      </c>
      <c r="J5369" s="24">
        <v>0</v>
      </c>
      <c r="K5369" s="21">
        <v>0</v>
      </c>
      <c r="L5369" s="21">
        <v>0</v>
      </c>
      <c r="M5369" s="21">
        <f>COUNTIF($A$2:$A$5481,A5369)</f>
        <v>1</v>
      </c>
      <c r="N5369" s="24">
        <f t="shared" si="83"/>
        <v>0.0005369</v>
      </c>
    </row>
    <row r="5370" spans="1:14">
      <c r="A5370" s="21" t="s">
        <v>4774</v>
      </c>
      <c r="B5370" s="21" t="s">
        <v>920</v>
      </c>
      <c r="C5370" s="21" t="s">
        <v>26</v>
      </c>
      <c r="D5370" s="21" t="s">
        <v>921</v>
      </c>
      <c r="E5370" s="21">
        <v>15</v>
      </c>
      <c r="F5370" s="22">
        <v>46216.6027777778</v>
      </c>
      <c r="G5370" s="22"/>
      <c r="H5370" s="23">
        <v>58.8</v>
      </c>
      <c r="I5370" s="23">
        <v>3.92</v>
      </c>
      <c r="J5370" s="24">
        <v>58.8</v>
      </c>
      <c r="K5370" s="21">
        <v>0</v>
      </c>
      <c r="L5370" s="21">
        <v>0</v>
      </c>
      <c r="M5370" s="21">
        <f>COUNTIF($A$2:$A$5481,A5370)</f>
        <v>1</v>
      </c>
      <c r="N5370" s="24">
        <f t="shared" si="83"/>
        <v>58.800537</v>
      </c>
    </row>
    <row r="5371" spans="1:14">
      <c r="A5371" s="21" t="s">
        <v>4775</v>
      </c>
      <c r="B5371" s="21" t="s">
        <v>920</v>
      </c>
      <c r="C5371" s="21" t="s">
        <v>26</v>
      </c>
      <c r="D5371" s="21" t="s">
        <v>921</v>
      </c>
      <c r="E5371" s="21">
        <v>10</v>
      </c>
      <c r="F5371" s="22">
        <v>46216.6027777778</v>
      </c>
      <c r="G5371" s="22"/>
      <c r="H5371" s="23">
        <v>72.3</v>
      </c>
      <c r="I5371" s="23">
        <v>7.23</v>
      </c>
      <c r="J5371" s="24">
        <v>72.3</v>
      </c>
      <c r="K5371" s="21">
        <v>0</v>
      </c>
      <c r="L5371" s="21">
        <v>0</v>
      </c>
      <c r="M5371" s="21">
        <f>COUNTIF($A$2:$A$5481,A5371)</f>
        <v>1</v>
      </c>
      <c r="N5371" s="24">
        <f t="shared" si="83"/>
        <v>72.3005371</v>
      </c>
    </row>
    <row r="5372" spans="1:14">
      <c r="A5372" s="21" t="s">
        <v>4776</v>
      </c>
      <c r="B5372" s="21" t="s">
        <v>920</v>
      </c>
      <c r="C5372" s="21" t="s">
        <v>26</v>
      </c>
      <c r="D5372" s="21" t="s">
        <v>921</v>
      </c>
      <c r="E5372" s="21">
        <v>10</v>
      </c>
      <c r="F5372" s="22">
        <v>46216.6027777778</v>
      </c>
      <c r="G5372" s="22"/>
      <c r="H5372" s="23">
        <v>71.4</v>
      </c>
      <c r="I5372" s="23">
        <v>7.14</v>
      </c>
      <c r="J5372" s="24">
        <v>71.4</v>
      </c>
      <c r="K5372" s="21">
        <v>0</v>
      </c>
      <c r="L5372" s="21">
        <v>0</v>
      </c>
      <c r="M5372" s="21">
        <f>COUNTIF($A$2:$A$5481,A5372)</f>
        <v>1</v>
      </c>
      <c r="N5372" s="24">
        <f t="shared" si="83"/>
        <v>71.4005372</v>
      </c>
    </row>
    <row r="5373" spans="1:14">
      <c r="A5373" s="21" t="s">
        <v>4777</v>
      </c>
      <c r="B5373" s="21" t="s">
        <v>920</v>
      </c>
      <c r="C5373" s="21" t="s">
        <v>26</v>
      </c>
      <c r="D5373" s="21" t="s">
        <v>921</v>
      </c>
      <c r="E5373" s="21">
        <v>10</v>
      </c>
      <c r="F5373" s="22">
        <v>46216.6027777778</v>
      </c>
      <c r="G5373" s="22"/>
      <c r="H5373" s="23">
        <v>79.5</v>
      </c>
      <c r="I5373" s="23">
        <v>7.95</v>
      </c>
      <c r="J5373" s="24">
        <v>79.5</v>
      </c>
      <c r="K5373" s="21">
        <v>0</v>
      </c>
      <c r="L5373" s="21">
        <v>0</v>
      </c>
      <c r="M5373" s="21">
        <f>COUNTIF($A$2:$A$5481,A5373)</f>
        <v>1</v>
      </c>
      <c r="N5373" s="24">
        <f t="shared" si="83"/>
        <v>79.5005373</v>
      </c>
    </row>
    <row r="5374" spans="1:14">
      <c r="A5374" s="21" t="s">
        <v>4778</v>
      </c>
      <c r="B5374" s="21" t="s">
        <v>920</v>
      </c>
      <c r="C5374" s="21" t="s">
        <v>26</v>
      </c>
      <c r="D5374" s="21" t="s">
        <v>921</v>
      </c>
      <c r="E5374" s="21">
        <v>10</v>
      </c>
      <c r="F5374" s="22">
        <v>46216.6027777778</v>
      </c>
      <c r="G5374" s="22"/>
      <c r="H5374" s="23">
        <v>73.1</v>
      </c>
      <c r="I5374" s="23">
        <v>7.31</v>
      </c>
      <c r="J5374" s="24">
        <v>73.1</v>
      </c>
      <c r="K5374" s="21">
        <v>0</v>
      </c>
      <c r="L5374" s="21">
        <v>0</v>
      </c>
      <c r="M5374" s="21">
        <f>COUNTIF($A$2:$A$5481,A5374)</f>
        <v>1</v>
      </c>
      <c r="N5374" s="24">
        <f t="shared" si="83"/>
        <v>73.1005374</v>
      </c>
    </row>
    <row r="5375" spans="1:14">
      <c r="A5375" s="21" t="s">
        <v>4779</v>
      </c>
      <c r="B5375" s="21" t="s">
        <v>920</v>
      </c>
      <c r="C5375" s="21" t="s">
        <v>26</v>
      </c>
      <c r="D5375" s="21" t="s">
        <v>921</v>
      </c>
      <c r="E5375" s="21">
        <v>10</v>
      </c>
      <c r="F5375" s="22">
        <v>46216.6027777778</v>
      </c>
      <c r="G5375" s="22"/>
      <c r="H5375" s="23">
        <v>82.2</v>
      </c>
      <c r="I5375" s="23">
        <v>8.22</v>
      </c>
      <c r="J5375" s="24">
        <v>82.2</v>
      </c>
      <c r="K5375" s="21">
        <v>0</v>
      </c>
      <c r="L5375" s="21">
        <v>0</v>
      </c>
      <c r="M5375" s="21">
        <f>COUNTIF($A$2:$A$5481,A5375)</f>
        <v>1</v>
      </c>
      <c r="N5375" s="24">
        <f t="shared" si="83"/>
        <v>82.2005375</v>
      </c>
    </row>
    <row r="5376" spans="1:14">
      <c r="A5376" s="21" t="s">
        <v>4780</v>
      </c>
      <c r="B5376" s="21" t="s">
        <v>920</v>
      </c>
      <c r="C5376" s="21" t="s">
        <v>26</v>
      </c>
      <c r="D5376" s="21" t="s">
        <v>921</v>
      </c>
      <c r="E5376" s="21">
        <v>10</v>
      </c>
      <c r="F5376" s="22">
        <v>46216.6027777778</v>
      </c>
      <c r="G5376" s="22"/>
      <c r="H5376" s="23">
        <v>77.6</v>
      </c>
      <c r="I5376" s="23">
        <v>7.76</v>
      </c>
      <c r="J5376" s="24">
        <v>77.6</v>
      </c>
      <c r="K5376" s="21">
        <v>0</v>
      </c>
      <c r="L5376" s="21">
        <v>0</v>
      </c>
      <c r="M5376" s="21">
        <f>COUNTIF($A$2:$A$5481,A5376)</f>
        <v>1</v>
      </c>
      <c r="N5376" s="24">
        <f t="shared" si="83"/>
        <v>77.6005376</v>
      </c>
    </row>
    <row r="5377" spans="1:14">
      <c r="A5377" s="21" t="s">
        <v>4781</v>
      </c>
      <c r="B5377" s="21" t="s">
        <v>920</v>
      </c>
      <c r="C5377" s="21" t="s">
        <v>26</v>
      </c>
      <c r="D5377" s="21" t="s">
        <v>921</v>
      </c>
      <c r="E5377" s="21">
        <v>15</v>
      </c>
      <c r="F5377" s="22">
        <v>46216.6027777778</v>
      </c>
      <c r="G5377" s="22"/>
      <c r="H5377" s="23">
        <v>48.9</v>
      </c>
      <c r="I5377" s="23">
        <v>3.26</v>
      </c>
      <c r="J5377" s="24">
        <v>48.9</v>
      </c>
      <c r="K5377" s="21">
        <v>0</v>
      </c>
      <c r="L5377" s="21">
        <v>0</v>
      </c>
      <c r="M5377" s="21">
        <f>COUNTIF($A$2:$A$5481,A5377)</f>
        <v>1</v>
      </c>
      <c r="N5377" s="24">
        <f t="shared" si="83"/>
        <v>48.9005377</v>
      </c>
    </row>
    <row r="5378" spans="1:14">
      <c r="A5378" s="21" t="s">
        <v>4782</v>
      </c>
      <c r="B5378" s="21" t="s">
        <v>920</v>
      </c>
      <c r="C5378" s="21" t="s">
        <v>26</v>
      </c>
      <c r="D5378" s="21" t="s">
        <v>921</v>
      </c>
      <c r="E5378" s="21">
        <v>25</v>
      </c>
      <c r="F5378" s="22">
        <v>46216.6027777778</v>
      </c>
      <c r="G5378" s="22"/>
      <c r="H5378" s="23">
        <v>89.25</v>
      </c>
      <c r="I5378" s="23">
        <v>3.57</v>
      </c>
      <c r="J5378" s="24">
        <v>89.25</v>
      </c>
      <c r="K5378" s="21">
        <v>0</v>
      </c>
      <c r="L5378" s="21">
        <v>0</v>
      </c>
      <c r="M5378" s="21">
        <f>COUNTIF($A$2:$A$5481,A5378)</f>
        <v>1</v>
      </c>
      <c r="N5378" s="24">
        <f t="shared" ref="N5378:N5441" si="84">J5378+ROW()/10000000</f>
        <v>89.2505378</v>
      </c>
    </row>
    <row r="5379" spans="1:14">
      <c r="A5379" s="21" t="s">
        <v>4783</v>
      </c>
      <c r="B5379" s="21" t="s">
        <v>920</v>
      </c>
      <c r="C5379" s="21" t="s">
        <v>26</v>
      </c>
      <c r="D5379" s="21" t="s">
        <v>921</v>
      </c>
      <c r="E5379" s="21">
        <v>10</v>
      </c>
      <c r="F5379" s="22">
        <v>46216.6027777778</v>
      </c>
      <c r="G5379" s="22"/>
      <c r="H5379" s="23">
        <v>69.6</v>
      </c>
      <c r="I5379" s="23">
        <v>6.96</v>
      </c>
      <c r="J5379" s="24">
        <v>69.6</v>
      </c>
      <c r="K5379" s="21">
        <v>0</v>
      </c>
      <c r="L5379" s="21">
        <v>0</v>
      </c>
      <c r="M5379" s="21">
        <f>COUNTIF($A$2:$A$5481,A5379)</f>
        <v>1</v>
      </c>
      <c r="N5379" s="24">
        <f t="shared" si="84"/>
        <v>69.6005379</v>
      </c>
    </row>
    <row r="5380" spans="1:14">
      <c r="A5380" s="21" t="s">
        <v>4784</v>
      </c>
      <c r="B5380" s="21" t="s">
        <v>920</v>
      </c>
      <c r="C5380" s="21" t="s">
        <v>26</v>
      </c>
      <c r="D5380" s="21" t="s">
        <v>921</v>
      </c>
      <c r="E5380" s="21">
        <v>15</v>
      </c>
      <c r="F5380" s="22">
        <v>46216.6027777778</v>
      </c>
      <c r="G5380" s="22"/>
      <c r="H5380" s="23">
        <v>79.5</v>
      </c>
      <c r="I5380" s="23">
        <v>5.3</v>
      </c>
      <c r="J5380" s="24">
        <v>79.5</v>
      </c>
      <c r="K5380" s="21">
        <v>0</v>
      </c>
      <c r="L5380" s="21">
        <v>0</v>
      </c>
      <c r="M5380" s="21">
        <f>COUNTIF($A$2:$A$5481,A5380)</f>
        <v>1</v>
      </c>
      <c r="N5380" s="24">
        <f t="shared" si="84"/>
        <v>79.500538</v>
      </c>
    </row>
    <row r="5381" spans="1:14">
      <c r="A5381" s="21" t="s">
        <v>4785</v>
      </c>
      <c r="B5381" s="21" t="s">
        <v>920</v>
      </c>
      <c r="C5381" s="21" t="s">
        <v>26</v>
      </c>
      <c r="D5381" s="21" t="s">
        <v>921</v>
      </c>
      <c r="E5381" s="21">
        <v>15</v>
      </c>
      <c r="F5381" s="22">
        <v>46216.6027777778</v>
      </c>
      <c r="G5381" s="22"/>
      <c r="H5381" s="23">
        <v>56.4</v>
      </c>
      <c r="I5381" s="23">
        <v>3.76</v>
      </c>
      <c r="J5381" s="24">
        <v>56.4</v>
      </c>
      <c r="K5381" s="21">
        <v>0</v>
      </c>
      <c r="L5381" s="21">
        <v>0</v>
      </c>
      <c r="M5381" s="21">
        <f>COUNTIF($A$2:$A$5481,A5381)</f>
        <v>1</v>
      </c>
      <c r="N5381" s="24">
        <f t="shared" si="84"/>
        <v>56.4005381</v>
      </c>
    </row>
    <row r="5382" spans="1:14">
      <c r="A5382" s="21" t="s">
        <v>4786</v>
      </c>
      <c r="B5382" s="21" t="s">
        <v>26</v>
      </c>
      <c r="C5382" s="21" t="s">
        <v>26</v>
      </c>
      <c r="D5382" s="21" t="s">
        <v>921</v>
      </c>
      <c r="E5382" s="21">
        <v>400</v>
      </c>
      <c r="F5382" s="22">
        <v>46216.6027777778</v>
      </c>
      <c r="G5382" s="22"/>
      <c r="H5382" s="23">
        <v>248</v>
      </c>
      <c r="I5382" s="23">
        <v>0.62</v>
      </c>
      <c r="J5382" s="24">
        <v>248</v>
      </c>
      <c r="K5382" s="21">
        <v>0</v>
      </c>
      <c r="L5382" s="21">
        <v>0</v>
      </c>
      <c r="M5382" s="21">
        <f>COUNTIF($A$2:$A$5481,A5382)</f>
        <v>1</v>
      </c>
      <c r="N5382" s="24">
        <f t="shared" si="84"/>
        <v>248.0005382</v>
      </c>
    </row>
    <row r="5383" spans="1:14">
      <c r="A5383" s="21" t="s">
        <v>4787</v>
      </c>
      <c r="B5383" s="21" t="s">
        <v>920</v>
      </c>
      <c r="C5383" s="21" t="s">
        <v>26</v>
      </c>
      <c r="D5383" s="21" t="s">
        <v>921</v>
      </c>
      <c r="E5383" s="21">
        <v>15</v>
      </c>
      <c r="F5383" s="22">
        <v>46216.6027777778</v>
      </c>
      <c r="G5383" s="22"/>
      <c r="H5383" s="23">
        <v>63.9</v>
      </c>
      <c r="I5383" s="23">
        <v>4.26</v>
      </c>
      <c r="J5383" s="24">
        <v>63.9</v>
      </c>
      <c r="K5383" s="21">
        <v>0</v>
      </c>
      <c r="L5383" s="21">
        <v>0</v>
      </c>
      <c r="M5383" s="21">
        <f>COUNTIF($A$2:$A$5481,A5383)</f>
        <v>1</v>
      </c>
      <c r="N5383" s="24">
        <f t="shared" si="84"/>
        <v>63.9005383</v>
      </c>
    </row>
    <row r="5384" spans="1:14">
      <c r="A5384" s="21" t="s">
        <v>4788</v>
      </c>
      <c r="B5384" s="21" t="s">
        <v>920</v>
      </c>
      <c r="C5384" s="21" t="s">
        <v>35</v>
      </c>
      <c r="D5384" s="21" t="s">
        <v>931</v>
      </c>
      <c r="E5384" s="21">
        <v>1</v>
      </c>
      <c r="F5384" s="22">
        <v>45909.5967824074</v>
      </c>
      <c r="G5384" s="22"/>
      <c r="H5384" s="23">
        <v>108</v>
      </c>
      <c r="I5384" s="23">
        <v>108</v>
      </c>
      <c r="J5384" s="24">
        <v>108</v>
      </c>
      <c r="K5384" s="21">
        <v>0</v>
      </c>
      <c r="L5384" s="21">
        <v>0</v>
      </c>
      <c r="M5384" s="21">
        <f>COUNTIF($A$2:$A$5481,A5384)</f>
        <v>1</v>
      </c>
      <c r="N5384" s="24">
        <f t="shared" si="84"/>
        <v>108.0005384</v>
      </c>
    </row>
    <row r="5385" spans="1:14">
      <c r="A5385" s="21" t="s">
        <v>4789</v>
      </c>
      <c r="B5385" s="21" t="s">
        <v>26</v>
      </c>
      <c r="C5385" s="21" t="s">
        <v>26</v>
      </c>
      <c r="D5385" s="21" t="s">
        <v>921</v>
      </c>
      <c r="E5385" s="21">
        <v>2</v>
      </c>
      <c r="F5385" s="22">
        <v>45735.3494907407</v>
      </c>
      <c r="G5385" s="22"/>
      <c r="H5385" s="23">
        <v>64.95</v>
      </c>
      <c r="I5385" s="23">
        <v>57.475</v>
      </c>
      <c r="J5385" s="24">
        <v>114.96</v>
      </c>
      <c r="K5385" s="21">
        <v>0</v>
      </c>
      <c r="L5385" s="21">
        <v>0</v>
      </c>
      <c r="M5385" s="21">
        <f>COUNTIF($A$2:$A$5481,A5385)</f>
        <v>1</v>
      </c>
      <c r="N5385" s="24">
        <f t="shared" si="84"/>
        <v>114.9605385</v>
      </c>
    </row>
    <row r="5386" spans="1:14">
      <c r="A5386" s="21" t="s">
        <v>4790</v>
      </c>
      <c r="B5386" s="21" t="s">
        <v>949</v>
      </c>
      <c r="C5386" s="21" t="s">
        <v>182</v>
      </c>
      <c r="D5386" s="21" t="s">
        <v>921</v>
      </c>
      <c r="E5386" s="21">
        <v>0</v>
      </c>
      <c r="F5386" s="22">
        <v>45307.3745601852</v>
      </c>
      <c r="G5386" s="22">
        <v>45310.4236226852</v>
      </c>
      <c r="H5386" s="23">
        <v>212.25</v>
      </c>
      <c r="I5386" s="23">
        <v>8.49</v>
      </c>
      <c r="J5386" s="24">
        <v>0</v>
      </c>
      <c r="K5386" s="21">
        <v>0</v>
      </c>
      <c r="L5386" s="21">
        <v>0</v>
      </c>
      <c r="M5386" s="21">
        <f>COUNTIF($A$2:$A$5481,A5386)</f>
        <v>2</v>
      </c>
      <c r="N5386" s="24">
        <f t="shared" si="84"/>
        <v>0.0005386</v>
      </c>
    </row>
    <row r="5387" spans="1:14">
      <c r="A5387" s="21" t="s">
        <v>4790</v>
      </c>
      <c r="B5387" s="21" t="s">
        <v>949</v>
      </c>
      <c r="C5387" s="21" t="s">
        <v>26</v>
      </c>
      <c r="D5387" s="21" t="s">
        <v>921</v>
      </c>
      <c r="E5387" s="21">
        <v>15</v>
      </c>
      <c r="F5387" s="22">
        <v>45338.3729166667</v>
      </c>
      <c r="G5387" s="22"/>
      <c r="H5387" s="23">
        <v>134.85</v>
      </c>
      <c r="I5387" s="23">
        <v>8.99</v>
      </c>
      <c r="J5387" s="24">
        <v>134.85</v>
      </c>
      <c r="K5387" s="21">
        <v>0</v>
      </c>
      <c r="L5387" s="21">
        <v>0</v>
      </c>
      <c r="M5387" s="21">
        <f>COUNTIF($A$2:$A$5481,A5387)</f>
        <v>2</v>
      </c>
      <c r="N5387" s="24">
        <f t="shared" si="84"/>
        <v>134.8505387</v>
      </c>
    </row>
    <row r="5388" spans="1:14">
      <c r="A5388" s="21" t="s">
        <v>4791</v>
      </c>
      <c r="B5388" s="21" t="s">
        <v>1175</v>
      </c>
      <c r="C5388" s="21" t="s">
        <v>26</v>
      </c>
      <c r="D5388" s="21" t="s">
        <v>921</v>
      </c>
      <c r="E5388" s="21">
        <v>2</v>
      </c>
      <c r="F5388" s="22">
        <v>45776.3516319445</v>
      </c>
      <c r="G5388" s="22"/>
      <c r="H5388" s="23">
        <v>40</v>
      </c>
      <c r="I5388" s="23">
        <v>20</v>
      </c>
      <c r="J5388" s="24">
        <v>40</v>
      </c>
      <c r="K5388" s="21">
        <v>0</v>
      </c>
      <c r="L5388" s="21">
        <v>0</v>
      </c>
      <c r="M5388" s="21">
        <f>COUNTIF($A$2:$A$5481,A5388)</f>
        <v>1</v>
      </c>
      <c r="N5388" s="24">
        <f t="shared" si="84"/>
        <v>40.0005388</v>
      </c>
    </row>
    <row r="5389" spans="1:14">
      <c r="A5389" s="21" t="s">
        <v>4792</v>
      </c>
      <c r="B5389" s="21" t="s">
        <v>920</v>
      </c>
      <c r="C5389" s="21" t="s">
        <v>26</v>
      </c>
      <c r="D5389" s="21" t="s">
        <v>931</v>
      </c>
      <c r="E5389" s="21">
        <v>20</v>
      </c>
      <c r="F5389" s="22">
        <v>45789.4070601852</v>
      </c>
      <c r="G5389" s="22"/>
      <c r="H5389" s="23">
        <v>40.6</v>
      </c>
      <c r="I5389" s="23">
        <v>2.03</v>
      </c>
      <c r="J5389" s="24">
        <v>40.6</v>
      </c>
      <c r="K5389" s="21">
        <v>0</v>
      </c>
      <c r="L5389" s="21">
        <v>0</v>
      </c>
      <c r="M5389" s="21">
        <f>COUNTIF($A$2:$A$5481,A5389)</f>
        <v>1</v>
      </c>
      <c r="N5389" s="24">
        <f t="shared" si="84"/>
        <v>40.6005389</v>
      </c>
    </row>
    <row r="5390" spans="1:14">
      <c r="A5390" s="21" t="s">
        <v>4793</v>
      </c>
      <c r="B5390" s="21" t="s">
        <v>26</v>
      </c>
      <c r="C5390" s="21" t="s">
        <v>26</v>
      </c>
      <c r="D5390" s="21" t="s">
        <v>921</v>
      </c>
      <c r="E5390" s="21">
        <v>5</v>
      </c>
      <c r="F5390" s="22">
        <v>46216.643900463</v>
      </c>
      <c r="G5390" s="22"/>
      <c r="H5390" s="23">
        <v>16.85</v>
      </c>
      <c r="I5390" s="23">
        <v>3.37</v>
      </c>
      <c r="J5390" s="24">
        <v>16.85</v>
      </c>
      <c r="K5390" s="21">
        <v>0</v>
      </c>
      <c r="L5390" s="21">
        <v>0</v>
      </c>
      <c r="M5390" s="21">
        <f>COUNTIF($A$2:$A$5481,A5390)</f>
        <v>1</v>
      </c>
      <c r="N5390" s="24">
        <f t="shared" si="84"/>
        <v>16.850539</v>
      </c>
    </row>
    <row r="5391" spans="1:14">
      <c r="A5391" s="21" t="s">
        <v>4794</v>
      </c>
      <c r="B5391" s="21" t="s">
        <v>26</v>
      </c>
      <c r="C5391" s="21" t="s">
        <v>26</v>
      </c>
      <c r="D5391" s="21" t="s">
        <v>921</v>
      </c>
      <c r="E5391" s="21">
        <v>50</v>
      </c>
      <c r="F5391" s="22">
        <v>46216.643900463</v>
      </c>
      <c r="G5391" s="22"/>
      <c r="H5391" s="23">
        <v>18.5</v>
      </c>
      <c r="I5391" s="23">
        <v>0.37</v>
      </c>
      <c r="J5391" s="24">
        <v>18.5</v>
      </c>
      <c r="K5391" s="21">
        <v>0</v>
      </c>
      <c r="L5391" s="21">
        <v>0</v>
      </c>
      <c r="M5391" s="21">
        <f>COUNTIF($A$2:$A$5481,A5391)</f>
        <v>1</v>
      </c>
      <c r="N5391" s="24">
        <f t="shared" si="84"/>
        <v>18.5005391</v>
      </c>
    </row>
    <row r="5392" spans="1:14">
      <c r="A5392" s="21" t="s">
        <v>4795</v>
      </c>
      <c r="B5392" s="21" t="s">
        <v>26</v>
      </c>
      <c r="C5392" s="21" t="s">
        <v>26</v>
      </c>
      <c r="D5392" s="21" t="s">
        <v>921</v>
      </c>
      <c r="E5392" s="21">
        <v>50</v>
      </c>
      <c r="F5392" s="22">
        <v>46216.643900463</v>
      </c>
      <c r="G5392" s="22"/>
      <c r="H5392" s="23">
        <v>40</v>
      </c>
      <c r="I5392" s="23">
        <v>0.8</v>
      </c>
      <c r="J5392" s="24">
        <v>40</v>
      </c>
      <c r="K5392" s="21">
        <v>0</v>
      </c>
      <c r="L5392" s="21">
        <v>0</v>
      </c>
      <c r="M5392" s="21">
        <f>COUNTIF($A$2:$A$5481,A5392)</f>
        <v>1</v>
      </c>
      <c r="N5392" s="24">
        <f t="shared" si="84"/>
        <v>40.0005392</v>
      </c>
    </row>
    <row r="5393" spans="1:14">
      <c r="A5393" s="21" t="s">
        <v>4796</v>
      </c>
      <c r="B5393" s="21" t="s">
        <v>26</v>
      </c>
      <c r="C5393" s="21" t="s">
        <v>26</v>
      </c>
      <c r="D5393" s="21" t="s">
        <v>921</v>
      </c>
      <c r="E5393" s="21">
        <v>50</v>
      </c>
      <c r="F5393" s="22">
        <v>46216.643900463</v>
      </c>
      <c r="G5393" s="22"/>
      <c r="H5393" s="23">
        <v>160</v>
      </c>
      <c r="I5393" s="23">
        <v>3.2</v>
      </c>
      <c r="J5393" s="24">
        <v>160</v>
      </c>
      <c r="K5393" s="21">
        <v>0</v>
      </c>
      <c r="L5393" s="21">
        <v>0</v>
      </c>
      <c r="M5393" s="21">
        <f>COUNTIF($A$2:$A$5481,A5393)</f>
        <v>1</v>
      </c>
      <c r="N5393" s="24">
        <f t="shared" si="84"/>
        <v>160.0005393</v>
      </c>
    </row>
    <row r="5394" spans="1:14">
      <c r="A5394" s="21" t="s">
        <v>4797</v>
      </c>
      <c r="B5394" s="21" t="s">
        <v>26</v>
      </c>
      <c r="C5394" s="21" t="s">
        <v>26</v>
      </c>
      <c r="D5394" s="21" t="s">
        <v>921</v>
      </c>
      <c r="E5394" s="21">
        <v>50</v>
      </c>
      <c r="F5394" s="22">
        <v>46216.643900463</v>
      </c>
      <c r="G5394" s="22"/>
      <c r="H5394" s="23">
        <v>31</v>
      </c>
      <c r="I5394" s="23">
        <v>0.62</v>
      </c>
      <c r="J5394" s="24">
        <v>31</v>
      </c>
      <c r="K5394" s="21">
        <v>0</v>
      </c>
      <c r="L5394" s="21">
        <v>0</v>
      </c>
      <c r="M5394" s="21">
        <f>COUNTIF($A$2:$A$5481,A5394)</f>
        <v>1</v>
      </c>
      <c r="N5394" s="24">
        <f t="shared" si="84"/>
        <v>31.0005394</v>
      </c>
    </row>
    <row r="5395" spans="1:14">
      <c r="A5395" s="21" t="s">
        <v>4798</v>
      </c>
      <c r="B5395" s="21" t="s">
        <v>26</v>
      </c>
      <c r="C5395" s="21" t="s">
        <v>26</v>
      </c>
      <c r="D5395" s="21" t="s">
        <v>921</v>
      </c>
      <c r="E5395" s="21">
        <v>50</v>
      </c>
      <c r="F5395" s="22">
        <v>46216.643900463</v>
      </c>
      <c r="G5395" s="22"/>
      <c r="H5395" s="23">
        <v>34.5</v>
      </c>
      <c r="I5395" s="23">
        <v>0.69</v>
      </c>
      <c r="J5395" s="24">
        <v>34.5</v>
      </c>
      <c r="K5395" s="21">
        <v>0</v>
      </c>
      <c r="L5395" s="21">
        <v>0</v>
      </c>
      <c r="M5395" s="21">
        <f>COUNTIF($A$2:$A$5481,A5395)</f>
        <v>1</v>
      </c>
      <c r="N5395" s="24">
        <f t="shared" si="84"/>
        <v>34.5005395</v>
      </c>
    </row>
    <row r="5396" spans="1:14">
      <c r="A5396" s="21" t="s">
        <v>4799</v>
      </c>
      <c r="B5396" s="21" t="s">
        <v>26</v>
      </c>
      <c r="C5396" s="21" t="s">
        <v>26</v>
      </c>
      <c r="D5396" s="21" t="s">
        <v>921</v>
      </c>
      <c r="E5396" s="21">
        <v>100</v>
      </c>
      <c r="F5396" s="22">
        <v>46216.643900463</v>
      </c>
      <c r="G5396" s="22"/>
      <c r="H5396" s="23">
        <v>230</v>
      </c>
      <c r="I5396" s="23">
        <v>2.3</v>
      </c>
      <c r="J5396" s="24">
        <v>230</v>
      </c>
      <c r="K5396" s="21">
        <v>0</v>
      </c>
      <c r="L5396" s="21">
        <v>0</v>
      </c>
      <c r="M5396" s="21">
        <f>COUNTIF($A$2:$A$5481,A5396)</f>
        <v>1</v>
      </c>
      <c r="N5396" s="24">
        <f t="shared" si="84"/>
        <v>230.0005396</v>
      </c>
    </row>
    <row r="5397" spans="1:14">
      <c r="A5397" s="21" t="s">
        <v>4800</v>
      </c>
      <c r="B5397" s="21" t="s">
        <v>26</v>
      </c>
      <c r="C5397" s="21" t="s">
        <v>26</v>
      </c>
      <c r="D5397" s="21" t="s">
        <v>921</v>
      </c>
      <c r="E5397" s="21">
        <v>2</v>
      </c>
      <c r="F5397" s="22">
        <v>45817.8450115741</v>
      </c>
      <c r="G5397" s="22"/>
      <c r="H5397" s="23">
        <v>4.6</v>
      </c>
      <c r="I5397" s="23">
        <v>2.3</v>
      </c>
      <c r="J5397" s="24">
        <v>4.6</v>
      </c>
      <c r="K5397" s="21">
        <v>0</v>
      </c>
      <c r="L5397" s="21">
        <v>0</v>
      </c>
      <c r="M5397" s="21">
        <f>COUNTIF($A$2:$A$5481,A5397)</f>
        <v>1</v>
      </c>
      <c r="N5397" s="24">
        <f t="shared" si="84"/>
        <v>4.6005397</v>
      </c>
    </row>
    <row r="5398" spans="1:14">
      <c r="A5398" s="21" t="s">
        <v>472</v>
      </c>
      <c r="B5398" s="21" t="s">
        <v>920</v>
      </c>
      <c r="C5398" s="21" t="s">
        <v>35</v>
      </c>
      <c r="D5398" s="21" t="s">
        <v>921</v>
      </c>
      <c r="E5398" s="21">
        <v>0</v>
      </c>
      <c r="F5398" s="22">
        <v>46197.5784722222</v>
      </c>
      <c r="G5398" s="22">
        <v>46217.4280671296</v>
      </c>
      <c r="H5398" s="23">
        <v>210</v>
      </c>
      <c r="I5398" s="23">
        <v>210</v>
      </c>
      <c r="J5398" s="24">
        <v>0</v>
      </c>
      <c r="K5398" s="21">
        <v>0</v>
      </c>
      <c r="L5398" s="21">
        <v>0</v>
      </c>
      <c r="M5398" s="21">
        <f>COUNTIF($A$2:$A$5481,A5398)</f>
        <v>1</v>
      </c>
      <c r="N5398" s="24">
        <f t="shared" si="84"/>
        <v>0.0005398</v>
      </c>
    </row>
    <row r="5399" spans="1:14">
      <c r="A5399" s="21" t="s">
        <v>4801</v>
      </c>
      <c r="B5399" s="21" t="s">
        <v>920</v>
      </c>
      <c r="C5399" s="21" t="s">
        <v>35</v>
      </c>
      <c r="D5399" s="21" t="s">
        <v>921</v>
      </c>
      <c r="E5399" s="21">
        <v>10</v>
      </c>
      <c r="F5399" s="22">
        <v>46197.5784722222</v>
      </c>
      <c r="G5399" s="22"/>
      <c r="H5399" s="23">
        <v>400</v>
      </c>
      <c r="I5399" s="23">
        <v>40</v>
      </c>
      <c r="J5399" s="24">
        <v>400</v>
      </c>
      <c r="K5399" s="21">
        <v>0</v>
      </c>
      <c r="L5399" s="21">
        <v>0</v>
      </c>
      <c r="M5399" s="21">
        <f>COUNTIF($A$2:$A$5481,A5399)</f>
        <v>1</v>
      </c>
      <c r="N5399" s="24">
        <f t="shared" si="84"/>
        <v>400.0005399</v>
      </c>
    </row>
    <row r="5400" spans="1:14">
      <c r="A5400" s="21" t="s">
        <v>4802</v>
      </c>
      <c r="B5400" s="21" t="s">
        <v>920</v>
      </c>
      <c r="C5400" s="21" t="s">
        <v>35</v>
      </c>
      <c r="D5400" s="21" t="s">
        <v>921</v>
      </c>
      <c r="E5400" s="21">
        <v>2</v>
      </c>
      <c r="F5400" s="22">
        <v>46197.5784722222</v>
      </c>
      <c r="G5400" s="22"/>
      <c r="H5400" s="23">
        <v>58</v>
      </c>
      <c r="I5400" s="23">
        <v>29</v>
      </c>
      <c r="J5400" s="24">
        <v>58</v>
      </c>
      <c r="K5400" s="21">
        <v>0</v>
      </c>
      <c r="L5400" s="21">
        <v>0</v>
      </c>
      <c r="M5400" s="21">
        <f>COUNTIF($A$2:$A$5481,A5400)</f>
        <v>1</v>
      </c>
      <c r="N5400" s="24">
        <f t="shared" si="84"/>
        <v>58.00054</v>
      </c>
    </row>
    <row r="5401" spans="1:14">
      <c r="A5401" s="21" t="s">
        <v>4803</v>
      </c>
      <c r="B5401" s="21" t="s">
        <v>920</v>
      </c>
      <c r="C5401" s="21" t="s">
        <v>35</v>
      </c>
      <c r="D5401" s="21" t="s">
        <v>921</v>
      </c>
      <c r="E5401" s="21">
        <v>10</v>
      </c>
      <c r="F5401" s="22">
        <v>46197.5784722222</v>
      </c>
      <c r="G5401" s="22"/>
      <c r="H5401" s="23">
        <v>400</v>
      </c>
      <c r="I5401" s="23">
        <v>40</v>
      </c>
      <c r="J5401" s="24">
        <v>400</v>
      </c>
      <c r="K5401" s="21">
        <v>0</v>
      </c>
      <c r="L5401" s="21">
        <v>0</v>
      </c>
      <c r="M5401" s="21">
        <f>COUNTIF($A$2:$A$5481,A5401)</f>
        <v>1</v>
      </c>
      <c r="N5401" s="24">
        <f t="shared" si="84"/>
        <v>400.0005401</v>
      </c>
    </row>
    <row r="5402" spans="1:14">
      <c r="A5402" s="21" t="s">
        <v>839</v>
      </c>
      <c r="B5402" s="21" t="s">
        <v>920</v>
      </c>
      <c r="C5402" s="21" t="s">
        <v>35</v>
      </c>
      <c r="D5402" s="21" t="s">
        <v>921</v>
      </c>
      <c r="E5402" s="21">
        <v>4</v>
      </c>
      <c r="F5402" s="22">
        <v>46227.6493055556</v>
      </c>
      <c r="G5402" s="22">
        <v>46266.6588425926</v>
      </c>
      <c r="H5402" s="23">
        <v>1900</v>
      </c>
      <c r="I5402" s="23">
        <v>380</v>
      </c>
      <c r="J5402" s="24">
        <v>1520</v>
      </c>
      <c r="K5402" s="21">
        <v>0</v>
      </c>
      <c r="L5402" s="21">
        <v>0</v>
      </c>
      <c r="M5402" s="21">
        <f>COUNTIF($A$2:$A$5481,A5402)</f>
        <v>1</v>
      </c>
      <c r="N5402" s="24">
        <f t="shared" si="84"/>
        <v>1520.0005402</v>
      </c>
    </row>
    <row r="5403" spans="1:14">
      <c r="A5403" s="21" t="s">
        <v>4804</v>
      </c>
      <c r="B5403" s="21" t="s">
        <v>929</v>
      </c>
      <c r="C5403" s="21" t="s">
        <v>414</v>
      </c>
      <c r="D5403" s="21" t="s">
        <v>921</v>
      </c>
      <c r="E5403" s="21">
        <v>2</v>
      </c>
      <c r="F5403" s="22">
        <v>46216.6381944444</v>
      </c>
      <c r="G5403" s="22"/>
      <c r="H5403" s="23">
        <v>340</v>
      </c>
      <c r="I5403" s="23">
        <v>170</v>
      </c>
      <c r="J5403" s="24">
        <v>340</v>
      </c>
      <c r="K5403" s="21">
        <v>0</v>
      </c>
      <c r="L5403" s="21">
        <v>0</v>
      </c>
      <c r="M5403" s="21">
        <f>COUNTIF($A$2:$A$5481,A5403)</f>
        <v>1</v>
      </c>
      <c r="N5403" s="24">
        <f t="shared" si="84"/>
        <v>340.0005403</v>
      </c>
    </row>
    <row r="5404" spans="1:14">
      <c r="A5404" s="21" t="s">
        <v>4805</v>
      </c>
      <c r="B5404" s="21" t="s">
        <v>929</v>
      </c>
      <c r="C5404" s="21" t="s">
        <v>414</v>
      </c>
      <c r="D5404" s="21" t="s">
        <v>921</v>
      </c>
      <c r="E5404" s="21">
        <v>2</v>
      </c>
      <c r="F5404" s="22">
        <v>46216.6381944444</v>
      </c>
      <c r="G5404" s="22"/>
      <c r="H5404" s="23">
        <v>40</v>
      </c>
      <c r="I5404" s="23">
        <v>20</v>
      </c>
      <c r="J5404" s="24">
        <v>40</v>
      </c>
      <c r="K5404" s="21">
        <v>0</v>
      </c>
      <c r="L5404" s="21">
        <v>0</v>
      </c>
      <c r="M5404" s="21">
        <f>COUNTIF($A$2:$A$5481,A5404)</f>
        <v>1</v>
      </c>
      <c r="N5404" s="24">
        <f t="shared" si="84"/>
        <v>40.0005404</v>
      </c>
    </row>
    <row r="5405" spans="1:14">
      <c r="A5405" s="21" t="s">
        <v>4806</v>
      </c>
      <c r="B5405" s="21" t="s">
        <v>920</v>
      </c>
      <c r="C5405" s="21" t="s">
        <v>26</v>
      </c>
      <c r="D5405" s="21" t="s">
        <v>921</v>
      </c>
      <c r="E5405" s="21">
        <v>4</v>
      </c>
      <c r="F5405" s="22">
        <v>46216.7063194444</v>
      </c>
      <c r="G5405" s="22"/>
      <c r="H5405" s="23">
        <v>3.36</v>
      </c>
      <c r="I5405" s="23">
        <v>0.84</v>
      </c>
      <c r="J5405" s="24">
        <v>3.36</v>
      </c>
      <c r="K5405" s="21">
        <v>0</v>
      </c>
      <c r="L5405" s="21">
        <v>0</v>
      </c>
      <c r="M5405" s="21">
        <f>COUNTIF($A$2:$A$5481,A5405)</f>
        <v>1</v>
      </c>
      <c r="N5405" s="24">
        <f t="shared" si="84"/>
        <v>3.3605405</v>
      </c>
    </row>
    <row r="5406" spans="1:14">
      <c r="A5406" s="21" t="s">
        <v>4807</v>
      </c>
      <c r="B5406" s="21" t="s">
        <v>920</v>
      </c>
      <c r="C5406" s="21" t="s">
        <v>26</v>
      </c>
      <c r="D5406" s="21" t="s">
        <v>921</v>
      </c>
      <c r="E5406" s="21">
        <v>6</v>
      </c>
      <c r="F5406" s="22">
        <v>46013.6269097222</v>
      </c>
      <c r="G5406" s="22"/>
      <c r="H5406" s="23">
        <v>94.98</v>
      </c>
      <c r="I5406" s="23">
        <v>15.83</v>
      </c>
      <c r="J5406" s="24">
        <v>94.98</v>
      </c>
      <c r="K5406" s="21">
        <v>0</v>
      </c>
      <c r="L5406" s="21">
        <v>0</v>
      </c>
      <c r="M5406" s="21">
        <f>COUNTIF($A$2:$A$5481,A5406)</f>
        <v>1</v>
      </c>
      <c r="N5406" s="24">
        <f t="shared" si="84"/>
        <v>94.9805406</v>
      </c>
    </row>
    <row r="5407" spans="1:14">
      <c r="A5407" s="21" t="s">
        <v>4808</v>
      </c>
      <c r="B5407" s="21" t="s">
        <v>26</v>
      </c>
      <c r="C5407" s="21" t="s">
        <v>26</v>
      </c>
      <c r="D5407" s="21" t="s">
        <v>921</v>
      </c>
      <c r="E5407" s="21">
        <v>1</v>
      </c>
      <c r="F5407" s="22">
        <v>45685.4866898148</v>
      </c>
      <c r="G5407" s="22"/>
      <c r="H5407" s="23">
        <v>120</v>
      </c>
      <c r="I5407" s="23">
        <v>120</v>
      </c>
      <c r="J5407" s="24">
        <v>120</v>
      </c>
      <c r="K5407" s="21">
        <v>0</v>
      </c>
      <c r="L5407" s="21">
        <v>0</v>
      </c>
      <c r="M5407" s="21">
        <f>COUNTIF($A$2:$A$5481,A5407)</f>
        <v>1</v>
      </c>
      <c r="N5407" s="24">
        <f t="shared" si="84"/>
        <v>120.0005407</v>
      </c>
    </row>
    <row r="5408" spans="1:14">
      <c r="A5408" s="21" t="s">
        <v>4809</v>
      </c>
      <c r="B5408" s="21" t="s">
        <v>1115</v>
      </c>
      <c r="C5408" s="21" t="s">
        <v>26</v>
      </c>
      <c r="D5408" s="21" t="s">
        <v>921</v>
      </c>
      <c r="E5408" s="21">
        <v>10</v>
      </c>
      <c r="F5408" s="22">
        <v>46196.623587963</v>
      </c>
      <c r="G5408" s="22"/>
      <c r="H5408" s="23">
        <v>1173</v>
      </c>
      <c r="I5408" s="23">
        <v>117.3</v>
      </c>
      <c r="J5408" s="24">
        <v>1173</v>
      </c>
      <c r="K5408" s="21">
        <v>0</v>
      </c>
      <c r="L5408" s="21">
        <v>0</v>
      </c>
      <c r="M5408" s="21">
        <f>COUNTIF($A$2:$A$5481,A5408)</f>
        <v>1</v>
      </c>
      <c r="N5408" s="24">
        <f t="shared" si="84"/>
        <v>1173.0005408</v>
      </c>
    </row>
    <row r="5409" spans="1:14">
      <c r="A5409" s="21" t="s">
        <v>772</v>
      </c>
      <c r="B5409" s="21" t="s">
        <v>929</v>
      </c>
      <c r="C5409" s="21" t="s">
        <v>26</v>
      </c>
      <c r="D5409" s="21" t="s">
        <v>921</v>
      </c>
      <c r="E5409" s="21">
        <v>1</v>
      </c>
      <c r="F5409" s="22">
        <v>46196.623587963</v>
      </c>
      <c r="G5409" s="22">
        <v>46252.6627777778</v>
      </c>
      <c r="H5409" s="23">
        <v>54</v>
      </c>
      <c r="I5409" s="23">
        <v>27</v>
      </c>
      <c r="J5409" s="24">
        <v>27</v>
      </c>
      <c r="K5409" s="21">
        <v>0</v>
      </c>
      <c r="L5409" s="21">
        <v>0</v>
      </c>
      <c r="M5409" s="21">
        <f>COUNTIF($A$2:$A$5481,A5409)</f>
        <v>2</v>
      </c>
      <c r="N5409" s="24">
        <f t="shared" si="84"/>
        <v>27.0005409</v>
      </c>
    </row>
    <row r="5410" spans="1:14">
      <c r="A5410" s="21" t="s">
        <v>772</v>
      </c>
      <c r="B5410" s="21" t="s">
        <v>929</v>
      </c>
      <c r="C5410" s="21" t="s">
        <v>414</v>
      </c>
      <c r="D5410" s="21" t="s">
        <v>921</v>
      </c>
      <c r="E5410" s="21">
        <v>3</v>
      </c>
      <c r="F5410" s="22">
        <v>46253.5125</v>
      </c>
      <c r="G5410" s="22"/>
      <c r="H5410" s="23">
        <v>237.87</v>
      </c>
      <c r="I5410" s="23">
        <v>79.29</v>
      </c>
      <c r="J5410" s="24">
        <v>237.87</v>
      </c>
      <c r="K5410" s="21">
        <v>0</v>
      </c>
      <c r="L5410" s="21">
        <v>0</v>
      </c>
      <c r="M5410" s="21">
        <f>COUNTIF($A$2:$A$5481,A5410)</f>
        <v>2</v>
      </c>
      <c r="N5410" s="24">
        <f t="shared" si="84"/>
        <v>237.870541</v>
      </c>
    </row>
    <row r="5411" spans="1:14">
      <c r="A5411" s="21" t="s">
        <v>4810</v>
      </c>
      <c r="B5411" s="21" t="s">
        <v>920</v>
      </c>
      <c r="C5411" s="21" t="s">
        <v>26</v>
      </c>
      <c r="D5411" s="21" t="s">
        <v>921</v>
      </c>
      <c r="E5411" s="21">
        <v>50</v>
      </c>
      <c r="F5411" s="22">
        <v>46233.7047800926</v>
      </c>
      <c r="G5411" s="22"/>
      <c r="H5411" s="23">
        <v>15</v>
      </c>
      <c r="I5411" s="23">
        <v>0.3</v>
      </c>
      <c r="J5411" s="24">
        <v>15</v>
      </c>
      <c r="K5411" s="21">
        <v>0</v>
      </c>
      <c r="L5411" s="21">
        <v>0</v>
      </c>
      <c r="M5411" s="21">
        <f>COUNTIF($A$2:$A$5481,A5411)</f>
        <v>1</v>
      </c>
      <c r="N5411" s="24">
        <f t="shared" si="84"/>
        <v>15.0005411</v>
      </c>
    </row>
    <row r="5412" spans="1:14">
      <c r="A5412" s="21" t="s">
        <v>490</v>
      </c>
      <c r="B5412" s="21" t="s">
        <v>920</v>
      </c>
      <c r="C5412" s="21" t="s">
        <v>26</v>
      </c>
      <c r="D5412" s="21" t="s">
        <v>921</v>
      </c>
      <c r="E5412" s="21">
        <v>2</v>
      </c>
      <c r="F5412" s="22">
        <v>46224.7244097222</v>
      </c>
      <c r="G5412" s="22">
        <v>46225.3528356482</v>
      </c>
      <c r="H5412" s="23">
        <v>447</v>
      </c>
      <c r="I5412" s="23">
        <v>149</v>
      </c>
      <c r="J5412" s="24">
        <v>298</v>
      </c>
      <c r="K5412" s="21">
        <v>0</v>
      </c>
      <c r="L5412" s="21">
        <v>0</v>
      </c>
      <c r="M5412" s="21">
        <f>COUNTIF($A$2:$A$5481,A5412)</f>
        <v>1</v>
      </c>
      <c r="N5412" s="24">
        <f t="shared" si="84"/>
        <v>298.0005412</v>
      </c>
    </row>
    <row r="5413" spans="1:14">
      <c r="A5413" s="21" t="s">
        <v>4811</v>
      </c>
      <c r="B5413" s="21" t="s">
        <v>26</v>
      </c>
      <c r="C5413" s="21" t="s">
        <v>26</v>
      </c>
      <c r="D5413" s="21" t="s">
        <v>921</v>
      </c>
      <c r="E5413" s="21">
        <v>4</v>
      </c>
      <c r="F5413" s="22">
        <v>46216.7039236111</v>
      </c>
      <c r="G5413" s="22"/>
      <c r="H5413" s="23">
        <v>300</v>
      </c>
      <c r="I5413" s="23">
        <v>75</v>
      </c>
      <c r="J5413" s="24">
        <v>300</v>
      </c>
      <c r="K5413" s="21">
        <v>0</v>
      </c>
      <c r="L5413" s="21">
        <v>0</v>
      </c>
      <c r="M5413" s="21">
        <f>COUNTIF($A$2:$A$5481,A5413)</f>
        <v>1</v>
      </c>
      <c r="N5413" s="24">
        <f t="shared" si="84"/>
        <v>300.0005413</v>
      </c>
    </row>
    <row r="5414" spans="1:14">
      <c r="A5414" s="21" t="s">
        <v>4812</v>
      </c>
      <c r="B5414" s="21" t="s">
        <v>920</v>
      </c>
      <c r="C5414" s="21" t="s">
        <v>26</v>
      </c>
      <c r="D5414" s="21" t="s">
        <v>921</v>
      </c>
      <c r="E5414" s="21">
        <v>1</v>
      </c>
      <c r="F5414" s="22">
        <v>46198.6785763889</v>
      </c>
      <c r="G5414" s="22"/>
      <c r="H5414" s="23">
        <v>895</v>
      </c>
      <c r="I5414" s="23">
        <v>895</v>
      </c>
      <c r="J5414" s="24">
        <v>895</v>
      </c>
      <c r="K5414" s="21">
        <v>0</v>
      </c>
      <c r="L5414" s="21">
        <v>0</v>
      </c>
      <c r="M5414" s="21">
        <f>COUNTIF($A$2:$A$5481,A5414)</f>
        <v>1</v>
      </c>
      <c r="N5414" s="24">
        <f t="shared" si="84"/>
        <v>895.0005414</v>
      </c>
    </row>
    <row r="5415" spans="1:14">
      <c r="A5415" s="21" t="s">
        <v>4813</v>
      </c>
      <c r="B5415" s="21" t="s">
        <v>920</v>
      </c>
      <c r="C5415" s="21" t="s">
        <v>26</v>
      </c>
      <c r="D5415" s="21" t="s">
        <v>921</v>
      </c>
      <c r="E5415" s="21">
        <v>1</v>
      </c>
      <c r="F5415" s="22">
        <v>46198.6785763889</v>
      </c>
      <c r="G5415" s="22"/>
      <c r="H5415" s="23">
        <v>625</v>
      </c>
      <c r="I5415" s="23">
        <v>625</v>
      </c>
      <c r="J5415" s="24">
        <v>625</v>
      </c>
      <c r="K5415" s="21">
        <v>0</v>
      </c>
      <c r="L5415" s="21">
        <v>0</v>
      </c>
      <c r="M5415" s="21">
        <f>COUNTIF($A$2:$A$5481,A5415)</f>
        <v>1</v>
      </c>
      <c r="N5415" s="24">
        <f t="shared" si="84"/>
        <v>625.0005415</v>
      </c>
    </row>
    <row r="5416" spans="1:14">
      <c r="A5416" s="21" t="s">
        <v>4814</v>
      </c>
      <c r="B5416" s="21" t="s">
        <v>920</v>
      </c>
      <c r="C5416" s="21" t="s">
        <v>26</v>
      </c>
      <c r="D5416" s="21" t="s">
        <v>921</v>
      </c>
      <c r="E5416" s="21">
        <v>4</v>
      </c>
      <c r="F5416" s="22">
        <v>46199.7375462963</v>
      </c>
      <c r="G5416" s="22"/>
      <c r="H5416" s="23">
        <v>80</v>
      </c>
      <c r="I5416" s="23">
        <v>20</v>
      </c>
      <c r="J5416" s="24">
        <v>80</v>
      </c>
      <c r="K5416" s="21">
        <v>0</v>
      </c>
      <c r="L5416" s="21">
        <v>0</v>
      </c>
      <c r="M5416" s="21">
        <f>COUNTIF($A$2:$A$5481,A5416)</f>
        <v>1</v>
      </c>
      <c r="N5416" s="24">
        <f t="shared" si="84"/>
        <v>80.0005416</v>
      </c>
    </row>
    <row r="5417" spans="1:14">
      <c r="A5417" s="21" t="s">
        <v>4815</v>
      </c>
      <c r="B5417" s="21" t="s">
        <v>920</v>
      </c>
      <c r="C5417" s="21" t="s">
        <v>26</v>
      </c>
      <c r="D5417" s="21" t="s">
        <v>921</v>
      </c>
      <c r="E5417" s="21">
        <v>200</v>
      </c>
      <c r="F5417" s="22">
        <v>45352.6083333333</v>
      </c>
      <c r="G5417" s="22"/>
      <c r="H5417" s="23">
        <v>70</v>
      </c>
      <c r="I5417" s="23">
        <v>0.35</v>
      </c>
      <c r="J5417" s="24">
        <v>70</v>
      </c>
      <c r="K5417" s="21">
        <v>0</v>
      </c>
      <c r="L5417" s="21">
        <v>0</v>
      </c>
      <c r="M5417" s="21">
        <f>COUNTIF($A$2:$A$5481,A5417)</f>
        <v>1</v>
      </c>
      <c r="N5417" s="24">
        <f t="shared" si="84"/>
        <v>70.0005417</v>
      </c>
    </row>
    <row r="5418" spans="1:14">
      <c r="A5418" s="21" t="s">
        <v>4816</v>
      </c>
      <c r="B5418" s="21" t="s">
        <v>26</v>
      </c>
      <c r="C5418" s="21" t="s">
        <v>26</v>
      </c>
      <c r="D5418" s="21" t="s">
        <v>921</v>
      </c>
      <c r="E5418" s="21">
        <v>1</v>
      </c>
      <c r="F5418" s="22">
        <v>46217.6435532407</v>
      </c>
      <c r="G5418" s="22"/>
      <c r="H5418" s="23">
        <v>18.9</v>
      </c>
      <c r="I5418" s="23">
        <v>18.9</v>
      </c>
      <c r="J5418" s="24">
        <v>18.9</v>
      </c>
      <c r="K5418" s="21">
        <v>0</v>
      </c>
      <c r="L5418" s="21">
        <v>0</v>
      </c>
      <c r="M5418" s="21">
        <f>COUNTIF($A$2:$A$5481,A5418)</f>
        <v>1</v>
      </c>
      <c r="N5418" s="24">
        <f t="shared" si="84"/>
        <v>18.9005418</v>
      </c>
    </row>
    <row r="5419" spans="1:14">
      <c r="A5419" s="21" t="s">
        <v>4817</v>
      </c>
      <c r="B5419" s="21" t="s">
        <v>26</v>
      </c>
      <c r="C5419" s="21" t="s">
        <v>26</v>
      </c>
      <c r="D5419" s="21" t="s">
        <v>921</v>
      </c>
      <c r="E5419" s="21">
        <v>1</v>
      </c>
      <c r="F5419" s="22">
        <v>46217.6435532407</v>
      </c>
      <c r="G5419" s="22"/>
      <c r="H5419" s="23">
        <v>159.9</v>
      </c>
      <c r="I5419" s="23">
        <v>159.9</v>
      </c>
      <c r="J5419" s="24">
        <v>159.9</v>
      </c>
      <c r="K5419" s="21">
        <v>0</v>
      </c>
      <c r="L5419" s="21">
        <v>0</v>
      </c>
      <c r="M5419" s="21">
        <f>COUNTIF($A$2:$A$5481,A5419)</f>
        <v>1</v>
      </c>
      <c r="N5419" s="24">
        <f t="shared" si="84"/>
        <v>159.9005419</v>
      </c>
    </row>
    <row r="5420" spans="1:14">
      <c r="A5420" s="21" t="s">
        <v>754</v>
      </c>
      <c r="B5420" s="21" t="s">
        <v>26</v>
      </c>
      <c r="C5420" s="21" t="s">
        <v>26</v>
      </c>
      <c r="D5420" s="21" t="s">
        <v>921</v>
      </c>
      <c r="E5420" s="21">
        <v>0</v>
      </c>
      <c r="F5420" s="22">
        <v>45582.4687152778</v>
      </c>
      <c r="G5420" s="22">
        <v>46252.609525463</v>
      </c>
      <c r="H5420" s="23">
        <v>69.75</v>
      </c>
      <c r="I5420" s="23">
        <v>69.75</v>
      </c>
      <c r="J5420" s="24">
        <v>0</v>
      </c>
      <c r="K5420" s="21">
        <v>0</v>
      </c>
      <c r="L5420" s="21">
        <v>0</v>
      </c>
      <c r="M5420" s="21">
        <f>COUNTIF($A$2:$A$5481,A5420)</f>
        <v>1</v>
      </c>
      <c r="N5420" s="24">
        <f t="shared" si="84"/>
        <v>0.000542</v>
      </c>
    </row>
    <row r="5421" spans="1:14">
      <c r="A5421" s="21" t="s">
        <v>4818</v>
      </c>
      <c r="B5421" s="21" t="s">
        <v>929</v>
      </c>
      <c r="C5421" s="21" t="s">
        <v>547</v>
      </c>
      <c r="D5421" s="21" t="s">
        <v>921</v>
      </c>
      <c r="E5421" s="21">
        <v>1</v>
      </c>
      <c r="F5421" s="22">
        <v>45327.5809259259</v>
      </c>
      <c r="G5421" s="22"/>
      <c r="H5421" s="23">
        <v>22</v>
      </c>
      <c r="I5421" s="23">
        <v>22</v>
      </c>
      <c r="J5421" s="24">
        <v>22</v>
      </c>
      <c r="K5421" s="21">
        <v>0</v>
      </c>
      <c r="L5421" s="21">
        <v>0</v>
      </c>
      <c r="M5421" s="21">
        <f>COUNTIF($A$2:$A$5481,A5421)</f>
        <v>1</v>
      </c>
      <c r="N5421" s="24">
        <f t="shared" si="84"/>
        <v>22.0005421</v>
      </c>
    </row>
    <row r="5422" spans="1:14">
      <c r="A5422" s="21" t="s">
        <v>4819</v>
      </c>
      <c r="B5422" s="21" t="s">
        <v>920</v>
      </c>
      <c r="C5422" s="21" t="s">
        <v>35</v>
      </c>
      <c r="D5422" s="21" t="s">
        <v>921</v>
      </c>
      <c r="E5422" s="21">
        <v>1</v>
      </c>
      <c r="F5422" s="22">
        <v>46225.3666666667</v>
      </c>
      <c r="G5422" s="22"/>
      <c r="H5422" s="23">
        <v>800</v>
      </c>
      <c r="I5422" s="23">
        <v>800</v>
      </c>
      <c r="J5422" s="24">
        <v>800</v>
      </c>
      <c r="K5422" s="21">
        <v>0</v>
      </c>
      <c r="L5422" s="21">
        <v>0</v>
      </c>
      <c r="M5422" s="21">
        <f>COUNTIF($A$2:$A$5481,A5422)</f>
        <v>1</v>
      </c>
      <c r="N5422" s="24">
        <f t="shared" si="84"/>
        <v>800.0005422</v>
      </c>
    </row>
    <row r="5423" spans="1:14">
      <c r="A5423" s="21" t="s">
        <v>4820</v>
      </c>
      <c r="B5423" s="21" t="s">
        <v>920</v>
      </c>
      <c r="C5423" s="21" t="s">
        <v>26</v>
      </c>
      <c r="D5423" s="21" t="s">
        <v>931</v>
      </c>
      <c r="E5423" s="21">
        <v>0</v>
      </c>
      <c r="F5423" s="22">
        <v>45775.4812615741</v>
      </c>
      <c r="G5423" s="22">
        <v>45789.4356134259</v>
      </c>
      <c r="H5423" s="23">
        <v>150</v>
      </c>
      <c r="I5423" s="23">
        <v>150</v>
      </c>
      <c r="J5423" s="24">
        <v>0</v>
      </c>
      <c r="K5423" s="21">
        <v>0</v>
      </c>
      <c r="L5423" s="21">
        <v>0</v>
      </c>
      <c r="M5423" s="21">
        <f>COUNTIF($A$2:$A$5481,A5423)</f>
        <v>1</v>
      </c>
      <c r="N5423" s="24">
        <f t="shared" si="84"/>
        <v>0.0005423</v>
      </c>
    </row>
    <row r="5424" spans="1:14">
      <c r="A5424" s="21" t="s">
        <v>4821</v>
      </c>
      <c r="B5424" s="21" t="s">
        <v>920</v>
      </c>
      <c r="C5424" s="21" t="s">
        <v>26</v>
      </c>
      <c r="D5424" s="21" t="s">
        <v>931</v>
      </c>
      <c r="E5424" s="21">
        <v>0</v>
      </c>
      <c r="F5424" s="22">
        <v>45775.4812615741</v>
      </c>
      <c r="G5424" s="22">
        <v>45789.4356365741</v>
      </c>
      <c r="H5424" s="23">
        <v>75</v>
      </c>
      <c r="I5424" s="23">
        <v>75</v>
      </c>
      <c r="J5424" s="24">
        <v>0</v>
      </c>
      <c r="K5424" s="21">
        <v>0</v>
      </c>
      <c r="L5424" s="21">
        <v>0</v>
      </c>
      <c r="M5424" s="21">
        <f>COUNTIF($A$2:$A$5481,A5424)</f>
        <v>1</v>
      </c>
      <c r="N5424" s="24">
        <f t="shared" si="84"/>
        <v>0.0005424</v>
      </c>
    </row>
    <row r="5425" spans="1:14">
      <c r="A5425" s="21" t="s">
        <v>4822</v>
      </c>
      <c r="B5425" s="21" t="s">
        <v>920</v>
      </c>
      <c r="C5425" s="21" t="s">
        <v>26</v>
      </c>
      <c r="D5425" s="21" t="s">
        <v>931</v>
      </c>
      <c r="E5425" s="21">
        <v>0</v>
      </c>
      <c r="F5425" s="22">
        <v>45775.4812615741</v>
      </c>
      <c r="G5425" s="22">
        <v>45789.4356481481</v>
      </c>
      <c r="H5425" s="23">
        <v>75</v>
      </c>
      <c r="I5425" s="23">
        <v>75</v>
      </c>
      <c r="J5425" s="24">
        <v>0</v>
      </c>
      <c r="K5425" s="21">
        <v>0</v>
      </c>
      <c r="L5425" s="21">
        <v>0</v>
      </c>
      <c r="M5425" s="21">
        <f>COUNTIF($A$2:$A$5481,A5425)</f>
        <v>1</v>
      </c>
      <c r="N5425" s="24">
        <f t="shared" si="84"/>
        <v>0.0005425</v>
      </c>
    </row>
    <row r="5426" spans="1:14">
      <c r="A5426" s="21" t="s">
        <v>4823</v>
      </c>
      <c r="B5426" s="21" t="s">
        <v>920</v>
      </c>
      <c r="C5426" s="21" t="s">
        <v>26</v>
      </c>
      <c r="D5426" s="21" t="s">
        <v>931</v>
      </c>
      <c r="E5426" s="21">
        <v>0</v>
      </c>
      <c r="F5426" s="22">
        <v>45775.4812615741</v>
      </c>
      <c r="G5426" s="22">
        <v>45789.3686111111</v>
      </c>
      <c r="H5426" s="23">
        <v>279</v>
      </c>
      <c r="I5426" s="23">
        <v>93</v>
      </c>
      <c r="J5426" s="24">
        <v>0</v>
      </c>
      <c r="K5426" s="21">
        <v>0</v>
      </c>
      <c r="L5426" s="21">
        <v>0</v>
      </c>
      <c r="M5426" s="21">
        <f>COUNTIF($A$2:$A$5481,A5426)</f>
        <v>1</v>
      </c>
      <c r="N5426" s="24">
        <f t="shared" si="84"/>
        <v>0.0005426</v>
      </c>
    </row>
    <row r="5427" spans="1:14">
      <c r="A5427" s="21" t="s">
        <v>4824</v>
      </c>
      <c r="B5427" s="21" t="s">
        <v>920</v>
      </c>
      <c r="C5427" s="21" t="s">
        <v>26</v>
      </c>
      <c r="D5427" s="21" t="s">
        <v>931</v>
      </c>
      <c r="E5427" s="21">
        <v>0</v>
      </c>
      <c r="F5427" s="22">
        <v>45775.4812615741</v>
      </c>
      <c r="G5427" s="22">
        <v>45789.435625</v>
      </c>
      <c r="H5427" s="23">
        <v>358.33</v>
      </c>
      <c r="I5427" s="23">
        <v>358.33</v>
      </c>
      <c r="J5427" s="24">
        <v>0</v>
      </c>
      <c r="K5427" s="21">
        <v>0</v>
      </c>
      <c r="L5427" s="21">
        <v>0</v>
      </c>
      <c r="M5427" s="21">
        <f>COUNTIF($A$2:$A$5481,A5427)</f>
        <v>1</v>
      </c>
      <c r="N5427" s="24">
        <f t="shared" si="84"/>
        <v>0.0005427</v>
      </c>
    </row>
    <row r="5428" spans="1:14">
      <c r="A5428" s="21" t="s">
        <v>4825</v>
      </c>
      <c r="B5428" s="21" t="s">
        <v>920</v>
      </c>
      <c r="C5428" s="21" t="s">
        <v>35</v>
      </c>
      <c r="D5428" s="21" t="s">
        <v>921</v>
      </c>
      <c r="E5428" s="21">
        <v>1</v>
      </c>
      <c r="F5428" s="22">
        <v>46251.5773032407</v>
      </c>
      <c r="G5428" s="22"/>
      <c r="H5428" s="23">
        <v>2500</v>
      </c>
      <c r="I5428" s="23">
        <v>2500</v>
      </c>
      <c r="J5428" s="24">
        <v>2500</v>
      </c>
      <c r="K5428" s="21">
        <v>0</v>
      </c>
      <c r="L5428" s="21">
        <v>0</v>
      </c>
      <c r="M5428" s="21">
        <f>COUNTIF($A$2:$A$5481,A5428)</f>
        <v>1</v>
      </c>
      <c r="N5428" s="24">
        <f t="shared" si="84"/>
        <v>2500.0005428</v>
      </c>
    </row>
    <row r="5429" spans="1:14">
      <c r="A5429" s="21" t="s">
        <v>4826</v>
      </c>
      <c r="B5429" s="21" t="s">
        <v>920</v>
      </c>
      <c r="C5429" s="21" t="s">
        <v>35</v>
      </c>
      <c r="D5429" s="21" t="s">
        <v>921</v>
      </c>
      <c r="E5429" s="21">
        <v>2</v>
      </c>
      <c r="F5429" s="22">
        <v>46206.625</v>
      </c>
      <c r="G5429" s="22"/>
      <c r="H5429" s="23">
        <v>29.75</v>
      </c>
      <c r="I5429" s="23">
        <v>32.575</v>
      </c>
      <c r="J5429" s="24">
        <v>65.16</v>
      </c>
      <c r="K5429" s="21">
        <v>0</v>
      </c>
      <c r="L5429" s="21">
        <v>0</v>
      </c>
      <c r="M5429" s="21">
        <f>COUNTIF($A$2:$A$5481,A5429)</f>
        <v>1</v>
      </c>
      <c r="N5429" s="24">
        <f t="shared" si="84"/>
        <v>65.1605429</v>
      </c>
    </row>
    <row r="5430" spans="1:14">
      <c r="A5430" s="21" t="s">
        <v>4827</v>
      </c>
      <c r="B5430" s="21" t="s">
        <v>926</v>
      </c>
      <c r="C5430" s="21" t="s">
        <v>26</v>
      </c>
      <c r="D5430" s="21" t="s">
        <v>921</v>
      </c>
      <c r="E5430" s="21">
        <v>4</v>
      </c>
      <c r="F5430" s="22">
        <v>46210.7104166667</v>
      </c>
      <c r="G5430" s="22"/>
      <c r="H5430" s="23">
        <v>500.76</v>
      </c>
      <c r="I5430" s="23">
        <v>125.19</v>
      </c>
      <c r="J5430" s="24">
        <v>500.76</v>
      </c>
      <c r="K5430" s="21">
        <v>0</v>
      </c>
      <c r="L5430" s="21">
        <v>0</v>
      </c>
      <c r="M5430" s="21">
        <f>COUNTIF($A$2:$A$5481,A5430)</f>
        <v>1</v>
      </c>
      <c r="N5430" s="24">
        <f t="shared" si="84"/>
        <v>500.760543</v>
      </c>
    </row>
    <row r="5431" spans="1:14">
      <c r="A5431" s="21" t="s">
        <v>4828</v>
      </c>
      <c r="B5431" s="21" t="s">
        <v>920</v>
      </c>
      <c r="C5431" s="21" t="s">
        <v>26</v>
      </c>
      <c r="D5431" s="21" t="s">
        <v>921</v>
      </c>
      <c r="E5431" s="21">
        <v>2</v>
      </c>
      <c r="F5431" s="22">
        <v>46282.6382986111</v>
      </c>
      <c r="G5431" s="22"/>
      <c r="H5431" s="23">
        <v>3842</v>
      </c>
      <c r="I5431" s="23">
        <v>1921</v>
      </c>
      <c r="J5431" s="24">
        <v>3842</v>
      </c>
      <c r="K5431" s="21">
        <v>0</v>
      </c>
      <c r="L5431" s="21">
        <v>0</v>
      </c>
      <c r="M5431" s="21">
        <f>COUNTIF($A$2:$A$5481,A5431)</f>
        <v>1</v>
      </c>
      <c r="N5431" s="24">
        <f t="shared" si="84"/>
        <v>3842.0005431</v>
      </c>
    </row>
    <row r="5432" spans="1:14">
      <c r="A5432" s="21" t="s">
        <v>4829</v>
      </c>
      <c r="B5432" s="21" t="s">
        <v>920</v>
      </c>
      <c r="C5432" s="21" t="s">
        <v>26</v>
      </c>
      <c r="D5432" s="21" t="s">
        <v>931</v>
      </c>
      <c r="E5432" s="21">
        <v>0</v>
      </c>
      <c r="F5432" s="22">
        <v>45775.4812615741</v>
      </c>
      <c r="G5432" s="22">
        <v>45789.4357175926</v>
      </c>
      <c r="H5432" s="23">
        <v>133.33</v>
      </c>
      <c r="I5432" s="23">
        <v>133.33</v>
      </c>
      <c r="J5432" s="24">
        <v>0</v>
      </c>
      <c r="K5432" s="21">
        <v>0</v>
      </c>
      <c r="L5432" s="21">
        <v>0</v>
      </c>
      <c r="M5432" s="21">
        <f>COUNTIF($A$2:$A$5481,A5432)</f>
        <v>1</v>
      </c>
      <c r="N5432" s="24">
        <f t="shared" si="84"/>
        <v>0.0005432</v>
      </c>
    </row>
    <row r="5433" spans="1:14">
      <c r="A5433" s="21" t="s">
        <v>4830</v>
      </c>
      <c r="B5433" s="21" t="s">
        <v>920</v>
      </c>
      <c r="C5433" s="21" t="s">
        <v>35</v>
      </c>
      <c r="D5433" s="21" t="s">
        <v>921</v>
      </c>
      <c r="E5433" s="21">
        <v>1</v>
      </c>
      <c r="F5433" s="22">
        <v>46206.625</v>
      </c>
      <c r="G5433" s="22"/>
      <c r="H5433" s="23">
        <v>24.2</v>
      </c>
      <c r="I5433" s="23">
        <v>24.2</v>
      </c>
      <c r="J5433" s="24">
        <v>24.2</v>
      </c>
      <c r="K5433" s="21">
        <v>0</v>
      </c>
      <c r="L5433" s="21">
        <v>0</v>
      </c>
      <c r="M5433" s="21">
        <f>COUNTIF($A$2:$A$5481,A5433)</f>
        <v>1</v>
      </c>
      <c r="N5433" s="24">
        <f t="shared" si="84"/>
        <v>24.2005433</v>
      </c>
    </row>
    <row r="5434" spans="1:14">
      <c r="A5434" s="21" t="s">
        <v>571</v>
      </c>
      <c r="B5434" s="21" t="s">
        <v>949</v>
      </c>
      <c r="C5434" s="21" t="s">
        <v>26</v>
      </c>
      <c r="D5434" s="21" t="s">
        <v>921</v>
      </c>
      <c r="E5434" s="21">
        <v>0</v>
      </c>
      <c r="F5434" s="22">
        <v>46218.7065162037</v>
      </c>
      <c r="G5434" s="22">
        <v>46251.7556944444</v>
      </c>
      <c r="H5434" s="23">
        <v>168.3</v>
      </c>
      <c r="I5434" s="23">
        <v>168.3</v>
      </c>
      <c r="J5434" s="24">
        <v>0</v>
      </c>
      <c r="K5434" s="21">
        <v>0</v>
      </c>
      <c r="L5434" s="21">
        <v>0</v>
      </c>
      <c r="M5434" s="21">
        <f>COUNTIF($A$2:$A$5481,A5434)</f>
        <v>1</v>
      </c>
      <c r="N5434" s="24">
        <f t="shared" si="84"/>
        <v>0.0005434</v>
      </c>
    </row>
    <row r="5435" spans="1:14">
      <c r="A5435" s="21" t="s">
        <v>4831</v>
      </c>
      <c r="B5435" s="21" t="s">
        <v>920</v>
      </c>
      <c r="C5435" s="21" t="s">
        <v>35</v>
      </c>
      <c r="D5435" s="21" t="s">
        <v>921</v>
      </c>
      <c r="E5435" s="21">
        <v>1</v>
      </c>
      <c r="F5435" s="22">
        <v>46231.6965277778</v>
      </c>
      <c r="G5435" s="22"/>
      <c r="H5435" s="23">
        <v>90</v>
      </c>
      <c r="I5435" s="23">
        <v>90</v>
      </c>
      <c r="J5435" s="24">
        <v>90</v>
      </c>
      <c r="K5435" s="21">
        <v>0</v>
      </c>
      <c r="L5435" s="21">
        <v>0</v>
      </c>
      <c r="M5435" s="21">
        <f>COUNTIF($A$2:$A$5481,A5435)</f>
        <v>1</v>
      </c>
      <c r="N5435" s="24">
        <f t="shared" si="84"/>
        <v>90.0005435</v>
      </c>
    </row>
    <row r="5436" spans="1:14">
      <c r="A5436" s="21" t="s">
        <v>4832</v>
      </c>
      <c r="B5436" s="21" t="s">
        <v>920</v>
      </c>
      <c r="C5436" s="21" t="s">
        <v>35</v>
      </c>
      <c r="D5436" s="21" t="s">
        <v>921</v>
      </c>
      <c r="E5436" s="21">
        <v>1.01</v>
      </c>
      <c r="F5436" s="22">
        <v>46252.4993055556</v>
      </c>
      <c r="G5436" s="22"/>
      <c r="H5436" s="23">
        <v>46</v>
      </c>
      <c r="I5436" s="23">
        <v>4609.900990099</v>
      </c>
      <c r="J5436" s="24">
        <v>4655.999</v>
      </c>
      <c r="K5436" s="21">
        <v>0</v>
      </c>
      <c r="L5436" s="21">
        <v>0</v>
      </c>
      <c r="M5436" s="21">
        <f>COUNTIF($A$2:$A$5481,A5436)</f>
        <v>1</v>
      </c>
      <c r="N5436" s="24">
        <f t="shared" si="84"/>
        <v>4655.9995436</v>
      </c>
    </row>
    <row r="5437" spans="1:14">
      <c r="A5437" s="21" t="s">
        <v>4833</v>
      </c>
      <c r="B5437" s="21" t="s">
        <v>920</v>
      </c>
      <c r="C5437" s="21" t="s">
        <v>26</v>
      </c>
      <c r="D5437" s="21" t="s">
        <v>931</v>
      </c>
      <c r="E5437" s="21">
        <v>3</v>
      </c>
      <c r="F5437" s="22">
        <v>45700.3707291667</v>
      </c>
      <c r="G5437" s="22"/>
      <c r="H5437" s="23">
        <v>510</v>
      </c>
      <c r="I5437" s="23">
        <v>170</v>
      </c>
      <c r="J5437" s="24">
        <v>510</v>
      </c>
      <c r="K5437" s="21">
        <v>0</v>
      </c>
      <c r="L5437" s="21">
        <v>0</v>
      </c>
      <c r="M5437" s="21">
        <f>COUNTIF($A$2:$A$5481,A5437)</f>
        <v>1</v>
      </c>
      <c r="N5437" s="24">
        <f t="shared" si="84"/>
        <v>510.0005437</v>
      </c>
    </row>
    <row r="5438" spans="1:14">
      <c r="A5438" s="21" t="s">
        <v>4834</v>
      </c>
      <c r="B5438" s="21" t="s">
        <v>920</v>
      </c>
      <c r="C5438" s="21" t="s">
        <v>35</v>
      </c>
      <c r="D5438" s="21" t="s">
        <v>921</v>
      </c>
      <c r="E5438" s="21">
        <v>1</v>
      </c>
      <c r="F5438" s="22">
        <v>46206.625</v>
      </c>
      <c r="G5438" s="22"/>
      <c r="H5438" s="23">
        <v>1800</v>
      </c>
      <c r="I5438" s="23">
        <v>1800</v>
      </c>
      <c r="J5438" s="24">
        <v>1800</v>
      </c>
      <c r="K5438" s="21">
        <v>0</v>
      </c>
      <c r="L5438" s="21">
        <v>0</v>
      </c>
      <c r="M5438" s="21">
        <f>COUNTIF($A$2:$A$5481,A5438)</f>
        <v>1</v>
      </c>
      <c r="N5438" s="24">
        <f t="shared" si="84"/>
        <v>1800.0005438</v>
      </c>
    </row>
    <row r="5439" spans="1:14">
      <c r="A5439" s="21" t="s">
        <v>4835</v>
      </c>
      <c r="B5439" s="21" t="s">
        <v>920</v>
      </c>
      <c r="C5439" s="21" t="s">
        <v>26</v>
      </c>
      <c r="D5439" s="21" t="s">
        <v>921</v>
      </c>
      <c r="E5439" s="21">
        <v>3</v>
      </c>
      <c r="F5439" s="22">
        <v>46218.6997685185</v>
      </c>
      <c r="G5439" s="22"/>
      <c r="H5439" s="23">
        <v>18.21</v>
      </c>
      <c r="I5439" s="23">
        <v>6.07</v>
      </c>
      <c r="J5439" s="24">
        <v>18.21</v>
      </c>
      <c r="K5439" s="21">
        <v>0</v>
      </c>
      <c r="L5439" s="21">
        <v>0</v>
      </c>
      <c r="M5439" s="21">
        <f>COUNTIF($A$2:$A$5481,A5439)</f>
        <v>1</v>
      </c>
      <c r="N5439" s="24">
        <f t="shared" si="84"/>
        <v>18.2105439</v>
      </c>
    </row>
    <row r="5440" spans="1:14">
      <c r="A5440" s="21" t="s">
        <v>4836</v>
      </c>
      <c r="B5440" s="21" t="s">
        <v>929</v>
      </c>
      <c r="C5440" s="21" t="s">
        <v>26</v>
      </c>
      <c r="D5440" s="21" t="s">
        <v>921</v>
      </c>
      <c r="E5440" s="21">
        <v>200</v>
      </c>
      <c r="F5440" s="22">
        <v>46190.7021064815</v>
      </c>
      <c r="G5440" s="22"/>
      <c r="H5440" s="23">
        <v>600</v>
      </c>
      <c r="I5440" s="23">
        <v>3</v>
      </c>
      <c r="J5440" s="24">
        <v>600</v>
      </c>
      <c r="K5440" s="21">
        <v>0</v>
      </c>
      <c r="L5440" s="21">
        <v>0</v>
      </c>
      <c r="M5440" s="21">
        <f>COUNTIF($A$2:$A$5481,A5440)</f>
        <v>1</v>
      </c>
      <c r="N5440" s="24">
        <f t="shared" si="84"/>
        <v>600.000544</v>
      </c>
    </row>
    <row r="5441" spans="1:14">
      <c r="A5441" s="21" t="s">
        <v>725</v>
      </c>
      <c r="B5441" s="21" t="s">
        <v>26</v>
      </c>
      <c r="C5441" s="21" t="s">
        <v>26</v>
      </c>
      <c r="D5441" s="21" t="s">
        <v>921</v>
      </c>
      <c r="E5441" s="21">
        <v>0</v>
      </c>
      <c r="F5441" s="22">
        <v>45488.3852430556</v>
      </c>
      <c r="G5441" s="22">
        <v>46252.5692476852</v>
      </c>
      <c r="H5441" s="23">
        <v>58</v>
      </c>
      <c r="I5441" s="23">
        <v>58</v>
      </c>
      <c r="J5441" s="24">
        <v>0</v>
      </c>
      <c r="K5441" s="21">
        <v>0</v>
      </c>
      <c r="L5441" s="21">
        <v>0</v>
      </c>
      <c r="M5441" s="21">
        <f>COUNTIF($A$2:$A$5481,A5441)</f>
        <v>1</v>
      </c>
      <c r="N5441" s="24">
        <f t="shared" si="84"/>
        <v>0.0005441</v>
      </c>
    </row>
    <row r="5442" spans="1:14">
      <c r="A5442" s="21" t="s">
        <v>724</v>
      </c>
      <c r="B5442" s="21" t="s">
        <v>26</v>
      </c>
      <c r="C5442" s="21" t="s">
        <v>26</v>
      </c>
      <c r="D5442" s="21" t="s">
        <v>921</v>
      </c>
      <c r="E5442" s="21">
        <v>0</v>
      </c>
      <c r="F5442" s="22">
        <v>45488.3852430556</v>
      </c>
      <c r="G5442" s="22">
        <v>46252.5692361111</v>
      </c>
      <c r="H5442" s="23">
        <v>50</v>
      </c>
      <c r="I5442" s="23">
        <v>50</v>
      </c>
      <c r="J5442" s="24">
        <v>0</v>
      </c>
      <c r="K5442" s="21">
        <v>0</v>
      </c>
      <c r="L5442" s="21">
        <v>0</v>
      </c>
      <c r="M5442" s="21">
        <f>COUNTIF($A$2:$A$5481,A5442)</f>
        <v>1</v>
      </c>
      <c r="N5442" s="24">
        <f t="shared" ref="N5442:N5481" si="85">J5442+ROW()/10000000</f>
        <v>0.0005442</v>
      </c>
    </row>
    <row r="5443" spans="1:14">
      <c r="A5443" s="21" t="s">
        <v>695</v>
      </c>
      <c r="B5443" s="21" t="s">
        <v>920</v>
      </c>
      <c r="C5443" s="21" t="s">
        <v>26</v>
      </c>
      <c r="D5443" s="21" t="s">
        <v>921</v>
      </c>
      <c r="E5443" s="21">
        <v>0</v>
      </c>
      <c r="F5443" s="22">
        <v>46142.3833333333</v>
      </c>
      <c r="G5443" s="22">
        <v>46252.568900463</v>
      </c>
      <c r="H5443" s="23">
        <v>105.8</v>
      </c>
      <c r="I5443" s="23">
        <v>52.9</v>
      </c>
      <c r="J5443" s="24">
        <v>0</v>
      </c>
      <c r="K5443" s="21">
        <v>0</v>
      </c>
      <c r="L5443" s="21">
        <v>0</v>
      </c>
      <c r="M5443" s="21">
        <f>COUNTIF($A$2:$A$5481,A5443)</f>
        <v>1</v>
      </c>
      <c r="N5443" s="24">
        <f t="shared" si="85"/>
        <v>0.0005443</v>
      </c>
    </row>
    <row r="5444" spans="1:14">
      <c r="A5444" s="21" t="s">
        <v>4837</v>
      </c>
      <c r="B5444" s="21" t="s">
        <v>1510</v>
      </c>
      <c r="C5444" s="21" t="s">
        <v>390</v>
      </c>
      <c r="D5444" s="21" t="s">
        <v>931</v>
      </c>
      <c r="E5444" s="21">
        <v>47</v>
      </c>
      <c r="F5444" s="22">
        <v>46206.625</v>
      </c>
      <c r="G5444" s="22"/>
      <c r="H5444" s="23">
        <v>1250</v>
      </c>
      <c r="I5444" s="23">
        <v>132.2340425532</v>
      </c>
      <c r="J5444" s="24">
        <v>6214.81</v>
      </c>
      <c r="K5444" s="21">
        <v>0</v>
      </c>
      <c r="L5444" s="21">
        <v>0</v>
      </c>
      <c r="M5444" s="21">
        <f>COUNTIF($A$2:$A$5481,A5444)</f>
        <v>1</v>
      </c>
      <c r="N5444" s="24">
        <f t="shared" si="85"/>
        <v>6214.8105444</v>
      </c>
    </row>
    <row r="5445" spans="1:14">
      <c r="A5445" s="21" t="s">
        <v>496</v>
      </c>
      <c r="B5445" s="21" t="s">
        <v>920</v>
      </c>
      <c r="C5445" s="21" t="s">
        <v>26</v>
      </c>
      <c r="D5445" s="21" t="s">
        <v>921</v>
      </c>
      <c r="E5445" s="21">
        <v>3</v>
      </c>
      <c r="F5445" s="22">
        <v>46226.6548611111</v>
      </c>
      <c r="G5445" s="22">
        <v>46231.4503472222</v>
      </c>
      <c r="H5445" s="23">
        <v>486</v>
      </c>
      <c r="I5445" s="23">
        <v>121.5</v>
      </c>
      <c r="J5445" s="24">
        <v>364.5</v>
      </c>
      <c r="K5445" s="21">
        <v>0</v>
      </c>
      <c r="L5445" s="21">
        <v>0</v>
      </c>
      <c r="M5445" s="21">
        <f>COUNTIF($A$2:$A$5481,A5445)</f>
        <v>1</v>
      </c>
      <c r="N5445" s="24">
        <f t="shared" si="85"/>
        <v>364.5005445</v>
      </c>
    </row>
    <row r="5446" spans="1:14">
      <c r="A5446" s="21" t="s">
        <v>4838</v>
      </c>
      <c r="B5446" s="21" t="s">
        <v>926</v>
      </c>
      <c r="C5446" s="21" t="s">
        <v>38</v>
      </c>
      <c r="D5446" s="21" t="s">
        <v>921</v>
      </c>
      <c r="E5446" s="21">
        <v>1</v>
      </c>
      <c r="F5446" s="22">
        <v>45390.4436226852</v>
      </c>
      <c r="G5446" s="22">
        <v>45366.4454513889</v>
      </c>
      <c r="H5446" s="23">
        <v>1444</v>
      </c>
      <c r="I5446" s="23">
        <v>1444</v>
      </c>
      <c r="J5446" s="24">
        <v>1444</v>
      </c>
      <c r="K5446" s="21">
        <v>0</v>
      </c>
      <c r="L5446" s="21">
        <v>0</v>
      </c>
      <c r="M5446" s="21">
        <f>COUNTIF($A$2:$A$5481,A5446)</f>
        <v>1</v>
      </c>
      <c r="N5446" s="24">
        <f t="shared" si="85"/>
        <v>1444.0005446</v>
      </c>
    </row>
    <row r="5447" spans="1:14">
      <c r="A5447" s="21" t="s">
        <v>4839</v>
      </c>
      <c r="B5447" s="21" t="s">
        <v>926</v>
      </c>
      <c r="C5447" s="21" t="s">
        <v>26</v>
      </c>
      <c r="D5447" s="21" t="s">
        <v>921</v>
      </c>
      <c r="E5447" s="21">
        <v>7</v>
      </c>
      <c r="F5447" s="22">
        <v>45642.3665509259</v>
      </c>
      <c r="G5447" s="22">
        <v>45804.3464351852</v>
      </c>
      <c r="H5447" s="23">
        <v>1384</v>
      </c>
      <c r="I5447" s="23">
        <v>173</v>
      </c>
      <c r="J5447" s="24">
        <v>1211</v>
      </c>
      <c r="K5447" s="21">
        <v>0</v>
      </c>
      <c r="L5447" s="21">
        <v>0</v>
      </c>
      <c r="M5447" s="21">
        <f>COUNTIF($A$2:$A$5481,A5447)</f>
        <v>2</v>
      </c>
      <c r="N5447" s="24">
        <f t="shared" si="85"/>
        <v>1211.0005447</v>
      </c>
    </row>
    <row r="5448" spans="1:14">
      <c r="A5448" s="21" t="s">
        <v>4839</v>
      </c>
      <c r="B5448" s="21" t="s">
        <v>926</v>
      </c>
      <c r="C5448" s="21" t="s">
        <v>38</v>
      </c>
      <c r="D5448" s="21" t="s">
        <v>921</v>
      </c>
      <c r="E5448" s="21">
        <v>56</v>
      </c>
      <c r="F5448" s="22">
        <v>45771.3660763889</v>
      </c>
      <c r="G5448" s="22">
        <v>45539.4338194444</v>
      </c>
      <c r="H5448" s="23">
        <v>1473.92</v>
      </c>
      <c r="I5448" s="23">
        <v>176.21286</v>
      </c>
      <c r="J5448" s="24">
        <v>9867.76</v>
      </c>
      <c r="K5448" s="21">
        <v>0</v>
      </c>
      <c r="L5448" s="21">
        <v>0</v>
      </c>
      <c r="M5448" s="21">
        <f>COUNTIF($A$2:$A$5481,A5448)</f>
        <v>2</v>
      </c>
      <c r="N5448" s="24">
        <f t="shared" si="85"/>
        <v>9867.7605448</v>
      </c>
    </row>
    <row r="5449" spans="1:14">
      <c r="A5449" s="21" t="s">
        <v>4840</v>
      </c>
      <c r="B5449" s="21" t="s">
        <v>929</v>
      </c>
      <c r="C5449" s="21" t="s">
        <v>182</v>
      </c>
      <c r="D5449" s="21" t="s">
        <v>921</v>
      </c>
      <c r="E5449" s="21">
        <v>3</v>
      </c>
      <c r="F5449" s="22">
        <v>45327.5899768519</v>
      </c>
      <c r="G5449" s="22"/>
      <c r="H5449" s="23">
        <v>39.9</v>
      </c>
      <c r="I5449" s="23">
        <v>13.3</v>
      </c>
      <c r="J5449" s="24">
        <v>39.9</v>
      </c>
      <c r="K5449" s="21">
        <v>0</v>
      </c>
      <c r="L5449" s="21">
        <v>0</v>
      </c>
      <c r="M5449" s="21">
        <f>COUNTIF($A$2:$A$5481,A5449)</f>
        <v>3</v>
      </c>
      <c r="N5449" s="24">
        <f t="shared" si="85"/>
        <v>39.9005449</v>
      </c>
    </row>
    <row r="5450" spans="1:14">
      <c r="A5450" s="21" t="s">
        <v>4840</v>
      </c>
      <c r="B5450" s="21" t="s">
        <v>929</v>
      </c>
      <c r="C5450" s="21" t="s">
        <v>414</v>
      </c>
      <c r="D5450" s="21" t="s">
        <v>921</v>
      </c>
      <c r="E5450" s="21">
        <v>5</v>
      </c>
      <c r="F5450" s="22">
        <v>45399.8458217593</v>
      </c>
      <c r="G5450" s="22"/>
      <c r="H5450" s="23">
        <v>51.75</v>
      </c>
      <c r="I5450" s="23">
        <v>10.35</v>
      </c>
      <c r="J5450" s="24">
        <v>51.75</v>
      </c>
      <c r="K5450" s="21">
        <v>0</v>
      </c>
      <c r="L5450" s="21">
        <v>0</v>
      </c>
      <c r="M5450" s="21">
        <f>COUNTIF($A$2:$A$5481,A5450)</f>
        <v>3</v>
      </c>
      <c r="N5450" s="24">
        <f t="shared" si="85"/>
        <v>51.750545</v>
      </c>
    </row>
    <row r="5451" spans="1:14">
      <c r="A5451" s="21" t="s">
        <v>4840</v>
      </c>
      <c r="B5451" s="21" t="s">
        <v>929</v>
      </c>
      <c r="C5451" s="21" t="s">
        <v>26</v>
      </c>
      <c r="D5451" s="21" t="s">
        <v>921</v>
      </c>
      <c r="E5451" s="21">
        <v>2</v>
      </c>
      <c r="F5451" s="22">
        <v>45666.413599537</v>
      </c>
      <c r="G5451" s="22">
        <v>45922.4412268519</v>
      </c>
      <c r="H5451" s="23">
        <v>54.45</v>
      </c>
      <c r="I5451" s="23">
        <v>18.15</v>
      </c>
      <c r="J5451" s="24">
        <v>36.3</v>
      </c>
      <c r="K5451" s="21">
        <v>0</v>
      </c>
      <c r="L5451" s="21">
        <v>0</v>
      </c>
      <c r="M5451" s="21">
        <f>COUNTIF($A$2:$A$5481,A5451)</f>
        <v>3</v>
      </c>
      <c r="N5451" s="24">
        <f t="shared" si="85"/>
        <v>36.3005451</v>
      </c>
    </row>
    <row r="5452" spans="1:14">
      <c r="A5452" s="21" t="s">
        <v>4841</v>
      </c>
      <c r="B5452" s="21" t="s">
        <v>929</v>
      </c>
      <c r="C5452" s="21" t="s">
        <v>182</v>
      </c>
      <c r="D5452" s="21" t="s">
        <v>921</v>
      </c>
      <c r="E5452" s="21">
        <v>3</v>
      </c>
      <c r="F5452" s="22">
        <v>45327.5934027778</v>
      </c>
      <c r="G5452" s="22"/>
      <c r="H5452" s="23">
        <v>39.9</v>
      </c>
      <c r="I5452" s="23">
        <v>13.3</v>
      </c>
      <c r="J5452" s="24">
        <v>39.9</v>
      </c>
      <c r="K5452" s="21">
        <v>0</v>
      </c>
      <c r="L5452" s="21">
        <v>0</v>
      </c>
      <c r="M5452" s="21">
        <f>COUNTIF($A$2:$A$5481,A5452)</f>
        <v>2</v>
      </c>
      <c r="N5452" s="24">
        <f t="shared" si="85"/>
        <v>39.9005452</v>
      </c>
    </row>
    <row r="5453" spans="1:14">
      <c r="A5453" s="21" t="s">
        <v>4841</v>
      </c>
      <c r="B5453" s="21" t="s">
        <v>929</v>
      </c>
      <c r="C5453" s="21" t="s">
        <v>26</v>
      </c>
      <c r="D5453" s="21" t="s">
        <v>921</v>
      </c>
      <c r="E5453" s="21">
        <v>10</v>
      </c>
      <c r="F5453" s="22">
        <v>46241.5771412037</v>
      </c>
      <c r="G5453" s="22">
        <v>45848.498287037</v>
      </c>
      <c r="H5453" s="23">
        <v>28.39</v>
      </c>
      <c r="I5453" s="23">
        <v>14.864</v>
      </c>
      <c r="J5453" s="24">
        <v>148.6</v>
      </c>
      <c r="K5453" s="21">
        <v>0</v>
      </c>
      <c r="L5453" s="21">
        <v>0</v>
      </c>
      <c r="M5453" s="21">
        <f>COUNTIF($A$2:$A$5481,A5453)</f>
        <v>2</v>
      </c>
      <c r="N5453" s="24">
        <f t="shared" si="85"/>
        <v>148.6005453</v>
      </c>
    </row>
    <row r="5454" spans="1:14">
      <c r="A5454" s="21" t="s">
        <v>4842</v>
      </c>
      <c r="B5454" s="21" t="s">
        <v>929</v>
      </c>
      <c r="C5454" s="21" t="s">
        <v>26</v>
      </c>
      <c r="D5454" s="21" t="s">
        <v>921</v>
      </c>
      <c r="E5454" s="21">
        <v>8</v>
      </c>
      <c r="F5454" s="22">
        <v>46154.4198148148</v>
      </c>
      <c r="G5454" s="22">
        <v>45859.4306828704</v>
      </c>
      <c r="H5454" s="23">
        <v>58.25</v>
      </c>
      <c r="I5454" s="23">
        <v>12.15625</v>
      </c>
      <c r="J5454" s="24">
        <v>97.28</v>
      </c>
      <c r="K5454" s="21">
        <v>0</v>
      </c>
      <c r="L5454" s="21">
        <v>0</v>
      </c>
      <c r="M5454" s="21">
        <f>COUNTIF($A$2:$A$5481,A5454)</f>
        <v>1</v>
      </c>
      <c r="N5454" s="24">
        <f t="shared" si="85"/>
        <v>97.2805454</v>
      </c>
    </row>
    <row r="5455" spans="1:14">
      <c r="A5455" s="21" t="s">
        <v>4843</v>
      </c>
      <c r="B5455" s="21" t="s">
        <v>920</v>
      </c>
      <c r="C5455" s="21" t="s">
        <v>26</v>
      </c>
      <c r="D5455" s="21" t="s">
        <v>921</v>
      </c>
      <c r="E5455" s="21">
        <v>3</v>
      </c>
      <c r="F5455" s="22">
        <v>46219.5665162037</v>
      </c>
      <c r="G5455" s="22"/>
      <c r="H5455" s="23">
        <v>46.8</v>
      </c>
      <c r="I5455" s="23">
        <v>15.6</v>
      </c>
      <c r="J5455" s="24">
        <v>46.8</v>
      </c>
      <c r="K5455" s="21">
        <v>0</v>
      </c>
      <c r="L5455" s="21">
        <v>0</v>
      </c>
      <c r="M5455" s="21">
        <f>COUNTIF($A$2:$A$5481,A5455)</f>
        <v>1</v>
      </c>
      <c r="N5455" s="24">
        <f t="shared" si="85"/>
        <v>46.8005455</v>
      </c>
    </row>
    <row r="5456" spans="1:14">
      <c r="A5456" s="21" t="s">
        <v>4844</v>
      </c>
      <c r="B5456" s="21" t="s">
        <v>926</v>
      </c>
      <c r="C5456" s="21" t="s">
        <v>26</v>
      </c>
      <c r="D5456" s="21" t="s">
        <v>921</v>
      </c>
      <c r="E5456" s="21">
        <v>1</v>
      </c>
      <c r="F5456" s="22">
        <v>46205.8231481482</v>
      </c>
      <c r="G5456" s="22"/>
      <c r="H5456" s="23">
        <v>159</v>
      </c>
      <c r="I5456" s="23">
        <v>159</v>
      </c>
      <c r="J5456" s="24">
        <v>159</v>
      </c>
      <c r="K5456" s="21">
        <v>0</v>
      </c>
      <c r="L5456" s="21">
        <v>0</v>
      </c>
      <c r="M5456" s="21">
        <f>COUNTIF($A$2:$A$5481,A5456)</f>
        <v>1</v>
      </c>
      <c r="N5456" s="24">
        <f t="shared" si="85"/>
        <v>159.0005456</v>
      </c>
    </row>
    <row r="5457" spans="1:14">
      <c r="A5457" s="21" t="s">
        <v>4845</v>
      </c>
      <c r="B5457" s="21" t="s">
        <v>929</v>
      </c>
      <c r="C5457" s="21" t="s">
        <v>26</v>
      </c>
      <c r="D5457" s="21" t="s">
        <v>921</v>
      </c>
      <c r="E5457" s="21">
        <v>10</v>
      </c>
      <c r="F5457" s="22">
        <v>46217.642025463</v>
      </c>
      <c r="G5457" s="22"/>
      <c r="H5457" s="23">
        <v>108.5</v>
      </c>
      <c r="I5457" s="23">
        <v>10.85</v>
      </c>
      <c r="J5457" s="24">
        <v>108.5</v>
      </c>
      <c r="K5457" s="21">
        <v>0</v>
      </c>
      <c r="L5457" s="21">
        <v>0</v>
      </c>
      <c r="M5457" s="21">
        <f>COUNTIF($A$2:$A$5481,A5457)</f>
        <v>1</v>
      </c>
      <c r="N5457" s="24">
        <f t="shared" si="85"/>
        <v>108.5005457</v>
      </c>
    </row>
    <row r="5458" spans="1:14">
      <c r="A5458" s="21" t="s">
        <v>4846</v>
      </c>
      <c r="B5458" s="21" t="s">
        <v>926</v>
      </c>
      <c r="C5458" s="21" t="s">
        <v>26</v>
      </c>
      <c r="D5458" s="21" t="s">
        <v>921</v>
      </c>
      <c r="E5458" s="21">
        <v>1</v>
      </c>
      <c r="F5458" s="22">
        <v>46227.7340046296</v>
      </c>
      <c r="G5458" s="22"/>
      <c r="H5458" s="23">
        <v>46.94</v>
      </c>
      <c r="I5458" s="23">
        <v>46.94</v>
      </c>
      <c r="J5458" s="24">
        <v>46.94</v>
      </c>
      <c r="K5458" s="21">
        <v>0</v>
      </c>
      <c r="L5458" s="21">
        <v>0</v>
      </c>
      <c r="M5458" s="21">
        <f>COUNTIF($A$2:$A$5481,A5458)</f>
        <v>1</v>
      </c>
      <c r="N5458" s="24">
        <f t="shared" si="85"/>
        <v>46.9405458</v>
      </c>
    </row>
    <row r="5459" spans="1:14">
      <c r="A5459" s="21" t="s">
        <v>4847</v>
      </c>
      <c r="B5459" s="21" t="s">
        <v>929</v>
      </c>
      <c r="C5459" s="21" t="s">
        <v>26</v>
      </c>
      <c r="D5459" s="21" t="s">
        <v>921</v>
      </c>
      <c r="E5459" s="21">
        <v>3</v>
      </c>
      <c r="F5459" s="22">
        <v>46218.5859143519</v>
      </c>
      <c r="G5459" s="22"/>
      <c r="H5459" s="23">
        <v>183.18</v>
      </c>
      <c r="I5459" s="23">
        <v>61.06</v>
      </c>
      <c r="J5459" s="24">
        <v>183.18</v>
      </c>
      <c r="K5459" s="21">
        <v>0</v>
      </c>
      <c r="L5459" s="21">
        <v>0</v>
      </c>
      <c r="M5459" s="21">
        <f>COUNTIF($A$2:$A$5481,A5459)</f>
        <v>1</v>
      </c>
      <c r="N5459" s="24">
        <f t="shared" si="85"/>
        <v>183.1805459</v>
      </c>
    </row>
    <row r="5460" spans="1:14">
      <c r="A5460" s="21" t="s">
        <v>4848</v>
      </c>
      <c r="B5460" s="21" t="s">
        <v>929</v>
      </c>
      <c r="C5460" s="21" t="s">
        <v>26</v>
      </c>
      <c r="D5460" s="21" t="s">
        <v>921</v>
      </c>
      <c r="E5460" s="21">
        <v>1</v>
      </c>
      <c r="F5460" s="22">
        <v>46203.5513194444</v>
      </c>
      <c r="G5460" s="22"/>
      <c r="H5460" s="23">
        <v>34</v>
      </c>
      <c r="I5460" s="23">
        <v>34</v>
      </c>
      <c r="J5460" s="24">
        <v>34</v>
      </c>
      <c r="K5460" s="21">
        <v>0</v>
      </c>
      <c r="L5460" s="21">
        <v>0</v>
      </c>
      <c r="M5460" s="21">
        <f>COUNTIF($A$2:$A$5481,A5460)</f>
        <v>1</v>
      </c>
      <c r="N5460" s="24">
        <f t="shared" si="85"/>
        <v>34.000546</v>
      </c>
    </row>
    <row r="5461" spans="1:14">
      <c r="A5461" s="21" t="s">
        <v>4849</v>
      </c>
      <c r="B5461" s="21" t="s">
        <v>920</v>
      </c>
      <c r="C5461" s="21" t="s">
        <v>26</v>
      </c>
      <c r="D5461" s="21" t="s">
        <v>931</v>
      </c>
      <c r="E5461" s="21">
        <v>1</v>
      </c>
      <c r="F5461" s="22">
        <v>45789.4220138889</v>
      </c>
      <c r="G5461" s="22"/>
      <c r="H5461" s="23">
        <v>616.99</v>
      </c>
      <c r="I5461" s="23">
        <v>616.99</v>
      </c>
      <c r="J5461" s="24">
        <v>616.99</v>
      </c>
      <c r="K5461" s="21">
        <v>0</v>
      </c>
      <c r="L5461" s="21">
        <v>0</v>
      </c>
      <c r="M5461" s="21">
        <f>COUNTIF($A$2:$A$5481,A5461)</f>
        <v>1</v>
      </c>
      <c r="N5461" s="24">
        <f t="shared" si="85"/>
        <v>616.9905461</v>
      </c>
    </row>
    <row r="5462" spans="1:14">
      <c r="A5462" s="21" t="s">
        <v>4850</v>
      </c>
      <c r="B5462" s="21" t="s">
        <v>920</v>
      </c>
      <c r="C5462" s="21" t="s">
        <v>26</v>
      </c>
      <c r="D5462" s="21" t="s">
        <v>931</v>
      </c>
      <c r="E5462" s="21">
        <v>1</v>
      </c>
      <c r="F5462" s="22">
        <v>45789.4220138889</v>
      </c>
      <c r="G5462" s="22"/>
      <c r="H5462" s="23">
        <v>734.95</v>
      </c>
      <c r="I5462" s="23">
        <v>734.95</v>
      </c>
      <c r="J5462" s="24">
        <v>734.95</v>
      </c>
      <c r="K5462" s="21">
        <v>0</v>
      </c>
      <c r="L5462" s="21">
        <v>0</v>
      </c>
      <c r="M5462" s="21">
        <f>COUNTIF($A$2:$A$5481,A5462)</f>
        <v>1</v>
      </c>
      <c r="N5462" s="24">
        <f t="shared" si="85"/>
        <v>734.9505462</v>
      </c>
    </row>
    <row r="5463" spans="1:14">
      <c r="A5463" s="21" t="s">
        <v>4851</v>
      </c>
      <c r="B5463" s="21" t="s">
        <v>929</v>
      </c>
      <c r="C5463" s="21" t="s">
        <v>26</v>
      </c>
      <c r="D5463" s="21" t="s">
        <v>921</v>
      </c>
      <c r="E5463" s="21">
        <v>10</v>
      </c>
      <c r="F5463" s="22">
        <v>46219.5665162037</v>
      </c>
      <c r="G5463" s="22"/>
      <c r="H5463" s="23">
        <v>107.2</v>
      </c>
      <c r="I5463" s="23">
        <v>10.72</v>
      </c>
      <c r="J5463" s="24">
        <v>107.2</v>
      </c>
      <c r="K5463" s="21">
        <v>0</v>
      </c>
      <c r="L5463" s="21">
        <v>0</v>
      </c>
      <c r="M5463" s="21">
        <f>COUNTIF($A$2:$A$5481,A5463)</f>
        <v>1</v>
      </c>
      <c r="N5463" s="24">
        <f t="shared" si="85"/>
        <v>107.2005463</v>
      </c>
    </row>
    <row r="5464" spans="1:14">
      <c r="A5464" s="21" t="s">
        <v>4852</v>
      </c>
      <c r="B5464" s="21" t="s">
        <v>929</v>
      </c>
      <c r="C5464" s="21" t="s">
        <v>26</v>
      </c>
      <c r="D5464" s="21" t="s">
        <v>921</v>
      </c>
      <c r="E5464" s="21">
        <v>5</v>
      </c>
      <c r="F5464" s="22">
        <v>46219.5665162037</v>
      </c>
      <c r="G5464" s="22"/>
      <c r="H5464" s="23">
        <v>43.05</v>
      </c>
      <c r="I5464" s="23">
        <v>8.61</v>
      </c>
      <c r="J5464" s="24">
        <v>43.05</v>
      </c>
      <c r="K5464" s="21">
        <v>0</v>
      </c>
      <c r="L5464" s="21">
        <v>0</v>
      </c>
      <c r="M5464" s="21">
        <f>COUNTIF($A$2:$A$5481,A5464)</f>
        <v>1</v>
      </c>
      <c r="N5464" s="24">
        <f t="shared" si="85"/>
        <v>43.0505464</v>
      </c>
    </row>
    <row r="5465" spans="1:14">
      <c r="A5465" s="21" t="s">
        <v>4853</v>
      </c>
      <c r="B5465" s="21" t="s">
        <v>920</v>
      </c>
      <c r="C5465" s="21" t="s">
        <v>26</v>
      </c>
      <c r="D5465" s="21" t="s">
        <v>921</v>
      </c>
      <c r="E5465" s="21">
        <v>1</v>
      </c>
      <c r="F5465" s="22">
        <v>46195.6534375</v>
      </c>
      <c r="G5465" s="22"/>
      <c r="H5465" s="23">
        <v>11.05</v>
      </c>
      <c r="I5465" s="23">
        <v>11.05</v>
      </c>
      <c r="J5465" s="24">
        <v>11.05</v>
      </c>
      <c r="K5465" s="21">
        <v>0</v>
      </c>
      <c r="L5465" s="21">
        <v>0</v>
      </c>
      <c r="M5465" s="21">
        <f>COUNTIF($A$2:$A$5481,A5465)</f>
        <v>1</v>
      </c>
      <c r="N5465" s="24">
        <f t="shared" si="85"/>
        <v>11.0505465</v>
      </c>
    </row>
    <row r="5466" spans="1:14">
      <c r="A5466" s="21" t="s">
        <v>4854</v>
      </c>
      <c r="B5466" s="21" t="s">
        <v>920</v>
      </c>
      <c r="C5466" s="21" t="s">
        <v>26</v>
      </c>
      <c r="D5466" s="21" t="s">
        <v>921</v>
      </c>
      <c r="E5466" s="21">
        <v>50</v>
      </c>
      <c r="F5466" s="22">
        <v>45995.5808217593</v>
      </c>
      <c r="G5466" s="22"/>
      <c r="H5466" s="23">
        <v>22</v>
      </c>
      <c r="I5466" s="23">
        <v>0.44</v>
      </c>
      <c r="J5466" s="24">
        <v>22</v>
      </c>
      <c r="K5466" s="21">
        <v>0</v>
      </c>
      <c r="L5466" s="21">
        <v>0</v>
      </c>
      <c r="M5466" s="21">
        <f>COUNTIF($A$2:$A$5481,A5466)</f>
        <v>1</v>
      </c>
      <c r="N5466" s="24">
        <f t="shared" si="85"/>
        <v>22.0005466</v>
      </c>
    </row>
    <row r="5467" spans="1:14">
      <c r="A5467" s="21" t="s">
        <v>4855</v>
      </c>
      <c r="B5467" s="21" t="s">
        <v>920</v>
      </c>
      <c r="C5467" s="21" t="s">
        <v>26</v>
      </c>
      <c r="D5467" s="21" t="s">
        <v>921</v>
      </c>
      <c r="E5467" s="21">
        <v>2</v>
      </c>
      <c r="F5467" s="22">
        <v>46218.7226851852</v>
      </c>
      <c r="G5467" s="22"/>
      <c r="H5467" s="23">
        <v>240</v>
      </c>
      <c r="I5467" s="23">
        <v>120</v>
      </c>
      <c r="J5467" s="24">
        <v>240</v>
      </c>
      <c r="K5467" s="21">
        <v>0</v>
      </c>
      <c r="L5467" s="21">
        <v>0</v>
      </c>
      <c r="M5467" s="21">
        <f>COUNTIF($A$2:$A$5481,A5467)</f>
        <v>1</v>
      </c>
      <c r="N5467" s="24">
        <f t="shared" si="85"/>
        <v>240.0005467</v>
      </c>
    </row>
    <row r="5468" spans="1:14">
      <c r="A5468" s="21" t="s">
        <v>4856</v>
      </c>
      <c r="B5468" s="21" t="s">
        <v>929</v>
      </c>
      <c r="C5468" s="21" t="s">
        <v>26</v>
      </c>
      <c r="D5468" s="21" t="s">
        <v>921</v>
      </c>
      <c r="E5468" s="21">
        <v>2</v>
      </c>
      <c r="F5468" s="22">
        <v>46225.6931597222</v>
      </c>
      <c r="G5468" s="22"/>
      <c r="H5468" s="23">
        <v>17.8</v>
      </c>
      <c r="I5468" s="23">
        <v>8.9</v>
      </c>
      <c r="J5468" s="24">
        <v>17.8</v>
      </c>
      <c r="K5468" s="21">
        <v>0</v>
      </c>
      <c r="L5468" s="21">
        <v>0</v>
      </c>
      <c r="M5468" s="21">
        <f>COUNTIF($A$2:$A$5481,A5468)</f>
        <v>1</v>
      </c>
      <c r="N5468" s="24">
        <f t="shared" si="85"/>
        <v>17.8005468</v>
      </c>
    </row>
    <row r="5469" spans="1:14">
      <c r="A5469" s="21" t="s">
        <v>4857</v>
      </c>
      <c r="B5469" s="21" t="s">
        <v>929</v>
      </c>
      <c r="C5469" s="21" t="s">
        <v>26</v>
      </c>
      <c r="D5469" s="21" t="s">
        <v>921</v>
      </c>
      <c r="E5469" s="21">
        <v>2</v>
      </c>
      <c r="F5469" s="22">
        <v>46225.6931597222</v>
      </c>
      <c r="G5469" s="22"/>
      <c r="H5469" s="23">
        <v>14.48</v>
      </c>
      <c r="I5469" s="23">
        <v>7.24</v>
      </c>
      <c r="J5469" s="24">
        <v>14.48</v>
      </c>
      <c r="K5469" s="21">
        <v>0</v>
      </c>
      <c r="L5469" s="21">
        <v>0</v>
      </c>
      <c r="M5469" s="21">
        <f>COUNTIF($A$2:$A$5481,A5469)</f>
        <v>1</v>
      </c>
      <c r="N5469" s="24">
        <f t="shared" si="85"/>
        <v>14.4805469</v>
      </c>
    </row>
    <row r="5470" spans="1:14">
      <c r="A5470" s="21" t="s">
        <v>4858</v>
      </c>
      <c r="B5470" s="21" t="s">
        <v>929</v>
      </c>
      <c r="C5470" s="21" t="s">
        <v>26</v>
      </c>
      <c r="D5470" s="21" t="s">
        <v>921</v>
      </c>
      <c r="E5470" s="21">
        <v>2</v>
      </c>
      <c r="F5470" s="22">
        <v>46225.6931597222</v>
      </c>
      <c r="G5470" s="22"/>
      <c r="H5470" s="23">
        <v>13.36</v>
      </c>
      <c r="I5470" s="23">
        <v>6.68</v>
      </c>
      <c r="J5470" s="24">
        <v>13.36</v>
      </c>
      <c r="K5470" s="21">
        <v>0</v>
      </c>
      <c r="L5470" s="21">
        <v>0</v>
      </c>
      <c r="M5470" s="21">
        <f>COUNTIF($A$2:$A$5481,A5470)</f>
        <v>1</v>
      </c>
      <c r="N5470" s="24">
        <f t="shared" si="85"/>
        <v>13.360547</v>
      </c>
    </row>
    <row r="5471" spans="1:14">
      <c r="A5471" s="21" t="s">
        <v>504</v>
      </c>
      <c r="B5471" s="21" t="s">
        <v>920</v>
      </c>
      <c r="C5471" s="21" t="s">
        <v>26</v>
      </c>
      <c r="D5471" s="21" t="s">
        <v>921</v>
      </c>
      <c r="E5471" s="21">
        <v>1</v>
      </c>
      <c r="F5471" s="22">
        <v>46218.7133101852</v>
      </c>
      <c r="G5471" s="22">
        <v>46234.4486458333</v>
      </c>
      <c r="H5471" s="23">
        <v>297</v>
      </c>
      <c r="I5471" s="23">
        <v>99</v>
      </c>
      <c r="J5471" s="24">
        <v>99</v>
      </c>
      <c r="K5471" s="21">
        <v>0</v>
      </c>
      <c r="L5471" s="21">
        <v>0</v>
      </c>
      <c r="M5471" s="21">
        <f>COUNTIF($A$2:$A$5481,A5471)</f>
        <v>1</v>
      </c>
      <c r="N5471" s="24">
        <f t="shared" si="85"/>
        <v>99.0005471</v>
      </c>
    </row>
    <row r="5472" spans="1:14">
      <c r="A5472" s="21" t="s">
        <v>4859</v>
      </c>
      <c r="B5472" s="21" t="s">
        <v>929</v>
      </c>
      <c r="C5472" s="21" t="s">
        <v>26</v>
      </c>
      <c r="D5472" s="21" t="s">
        <v>921</v>
      </c>
      <c r="E5472" s="21">
        <v>5</v>
      </c>
      <c r="F5472" s="22">
        <v>46219.5665162037</v>
      </c>
      <c r="G5472" s="22"/>
      <c r="H5472" s="23">
        <v>59.3</v>
      </c>
      <c r="I5472" s="23">
        <v>11.86</v>
      </c>
      <c r="J5472" s="24">
        <v>59.3</v>
      </c>
      <c r="K5472" s="21">
        <v>0</v>
      </c>
      <c r="L5472" s="21">
        <v>0</v>
      </c>
      <c r="M5472" s="21">
        <f>COUNTIF($A$2:$A$5481,A5472)</f>
        <v>1</v>
      </c>
      <c r="N5472" s="24">
        <f t="shared" si="85"/>
        <v>59.3005472</v>
      </c>
    </row>
    <row r="5473" spans="1:14">
      <c r="A5473" s="21" t="s">
        <v>4860</v>
      </c>
      <c r="B5473" s="21" t="s">
        <v>920</v>
      </c>
      <c r="C5473" s="21" t="s">
        <v>26</v>
      </c>
      <c r="D5473" s="21" t="s">
        <v>921</v>
      </c>
      <c r="E5473" s="21">
        <v>10</v>
      </c>
      <c r="F5473" s="22">
        <v>46210.721412037</v>
      </c>
      <c r="G5473" s="22"/>
      <c r="H5473" s="23">
        <v>30</v>
      </c>
      <c r="I5473" s="23">
        <v>3</v>
      </c>
      <c r="J5473" s="24">
        <v>30</v>
      </c>
      <c r="K5473" s="21">
        <v>0</v>
      </c>
      <c r="L5473" s="21">
        <v>0</v>
      </c>
      <c r="M5473" s="21">
        <f>COUNTIF($A$2:$A$5481,A5473)</f>
        <v>1</v>
      </c>
      <c r="N5473" s="24">
        <f t="shared" si="85"/>
        <v>30.0005473</v>
      </c>
    </row>
    <row r="5474" spans="1:14">
      <c r="A5474" s="21" t="s">
        <v>4861</v>
      </c>
      <c r="B5474" s="21" t="s">
        <v>920</v>
      </c>
      <c r="C5474" s="21" t="s">
        <v>26</v>
      </c>
      <c r="D5474" s="21" t="s">
        <v>921</v>
      </c>
      <c r="E5474" s="21">
        <v>10</v>
      </c>
      <c r="F5474" s="22">
        <v>46210.721412037</v>
      </c>
      <c r="G5474" s="22"/>
      <c r="H5474" s="23">
        <v>77.2</v>
      </c>
      <c r="I5474" s="23">
        <v>7.72</v>
      </c>
      <c r="J5474" s="24">
        <v>77.2</v>
      </c>
      <c r="K5474" s="21">
        <v>0</v>
      </c>
      <c r="L5474" s="21">
        <v>0</v>
      </c>
      <c r="M5474" s="21">
        <f>COUNTIF($A$2:$A$5481,A5474)</f>
        <v>1</v>
      </c>
      <c r="N5474" s="24">
        <f t="shared" si="85"/>
        <v>77.2005474</v>
      </c>
    </row>
    <row r="5475" spans="1:14">
      <c r="A5475" s="21" t="s">
        <v>4862</v>
      </c>
      <c r="B5475" s="21" t="s">
        <v>920</v>
      </c>
      <c r="C5475" s="21" t="s">
        <v>26</v>
      </c>
      <c r="D5475" s="21" t="s">
        <v>921</v>
      </c>
      <c r="E5475" s="21">
        <v>1</v>
      </c>
      <c r="F5475" s="22">
        <v>46192.6153819444</v>
      </c>
      <c r="G5475" s="22"/>
      <c r="H5475" s="23">
        <v>143</v>
      </c>
      <c r="I5475" s="23">
        <v>143</v>
      </c>
      <c r="J5475" s="24">
        <v>143</v>
      </c>
      <c r="K5475" s="21">
        <v>0</v>
      </c>
      <c r="L5475" s="21">
        <v>0</v>
      </c>
      <c r="M5475" s="21">
        <f>COUNTIF($A$2:$A$5481,A5475)</f>
        <v>1</v>
      </c>
      <c r="N5475" s="24">
        <f t="shared" si="85"/>
        <v>143.0005475</v>
      </c>
    </row>
    <row r="5476" spans="1:14">
      <c r="A5476" s="21" t="s">
        <v>4863</v>
      </c>
      <c r="B5476" s="21" t="s">
        <v>920</v>
      </c>
      <c r="C5476" s="21" t="s">
        <v>26</v>
      </c>
      <c r="D5476" s="21" t="s">
        <v>921</v>
      </c>
      <c r="E5476" s="21">
        <v>15</v>
      </c>
      <c r="F5476" s="22">
        <v>46210.721412037</v>
      </c>
      <c r="G5476" s="22"/>
      <c r="H5476" s="23">
        <v>14.4</v>
      </c>
      <c r="I5476" s="23">
        <v>0.96</v>
      </c>
      <c r="J5476" s="24">
        <v>14.4</v>
      </c>
      <c r="K5476" s="21">
        <v>0</v>
      </c>
      <c r="L5476" s="21">
        <v>0</v>
      </c>
      <c r="M5476" s="21">
        <f>COUNTIF($A$2:$A$5481,A5476)</f>
        <v>1</v>
      </c>
      <c r="N5476" s="24">
        <f t="shared" si="85"/>
        <v>14.4005476</v>
      </c>
    </row>
    <row r="5477" spans="1:14">
      <c r="A5477" s="21" t="s">
        <v>4864</v>
      </c>
      <c r="B5477" s="21" t="s">
        <v>929</v>
      </c>
      <c r="C5477" s="21" t="s">
        <v>26</v>
      </c>
      <c r="D5477" s="21" t="s">
        <v>921</v>
      </c>
      <c r="E5477" s="21">
        <v>1</v>
      </c>
      <c r="F5477" s="22">
        <v>46192.575</v>
      </c>
      <c r="G5477" s="22"/>
      <c r="H5477" s="23">
        <v>25</v>
      </c>
      <c r="I5477" s="23">
        <v>25</v>
      </c>
      <c r="J5477" s="24">
        <v>25</v>
      </c>
      <c r="K5477" s="21">
        <v>0</v>
      </c>
      <c r="L5477" s="21">
        <v>0</v>
      </c>
      <c r="M5477" s="21">
        <f>COUNTIF($A$2:$A$5481,A5477)</f>
        <v>1</v>
      </c>
      <c r="N5477" s="24">
        <f t="shared" si="85"/>
        <v>25.0005477</v>
      </c>
    </row>
    <row r="5478" spans="1:14">
      <c r="A5478" s="21" t="s">
        <v>4865</v>
      </c>
      <c r="B5478" s="21" t="s">
        <v>920</v>
      </c>
      <c r="C5478" s="21" t="s">
        <v>26</v>
      </c>
      <c r="D5478" s="21" t="s">
        <v>921</v>
      </c>
      <c r="E5478" s="21">
        <v>10</v>
      </c>
      <c r="F5478" s="22">
        <v>46210.7194907407</v>
      </c>
      <c r="G5478" s="22"/>
      <c r="H5478" s="23">
        <v>4.8</v>
      </c>
      <c r="I5478" s="23">
        <v>0.48</v>
      </c>
      <c r="J5478" s="24">
        <v>4.8</v>
      </c>
      <c r="K5478" s="21">
        <v>0</v>
      </c>
      <c r="L5478" s="21">
        <v>0</v>
      </c>
      <c r="M5478" s="21">
        <f>COUNTIF($A$2:$A$5481,A5478)</f>
        <v>1</v>
      </c>
      <c r="N5478" s="24">
        <f t="shared" si="85"/>
        <v>4.8005478</v>
      </c>
    </row>
    <row r="5479" spans="1:14">
      <c r="A5479" s="21" t="s">
        <v>4866</v>
      </c>
      <c r="B5479" s="21" t="s">
        <v>920</v>
      </c>
      <c r="C5479" s="21" t="s">
        <v>26</v>
      </c>
      <c r="D5479" s="21" t="s">
        <v>921</v>
      </c>
      <c r="E5479" s="21">
        <v>15</v>
      </c>
      <c r="F5479" s="22">
        <v>46210.721412037</v>
      </c>
      <c r="G5479" s="22"/>
      <c r="H5479" s="23">
        <v>24.6</v>
      </c>
      <c r="I5479" s="23">
        <v>1.64</v>
      </c>
      <c r="J5479" s="24">
        <v>24.6</v>
      </c>
      <c r="K5479" s="21">
        <v>0</v>
      </c>
      <c r="L5479" s="21">
        <v>0</v>
      </c>
      <c r="M5479" s="21">
        <f>COUNTIF($A$2:$A$5481,A5479)</f>
        <v>1</v>
      </c>
      <c r="N5479" s="24">
        <f t="shared" si="85"/>
        <v>24.6005479</v>
      </c>
    </row>
    <row r="5480" spans="1:14">
      <c r="A5480" s="21" t="s">
        <v>4867</v>
      </c>
      <c r="B5480" s="21" t="s">
        <v>920</v>
      </c>
      <c r="C5480" s="21" t="s">
        <v>26</v>
      </c>
      <c r="D5480" s="21" t="s">
        <v>921</v>
      </c>
      <c r="E5480" s="21">
        <v>1</v>
      </c>
      <c r="F5480" s="22">
        <v>46175.8388425926</v>
      </c>
      <c r="G5480" s="22"/>
      <c r="H5480" s="23">
        <v>55</v>
      </c>
      <c r="I5480" s="23">
        <v>55</v>
      </c>
      <c r="J5480" s="24">
        <v>55</v>
      </c>
      <c r="K5480" s="21">
        <v>0</v>
      </c>
      <c r="L5480" s="21">
        <v>0</v>
      </c>
      <c r="M5480" s="21">
        <f>COUNTIF($A$2:$A$5481,A5480)</f>
        <v>1</v>
      </c>
      <c r="N5480" s="24">
        <f t="shared" si="85"/>
        <v>55.000548</v>
      </c>
    </row>
    <row r="5481" spans="1:14">
      <c r="A5481" s="21" t="s">
        <v>568</v>
      </c>
      <c r="B5481" s="21" t="s">
        <v>920</v>
      </c>
      <c r="C5481" s="21" t="s">
        <v>26</v>
      </c>
      <c r="D5481" s="21" t="s">
        <v>921</v>
      </c>
      <c r="E5481" s="21">
        <v>0</v>
      </c>
      <c r="F5481" s="22">
        <v>46216.7063194444</v>
      </c>
      <c r="G5481" s="22">
        <v>46251.7552430556</v>
      </c>
      <c r="H5481" s="23">
        <v>5.76</v>
      </c>
      <c r="I5481" s="23">
        <v>1.44</v>
      </c>
      <c r="J5481" s="24">
        <v>0</v>
      </c>
      <c r="K5481" s="21">
        <v>0</v>
      </c>
      <c r="L5481" s="21">
        <v>0</v>
      </c>
      <c r="M5481" s="21">
        <f>COUNTIF($A$2:$A$5481,A5481)</f>
        <v>1</v>
      </c>
      <c r="N5481" s="24">
        <f t="shared" si="85"/>
        <v>0.0005481</v>
      </c>
    </row>
    <row r="5482" spans="1:12">
      <c r="A5482" t="s">
        <v>415</v>
      </c>
      <c r="B5482" t="s">
        <v>920</v>
      </c>
      <c r="C5482" t="s">
        <v>26</v>
      </c>
      <c r="D5482" t="s">
        <v>921</v>
      </c>
      <c r="E5482">
        <v>0</v>
      </c>
      <c r="F5482">
        <v>46195.6534375</v>
      </c>
      <c r="G5482">
        <v>46195.65625</v>
      </c>
      <c r="H5482">
        <v>58.8</v>
      </c>
      <c r="I5482">
        <v>58.8</v>
      </c>
      <c r="J5482">
        <v>0</v>
      </c>
      <c r="K5482">
        <v>0</v>
      </c>
      <c r="L5482">
        <v>0</v>
      </c>
    </row>
    <row r="5483" spans="1:12">
      <c r="A5483" t="s">
        <v>629</v>
      </c>
      <c r="B5483" t="s">
        <v>1175</v>
      </c>
      <c r="C5483" t="s">
        <v>26</v>
      </c>
      <c r="D5483" t="s">
        <v>921</v>
      </c>
      <c r="E5483">
        <v>0</v>
      </c>
      <c r="F5483">
        <v>46195.6233449074</v>
      </c>
      <c r="G5483">
        <v>46252.4639814815</v>
      </c>
      <c r="H5483">
        <v>50</v>
      </c>
      <c r="I5483">
        <v>5</v>
      </c>
      <c r="J5483">
        <v>0</v>
      </c>
      <c r="K5483">
        <v>0</v>
      </c>
      <c r="L5483">
        <v>0</v>
      </c>
    </row>
    <row r="5484" spans="1:12">
      <c r="A5484" t="s">
        <v>683</v>
      </c>
      <c r="B5484" t="s">
        <v>926</v>
      </c>
      <c r="C5484" t="s">
        <v>26</v>
      </c>
      <c r="D5484" t="s">
        <v>921</v>
      </c>
      <c r="E5484">
        <v>0</v>
      </c>
      <c r="F5484">
        <v>46224.6981828704</v>
      </c>
      <c r="G5484">
        <v>46252.5687384259</v>
      </c>
      <c r="H5484">
        <v>107.4</v>
      </c>
      <c r="I5484">
        <v>17.9</v>
      </c>
      <c r="J5484">
        <v>0</v>
      </c>
      <c r="K5484">
        <v>0</v>
      </c>
      <c r="L5484">
        <v>0</v>
      </c>
    </row>
  </sheetData>
  <conditionalFormatting sqref="C2:C5481">
    <cfRule type="expression" dxfId="0" priority="2">
      <formula>ISNUMBER(SEARCH("TRANSPORTE",$C2))</formula>
    </cfRule>
    <cfRule type="expression" dxfId="1" priority="3">
      <formula>ISNUMBER(SEARCH("PREDIAL",$C2))</formula>
    </cfRule>
    <cfRule type="expression" dxfId="2" priority="4">
      <formula>ISNUMBER(SEARCH("LIMPEZA",$C2))</formula>
    </cfRule>
    <cfRule type="expression" dxfId="3" priority="5">
      <formula>ISNUMBER(SEARCH("ESCRIT",$C2))</formula>
    </cfRule>
    <cfRule type="expression" dxfId="4" priority="6">
      <formula>ISNUMBER(SEARCH("EPI",$C2))</formula>
    </cfRule>
    <cfRule type="expression" dxfId="5" priority="7">
      <formula>ISNUMBER(SEARCH("LOGÍST",$C2))</formula>
    </cfRule>
    <cfRule type="expression" dxfId="5" priority="8">
      <formula>ISNUMBER(SEARCH("LOGIST",$C2))</formula>
    </cfRule>
    <cfRule type="expression" dxfId="6" priority="9">
      <formula>ISNUMBER(SEARCH("GERAL",$C2))</formula>
    </cfRule>
    <cfRule type="expression" dxfId="7" priority="10">
      <formula>ISNUMBER(SEARCH("PNEU",$C2))</formula>
    </cfRule>
    <cfRule type="expression" dxfId="8" priority="11">
      <formula>ISNUMBER(SEARCH("UNIFORME",$C2))</formula>
    </cfRule>
    <cfRule type="expression" dxfId="9" priority="12">
      <formula>ISNUMBER(SEARCH("JARDIN",$C2))</formula>
    </cfRule>
    <cfRule type="expression" dxfId="10" priority="13">
      <formula>ISNUMBER(SEARCH("INDUSTRIA",$C2))</formula>
    </cfRule>
    <cfRule type="expression" dxfId="10" priority="14">
      <formula>ISNUMBER(SEARCH("INDÚSTRIA",$C2))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9"/>
  <sheetViews>
    <sheetView topLeftCell="G1" workbookViewId="0">
      <selection activeCell="K17" sqref="K17"/>
    </sheetView>
  </sheetViews>
  <sheetFormatPr defaultColWidth="9.15238095238095" defaultRowHeight="15"/>
  <cols>
    <col min="1" max="1" width="16.5714285714286" customWidth="1"/>
    <col min="2" max="2" width="37.152380952381" customWidth="1"/>
    <col min="3" max="3" width="9.57142857142857" customWidth="1"/>
    <col min="4" max="4" width="19.1428571428571" customWidth="1"/>
    <col min="5" max="5" width="16.7142857142857" customWidth="1"/>
    <col min="6" max="6" width="67.8571428571429" customWidth="1"/>
    <col min="7" max="7" width="69" customWidth="1"/>
    <col min="8" max="8" width="9" customWidth="1"/>
    <col min="9" max="9" width="12.4285714285714" customWidth="1"/>
    <col min="10" max="10" width="19.4285714285714" customWidth="1"/>
    <col min="11" max="11" width="24.4285714285714" customWidth="1"/>
    <col min="12" max="12" width="70.5714285714286" customWidth="1"/>
  </cols>
  <sheetData>
    <row r="1" ht="23.25" customHeight="1" spans="1:12">
      <c r="A1" s="16" t="s">
        <v>4868</v>
      </c>
      <c r="B1" s="16" t="s">
        <v>4869</v>
      </c>
      <c r="C1" s="16" t="s">
        <v>4870</v>
      </c>
      <c r="D1" s="16" t="s">
        <v>4871</v>
      </c>
      <c r="E1" s="16" t="s">
        <v>134</v>
      </c>
      <c r="F1" s="16" t="s">
        <v>4872</v>
      </c>
      <c r="G1" s="16" t="s">
        <v>16</v>
      </c>
      <c r="H1" s="16" t="s">
        <v>146</v>
      </c>
      <c r="I1" s="16" t="s">
        <v>4873</v>
      </c>
      <c r="J1" s="16" t="s">
        <v>4874</v>
      </c>
      <c r="K1" s="16" t="s">
        <v>4875</v>
      </c>
      <c r="L1" s="16" t="s">
        <v>90</v>
      </c>
    </row>
    <row r="2" ht="13.5" customHeight="1" spans="1:12">
      <c r="A2" s="17">
        <v>46026.3652777778</v>
      </c>
      <c r="B2" s="6" t="s">
        <v>4876</v>
      </c>
      <c r="C2" s="6" t="s">
        <v>4877</v>
      </c>
      <c r="D2" s="6" t="s">
        <v>4878</v>
      </c>
      <c r="E2" s="6" t="s">
        <v>51</v>
      </c>
      <c r="F2" s="6" t="s">
        <v>4879</v>
      </c>
      <c r="G2" s="6" t="s">
        <v>3642</v>
      </c>
      <c r="H2" s="6">
        <v>1</v>
      </c>
      <c r="I2" s="18">
        <v>650.52</v>
      </c>
      <c r="J2" s="19">
        <v>46086.3719882292</v>
      </c>
      <c r="K2" s="6" t="s">
        <v>4880</v>
      </c>
      <c r="L2" t="str">
        <f t="shared" ref="L2:L65" si="0">IF(G2="","",G2&amp;"|"&amp;TEXT(A2,"0"))</f>
        <v>CONJUNTO DE ESCOVA E PARAFUSO - CROWN - PE4500 (125789)|46026</v>
      </c>
    </row>
    <row r="3" ht="13.5" customHeight="1" spans="1:12">
      <c r="A3" s="17">
        <v>46026.3652777778</v>
      </c>
      <c r="B3" s="6" t="s">
        <v>4876</v>
      </c>
      <c r="C3" s="6" t="s">
        <v>4877</v>
      </c>
      <c r="D3" s="6" t="s">
        <v>4878</v>
      </c>
      <c r="E3" s="6" t="s">
        <v>51</v>
      </c>
      <c r="F3" s="6" t="s">
        <v>4879</v>
      </c>
      <c r="G3" s="6" t="s">
        <v>790</v>
      </c>
      <c r="H3" s="6">
        <v>1</v>
      </c>
      <c r="I3" s="18">
        <v>946.5</v>
      </c>
      <c r="J3" s="19">
        <v>46086.3719882292</v>
      </c>
      <c r="K3" s="6" t="s">
        <v>4880</v>
      </c>
      <c r="L3" t="str">
        <f t="shared" si="0"/>
        <v>PORTA ESCOVAS - PC4500 (128742)|46026</v>
      </c>
    </row>
    <row r="4" ht="13.5" customHeight="1" spans="1:12">
      <c r="A4" s="17">
        <v>46026.3652777778</v>
      </c>
      <c r="B4" s="6" t="s">
        <v>4876</v>
      </c>
      <c r="C4" s="6" t="s">
        <v>4877</v>
      </c>
      <c r="D4" s="6" t="s">
        <v>4878</v>
      </c>
      <c r="E4" s="6" t="s">
        <v>51</v>
      </c>
      <c r="F4" s="6" t="s">
        <v>4879</v>
      </c>
      <c r="G4" s="6" t="s">
        <v>1646</v>
      </c>
      <c r="H4" s="6">
        <v>1</v>
      </c>
      <c r="I4" s="18">
        <v>191.16</v>
      </c>
      <c r="J4" s="19">
        <v>46086.371987882</v>
      </c>
      <c r="K4" s="6" t="s">
        <v>4880</v>
      </c>
      <c r="L4" t="str">
        <f t="shared" si="0"/>
        <v>ROLAMENTO 6201 (128736)|46026</v>
      </c>
    </row>
    <row r="5" ht="13.5" customHeight="1" spans="1:12">
      <c r="A5" s="17">
        <v>46027.5409143519</v>
      </c>
      <c r="B5" s="6" t="s">
        <v>4876</v>
      </c>
      <c r="C5" s="6" t="s">
        <v>4881</v>
      </c>
      <c r="D5" s="6" t="s">
        <v>110</v>
      </c>
      <c r="E5" s="6" t="s">
        <v>26</v>
      </c>
      <c r="F5" s="6" t="s">
        <v>4882</v>
      </c>
      <c r="G5" s="6" t="s">
        <v>190</v>
      </c>
      <c r="H5" s="6">
        <v>8</v>
      </c>
      <c r="I5" s="18">
        <v>1120</v>
      </c>
      <c r="J5" s="19">
        <v>46027.5426170949</v>
      </c>
      <c r="K5" s="6" t="s">
        <v>4880</v>
      </c>
      <c r="L5" t="str">
        <f t="shared" si="0"/>
        <v>ESPELHO RETROVISOR ACCELO|46028</v>
      </c>
    </row>
    <row r="6" ht="13.5" customHeight="1" spans="1:12">
      <c r="A6" s="17">
        <v>46027.5492476852</v>
      </c>
      <c r="B6" s="6" t="s">
        <v>4876</v>
      </c>
      <c r="C6" s="6" t="s">
        <v>4883</v>
      </c>
      <c r="D6" s="6" t="s">
        <v>4884</v>
      </c>
      <c r="E6" s="6" t="s">
        <v>26</v>
      </c>
      <c r="F6" s="6" t="s">
        <v>4882</v>
      </c>
      <c r="G6" s="6" t="s">
        <v>2706</v>
      </c>
      <c r="H6" s="6">
        <v>20</v>
      </c>
      <c r="I6" s="18">
        <v>318</v>
      </c>
      <c r="J6" s="19">
        <v>46028.5542070602</v>
      </c>
      <c r="K6" s="6" t="s">
        <v>4880</v>
      </c>
      <c r="L6" t="str">
        <f t="shared" si="0"/>
        <v>LAMPADA LE TKL 90 15W 6500K|46028</v>
      </c>
    </row>
    <row r="7" ht="13.5" customHeight="1" spans="1:12">
      <c r="A7" s="17">
        <v>46027.5492476852</v>
      </c>
      <c r="B7" s="6" t="s">
        <v>4876</v>
      </c>
      <c r="C7" s="6" t="s">
        <v>4883</v>
      </c>
      <c r="D7" s="6" t="s">
        <v>4884</v>
      </c>
      <c r="E7" s="6" t="s">
        <v>26</v>
      </c>
      <c r="F7" s="6" t="s">
        <v>4882</v>
      </c>
      <c r="G7" s="6" t="s">
        <v>1778</v>
      </c>
      <c r="H7" s="6">
        <v>2</v>
      </c>
      <c r="I7" s="18">
        <v>61.2</v>
      </c>
      <c r="J7" s="19">
        <v>46028.5542066782</v>
      </c>
      <c r="K7" s="6" t="s">
        <v>4880</v>
      </c>
      <c r="L7" t="str">
        <f t="shared" si="0"/>
        <v>REFIL GÁS P/MAÇARICO 400G ANDFER|46028</v>
      </c>
    </row>
    <row r="8" ht="13.5" customHeight="1" spans="1:12">
      <c r="A8" s="17">
        <v>46027.5492476852</v>
      </c>
      <c r="B8" s="6" t="s">
        <v>4876</v>
      </c>
      <c r="C8" s="6" t="s">
        <v>4883</v>
      </c>
      <c r="D8" s="6" t="s">
        <v>4884</v>
      </c>
      <c r="E8" s="6" t="s">
        <v>26</v>
      </c>
      <c r="F8" s="6" t="s">
        <v>4882</v>
      </c>
      <c r="G8" s="6" t="s">
        <v>2933</v>
      </c>
      <c r="H8" s="6">
        <v>2</v>
      </c>
      <c r="I8" s="18">
        <v>12.9</v>
      </c>
      <c r="J8" s="19">
        <v>46028.5542064815</v>
      </c>
      <c r="K8" s="6" t="s">
        <v>4880</v>
      </c>
      <c r="L8" t="str">
        <f t="shared" si="0"/>
        <v>GESSO|46028</v>
      </c>
    </row>
    <row r="9" ht="13.5" customHeight="1" spans="1:12">
      <c r="A9" s="17">
        <v>46027.5492476852</v>
      </c>
      <c r="B9" s="6" t="s">
        <v>4876</v>
      </c>
      <c r="C9" s="6" t="s">
        <v>4883</v>
      </c>
      <c r="D9" s="6" t="s">
        <v>4884</v>
      </c>
      <c r="E9" s="6" t="s">
        <v>26</v>
      </c>
      <c r="F9" s="6" t="s">
        <v>4882</v>
      </c>
      <c r="G9" s="6" t="s">
        <v>4356</v>
      </c>
      <c r="H9" s="6">
        <v>10</v>
      </c>
      <c r="I9" s="18">
        <v>48.5</v>
      </c>
      <c r="J9" s="19">
        <v>46028.5542057523</v>
      </c>
      <c r="K9" s="6" t="s">
        <v>4880</v>
      </c>
      <c r="L9" t="str">
        <f t="shared" si="0"/>
        <v>BOCAL CERAMICO P80|46028</v>
      </c>
    </row>
    <row r="10" ht="13.5" customHeight="1" spans="1:12">
      <c r="A10" s="17">
        <v>46027.6540046296</v>
      </c>
      <c r="B10" s="6" t="s">
        <v>4876</v>
      </c>
      <c r="C10" s="6" t="s">
        <v>4885</v>
      </c>
      <c r="D10" s="6" t="s">
        <v>4886</v>
      </c>
      <c r="E10" s="6" t="s">
        <v>26</v>
      </c>
      <c r="F10" s="6" t="s">
        <v>4882</v>
      </c>
      <c r="G10" s="6" t="s">
        <v>3256</v>
      </c>
      <c r="H10" s="6">
        <v>1</v>
      </c>
      <c r="I10" s="18">
        <v>500</v>
      </c>
      <c r="J10" s="19">
        <v>46028.6718001505</v>
      </c>
      <c r="K10" s="6" t="s">
        <v>4880</v>
      </c>
      <c r="L10" t="str">
        <f t="shared" si="0"/>
        <v>ESPELHO COMPLETO C/BIFOCAL CONVEXO LE P/VW DELIVERY 2018|46028</v>
      </c>
    </row>
    <row r="11" ht="13.5" customHeight="1" spans="1:12">
      <c r="A11" s="17">
        <v>46027.6540046296</v>
      </c>
      <c r="B11" s="6" t="s">
        <v>4876</v>
      </c>
      <c r="C11" s="6" t="s">
        <v>4885</v>
      </c>
      <c r="D11" s="6" t="s">
        <v>4886</v>
      </c>
      <c r="E11" s="6" t="s">
        <v>26</v>
      </c>
      <c r="F11" s="6" t="s">
        <v>4882</v>
      </c>
      <c r="G11" s="6" t="s">
        <v>3257</v>
      </c>
      <c r="H11" s="6">
        <v>1</v>
      </c>
      <c r="I11" s="18">
        <v>500</v>
      </c>
      <c r="J11" s="19">
        <v>46028.6717983449</v>
      </c>
      <c r="K11" s="6" t="s">
        <v>4880</v>
      </c>
      <c r="L11" t="str">
        <f t="shared" si="0"/>
        <v>ESPELHO COMPLETO C/BIFOCAL CONVEXO LD P/VW DELIVERY 2018|46028</v>
      </c>
    </row>
    <row r="12" ht="13.5" customHeight="1" spans="1:12">
      <c r="A12" s="17">
        <v>46027.6707407407</v>
      </c>
      <c r="B12" s="6" t="s">
        <v>4876</v>
      </c>
      <c r="C12" s="6" t="s">
        <v>4887</v>
      </c>
      <c r="D12" s="6" t="s">
        <v>4888</v>
      </c>
      <c r="E12" s="6" t="s">
        <v>26</v>
      </c>
      <c r="F12" s="6" t="s">
        <v>4882</v>
      </c>
      <c r="G12" s="6" t="s">
        <v>646</v>
      </c>
      <c r="H12" s="6">
        <v>2</v>
      </c>
      <c r="I12" s="18">
        <v>44</v>
      </c>
      <c r="J12" s="19">
        <v>46027.6721248495</v>
      </c>
      <c r="K12" s="6" t="s">
        <v>4880</v>
      </c>
      <c r="L12" t="str">
        <f t="shared" si="0"/>
        <v>COMPOSTO VEGETAL|46028</v>
      </c>
    </row>
    <row r="13" ht="13.5" customHeight="1" spans="1:12">
      <c r="A13" s="17">
        <v>46027.6707407407</v>
      </c>
      <c r="B13" s="6" t="s">
        <v>4876</v>
      </c>
      <c r="C13" s="6" t="s">
        <v>4887</v>
      </c>
      <c r="D13" s="6" t="s">
        <v>4888</v>
      </c>
      <c r="E13" s="6" t="s">
        <v>26</v>
      </c>
      <c r="F13" s="6" t="s">
        <v>4882</v>
      </c>
      <c r="G13" s="6" t="s">
        <v>947</v>
      </c>
      <c r="H13" s="6">
        <v>2</v>
      </c>
      <c r="I13" s="18">
        <v>95</v>
      </c>
      <c r="J13" s="19">
        <v>46027.6721221412</v>
      </c>
      <c r="K13" s="6" t="s">
        <v>4880</v>
      </c>
      <c r="L13" t="str">
        <f t="shared" si="0"/>
        <v>VINCA|46028</v>
      </c>
    </row>
    <row r="14" ht="13.5" customHeight="1" spans="1:12">
      <c r="A14" s="17">
        <v>46027.6726388889</v>
      </c>
      <c r="B14" s="6" t="s">
        <v>4876</v>
      </c>
      <c r="C14" s="6" t="s">
        <v>4889</v>
      </c>
      <c r="D14" s="6" t="s">
        <v>4890</v>
      </c>
      <c r="E14" s="6" t="s">
        <v>26</v>
      </c>
      <c r="F14" s="6" t="s">
        <v>4882</v>
      </c>
      <c r="G14" s="6" t="s">
        <v>2491</v>
      </c>
      <c r="H14" s="6">
        <v>3</v>
      </c>
      <c r="I14" s="18">
        <v>162</v>
      </c>
      <c r="J14" s="19">
        <v>46027.6781170949</v>
      </c>
      <c r="K14" s="6" t="s">
        <v>4880</v>
      </c>
      <c r="L14" t="str">
        <f t="shared" si="0"/>
        <v>MARANTA  VARIADA|46028</v>
      </c>
    </row>
    <row r="15" ht="13.5" customHeight="1" spans="1:12">
      <c r="A15" s="17">
        <v>46027.6726388889</v>
      </c>
      <c r="B15" s="6" t="s">
        <v>4876</v>
      </c>
      <c r="C15" s="6" t="s">
        <v>4889</v>
      </c>
      <c r="D15" s="6" t="s">
        <v>4890</v>
      </c>
      <c r="E15" s="6" t="s">
        <v>26</v>
      </c>
      <c r="F15" s="6" t="s">
        <v>4882</v>
      </c>
      <c r="G15" s="6" t="s">
        <v>2008</v>
      </c>
      <c r="H15" s="6">
        <v>2</v>
      </c>
      <c r="I15" s="18">
        <v>36</v>
      </c>
      <c r="J15" s="19">
        <v>46027.6781168982</v>
      </c>
      <c r="K15" s="6" t="s">
        <v>4880</v>
      </c>
      <c r="L15" t="str">
        <f t="shared" si="0"/>
        <v>PLANTA ALAMANDA AMARELA|46028</v>
      </c>
    </row>
    <row r="16" ht="13.5" customHeight="1" spans="1:12">
      <c r="A16" s="17">
        <v>46027.6726388889</v>
      </c>
      <c r="B16" s="6" t="s">
        <v>4876</v>
      </c>
      <c r="C16" s="6" t="s">
        <v>4889</v>
      </c>
      <c r="D16" s="6" t="s">
        <v>4890</v>
      </c>
      <c r="E16" s="6" t="s">
        <v>26</v>
      </c>
      <c r="F16" s="6" t="s">
        <v>4882</v>
      </c>
      <c r="G16" s="6" t="s">
        <v>4417</v>
      </c>
      <c r="H16" s="6">
        <v>2</v>
      </c>
      <c r="I16" s="18">
        <v>44</v>
      </c>
      <c r="J16" s="19">
        <v>46027.6781165509</v>
      </c>
      <c r="K16" s="6" t="s">
        <v>4880</v>
      </c>
      <c r="L16" t="str">
        <f t="shared" si="0"/>
        <v>BEGONIA REX POTE 14|46028</v>
      </c>
    </row>
    <row r="17" ht="13.5" customHeight="1" spans="1:12">
      <c r="A17" s="17">
        <v>46028.3370833333</v>
      </c>
      <c r="B17" s="6" t="s">
        <v>4876</v>
      </c>
      <c r="C17" s="6" t="s">
        <v>4891</v>
      </c>
      <c r="D17" s="6" t="s">
        <v>4892</v>
      </c>
      <c r="E17" s="6" t="s">
        <v>26</v>
      </c>
      <c r="F17" s="6" t="s">
        <v>4882</v>
      </c>
      <c r="G17" s="6" t="s">
        <v>167</v>
      </c>
      <c r="H17" s="6">
        <v>1</v>
      </c>
      <c r="I17" s="18">
        <v>150</v>
      </c>
      <c r="J17" s="19">
        <v>46029.3392177894</v>
      </c>
      <c r="K17" s="6" t="s">
        <v>4880</v>
      </c>
      <c r="L17" t="str">
        <f t="shared" si="0"/>
        <v>MANGUEIRA DO INTERCOOLER SPRINTER|46028</v>
      </c>
    </row>
    <row r="18" ht="13.5" customHeight="1" spans="1:12">
      <c r="A18" s="17">
        <v>46028.3399074074</v>
      </c>
      <c r="B18" s="6" t="s">
        <v>4876</v>
      </c>
      <c r="C18" s="6" t="s">
        <v>4893</v>
      </c>
      <c r="D18" s="6" t="s">
        <v>4894</v>
      </c>
      <c r="E18" s="6" t="s">
        <v>26</v>
      </c>
      <c r="F18" s="6" t="s">
        <v>4882</v>
      </c>
      <c r="G18" s="6" t="s">
        <v>4535</v>
      </c>
      <c r="H18" s="6">
        <v>50</v>
      </c>
      <c r="I18" s="18">
        <v>17.5</v>
      </c>
      <c r="J18" s="19">
        <v>46029.3449707986</v>
      </c>
      <c r="K18" s="6" t="s">
        <v>4880</v>
      </c>
      <c r="L18" t="str">
        <f t="shared" si="0"/>
        <v>ARRUELA LISA ZINCADA 5/16|46028</v>
      </c>
    </row>
    <row r="19" ht="13.5" customHeight="1" spans="1:12">
      <c r="A19" s="17">
        <v>46028.3399074074</v>
      </c>
      <c r="B19" s="6" t="s">
        <v>4876</v>
      </c>
      <c r="C19" s="6" t="s">
        <v>4893</v>
      </c>
      <c r="D19" s="6" t="s">
        <v>4894</v>
      </c>
      <c r="E19" s="6" t="s">
        <v>26</v>
      </c>
      <c r="F19" s="6" t="s">
        <v>4882</v>
      </c>
      <c r="G19" s="6" t="s">
        <v>4536</v>
      </c>
      <c r="H19" s="6">
        <v>50</v>
      </c>
      <c r="I19" s="18">
        <v>52.5</v>
      </c>
      <c r="J19" s="19">
        <v>46029.3449706019</v>
      </c>
      <c r="K19" s="6" t="s">
        <v>4880</v>
      </c>
      <c r="L19" t="str">
        <f t="shared" si="0"/>
        <v>ARRUELA LISA ZINCADA 3/8|46028</v>
      </c>
    </row>
    <row r="20" ht="13.5" customHeight="1" spans="1:12">
      <c r="A20" s="17">
        <v>46028.3399074074</v>
      </c>
      <c r="B20" s="6" t="s">
        <v>4876</v>
      </c>
      <c r="C20" s="6" t="s">
        <v>4893</v>
      </c>
      <c r="D20" s="6" t="s">
        <v>4894</v>
      </c>
      <c r="E20" s="6" t="s">
        <v>26</v>
      </c>
      <c r="F20" s="6" t="s">
        <v>4882</v>
      </c>
      <c r="G20" s="6" t="s">
        <v>4547</v>
      </c>
      <c r="H20" s="6">
        <v>50</v>
      </c>
      <c r="I20" s="18">
        <v>30</v>
      </c>
      <c r="J20" s="19">
        <v>46029.3449702546</v>
      </c>
      <c r="K20" s="6" t="s">
        <v>4880</v>
      </c>
      <c r="L20" t="str">
        <f t="shared" si="0"/>
        <v>ARRUELA LISA INOX 1/4|46028</v>
      </c>
    </row>
    <row r="21" ht="13.5" customHeight="1" spans="1:12">
      <c r="A21" s="17">
        <v>46028.3399074074</v>
      </c>
      <c r="B21" s="6" t="s">
        <v>4876</v>
      </c>
      <c r="C21" s="6" t="s">
        <v>4893</v>
      </c>
      <c r="D21" s="6" t="s">
        <v>4894</v>
      </c>
      <c r="E21" s="6" t="s">
        <v>26</v>
      </c>
      <c r="F21" s="6" t="s">
        <v>4882</v>
      </c>
      <c r="G21" s="6" t="s">
        <v>2261</v>
      </c>
      <c r="H21" s="6">
        <v>10</v>
      </c>
      <c r="I21" s="18">
        <v>31.8</v>
      </c>
      <c r="J21" s="19">
        <v>46029.3449699074</v>
      </c>
      <c r="K21" s="6" t="s">
        <v>4880</v>
      </c>
      <c r="L21" t="str">
        <f t="shared" si="0"/>
        <v>P.R.ME.CH.INOX 5X30 C/02 PÇS|46028</v>
      </c>
    </row>
    <row r="22" ht="13.5" customHeight="1" spans="1:12">
      <c r="A22" s="17">
        <v>46028.3399074074</v>
      </c>
      <c r="B22" s="6" t="s">
        <v>4876</v>
      </c>
      <c r="C22" s="6" t="s">
        <v>4893</v>
      </c>
      <c r="D22" s="6" t="s">
        <v>4894</v>
      </c>
      <c r="E22" s="6" t="s">
        <v>26</v>
      </c>
      <c r="F22" s="6" t="s">
        <v>4882</v>
      </c>
      <c r="G22" s="6" t="s">
        <v>1905</v>
      </c>
      <c r="H22" s="6">
        <v>10</v>
      </c>
      <c r="I22" s="18">
        <v>5.5</v>
      </c>
      <c r="J22" s="19">
        <v>46029.3449695255</v>
      </c>
      <c r="K22" s="6" t="s">
        <v>4880</v>
      </c>
      <c r="L22" t="str">
        <f t="shared" si="0"/>
        <v>PORCA SEXTAVADA MA INOX 05x0,80|46028</v>
      </c>
    </row>
    <row r="23" ht="13.5" customHeight="1" spans="1:12">
      <c r="A23" s="17">
        <v>46028.3713310185</v>
      </c>
      <c r="B23" s="6" t="s">
        <v>4876</v>
      </c>
      <c r="C23" s="6" t="s">
        <v>4895</v>
      </c>
      <c r="D23" s="6" t="s">
        <v>4896</v>
      </c>
      <c r="E23" s="6" t="s">
        <v>51</v>
      </c>
      <c r="F23" s="6" t="s">
        <v>4879</v>
      </c>
      <c r="G23" s="6" t="s">
        <v>548</v>
      </c>
      <c r="H23" s="6">
        <v>100</v>
      </c>
      <c r="I23" s="18">
        <v>8901</v>
      </c>
      <c r="J23" s="19">
        <v>46034.372505787</v>
      </c>
      <c r="K23" s="6" t="s">
        <v>4880</v>
      </c>
      <c r="L23" t="str">
        <f t="shared" si="0"/>
        <v>BOPP BRANCO FOSCO FASSON S 2045 90MTS ZEBRA|46028</v>
      </c>
    </row>
    <row r="24" ht="13.5" customHeight="1" spans="1:12">
      <c r="A24" s="17">
        <v>46028.5327662037</v>
      </c>
      <c r="B24" s="6" t="s">
        <v>4876</v>
      </c>
      <c r="C24" s="6" t="s">
        <v>4897</v>
      </c>
      <c r="D24" s="6" t="s">
        <v>4898</v>
      </c>
      <c r="E24" s="6" t="s">
        <v>51</v>
      </c>
      <c r="F24" s="6" t="s">
        <v>4879</v>
      </c>
      <c r="G24" s="6" t="s">
        <v>499</v>
      </c>
      <c r="H24" s="6">
        <v>1600</v>
      </c>
      <c r="I24" s="18">
        <v>17920</v>
      </c>
      <c r="J24" s="19">
        <v>46029.5336230671</v>
      </c>
      <c r="K24" s="6" t="s">
        <v>4880</v>
      </c>
      <c r="L24" t="str">
        <f t="shared" si="0"/>
        <v>STRETCH MANUAL 500MM X 25 MICRA X 3|46029</v>
      </c>
    </row>
    <row r="25" ht="13.5" customHeight="1" spans="1:12">
      <c r="A25" s="17">
        <v>46028.5578356482</v>
      </c>
      <c r="B25" s="6" t="s">
        <v>4876</v>
      </c>
      <c r="C25" s="6" t="s">
        <v>4899</v>
      </c>
      <c r="D25" s="6" t="s">
        <v>110</v>
      </c>
      <c r="E25" s="6" t="s">
        <v>26</v>
      </c>
      <c r="F25" s="6" t="s">
        <v>4882</v>
      </c>
      <c r="G25" s="6" t="s">
        <v>185</v>
      </c>
      <c r="H25" s="6">
        <v>6</v>
      </c>
      <c r="I25" s="18">
        <v>294</v>
      </c>
      <c r="J25" s="19">
        <v>46028.5627117708</v>
      </c>
      <c r="K25" s="6" t="s">
        <v>4880</v>
      </c>
      <c r="L25" t="str">
        <f t="shared" si="0"/>
        <v>CINEMATICO COMPLETO RODOAR|46029</v>
      </c>
    </row>
    <row r="26" ht="13.5" customHeight="1" spans="1:12">
      <c r="A26" s="17">
        <v>46028.5578356482</v>
      </c>
      <c r="B26" s="6" t="s">
        <v>4876</v>
      </c>
      <c r="C26" s="6" t="s">
        <v>4899</v>
      </c>
      <c r="D26" s="6" t="s">
        <v>110</v>
      </c>
      <c r="E26" s="6" t="s">
        <v>26</v>
      </c>
      <c r="F26" s="6" t="s">
        <v>4882</v>
      </c>
      <c r="G26" s="6" t="s">
        <v>2415</v>
      </c>
      <c r="H26" s="6">
        <v>10</v>
      </c>
      <c r="I26" s="18">
        <v>35</v>
      </c>
      <c r="J26" s="19">
        <v>46028.5627113773</v>
      </c>
      <c r="K26" s="6" t="s">
        <v>4880</v>
      </c>
      <c r="L26" t="str">
        <f t="shared" si="0"/>
        <v>MOLA CALOTA DO RODOAR|46029</v>
      </c>
    </row>
    <row r="27" ht="13.5" customHeight="1" spans="1:12">
      <c r="A27" s="17">
        <v>46028.5578356482</v>
      </c>
      <c r="B27" s="6" t="s">
        <v>4876</v>
      </c>
      <c r="C27" s="6" t="s">
        <v>4899</v>
      </c>
      <c r="D27" s="6" t="s">
        <v>110</v>
      </c>
      <c r="E27" s="6" t="s">
        <v>26</v>
      </c>
      <c r="F27" s="6" t="s">
        <v>4882</v>
      </c>
      <c r="G27" s="6" t="s">
        <v>4072</v>
      </c>
      <c r="H27" s="6">
        <v>5</v>
      </c>
      <c r="I27" s="18">
        <v>65</v>
      </c>
      <c r="J27" s="19">
        <v>46028.5627112269</v>
      </c>
      <c r="K27" s="6" t="s">
        <v>4880</v>
      </c>
      <c r="L27" t="str">
        <f t="shared" si="0"/>
        <v>CALOTA DO RODOAR (LE)|46029</v>
      </c>
    </row>
    <row r="28" ht="13.5" customHeight="1" spans="1:12">
      <c r="A28" s="17">
        <v>46028.5578356482</v>
      </c>
      <c r="B28" s="6" t="s">
        <v>4876</v>
      </c>
      <c r="C28" s="6" t="s">
        <v>4899</v>
      </c>
      <c r="D28" s="6" t="s">
        <v>110</v>
      </c>
      <c r="E28" s="6" t="s">
        <v>26</v>
      </c>
      <c r="F28" s="6" t="s">
        <v>4882</v>
      </c>
      <c r="G28" s="6" t="s">
        <v>4073</v>
      </c>
      <c r="H28" s="6">
        <v>5</v>
      </c>
      <c r="I28" s="18">
        <v>65</v>
      </c>
      <c r="J28" s="19">
        <v>46028.5627108449</v>
      </c>
      <c r="K28" s="6" t="s">
        <v>4880</v>
      </c>
      <c r="L28" t="str">
        <f t="shared" si="0"/>
        <v>CALOTA DO  RODOAR (LD)|46029</v>
      </c>
    </row>
    <row r="29" ht="13.5" customHeight="1" spans="1:12">
      <c r="A29" s="17">
        <v>46028.5578356482</v>
      </c>
      <c r="B29" s="6" t="s">
        <v>4876</v>
      </c>
      <c r="C29" s="6" t="s">
        <v>4899</v>
      </c>
      <c r="D29" s="6" t="s">
        <v>110</v>
      </c>
      <c r="E29" s="6" t="s">
        <v>26</v>
      </c>
      <c r="F29" s="6" t="s">
        <v>4882</v>
      </c>
      <c r="G29" s="6" t="s">
        <v>3463</v>
      </c>
      <c r="H29" s="6">
        <v>10</v>
      </c>
      <c r="I29" s="18">
        <v>140</v>
      </c>
      <c r="J29" s="19">
        <v>46028.5627106482</v>
      </c>
      <c r="K29" s="6" t="s">
        <v>4880</v>
      </c>
      <c r="L29" t="str">
        <f t="shared" si="0"/>
        <v>DIAFRAGMA N° 24|46029</v>
      </c>
    </row>
    <row r="30" ht="13.5" customHeight="1" spans="1:12">
      <c r="A30" s="17">
        <v>46028.5578356482</v>
      </c>
      <c r="B30" s="6" t="s">
        <v>4876</v>
      </c>
      <c r="C30" s="6" t="s">
        <v>4899</v>
      </c>
      <c r="D30" s="6" t="s">
        <v>110</v>
      </c>
      <c r="E30" s="6" t="s">
        <v>26</v>
      </c>
      <c r="F30" s="6" t="s">
        <v>4882</v>
      </c>
      <c r="G30" s="6" t="s">
        <v>3468</v>
      </c>
      <c r="H30" s="6">
        <v>10</v>
      </c>
      <c r="I30" s="18">
        <v>140</v>
      </c>
      <c r="J30" s="19">
        <v>46028.5627103009</v>
      </c>
      <c r="K30" s="6" t="s">
        <v>4880</v>
      </c>
      <c r="L30" t="str">
        <f t="shared" si="0"/>
        <v>DIAFRAGMA 20|46029</v>
      </c>
    </row>
    <row r="31" ht="13.5" customHeight="1" spans="1:12">
      <c r="A31" s="17">
        <v>46028.6753356482</v>
      </c>
      <c r="B31" s="6" t="s">
        <v>4876</v>
      </c>
      <c r="C31" s="6" t="s">
        <v>4900</v>
      </c>
      <c r="D31" s="6" t="s">
        <v>4901</v>
      </c>
      <c r="E31" s="6" t="s">
        <v>26</v>
      </c>
      <c r="F31" s="6" t="s">
        <v>4882</v>
      </c>
      <c r="G31" s="6" t="s">
        <v>2905</v>
      </c>
      <c r="H31" s="6">
        <v>1</v>
      </c>
      <c r="I31" s="18">
        <v>189</v>
      </c>
      <c r="J31" s="19">
        <v>46028.676640162</v>
      </c>
      <c r="K31" s="6" t="s">
        <v>4880</v>
      </c>
      <c r="L31" t="str">
        <f t="shared" si="0"/>
        <v>GÁS BOTIJÃO P 20|46029</v>
      </c>
    </row>
    <row r="32" ht="13.5" customHeight="1" spans="1:12">
      <c r="A32" s="17">
        <v>46028.6753356482</v>
      </c>
      <c r="B32" s="6" t="s">
        <v>4876</v>
      </c>
      <c r="C32" s="6" t="s">
        <v>4900</v>
      </c>
      <c r="D32" s="6" t="s">
        <v>4901</v>
      </c>
      <c r="E32" s="6" t="s">
        <v>26</v>
      </c>
      <c r="F32" s="6" t="s">
        <v>4882</v>
      </c>
      <c r="G32" s="6" t="s">
        <v>2906</v>
      </c>
      <c r="H32" s="6">
        <v>1</v>
      </c>
      <c r="I32" s="18">
        <v>118</v>
      </c>
      <c r="J32" s="19">
        <v>46028.6766390857</v>
      </c>
      <c r="K32" s="6" t="s">
        <v>4880</v>
      </c>
      <c r="L32" t="str">
        <f t="shared" si="0"/>
        <v>GÁS BOTIJÃO P 13|46029</v>
      </c>
    </row>
    <row r="33" ht="13.5" customHeight="1" spans="1:12">
      <c r="A33" s="17">
        <v>46029.4266087963</v>
      </c>
      <c r="B33" s="6" t="s">
        <v>4876</v>
      </c>
      <c r="C33" s="6" t="s">
        <v>4902</v>
      </c>
      <c r="D33" s="6" t="s">
        <v>4903</v>
      </c>
      <c r="E33" s="6" t="s">
        <v>26</v>
      </c>
      <c r="F33" s="6" t="s">
        <v>4882</v>
      </c>
      <c r="G33" s="6" t="s">
        <v>413</v>
      </c>
      <c r="H33" s="6">
        <v>50</v>
      </c>
      <c r="I33" s="18">
        <v>329.5</v>
      </c>
      <c r="J33" s="19">
        <v>46035.4282185995</v>
      </c>
      <c r="K33" s="6" t="s">
        <v>4880</v>
      </c>
      <c r="L33" t="str">
        <f t="shared" si="0"/>
        <v>GASOLINA COMUM 01|46029</v>
      </c>
    </row>
    <row r="34" ht="13.5" customHeight="1" spans="1:12">
      <c r="A34" s="17">
        <v>46029.5278819444</v>
      </c>
      <c r="B34" s="6" t="s">
        <v>4876</v>
      </c>
      <c r="C34" s="6" t="s">
        <v>4904</v>
      </c>
      <c r="D34" s="6" t="s">
        <v>4905</v>
      </c>
      <c r="E34" s="6" t="s">
        <v>26</v>
      </c>
      <c r="F34" s="6" t="s">
        <v>4882</v>
      </c>
      <c r="G34" s="6" t="s">
        <v>580</v>
      </c>
      <c r="H34" s="6">
        <v>3</v>
      </c>
      <c r="I34" s="18">
        <v>909.96</v>
      </c>
      <c r="J34" s="19">
        <v>46030.5288230324</v>
      </c>
      <c r="K34" s="6" t="s">
        <v>4880</v>
      </c>
      <c r="L34" t="str">
        <f t="shared" si="0"/>
        <v>CHAPA U 4x3/16|46030</v>
      </c>
    </row>
    <row r="35" ht="13.5" customHeight="1" spans="1:12">
      <c r="A35" s="17">
        <v>46029.5292592593</v>
      </c>
      <c r="B35" s="6" t="s">
        <v>4876</v>
      </c>
      <c r="C35" s="6" t="s">
        <v>4906</v>
      </c>
      <c r="D35" s="6" t="s">
        <v>4907</v>
      </c>
      <c r="E35" s="6" t="s">
        <v>182</v>
      </c>
      <c r="F35" s="6" t="s">
        <v>4879</v>
      </c>
      <c r="G35" s="6" t="s">
        <v>819</v>
      </c>
      <c r="H35" s="6">
        <v>8</v>
      </c>
      <c r="I35" s="18">
        <v>300.48</v>
      </c>
      <c r="J35" s="19">
        <v>46030.5409814815</v>
      </c>
      <c r="K35" s="6" t="s">
        <v>4880</v>
      </c>
      <c r="L35" t="str">
        <f t="shared" si="0"/>
        <v>ENVELOPE 24X34  C/100UN|46030</v>
      </c>
    </row>
    <row r="36" ht="13.5" customHeight="1" spans="1:12">
      <c r="A36" s="17">
        <v>46029.5292592593</v>
      </c>
      <c r="B36" s="6" t="s">
        <v>4876</v>
      </c>
      <c r="C36" s="6" t="s">
        <v>4906</v>
      </c>
      <c r="D36" s="6" t="s">
        <v>4907</v>
      </c>
      <c r="E36" s="6" t="s">
        <v>182</v>
      </c>
      <c r="F36" s="6" t="s">
        <v>4879</v>
      </c>
      <c r="G36" s="6" t="s">
        <v>3395</v>
      </c>
      <c r="H36" s="6">
        <v>20</v>
      </c>
      <c r="I36" s="18">
        <v>104</v>
      </c>
      <c r="J36" s="19">
        <v>46030.5409810995</v>
      </c>
      <c r="K36" s="6" t="s">
        <v>4880</v>
      </c>
      <c r="L36" t="str">
        <f t="shared" si="0"/>
        <v>ELASTICO 25GRS AMARELO|46030</v>
      </c>
    </row>
    <row r="37" ht="13.5" customHeight="1" spans="1:12">
      <c r="A37" s="17">
        <v>46029.5292592593</v>
      </c>
      <c r="B37" s="6" t="s">
        <v>4876</v>
      </c>
      <c r="C37" s="6" t="s">
        <v>4906</v>
      </c>
      <c r="D37" s="6" t="s">
        <v>4907</v>
      </c>
      <c r="E37" s="6" t="s">
        <v>182</v>
      </c>
      <c r="F37" s="6" t="s">
        <v>4879</v>
      </c>
      <c r="G37" s="6" t="s">
        <v>2085</v>
      </c>
      <c r="H37" s="6">
        <v>10</v>
      </c>
      <c r="I37" s="18">
        <v>169.2</v>
      </c>
      <c r="J37" s="19">
        <v>46030.5409807523</v>
      </c>
      <c r="K37" s="6" t="s">
        <v>4880</v>
      </c>
      <c r="L37" t="str">
        <f t="shared" si="0"/>
        <v>PASTA REGISTRADORA A/Z OFICIO LONBO LARGO PRETO|46030</v>
      </c>
    </row>
    <row r="38" ht="13.5" customHeight="1" spans="1:12">
      <c r="A38" s="17">
        <v>46029.5292592593</v>
      </c>
      <c r="B38" s="6" t="s">
        <v>4876</v>
      </c>
      <c r="C38" s="6" t="s">
        <v>4906</v>
      </c>
      <c r="D38" s="6" t="s">
        <v>4907</v>
      </c>
      <c r="E38" s="6" t="s">
        <v>182</v>
      </c>
      <c r="F38" s="6" t="s">
        <v>4879</v>
      </c>
      <c r="G38" s="6" t="s">
        <v>2212</v>
      </c>
      <c r="H38" s="6">
        <v>4</v>
      </c>
      <c r="I38" s="18">
        <v>74.04</v>
      </c>
      <c r="J38" s="17">
        <v>46030.5409802083</v>
      </c>
      <c r="K38" s="6" t="s">
        <v>4880</v>
      </c>
      <c r="L38" t="str">
        <f t="shared" si="0"/>
        <v>PAPEL OPALINE 180G 50F|46030</v>
      </c>
    </row>
    <row r="39" ht="13.5" customHeight="1" spans="1:12">
      <c r="A39" s="17">
        <v>46029.5292592593</v>
      </c>
      <c r="B39" s="6" t="s">
        <v>4876</v>
      </c>
      <c r="C39" s="6" t="s">
        <v>4906</v>
      </c>
      <c r="D39" s="6" t="s">
        <v>4907</v>
      </c>
      <c r="E39" s="6" t="s">
        <v>182</v>
      </c>
      <c r="F39" s="6" t="s">
        <v>4879</v>
      </c>
      <c r="G39" s="6" t="s">
        <v>2216</v>
      </c>
      <c r="H39" s="6">
        <v>10</v>
      </c>
      <c r="I39" s="18">
        <v>185.4</v>
      </c>
      <c r="J39" s="17">
        <v>46030.5409798611</v>
      </c>
      <c r="K39" s="6" t="s">
        <v>4880</v>
      </c>
      <c r="L39" t="str">
        <f t="shared" si="0"/>
        <v>PAPEL GLOSSY 180GR A4 PCT C/50|46030</v>
      </c>
    </row>
    <row r="40" ht="13.5" customHeight="1" spans="1:12">
      <c r="A40" s="17">
        <v>46029.5292592593</v>
      </c>
      <c r="B40" s="6" t="s">
        <v>4876</v>
      </c>
      <c r="C40" s="6" t="s">
        <v>4906</v>
      </c>
      <c r="D40" s="6" t="s">
        <v>4907</v>
      </c>
      <c r="E40" s="6" t="s">
        <v>38</v>
      </c>
      <c r="F40" s="6" t="s">
        <v>4879</v>
      </c>
      <c r="G40" s="6" t="s">
        <v>4390</v>
      </c>
      <c r="H40" s="6">
        <v>40</v>
      </c>
      <c r="I40" s="18">
        <v>337.2</v>
      </c>
      <c r="J40" s="17">
        <v>46030.5409794792</v>
      </c>
      <c r="K40" s="6" t="s">
        <v>4880</v>
      </c>
      <c r="L40" t="str">
        <f t="shared" si="0"/>
        <v>BLOCO PARA CAIXA ACOPLADA LAVANDA SANY|46030</v>
      </c>
    </row>
    <row r="41" ht="13.5" customHeight="1" spans="1:12">
      <c r="A41" s="17">
        <v>46029.5292592593</v>
      </c>
      <c r="B41" s="6" t="s">
        <v>4876</v>
      </c>
      <c r="C41" s="6" t="s">
        <v>4906</v>
      </c>
      <c r="D41" s="6" t="s">
        <v>4907</v>
      </c>
      <c r="E41" s="6" t="s">
        <v>182</v>
      </c>
      <c r="F41" s="6" t="s">
        <v>4879</v>
      </c>
      <c r="G41" s="6" t="s">
        <v>261</v>
      </c>
      <c r="H41" s="6">
        <v>10</v>
      </c>
      <c r="I41" s="18">
        <v>152</v>
      </c>
      <c r="J41" s="17">
        <v>46030.540978588</v>
      </c>
      <c r="K41" s="6" t="s">
        <v>4880</v>
      </c>
      <c r="L41" t="str">
        <f t="shared" si="0"/>
        <v>INSETICIDA/SBP 360ML|46030</v>
      </c>
    </row>
    <row r="42" ht="13.5" customHeight="1" spans="1:12">
      <c r="A42" s="17">
        <v>46029.5292592593</v>
      </c>
      <c r="B42" s="6" t="s">
        <v>4876</v>
      </c>
      <c r="C42" s="6" t="s">
        <v>4906</v>
      </c>
      <c r="D42" s="6" t="s">
        <v>4907</v>
      </c>
      <c r="E42" s="6" t="s">
        <v>182</v>
      </c>
      <c r="F42" s="6" t="s">
        <v>4879</v>
      </c>
      <c r="G42" s="6" t="s">
        <v>630</v>
      </c>
      <c r="H42" s="6">
        <v>20</v>
      </c>
      <c r="I42" s="18">
        <v>170.6</v>
      </c>
      <c r="J42" s="17">
        <v>46030.540978044</v>
      </c>
      <c r="K42" s="6" t="s">
        <v>4880</v>
      </c>
      <c r="L42" t="str">
        <f t="shared" si="0"/>
        <v>PAPELÃO ARQUIVO MORTO|46030</v>
      </c>
    </row>
    <row r="43" ht="13.5" customHeight="1" spans="1:12">
      <c r="A43" s="17">
        <v>46029.5292592593</v>
      </c>
      <c r="B43" s="6" t="s">
        <v>4876</v>
      </c>
      <c r="C43" s="6" t="s">
        <v>4906</v>
      </c>
      <c r="D43" s="6" t="s">
        <v>4907</v>
      </c>
      <c r="E43" s="6" t="s">
        <v>38</v>
      </c>
      <c r="F43" s="6" t="s">
        <v>4879</v>
      </c>
      <c r="G43" s="6" t="s">
        <v>685</v>
      </c>
      <c r="H43" s="6">
        <v>20</v>
      </c>
      <c r="I43" s="18">
        <v>213.2</v>
      </c>
      <c r="J43" s="17">
        <v>46030.540977662</v>
      </c>
      <c r="K43" s="6" t="s">
        <v>4880</v>
      </c>
      <c r="L43" t="str">
        <f t="shared" si="0"/>
        <v>BOM AR TALCO 360ML|46030</v>
      </c>
    </row>
    <row r="44" ht="13.5" customHeight="1" spans="1:12">
      <c r="A44" s="17">
        <v>46029.5292592593</v>
      </c>
      <c r="B44" s="6" t="s">
        <v>4876</v>
      </c>
      <c r="C44" s="6" t="s">
        <v>4906</v>
      </c>
      <c r="D44" s="6" t="s">
        <v>4907</v>
      </c>
      <c r="E44" s="6" t="s">
        <v>38</v>
      </c>
      <c r="F44" s="6" t="s">
        <v>4879</v>
      </c>
      <c r="G44" s="6" t="s">
        <v>425</v>
      </c>
      <c r="H44" s="6">
        <v>10</v>
      </c>
      <c r="I44" s="18">
        <v>296.2</v>
      </c>
      <c r="J44" s="17">
        <v>46030.5409771181</v>
      </c>
      <c r="K44" s="6" t="s">
        <v>4880</v>
      </c>
      <c r="L44" t="str">
        <f t="shared" si="0"/>
        <v>PANO DE CHÃO ALVEJADO 100% ALGODÃO |46030</v>
      </c>
    </row>
    <row r="45" ht="13.5" customHeight="1" spans="1:12">
      <c r="A45" s="17">
        <v>46029.5292592593</v>
      </c>
      <c r="B45" s="6" t="s">
        <v>4876</v>
      </c>
      <c r="C45" s="6" t="s">
        <v>4906</v>
      </c>
      <c r="D45" s="6" t="s">
        <v>4907</v>
      </c>
      <c r="E45" s="6" t="s">
        <v>182</v>
      </c>
      <c r="F45" s="6" t="s">
        <v>4879</v>
      </c>
      <c r="G45" s="6" t="s">
        <v>431</v>
      </c>
      <c r="H45" s="6">
        <v>200</v>
      </c>
      <c r="I45" s="18">
        <v>4624</v>
      </c>
      <c r="J45" s="17">
        <v>46030.5409753125</v>
      </c>
      <c r="K45" s="6" t="s">
        <v>4880</v>
      </c>
      <c r="L45" t="str">
        <f t="shared" si="0"/>
        <v>PACOTE DE FOLHA A4 CHAMEX|46030</v>
      </c>
    </row>
    <row r="46" ht="13.5" customHeight="1" spans="1:12">
      <c r="A46" s="17">
        <v>46029.5292592593</v>
      </c>
      <c r="B46" s="6" t="s">
        <v>4876</v>
      </c>
      <c r="C46" s="6" t="s">
        <v>4906</v>
      </c>
      <c r="D46" s="6" t="s">
        <v>4907</v>
      </c>
      <c r="E46" s="6" t="s">
        <v>38</v>
      </c>
      <c r="F46" s="6" t="s">
        <v>4879</v>
      </c>
      <c r="G46" s="6" t="s">
        <v>258</v>
      </c>
      <c r="H46" s="6">
        <v>96</v>
      </c>
      <c r="I46" s="18">
        <v>689.28</v>
      </c>
      <c r="J46" s="17">
        <v>46030.5409734954</v>
      </c>
      <c r="K46" s="6" t="s">
        <v>4880</v>
      </c>
      <c r="L46" t="str">
        <f t="shared" si="0"/>
        <v>ÁLCOOL 70% 1 LITRO|46030</v>
      </c>
    </row>
    <row r="47" ht="13.5" customHeight="1" spans="1:12">
      <c r="A47" s="17">
        <v>46029.5639467593</v>
      </c>
      <c r="B47" s="6" t="s">
        <v>4876</v>
      </c>
      <c r="C47" s="6" t="s">
        <v>4908</v>
      </c>
      <c r="D47" s="6" t="s">
        <v>111</v>
      </c>
      <c r="E47" s="6" t="s">
        <v>26</v>
      </c>
      <c r="F47" s="6" t="s">
        <v>4882</v>
      </c>
      <c r="G47" s="6" t="s">
        <v>31</v>
      </c>
      <c r="H47" s="6">
        <v>1</v>
      </c>
      <c r="I47" s="18">
        <v>721.82</v>
      </c>
      <c r="J47" s="17">
        <v>46034.5654262732</v>
      </c>
      <c r="K47" s="6" t="s">
        <v>4880</v>
      </c>
      <c r="L47" t="str">
        <f t="shared" si="0"/>
        <v>TANQUE DE LIQUIDO SA1 AC/AE |46030</v>
      </c>
    </row>
    <row r="48" ht="13.5" customHeight="1" spans="1:12">
      <c r="A48" s="17">
        <v>46029.5842361111</v>
      </c>
      <c r="B48" s="6" t="s">
        <v>4876</v>
      </c>
      <c r="C48" s="6" t="s">
        <v>4909</v>
      </c>
      <c r="D48" s="6" t="s">
        <v>4910</v>
      </c>
      <c r="E48" s="6" t="s">
        <v>26</v>
      </c>
      <c r="F48" s="6" t="s">
        <v>4882</v>
      </c>
      <c r="G48" s="6" t="s">
        <v>1428</v>
      </c>
      <c r="H48" s="6">
        <v>2</v>
      </c>
      <c r="I48" s="18">
        <v>145.8</v>
      </c>
      <c r="J48" s="17">
        <v>46029.5875542014</v>
      </c>
      <c r="K48" s="6" t="s">
        <v>4880</v>
      </c>
      <c r="L48" t="str">
        <f t="shared" si="0"/>
        <v>SKY CATALISADOR P/ ESMALTE PU GL630000940118|46030</v>
      </c>
    </row>
    <row r="49" ht="13.5" customHeight="1" spans="1:12">
      <c r="A49" s="17">
        <v>46029.5842361111</v>
      </c>
      <c r="B49" s="6" t="s">
        <v>4876</v>
      </c>
      <c r="C49" s="6" t="s">
        <v>4909</v>
      </c>
      <c r="D49" s="6" t="s">
        <v>4910</v>
      </c>
      <c r="E49" s="6" t="s">
        <v>26</v>
      </c>
      <c r="F49" s="6" t="s">
        <v>4882</v>
      </c>
      <c r="G49" s="6" t="s">
        <v>1432</v>
      </c>
      <c r="H49" s="6">
        <v>1</v>
      </c>
      <c r="I49" s="18">
        <v>402.92</v>
      </c>
      <c r="J49" s="17">
        <v>46029.5875538542</v>
      </c>
      <c r="K49" s="6" t="s">
        <v>4880</v>
      </c>
      <c r="L49" t="str">
        <f t="shared" si="0"/>
        <v>SKY -3600 GL 9147 PU A BRANCO SPRINTER|46030</v>
      </c>
    </row>
    <row r="50" ht="13.5" customHeight="1" spans="1:12">
      <c r="A50" s="17">
        <v>46029.5877430556</v>
      </c>
      <c r="B50" s="6" t="s">
        <v>4876</v>
      </c>
      <c r="C50" s="6" t="s">
        <v>4911</v>
      </c>
      <c r="D50" s="6" t="s">
        <v>4912</v>
      </c>
      <c r="E50" s="6" t="s">
        <v>26</v>
      </c>
      <c r="F50" s="6" t="s">
        <v>4882</v>
      </c>
      <c r="G50" s="6" t="s">
        <v>4594</v>
      </c>
      <c r="H50" s="6">
        <v>10</v>
      </c>
      <c r="I50" s="18">
        <v>40</v>
      </c>
      <c r="J50" s="17">
        <v>46029.5905394676</v>
      </c>
      <c r="K50" s="6" t="s">
        <v>4880</v>
      </c>
      <c r="L50" t="str">
        <f t="shared" si="0"/>
        <v>ARAME TIG INOX|46030</v>
      </c>
    </row>
    <row r="51" ht="13.5" customHeight="1" spans="1:12">
      <c r="A51" s="17">
        <v>46029.5877430556</v>
      </c>
      <c r="B51" s="6" t="s">
        <v>4876</v>
      </c>
      <c r="C51" s="6" t="s">
        <v>4911</v>
      </c>
      <c r="D51" s="6" t="s">
        <v>4912</v>
      </c>
      <c r="E51" s="6" t="s">
        <v>26</v>
      </c>
      <c r="F51" s="6" t="s">
        <v>4882</v>
      </c>
      <c r="G51" s="6" t="s">
        <v>163</v>
      </c>
      <c r="H51" s="6">
        <v>4</v>
      </c>
      <c r="I51" s="18">
        <v>104</v>
      </c>
      <c r="J51" s="17">
        <v>46029.5905389236</v>
      </c>
      <c r="K51" s="6" t="s">
        <v>4880</v>
      </c>
      <c r="L51" t="str">
        <f t="shared" si="0"/>
        <v>CORREIA A-40|46030</v>
      </c>
    </row>
    <row r="52" ht="13.5" customHeight="1" spans="1:12">
      <c r="A52" s="17">
        <v>46029.5942013889</v>
      </c>
      <c r="B52" s="6" t="s">
        <v>4876</v>
      </c>
      <c r="C52" s="6" t="s">
        <v>4913</v>
      </c>
      <c r="D52" s="6" t="s">
        <v>4914</v>
      </c>
      <c r="E52" s="6" t="s">
        <v>26</v>
      </c>
      <c r="F52" s="6" t="s">
        <v>4882</v>
      </c>
      <c r="G52" s="6" t="s">
        <v>709</v>
      </c>
      <c r="H52" s="6">
        <v>1</v>
      </c>
      <c r="I52" s="18">
        <v>120</v>
      </c>
      <c r="J52" s="17">
        <v>46034.5975466782</v>
      </c>
      <c r="K52" s="6" t="s">
        <v>4880</v>
      </c>
      <c r="L52" t="str">
        <f t="shared" si="0"/>
        <v>FERRO DE PASSA A SECO BLACK DECKER 220V|46030</v>
      </c>
    </row>
    <row r="53" ht="13.5" customHeight="1" spans="1:12">
      <c r="A53" s="17">
        <v>46030.5705208333</v>
      </c>
      <c r="B53" s="6" t="s">
        <v>4876</v>
      </c>
      <c r="C53" s="6" t="s">
        <v>4915</v>
      </c>
      <c r="D53" s="6" t="s">
        <v>4916</v>
      </c>
      <c r="E53" s="6" t="s">
        <v>26</v>
      </c>
      <c r="F53" s="6" t="s">
        <v>4882</v>
      </c>
      <c r="G53" s="6" t="s">
        <v>3017</v>
      </c>
      <c r="H53" s="6">
        <v>1</v>
      </c>
      <c r="I53" s="18">
        <v>193.7</v>
      </c>
      <c r="J53" s="17">
        <v>46034.5735363426</v>
      </c>
      <c r="K53" s="6" t="s">
        <v>4880</v>
      </c>
      <c r="L53" t="str">
        <f t="shared" si="0"/>
        <v>FONTE MCM GARRA CF TV 12.8V 10A|46031</v>
      </c>
    </row>
    <row r="54" ht="13.5" customHeight="1" spans="1:12">
      <c r="A54" s="17">
        <v>46030.6611458333</v>
      </c>
      <c r="B54" s="6" t="s">
        <v>4876</v>
      </c>
      <c r="C54" s="6" t="s">
        <v>4917</v>
      </c>
      <c r="D54" s="6" t="s">
        <v>110</v>
      </c>
      <c r="E54" s="6" t="s">
        <v>26</v>
      </c>
      <c r="F54" s="6" t="s">
        <v>4882</v>
      </c>
      <c r="G54" s="6" t="s">
        <v>173</v>
      </c>
      <c r="H54" s="6">
        <v>2</v>
      </c>
      <c r="I54" s="18">
        <v>240</v>
      </c>
      <c r="J54" s="17">
        <v>46030.6637409722</v>
      </c>
      <c r="K54" s="6" t="s">
        <v>4880</v>
      </c>
      <c r="L54" t="str">
        <f t="shared" si="0"/>
        <v>VIDRO ESPELHO RETROVISOR SUPERIOR LE 23B857521A|46031</v>
      </c>
    </row>
    <row r="55" ht="13.5" customHeight="1" spans="1:12">
      <c r="A55" s="17">
        <v>46030.6640277778</v>
      </c>
      <c r="B55" s="6" t="s">
        <v>4876</v>
      </c>
      <c r="C55" s="6" t="s">
        <v>4918</v>
      </c>
      <c r="D55" s="6" t="s">
        <v>4919</v>
      </c>
      <c r="E55" s="6" t="s">
        <v>26</v>
      </c>
      <c r="F55" s="6" t="s">
        <v>4882</v>
      </c>
      <c r="G55" s="6" t="s">
        <v>435</v>
      </c>
      <c r="H55" s="6">
        <v>4</v>
      </c>
      <c r="I55" s="18">
        <v>175.6</v>
      </c>
      <c r="J55" s="17">
        <v>46030.6647246528</v>
      </c>
      <c r="K55" s="6" t="s">
        <v>4880</v>
      </c>
      <c r="L55" t="str">
        <f t="shared" si="0"/>
        <v>SKY PU PRETO CADILAC  |46031</v>
      </c>
    </row>
    <row r="56" ht="13.5" customHeight="1" spans="1:12">
      <c r="A56" s="17">
        <v>46031.3682523148</v>
      </c>
      <c r="B56" s="6" t="s">
        <v>4876</v>
      </c>
      <c r="C56" s="6" t="s">
        <v>4920</v>
      </c>
      <c r="D56" s="6" t="s">
        <v>4921</v>
      </c>
      <c r="E56" s="6" t="s">
        <v>26</v>
      </c>
      <c r="F56" s="6" t="s">
        <v>4882</v>
      </c>
      <c r="G56" s="6" t="s">
        <v>3928</v>
      </c>
      <c r="H56" s="6">
        <v>2</v>
      </c>
      <c r="I56" s="18">
        <v>50</v>
      </c>
      <c r="J56" s="17">
        <v>46034.3707939815</v>
      </c>
      <c r="K56" s="6" t="s">
        <v>4880</v>
      </c>
      <c r="L56" t="str">
        <f t="shared" si="0"/>
        <v>CAPACITOR PERMANENTE 30MF 250V|46031</v>
      </c>
    </row>
    <row r="57" ht="13.5" customHeight="1" spans="1:12">
      <c r="A57" s="17">
        <v>46031.3783217593</v>
      </c>
      <c r="B57" s="6" t="s">
        <v>4876</v>
      </c>
      <c r="C57" s="6" t="s">
        <v>4922</v>
      </c>
      <c r="D57" s="6" t="s">
        <v>4923</v>
      </c>
      <c r="E57" s="6" t="s">
        <v>783</v>
      </c>
      <c r="F57" s="6" t="s">
        <v>4879</v>
      </c>
      <c r="G57" s="6" t="s">
        <v>4021</v>
      </c>
      <c r="H57" s="6">
        <v>30</v>
      </c>
      <c r="I57" s="18">
        <v>1080</v>
      </c>
      <c r="J57" s="17">
        <v>46063.4049734144</v>
      </c>
      <c r="K57" s="6" t="s">
        <v>4880</v>
      </c>
      <c r="L57" t="str">
        <f t="shared" si="0"/>
        <v>CAMISA CARECA P.V. PREMIUM BRANCO (M)|46031</v>
      </c>
    </row>
    <row r="58" ht="13.5" customHeight="1" spans="1:12">
      <c r="A58" s="17">
        <v>46031.3832407407</v>
      </c>
      <c r="B58" s="6" t="s">
        <v>4876</v>
      </c>
      <c r="C58" s="6" t="s">
        <v>4924</v>
      </c>
      <c r="D58" s="6" t="s">
        <v>4884</v>
      </c>
      <c r="E58" s="6" t="s">
        <v>26</v>
      </c>
      <c r="F58" s="6" t="s">
        <v>4882</v>
      </c>
      <c r="G58" s="6" t="s">
        <v>1047</v>
      </c>
      <c r="H58" s="6">
        <v>1</v>
      </c>
      <c r="I58" s="18">
        <v>13.74</v>
      </c>
      <c r="J58" s="17">
        <v>46034.4086570602</v>
      </c>
      <c r="K58" s="6" t="s">
        <v>4880</v>
      </c>
      <c r="L58" t="str">
        <f t="shared" si="0"/>
        <v>UNIAO SOLD 25MM|46031</v>
      </c>
    </row>
    <row r="59" ht="13.5" customHeight="1" spans="1:12">
      <c r="A59" s="17">
        <v>46031.3832407407</v>
      </c>
      <c r="B59" s="6" t="s">
        <v>4876</v>
      </c>
      <c r="C59" s="6" t="s">
        <v>4924</v>
      </c>
      <c r="D59" s="6" t="s">
        <v>4884</v>
      </c>
      <c r="E59" s="6" t="s">
        <v>26</v>
      </c>
      <c r="F59" s="6" t="s">
        <v>4882</v>
      </c>
      <c r="G59" s="6" t="s">
        <v>1251</v>
      </c>
      <c r="H59" s="6">
        <v>1</v>
      </c>
      <c r="I59" s="18">
        <v>12.77</v>
      </c>
      <c r="J59" s="17">
        <v>46034.4086554398</v>
      </c>
      <c r="K59" s="6" t="s">
        <v>4880</v>
      </c>
      <c r="L59" t="str">
        <f t="shared" si="0"/>
        <v>TE ROSCA 3/4|46031</v>
      </c>
    </row>
    <row r="60" ht="13.5" customHeight="1" spans="1:12">
      <c r="A60" s="17">
        <v>46031.3832407407</v>
      </c>
      <c r="B60" s="6" t="s">
        <v>4876</v>
      </c>
      <c r="C60" s="6" t="s">
        <v>4924</v>
      </c>
      <c r="D60" s="6" t="s">
        <v>4884</v>
      </c>
      <c r="E60" s="6" t="s">
        <v>26</v>
      </c>
      <c r="F60" s="6" t="s">
        <v>4882</v>
      </c>
      <c r="G60" s="6" t="s">
        <v>1595</v>
      </c>
      <c r="H60" s="6">
        <v>4</v>
      </c>
      <c r="I60" s="18">
        <v>16.32</v>
      </c>
      <c r="J60" s="17">
        <v>46034.4086534722</v>
      </c>
      <c r="K60" s="6" t="s">
        <v>4880</v>
      </c>
      <c r="L60" t="str">
        <f t="shared" si="0"/>
        <v>ROSCA NIPEL 3/4 TIGRE|46031</v>
      </c>
    </row>
    <row r="61" ht="13.5" customHeight="1" spans="1:12">
      <c r="A61" s="17">
        <v>46031.3832407407</v>
      </c>
      <c r="B61" s="6" t="s">
        <v>4876</v>
      </c>
      <c r="C61" s="6" t="s">
        <v>4924</v>
      </c>
      <c r="D61" s="6" t="s">
        <v>4884</v>
      </c>
      <c r="E61" s="6" t="s">
        <v>26</v>
      </c>
      <c r="F61" s="6" t="s">
        <v>4882</v>
      </c>
      <c r="G61" s="6" t="s">
        <v>2376</v>
      </c>
      <c r="H61" s="6">
        <v>3</v>
      </c>
      <c r="I61" s="18">
        <v>8.1</v>
      </c>
      <c r="J61" s="17">
        <v>46034.4086525463</v>
      </c>
      <c r="K61" s="6" t="s">
        <v>4880</v>
      </c>
      <c r="L61" t="str">
        <f t="shared" si="0"/>
        <v>NIPEL ROSCA 1/2|46031</v>
      </c>
    </row>
    <row r="62" ht="13.5" customHeight="1" spans="1:12">
      <c r="A62" s="17">
        <v>46031.3832407407</v>
      </c>
      <c r="B62" s="6" t="s">
        <v>4876</v>
      </c>
      <c r="C62" s="6" t="s">
        <v>4924</v>
      </c>
      <c r="D62" s="6" t="s">
        <v>4884</v>
      </c>
      <c r="E62" s="6" t="s">
        <v>26</v>
      </c>
      <c r="F62" s="6" t="s">
        <v>4882</v>
      </c>
      <c r="G62" s="6" t="s">
        <v>2591</v>
      </c>
      <c r="H62" s="6">
        <v>6</v>
      </c>
      <c r="I62" s="18">
        <v>16.2</v>
      </c>
      <c r="J62" s="17">
        <v>46034.4086520023</v>
      </c>
      <c r="K62" s="6" t="s">
        <v>4880</v>
      </c>
      <c r="L62" t="str">
        <f t="shared" si="0"/>
        <v>LUVA SOLD RED 25X20MM|46031</v>
      </c>
    </row>
    <row r="63" ht="13.5" customHeight="1" spans="1:12">
      <c r="A63" s="17">
        <v>46031.3832407407</v>
      </c>
      <c r="B63" s="6" t="s">
        <v>4876</v>
      </c>
      <c r="C63" s="6" t="s">
        <v>4924</v>
      </c>
      <c r="D63" s="6" t="s">
        <v>4884</v>
      </c>
      <c r="E63" s="6" t="s">
        <v>26</v>
      </c>
      <c r="F63" s="6" t="s">
        <v>4882</v>
      </c>
      <c r="G63" s="6" t="s">
        <v>2590</v>
      </c>
      <c r="H63" s="6">
        <v>1</v>
      </c>
      <c r="I63" s="18">
        <v>3.62</v>
      </c>
      <c r="J63" s="17">
        <v>46034.4086518519</v>
      </c>
      <c r="K63" s="6" t="s">
        <v>4880</v>
      </c>
      <c r="L63" t="str">
        <f t="shared" si="0"/>
        <v>LUVA SOLD ROSC C/RED 25X1 1/2|46031</v>
      </c>
    </row>
    <row r="64" ht="13.5" customHeight="1" spans="1:12">
      <c r="A64" s="17">
        <v>46031.3832407407</v>
      </c>
      <c r="B64" s="6" t="s">
        <v>4876</v>
      </c>
      <c r="C64" s="6" t="s">
        <v>4924</v>
      </c>
      <c r="D64" s="6" t="s">
        <v>4884</v>
      </c>
      <c r="E64" s="6" t="s">
        <v>26</v>
      </c>
      <c r="F64" s="6" t="s">
        <v>4882</v>
      </c>
      <c r="G64" s="6" t="s">
        <v>1390</v>
      </c>
      <c r="H64" s="6">
        <v>5</v>
      </c>
      <c r="I64" s="18">
        <v>5.2</v>
      </c>
      <c r="J64" s="17">
        <v>46034.4086516551</v>
      </c>
      <c r="K64" s="6" t="s">
        <v>4880</v>
      </c>
      <c r="L64" t="str">
        <f t="shared" si="0"/>
        <v>SOLDA JOELHO 90 25MM TIGRE|46031</v>
      </c>
    </row>
    <row r="65" ht="13.5" customHeight="1" spans="1:12">
      <c r="A65" s="17">
        <v>46031.3832407407</v>
      </c>
      <c r="B65" s="6" t="s">
        <v>4876</v>
      </c>
      <c r="C65" s="6" t="s">
        <v>4924</v>
      </c>
      <c r="D65" s="6" t="s">
        <v>4884</v>
      </c>
      <c r="E65" s="6" t="s">
        <v>26</v>
      </c>
      <c r="F65" s="6" t="s">
        <v>4882</v>
      </c>
      <c r="G65" s="6" t="s">
        <v>1398</v>
      </c>
      <c r="H65" s="6">
        <v>1</v>
      </c>
      <c r="I65" s="18">
        <v>4.31</v>
      </c>
      <c r="J65" s="17">
        <v>46034.4086511227</v>
      </c>
      <c r="K65" s="6" t="s">
        <v>4880</v>
      </c>
      <c r="L65" t="str">
        <f t="shared" si="0"/>
        <v>SOLDA CURVA 90 25MM MARCA TIGRE|46031</v>
      </c>
    </row>
    <row r="66" ht="13.5" customHeight="1" spans="1:12">
      <c r="A66" s="17">
        <v>46031.3832407407</v>
      </c>
      <c r="B66" s="6" t="s">
        <v>4876</v>
      </c>
      <c r="C66" s="6" t="s">
        <v>4924</v>
      </c>
      <c r="D66" s="6" t="s">
        <v>4884</v>
      </c>
      <c r="E66" s="6" t="s">
        <v>26</v>
      </c>
      <c r="F66" s="6" t="s">
        <v>4882</v>
      </c>
      <c r="G66" s="6" t="s">
        <v>4181</v>
      </c>
      <c r="H66" s="6">
        <v>2</v>
      </c>
      <c r="I66" s="18">
        <v>1.96</v>
      </c>
      <c r="J66" s="17">
        <v>46034.4086507292</v>
      </c>
      <c r="K66" s="6" t="s">
        <v>4880</v>
      </c>
      <c r="L66" t="str">
        <f t="shared" ref="L66:L129" si="1">IF(G66="","",G66&amp;"|"&amp;TEXT(A66,"0"))</f>
        <v>BUCHA RED CURTA SOLD 25X20MM|46031</v>
      </c>
    </row>
    <row r="67" ht="13.5" customHeight="1" spans="1:12">
      <c r="A67" s="17">
        <v>46031.3832407407</v>
      </c>
      <c r="B67" s="6" t="s">
        <v>4876</v>
      </c>
      <c r="C67" s="6" t="s">
        <v>4924</v>
      </c>
      <c r="D67" s="6" t="s">
        <v>4884</v>
      </c>
      <c r="E67" s="6" t="s">
        <v>26</v>
      </c>
      <c r="F67" s="6" t="s">
        <v>4882</v>
      </c>
      <c r="G67" s="6" t="s">
        <v>4693</v>
      </c>
      <c r="H67" s="6">
        <v>4</v>
      </c>
      <c r="I67" s="18">
        <v>6.2</v>
      </c>
      <c r="J67" s="17">
        <v>46034.4086501968</v>
      </c>
      <c r="K67" s="6" t="s">
        <v>4880</v>
      </c>
      <c r="L67" t="str">
        <f t="shared" si="1"/>
        <v>ADAP SOLD CT SOL/ROSC 20MMX1/2|46031</v>
      </c>
    </row>
    <row r="68" ht="13.5" customHeight="1" spans="1:12">
      <c r="A68" s="17">
        <v>46031.4285763889</v>
      </c>
      <c r="B68" s="6" t="s">
        <v>4876</v>
      </c>
      <c r="C68" s="6" t="s">
        <v>4925</v>
      </c>
      <c r="D68" s="6" t="s">
        <v>4926</v>
      </c>
      <c r="E68" s="6" t="s">
        <v>26</v>
      </c>
      <c r="F68" s="6" t="s">
        <v>4882</v>
      </c>
      <c r="G68" s="6" t="s">
        <v>674</v>
      </c>
      <c r="H68" s="6">
        <v>1</v>
      </c>
      <c r="I68" s="18">
        <v>399</v>
      </c>
      <c r="J68" s="17">
        <v>46035.4290741551</v>
      </c>
      <c r="K68" s="6" t="s">
        <v>4880</v>
      </c>
      <c r="L68" t="str">
        <f t="shared" si="1"/>
        <v>FITA DBA 9MM ROLOS COM 4.000MTS|46031</v>
      </c>
    </row>
    <row r="69" ht="13.5" customHeight="1" spans="1:12">
      <c r="A69" s="17">
        <v>46031.4304861111</v>
      </c>
      <c r="B69" s="6" t="s">
        <v>4876</v>
      </c>
      <c r="C69" s="6" t="s">
        <v>4927</v>
      </c>
      <c r="D69" s="6" t="s">
        <v>4928</v>
      </c>
      <c r="E69" s="6" t="s">
        <v>26</v>
      </c>
      <c r="F69" s="6" t="s">
        <v>4882</v>
      </c>
      <c r="G69" s="6" t="s">
        <v>711</v>
      </c>
      <c r="H69" s="6">
        <v>1</v>
      </c>
      <c r="I69" s="18">
        <v>59.9</v>
      </c>
      <c r="J69" s="17">
        <v>46035.4312759607</v>
      </c>
      <c r="K69" s="6" t="s">
        <v>4880</v>
      </c>
      <c r="L69" t="str">
        <f t="shared" si="1"/>
        <v>LANTERNA DE CABECA |46031</v>
      </c>
    </row>
    <row r="70" ht="13.5" customHeight="1" spans="1:12">
      <c r="A70" s="17">
        <v>46031.5570138889</v>
      </c>
      <c r="B70" s="6" t="s">
        <v>4876</v>
      </c>
      <c r="C70" s="6" t="s">
        <v>4929</v>
      </c>
      <c r="D70" s="6" t="s">
        <v>4930</v>
      </c>
      <c r="E70" s="6" t="s">
        <v>26</v>
      </c>
      <c r="F70" s="6" t="s">
        <v>4882</v>
      </c>
      <c r="G70" s="6" t="s">
        <v>3352</v>
      </c>
      <c r="H70" s="6">
        <v>1</v>
      </c>
      <c r="I70" s="18">
        <v>24.74</v>
      </c>
      <c r="J70" s="17">
        <v>46041.5580090278</v>
      </c>
      <c r="K70" s="6" t="s">
        <v>4880</v>
      </c>
      <c r="L70" t="str">
        <f t="shared" si="1"/>
        <v>EMENDA ALUMINIO 8MM VALVULA DE SERVIÇO R12 C/CLIP RC 450 106|46032</v>
      </c>
    </row>
    <row r="71" ht="13.5" customHeight="1" spans="1:12">
      <c r="A71" s="17">
        <v>46031.5931481482</v>
      </c>
      <c r="B71" s="6" t="s">
        <v>4876</v>
      </c>
      <c r="C71" s="6" t="s">
        <v>4931</v>
      </c>
      <c r="D71" s="6" t="s">
        <v>4894</v>
      </c>
      <c r="E71" s="6" t="s">
        <v>26</v>
      </c>
      <c r="F71" s="6" t="s">
        <v>4882</v>
      </c>
      <c r="G71" s="6" t="s">
        <v>3305</v>
      </c>
      <c r="H71" s="6">
        <v>2</v>
      </c>
      <c r="I71" s="18">
        <v>98.36</v>
      </c>
      <c r="J71" s="17">
        <v>46031.5960928241</v>
      </c>
      <c r="K71" s="6" t="s">
        <v>4880</v>
      </c>
      <c r="L71" t="str">
        <f t="shared" si="1"/>
        <v>ESCOVA WORKER CIRCULA TOR C 4.1/2X1|46032</v>
      </c>
    </row>
    <row r="72" ht="13.5" customHeight="1" spans="1:12">
      <c r="A72" s="17">
        <v>46031.5963657407</v>
      </c>
      <c r="B72" s="6" t="s">
        <v>4876</v>
      </c>
      <c r="C72" s="6" t="s">
        <v>4932</v>
      </c>
      <c r="D72" s="6" t="s">
        <v>4933</v>
      </c>
      <c r="E72" s="6" t="s">
        <v>51</v>
      </c>
      <c r="F72" s="6" t="s">
        <v>4879</v>
      </c>
      <c r="G72" s="6" t="s">
        <v>484</v>
      </c>
      <c r="H72" s="6">
        <v>50</v>
      </c>
      <c r="I72" s="18">
        <v>550</v>
      </c>
      <c r="J72" s="17">
        <v>46031.5974449074</v>
      </c>
      <c r="K72" s="6" t="s">
        <v>4880</v>
      </c>
      <c r="L72" t="str">
        <f t="shared" si="1"/>
        <v>RELATÓRIO DE VIAGEM|46032</v>
      </c>
    </row>
    <row r="73" ht="13.5" customHeight="1" spans="1:12">
      <c r="A73" s="17">
        <v>46031.5980555556</v>
      </c>
      <c r="B73" s="6" t="s">
        <v>4876</v>
      </c>
      <c r="C73" s="6" t="s">
        <v>4934</v>
      </c>
      <c r="D73" s="6" t="s">
        <v>4935</v>
      </c>
      <c r="E73" s="6" t="s">
        <v>26</v>
      </c>
      <c r="F73" s="6" t="s">
        <v>4882</v>
      </c>
      <c r="G73" s="6" t="s">
        <v>1521</v>
      </c>
      <c r="H73" s="6">
        <v>1</v>
      </c>
      <c r="I73" s="18">
        <v>96.56</v>
      </c>
      <c r="J73" s="17">
        <v>46031.5991451736</v>
      </c>
      <c r="K73" s="6" t="s">
        <v>4880</v>
      </c>
      <c r="L73" t="str">
        <f t="shared" si="1"/>
        <v>SAPATO SOFTWORKS BRANCO N39|46032</v>
      </c>
    </row>
    <row r="74" ht="13.5" customHeight="1" spans="1:12">
      <c r="A74" s="17">
        <v>46031.5993518519</v>
      </c>
      <c r="B74" s="6" t="s">
        <v>4876</v>
      </c>
      <c r="C74" s="6" t="s">
        <v>4936</v>
      </c>
      <c r="D74" s="6" t="s">
        <v>4919</v>
      </c>
      <c r="E74" s="6" t="s">
        <v>26</v>
      </c>
      <c r="F74" s="6" t="s">
        <v>4882</v>
      </c>
      <c r="G74" s="6" t="s">
        <v>477</v>
      </c>
      <c r="H74" s="6">
        <v>12</v>
      </c>
      <c r="I74" s="18">
        <v>370.8</v>
      </c>
      <c r="J74" s="17">
        <v>46031.6025082523</v>
      </c>
      <c r="K74" s="6" t="s">
        <v>4880</v>
      </c>
      <c r="L74" t="str">
        <f t="shared" si="1"/>
        <v>COLORGIN PRETO RAPIDO |46032</v>
      </c>
    </row>
    <row r="75" ht="13.5" customHeight="1" spans="1:12">
      <c r="A75" s="17">
        <v>46031.6029282407</v>
      </c>
      <c r="B75" s="6" t="s">
        <v>4876</v>
      </c>
      <c r="C75" s="6" t="s">
        <v>4937</v>
      </c>
      <c r="D75" s="6" t="s">
        <v>4884</v>
      </c>
      <c r="E75" s="6" t="s">
        <v>26</v>
      </c>
      <c r="F75" s="6" t="s">
        <v>4882</v>
      </c>
      <c r="G75" s="6" t="s">
        <v>442</v>
      </c>
      <c r="H75" s="6">
        <v>6</v>
      </c>
      <c r="I75" s="18">
        <v>239.7</v>
      </c>
      <c r="J75" s="17">
        <v>46031.6036254282</v>
      </c>
      <c r="K75" s="6" t="s">
        <v>4880</v>
      </c>
      <c r="L75" t="str">
        <f t="shared" si="1"/>
        <v>LAMPADA INFRAVERMELHO SECAGEM 250W|46032</v>
      </c>
    </row>
    <row r="76" ht="13.5" customHeight="1" spans="1:12">
      <c r="A76" s="17">
        <v>46031.6041203704</v>
      </c>
      <c r="B76" s="6" t="s">
        <v>4876</v>
      </c>
      <c r="C76" s="6" t="s">
        <v>4938</v>
      </c>
      <c r="D76" s="6" t="s">
        <v>110</v>
      </c>
      <c r="E76" s="6" t="s">
        <v>26</v>
      </c>
      <c r="F76" s="6" t="s">
        <v>4882</v>
      </c>
      <c r="G76" s="6" t="s">
        <v>558</v>
      </c>
      <c r="H76" s="6">
        <v>10</v>
      </c>
      <c r="I76" s="18">
        <v>70</v>
      </c>
      <c r="J76" s="17">
        <v>46031.6048172801</v>
      </c>
      <c r="K76" s="6" t="s">
        <v>4880</v>
      </c>
      <c r="L76" t="str">
        <f t="shared" si="1"/>
        <v>ALONGADOR DE BICO DE PNEU|46032</v>
      </c>
    </row>
    <row r="77" ht="13.5" customHeight="1" spans="1:12">
      <c r="A77" s="17">
        <v>46031.6052662037</v>
      </c>
      <c r="B77" s="6" t="s">
        <v>4876</v>
      </c>
      <c r="C77" s="6" t="s">
        <v>4939</v>
      </c>
      <c r="D77" s="6" t="s">
        <v>4940</v>
      </c>
      <c r="E77" s="6" t="s">
        <v>35</v>
      </c>
      <c r="F77" s="6" t="s">
        <v>4879</v>
      </c>
      <c r="G77" s="6" t="s">
        <v>166</v>
      </c>
      <c r="H77" s="6">
        <v>1</v>
      </c>
      <c r="I77" s="18">
        <v>205</v>
      </c>
      <c r="J77" s="17">
        <v>46031.6076564468</v>
      </c>
      <c r="K77" s="6" t="s">
        <v>4880</v>
      </c>
      <c r="L77" t="str">
        <f t="shared" si="1"/>
        <v>TUBO COMBUSTIVEL SPRINTER|46032</v>
      </c>
    </row>
    <row r="78" ht="13.5" customHeight="1" spans="1:12">
      <c r="A78" s="17">
        <v>46031.6888194445</v>
      </c>
      <c r="B78" s="6" t="s">
        <v>4876</v>
      </c>
      <c r="C78" s="6" t="s">
        <v>4941</v>
      </c>
      <c r="D78" s="6" t="s">
        <v>4942</v>
      </c>
      <c r="E78" s="6" t="s">
        <v>26</v>
      </c>
      <c r="F78" s="6" t="s">
        <v>4882</v>
      </c>
      <c r="G78" s="6" t="s">
        <v>3374</v>
      </c>
      <c r="H78" s="6">
        <v>2</v>
      </c>
      <c r="I78" s="18">
        <v>395</v>
      </c>
      <c r="J78" s="17">
        <v>46041.6969394676</v>
      </c>
      <c r="K78" s="6" t="s">
        <v>4880</v>
      </c>
      <c r="L78" t="str">
        <f t="shared" si="1"/>
        <v>ELEVADO VIDRO DELIVERY LD 4402 LD|46032</v>
      </c>
    </row>
    <row r="79" ht="13.5" customHeight="1" spans="1:12">
      <c r="A79" s="17">
        <v>46031.6888194445</v>
      </c>
      <c r="B79" s="6" t="s">
        <v>4876</v>
      </c>
      <c r="C79" s="6" t="s">
        <v>4941</v>
      </c>
      <c r="D79" s="6" t="s">
        <v>4942</v>
      </c>
      <c r="E79" s="6" t="s">
        <v>26</v>
      </c>
      <c r="F79" s="6" t="s">
        <v>4882</v>
      </c>
      <c r="G79" s="6" t="s">
        <v>407</v>
      </c>
      <c r="H79" s="6">
        <v>2</v>
      </c>
      <c r="I79" s="18">
        <v>395</v>
      </c>
      <c r="J79" s="17">
        <v>46041.6969393171</v>
      </c>
      <c r="K79" s="6" t="s">
        <v>4880</v>
      </c>
      <c r="L79" t="str">
        <f t="shared" si="1"/>
        <v>ELEVADOR MANUAL VIDRO DELIVERY R-4402LE|46032</v>
      </c>
    </row>
    <row r="80" ht="13.5" customHeight="1" spans="1:12">
      <c r="A80" s="17">
        <v>46034.5283680556</v>
      </c>
      <c r="B80" s="6" t="s">
        <v>4876</v>
      </c>
      <c r="C80" s="6" t="s">
        <v>4943</v>
      </c>
      <c r="D80" s="6" t="s">
        <v>4944</v>
      </c>
      <c r="E80" s="6" t="s">
        <v>26</v>
      </c>
      <c r="F80" s="6" t="s">
        <v>4882</v>
      </c>
      <c r="G80" s="6" t="s">
        <v>3982</v>
      </c>
      <c r="H80" s="6">
        <v>4</v>
      </c>
      <c r="I80" s="18">
        <v>119.68</v>
      </c>
      <c r="J80" s="17">
        <v>46037.5298606134</v>
      </c>
      <c r="K80" s="6" t="s">
        <v>4880</v>
      </c>
      <c r="L80" t="str">
        <f t="shared" si="1"/>
        <v>CAMISA TÉRMICA COM PROTEÇÃO SOLAR UV 50 DRY FIT VERDE (GG)|46035</v>
      </c>
    </row>
    <row r="81" ht="13.5" customHeight="1" spans="1:12">
      <c r="A81" s="17">
        <v>46034.5303935185</v>
      </c>
      <c r="B81" s="6" t="s">
        <v>4876</v>
      </c>
      <c r="C81" s="6" t="s">
        <v>4945</v>
      </c>
      <c r="D81" s="6" t="s">
        <v>4946</v>
      </c>
      <c r="E81" s="6" t="s">
        <v>26</v>
      </c>
      <c r="F81" s="6" t="s">
        <v>4882</v>
      </c>
      <c r="G81" s="6" t="s">
        <v>712</v>
      </c>
      <c r="H81" s="6">
        <v>1</v>
      </c>
      <c r="I81" s="18">
        <v>84.28</v>
      </c>
      <c r="J81" s="17">
        <v>46037.5329773495</v>
      </c>
      <c r="K81" s="6" t="s">
        <v>4880</v>
      </c>
      <c r="L81" t="str">
        <f t="shared" si="1"/>
        <v>PROTETOR DISCO ESMERILHADEIRA MAKITA ORIGINAL 41/2 C/ENGATE|46035</v>
      </c>
    </row>
    <row r="82" ht="13.5" customHeight="1" spans="1:12">
      <c r="A82" s="17">
        <v>46034.5514467593</v>
      </c>
      <c r="B82" s="6" t="s">
        <v>4876</v>
      </c>
      <c r="C82" s="6" t="s">
        <v>4947</v>
      </c>
      <c r="D82" s="6" t="s">
        <v>4948</v>
      </c>
      <c r="E82" s="6" t="s">
        <v>26</v>
      </c>
      <c r="F82" s="6" t="s">
        <v>4882</v>
      </c>
      <c r="G82" s="6" t="s">
        <v>3734</v>
      </c>
      <c r="H82" s="6">
        <v>2</v>
      </c>
      <c r="I82" s="18">
        <v>749.98</v>
      </c>
      <c r="J82" s="17">
        <v>46044.5556897801</v>
      </c>
      <c r="K82" s="6" t="s">
        <v>4880</v>
      </c>
      <c r="L82" t="str">
        <f t="shared" si="1"/>
        <v>COBERTURA DO ESTRIBO LE ACCELO A9797287021|46035</v>
      </c>
    </row>
    <row r="83" ht="13.5" customHeight="1" spans="1:12">
      <c r="A83" s="17">
        <v>46034.5614930556</v>
      </c>
      <c r="B83" s="6" t="s">
        <v>4876</v>
      </c>
      <c r="C83" s="6" t="s">
        <v>4949</v>
      </c>
      <c r="D83" s="6" t="s">
        <v>4950</v>
      </c>
      <c r="E83" s="6" t="s">
        <v>26</v>
      </c>
      <c r="F83" s="6" t="s">
        <v>4882</v>
      </c>
      <c r="G83" s="6" t="s">
        <v>3649</v>
      </c>
      <c r="H83" s="6">
        <v>1</v>
      </c>
      <c r="I83" s="18">
        <v>56.04</v>
      </c>
      <c r="J83" s="17">
        <v>46041.564375463</v>
      </c>
      <c r="K83" s="6" t="s">
        <v>4880</v>
      </c>
      <c r="L83" t="str">
        <f t="shared" si="1"/>
        <v>CONEXAO SALVA VIDA ALUMINIO 10MM (C/10 PÇS ESPIGAO)|46035</v>
      </c>
    </row>
    <row r="84" ht="13.5" customHeight="1" spans="1:12">
      <c r="A84" s="17">
        <v>46034.5744097222</v>
      </c>
      <c r="B84" s="6" t="s">
        <v>4876</v>
      </c>
      <c r="C84" s="6" t="s">
        <v>4951</v>
      </c>
      <c r="D84" s="6" t="s">
        <v>4919</v>
      </c>
      <c r="E84" s="6" t="s">
        <v>26</v>
      </c>
      <c r="F84" s="6" t="s">
        <v>4882</v>
      </c>
      <c r="G84" s="6" t="s">
        <v>1184</v>
      </c>
      <c r="H84" s="6">
        <v>1</v>
      </c>
      <c r="I84" s="18">
        <v>869.2</v>
      </c>
      <c r="J84" s="17">
        <v>46034.5776553241</v>
      </c>
      <c r="K84" s="6" t="s">
        <v>4880</v>
      </c>
      <c r="L84" t="str">
        <f t="shared" si="1"/>
        <v>TINTA ACRILICA METALATEX REQUINTE ACET BRANCO 18L SW 7790006|46035</v>
      </c>
    </row>
    <row r="85" ht="13.5" customHeight="1" spans="1:12">
      <c r="A85" s="17">
        <v>46034.5791666667</v>
      </c>
      <c r="B85" s="6" t="s">
        <v>4876</v>
      </c>
      <c r="C85" s="6" t="s">
        <v>4952</v>
      </c>
      <c r="D85" s="6" t="s">
        <v>4905</v>
      </c>
      <c r="E85" s="6" t="s">
        <v>26</v>
      </c>
      <c r="F85" s="6" t="s">
        <v>4882</v>
      </c>
      <c r="G85" s="6" t="s">
        <v>3057</v>
      </c>
      <c r="H85" s="6">
        <v>2</v>
      </c>
      <c r="I85" s="18">
        <v>220.8</v>
      </c>
      <c r="J85" s="17">
        <v>46034.5804298611</v>
      </c>
      <c r="K85" s="6" t="s">
        <v>4880</v>
      </c>
      <c r="L85" t="str">
        <f t="shared" si="1"/>
        <v>FITA ADESIVA DUPLA FACE 18MM X 20M |46035</v>
      </c>
    </row>
    <row r="86" ht="13.5" customHeight="1" spans="1:12">
      <c r="A86" s="17">
        <v>46034.583900463</v>
      </c>
      <c r="B86" s="6" t="s">
        <v>4876</v>
      </c>
      <c r="C86" s="6" t="s">
        <v>4953</v>
      </c>
      <c r="D86" s="6" t="s">
        <v>4954</v>
      </c>
      <c r="E86" s="6" t="s">
        <v>26</v>
      </c>
      <c r="F86" s="6" t="s">
        <v>4882</v>
      </c>
      <c r="G86" s="6" t="s">
        <v>1149</v>
      </c>
      <c r="H86" s="6">
        <v>1</v>
      </c>
      <c r="I86" s="18">
        <v>73</v>
      </c>
      <c r="J86" s="17">
        <v>46034.5938049421</v>
      </c>
      <c r="K86" s="6" t="s">
        <v>4880</v>
      </c>
      <c r="L86" t="str">
        <f t="shared" si="1"/>
        <v>TOMADA ELETRICA ENGATE -REDONDA 7 POLOS(COMPLETA  REFORÇADA 12/24V |46035</v>
      </c>
    </row>
    <row r="87" ht="13.5" customHeight="1" spans="1:12">
      <c r="A87" s="17">
        <v>46034.583900463</v>
      </c>
      <c r="B87" s="6" t="s">
        <v>4876</v>
      </c>
      <c r="C87" s="6" t="s">
        <v>4953</v>
      </c>
      <c r="D87" s="6" t="s">
        <v>4954</v>
      </c>
      <c r="E87" s="6" t="s">
        <v>26</v>
      </c>
      <c r="F87" s="6" t="s">
        <v>4882</v>
      </c>
      <c r="G87" s="6" t="s">
        <v>4612</v>
      </c>
      <c r="H87" s="6">
        <v>14</v>
      </c>
      <c r="I87" s="18">
        <v>54.6</v>
      </c>
      <c r="J87" s="17">
        <v>46034.5938043982</v>
      </c>
      <c r="K87" s="6" t="s">
        <v>4880</v>
      </c>
      <c r="L87" t="str">
        <f t="shared" si="1"/>
        <v>ANEL SEGURANÇA AÇO FLEXIVEL EMBREAGEM BR 4893 0002951173|46035</v>
      </c>
    </row>
    <row r="88" ht="13.5" customHeight="1" spans="1:12">
      <c r="A88" s="17">
        <v>46034.5979976852</v>
      </c>
      <c r="B88" s="6" t="s">
        <v>4876</v>
      </c>
      <c r="C88" s="6" t="s">
        <v>4955</v>
      </c>
      <c r="D88" s="6" t="s">
        <v>4956</v>
      </c>
      <c r="E88" s="6" t="s">
        <v>26</v>
      </c>
      <c r="F88" s="6" t="s">
        <v>4882</v>
      </c>
      <c r="G88" s="6" t="s">
        <v>2537</v>
      </c>
      <c r="H88" s="6">
        <v>1</v>
      </c>
      <c r="I88" s="18">
        <v>30</v>
      </c>
      <c r="J88" s="17">
        <v>46034.5998003125</v>
      </c>
      <c r="K88" s="6" t="s">
        <v>4880</v>
      </c>
      <c r="L88" t="str">
        <f t="shared" si="1"/>
        <v>MANGUEIRA DE LAVA JATO PRENSADA|46035</v>
      </c>
    </row>
    <row r="89" ht="13.5" customHeight="1" spans="1:12">
      <c r="A89" s="17">
        <v>46034.6207060185</v>
      </c>
      <c r="B89" s="6" t="s">
        <v>4876</v>
      </c>
      <c r="C89" s="6" t="s">
        <v>4957</v>
      </c>
      <c r="D89" s="6" t="s">
        <v>4958</v>
      </c>
      <c r="E89" s="6" t="s">
        <v>26</v>
      </c>
      <c r="F89" s="6" t="s">
        <v>4882</v>
      </c>
      <c r="G89" s="6" t="s">
        <v>4158</v>
      </c>
      <c r="H89" s="6">
        <v>2</v>
      </c>
      <c r="I89" s="18">
        <v>41.38</v>
      </c>
      <c r="J89" s="17">
        <v>46036.6261712616</v>
      </c>
      <c r="K89" s="6" t="s">
        <v>4880</v>
      </c>
      <c r="L89" t="str">
        <f t="shared" si="1"/>
        <v>CABO (3800MM)DE COMANDO DA FECHADURA  DA PORTA VOLVO DIR/LE VOLVO VM|46035</v>
      </c>
    </row>
    <row r="90" ht="13.5" customHeight="1" spans="1:12">
      <c r="A90" s="17">
        <v>46034.6263194445</v>
      </c>
      <c r="B90" s="6" t="s">
        <v>4876</v>
      </c>
      <c r="C90" s="6" t="s">
        <v>4957</v>
      </c>
      <c r="D90" s="6" t="s">
        <v>4958</v>
      </c>
      <c r="E90" s="6" t="s">
        <v>26</v>
      </c>
      <c r="F90" s="6" t="s">
        <v>4882</v>
      </c>
      <c r="G90" s="6" t="s">
        <v>2454</v>
      </c>
      <c r="H90" s="6">
        <v>1</v>
      </c>
      <c r="I90" s="18">
        <v>120.68</v>
      </c>
      <c r="J90" s="17">
        <v>46036.6365550579</v>
      </c>
      <c r="K90" s="6" t="s">
        <v>4880</v>
      </c>
      <c r="L90" t="str">
        <f t="shared" si="1"/>
        <v>MAÇANETA LE EXTERNA PORTA SEM CHAVE VOLVO VM|46035</v>
      </c>
    </row>
    <row r="91" ht="13.5" customHeight="1" spans="1:12">
      <c r="A91" s="17">
        <v>46034.6263194445</v>
      </c>
      <c r="B91" s="6" t="s">
        <v>4876</v>
      </c>
      <c r="C91" s="6" t="s">
        <v>4957</v>
      </c>
      <c r="D91" s="6" t="s">
        <v>4958</v>
      </c>
      <c r="E91" s="6" t="s">
        <v>26</v>
      </c>
      <c r="F91" s="6" t="s">
        <v>4882</v>
      </c>
      <c r="G91" s="6" t="s">
        <v>2455</v>
      </c>
      <c r="H91" s="6">
        <v>1</v>
      </c>
      <c r="I91" s="18">
        <v>120.68</v>
      </c>
      <c r="J91" s="17">
        <v>46036.6365546644</v>
      </c>
      <c r="K91" s="6" t="s">
        <v>4880</v>
      </c>
      <c r="L91" t="str">
        <f t="shared" si="1"/>
        <v>MAÇANETA LD EXTERNA PORTA SEM CHAVE VOLVO VM|46035</v>
      </c>
    </row>
    <row r="92" ht="13.5" customHeight="1" spans="1:12">
      <c r="A92" s="17">
        <v>46034.6263194445</v>
      </c>
      <c r="B92" s="6" t="s">
        <v>4876</v>
      </c>
      <c r="C92" s="6" t="s">
        <v>4957</v>
      </c>
      <c r="D92" s="6" t="s">
        <v>4958</v>
      </c>
      <c r="E92" s="6" t="s">
        <v>26</v>
      </c>
      <c r="F92" s="6" t="s">
        <v>4882</v>
      </c>
      <c r="G92" s="6" t="s">
        <v>3791</v>
      </c>
      <c r="H92" s="6">
        <v>1</v>
      </c>
      <c r="I92" s="18">
        <v>113.79</v>
      </c>
      <c r="J92" s="17">
        <v>46036.6365545139</v>
      </c>
      <c r="K92" s="6" t="s">
        <v>4880</v>
      </c>
      <c r="L92" t="str">
        <f t="shared" si="1"/>
        <v>CILINDRO C/CHAVE DIANTEIRA VOLVO VM 718852|46035</v>
      </c>
    </row>
    <row r="93" ht="13.5" customHeight="1" spans="1:12">
      <c r="A93" s="17">
        <v>46034.6319560185</v>
      </c>
      <c r="B93" s="6" t="s">
        <v>4876</v>
      </c>
      <c r="C93" s="6" t="s">
        <v>4959</v>
      </c>
      <c r="D93" s="6" t="s">
        <v>4919</v>
      </c>
      <c r="E93" s="6" t="s">
        <v>26</v>
      </c>
      <c r="F93" s="6" t="s">
        <v>4882</v>
      </c>
      <c r="G93" s="6" t="s">
        <v>855</v>
      </c>
      <c r="H93" s="6">
        <v>4</v>
      </c>
      <c r="I93" s="18">
        <v>559.6</v>
      </c>
      <c r="J93" s="17">
        <v>46034.6329291319</v>
      </c>
      <c r="K93" s="6" t="s">
        <v>4880</v>
      </c>
      <c r="L93" t="str">
        <f t="shared" si="1"/>
        <v>THINNER 5L MONTANA|46035</v>
      </c>
    </row>
    <row r="94" ht="13.5" customHeight="1" spans="1:12">
      <c r="A94" s="17">
        <v>46034.6791087963</v>
      </c>
      <c r="B94" s="6" t="s">
        <v>4876</v>
      </c>
      <c r="C94" s="6" t="s">
        <v>4960</v>
      </c>
      <c r="D94" s="6" t="s">
        <v>4961</v>
      </c>
      <c r="E94" s="6" t="s">
        <v>26</v>
      </c>
      <c r="F94" s="6" t="s">
        <v>4882</v>
      </c>
      <c r="G94" s="6" t="s">
        <v>3249</v>
      </c>
      <c r="H94" s="6">
        <v>1</v>
      </c>
      <c r="I94" s="18">
        <v>489.5</v>
      </c>
      <c r="J94" s="17">
        <v>46041.6850287384</v>
      </c>
      <c r="K94" s="6" t="s">
        <v>4880</v>
      </c>
      <c r="L94" t="str">
        <f t="shared" si="1"/>
        <v>ESPELHO RETROVISOR VOLVO VM 330 220 270 210 260 LD ER212|46035</v>
      </c>
    </row>
    <row r="95" ht="13.5" customHeight="1" spans="1:12">
      <c r="A95" s="17">
        <v>46034.6791087963</v>
      </c>
      <c r="B95" s="6" t="s">
        <v>4876</v>
      </c>
      <c r="C95" s="6" t="s">
        <v>4960</v>
      </c>
      <c r="D95" s="6" t="s">
        <v>4961</v>
      </c>
      <c r="E95" s="6" t="s">
        <v>26</v>
      </c>
      <c r="F95" s="6" t="s">
        <v>4882</v>
      </c>
      <c r="G95" s="6" t="s">
        <v>3250</v>
      </c>
      <c r="H95" s="6">
        <v>1</v>
      </c>
      <c r="I95" s="18">
        <v>489.5</v>
      </c>
      <c r="J95" s="17">
        <v>46041.6850285532</v>
      </c>
      <c r="K95" s="6" t="s">
        <v>4880</v>
      </c>
      <c r="L95" t="str">
        <f t="shared" si="1"/>
        <v>ESPELHO RETROVISOR VOLVO VM 330 220 270 210 260 ER211 LE|46035</v>
      </c>
    </row>
    <row r="96" ht="13.5" customHeight="1" spans="1:12">
      <c r="A96" s="17">
        <v>46034.6987615741</v>
      </c>
      <c r="B96" s="6" t="s">
        <v>4876</v>
      </c>
      <c r="C96" s="6" t="s">
        <v>4962</v>
      </c>
      <c r="D96" s="6" t="s">
        <v>4963</v>
      </c>
      <c r="E96" s="6" t="s">
        <v>26</v>
      </c>
      <c r="F96" s="6" t="s">
        <v>4882</v>
      </c>
      <c r="G96" s="6" t="s">
        <v>1318</v>
      </c>
      <c r="H96" s="6">
        <v>1</v>
      </c>
      <c r="I96" s="18">
        <v>369</v>
      </c>
      <c r="J96" s="17">
        <v>46041.7038148148</v>
      </c>
      <c r="K96" s="6" t="s">
        <v>4880</v>
      </c>
      <c r="L96" t="str">
        <f t="shared" si="1"/>
        <v>SUPORTE REFORCO PARALAMA CABINE MB ACCELO LE 9798800116|46035</v>
      </c>
    </row>
    <row r="97" ht="13.5" customHeight="1" spans="1:12">
      <c r="A97" s="17">
        <v>46035.3522453704</v>
      </c>
      <c r="B97" s="6" t="s">
        <v>4876</v>
      </c>
      <c r="C97" s="6" t="s">
        <v>4964</v>
      </c>
      <c r="D97" s="6" t="s">
        <v>4965</v>
      </c>
      <c r="E97" s="6" t="s">
        <v>26</v>
      </c>
      <c r="F97" s="6" t="s">
        <v>4882</v>
      </c>
      <c r="G97" s="6" t="s">
        <v>3506</v>
      </c>
      <c r="H97" s="6">
        <v>2</v>
      </c>
      <c r="I97" s="18">
        <v>21</v>
      </c>
      <c r="J97" s="17">
        <v>46036.3550693287</v>
      </c>
      <c r="K97" s="6" t="s">
        <v>4880</v>
      </c>
      <c r="L97" t="str">
        <f t="shared" si="1"/>
        <v>CURATIVO CARE BEGE 40UN|46035</v>
      </c>
    </row>
    <row r="98" ht="13.5" customHeight="1" spans="1:12">
      <c r="A98" s="17">
        <v>46035.3555902778</v>
      </c>
      <c r="B98" s="6" t="s">
        <v>4876</v>
      </c>
      <c r="C98" s="6" t="s">
        <v>4966</v>
      </c>
      <c r="D98" s="6" t="s">
        <v>4894</v>
      </c>
      <c r="E98" s="6" t="s">
        <v>26</v>
      </c>
      <c r="F98" s="6" t="s">
        <v>4882</v>
      </c>
      <c r="G98" s="6" t="s">
        <v>2330</v>
      </c>
      <c r="H98" s="6">
        <v>1</v>
      </c>
      <c r="I98" s="18">
        <v>5</v>
      </c>
      <c r="J98" s="17">
        <v>46036.3580985301</v>
      </c>
      <c r="K98" s="6" t="s">
        <v>4880</v>
      </c>
      <c r="L98" t="str">
        <f t="shared" si="1"/>
        <v>ORGANIZADOR WORKER PEQUENO|46035</v>
      </c>
    </row>
    <row r="99" ht="13.5" customHeight="1" spans="1:12">
      <c r="A99" s="17">
        <v>46035.3555902778</v>
      </c>
      <c r="B99" s="6" t="s">
        <v>4876</v>
      </c>
      <c r="C99" s="6" t="s">
        <v>4966</v>
      </c>
      <c r="D99" s="6" t="s">
        <v>4894</v>
      </c>
      <c r="E99" s="6" t="s">
        <v>26</v>
      </c>
      <c r="F99" s="6" t="s">
        <v>4882</v>
      </c>
      <c r="G99" s="6" t="s">
        <v>1975</v>
      </c>
      <c r="H99" s="6">
        <v>3</v>
      </c>
      <c r="I99" s="18">
        <v>2.91</v>
      </c>
      <c r="J99" s="17">
        <v>46036.3580973032</v>
      </c>
      <c r="K99" s="6" t="s">
        <v>4880</v>
      </c>
      <c r="L99" t="str">
        <f t="shared" si="1"/>
        <v>PLUG ROSCAVEL 1/2|46035</v>
      </c>
    </row>
    <row r="100" ht="13.5" customHeight="1" spans="1:12">
      <c r="A100" s="17">
        <v>46035.3555902778</v>
      </c>
      <c r="B100" s="6" t="s">
        <v>4876</v>
      </c>
      <c r="C100" s="6" t="s">
        <v>4966</v>
      </c>
      <c r="D100" s="6" t="s">
        <v>4894</v>
      </c>
      <c r="E100" s="6" t="s">
        <v>26</v>
      </c>
      <c r="F100" s="6" t="s">
        <v>4882</v>
      </c>
      <c r="G100" s="6" t="s">
        <v>584</v>
      </c>
      <c r="H100" s="6">
        <v>2</v>
      </c>
      <c r="I100" s="18">
        <v>14.22</v>
      </c>
      <c r="J100" s="17">
        <v>46036.3580958333</v>
      </c>
      <c r="K100" s="6" t="s">
        <v>4880</v>
      </c>
      <c r="L100" t="str">
        <f t="shared" si="1"/>
        <v>FITA ISOLANTE AUTOFUSAO 3M 19X10M|46035</v>
      </c>
    </row>
    <row r="101" ht="13.5" customHeight="1" spans="1:12">
      <c r="A101" s="17">
        <v>46035.5775462963</v>
      </c>
      <c r="B101" s="6" t="s">
        <v>4876</v>
      </c>
      <c r="C101" s="6" t="s">
        <v>4967</v>
      </c>
      <c r="D101" s="6" t="s">
        <v>4954</v>
      </c>
      <c r="E101" s="6" t="s">
        <v>26</v>
      </c>
      <c r="F101" s="6" t="s">
        <v>4882</v>
      </c>
      <c r="G101" s="6" t="s">
        <v>196</v>
      </c>
      <c r="H101" s="6">
        <v>12</v>
      </c>
      <c r="I101" s="18">
        <v>552</v>
      </c>
      <c r="J101" s="17">
        <v>46035.5786237616</v>
      </c>
      <c r="K101" s="6" t="s">
        <v>4880</v>
      </c>
      <c r="L101" t="str">
        <f t="shared" si="1"/>
        <v>ANTI-FERRUGEM WD-40 300ML|46036</v>
      </c>
    </row>
    <row r="102" ht="13.5" customHeight="1" spans="1:12">
      <c r="A102" s="17">
        <v>46035.5775462963</v>
      </c>
      <c r="B102" s="6" t="s">
        <v>4876</v>
      </c>
      <c r="C102" s="6" t="s">
        <v>4967</v>
      </c>
      <c r="D102" s="6" t="s">
        <v>4954</v>
      </c>
      <c r="E102" s="6" t="s">
        <v>26</v>
      </c>
      <c r="F102" s="6" t="s">
        <v>4882</v>
      </c>
      <c r="G102" s="6" t="s">
        <v>180</v>
      </c>
      <c r="H102" s="6">
        <v>2</v>
      </c>
      <c r="I102" s="18">
        <v>1596</v>
      </c>
      <c r="J102" s="17">
        <v>46035.5786232292</v>
      </c>
      <c r="K102" s="6" t="s">
        <v>4880</v>
      </c>
      <c r="L102" t="str">
        <f t="shared" si="1"/>
        <v>AMORTECEDOR CABINE TRASEIRA MARCA PARALELA (ACCELO)|46036</v>
      </c>
    </row>
    <row r="103" ht="13.5" customHeight="1" spans="1:12">
      <c r="A103" s="17">
        <v>46035.6873148148</v>
      </c>
      <c r="B103" s="6" t="s">
        <v>4876</v>
      </c>
      <c r="C103" s="6" t="s">
        <v>4968</v>
      </c>
      <c r="D103" s="6" t="s">
        <v>4919</v>
      </c>
      <c r="E103" s="6" t="s">
        <v>26</v>
      </c>
      <c r="F103" s="6" t="s">
        <v>4882</v>
      </c>
      <c r="G103" s="6" t="s">
        <v>959</v>
      </c>
      <c r="H103" s="6">
        <v>1</v>
      </c>
      <c r="I103" s="18">
        <v>55.89</v>
      </c>
      <c r="J103" s="17">
        <v>46035.688581169</v>
      </c>
      <c r="K103" s="6" t="s">
        <v>4880</v>
      </c>
      <c r="L103" t="str">
        <f t="shared" si="1"/>
        <v>VERNIZ PREMIUM SOLARE FILTRO SOLAR MONTANA|46036</v>
      </c>
    </row>
    <row r="104" ht="13.5" customHeight="1" spans="1:12">
      <c r="A104" s="17">
        <v>46035.688900463</v>
      </c>
      <c r="B104" s="6" t="s">
        <v>4876</v>
      </c>
      <c r="C104" s="6" t="s">
        <v>4969</v>
      </c>
      <c r="D104" s="6" t="s">
        <v>4919</v>
      </c>
      <c r="E104" s="6" t="s">
        <v>26</v>
      </c>
      <c r="F104" s="6" t="s">
        <v>4882</v>
      </c>
      <c r="G104" s="6" t="s">
        <v>1100</v>
      </c>
      <c r="H104" s="6">
        <v>10</v>
      </c>
      <c r="I104" s="18">
        <v>105</v>
      </c>
      <c r="J104" s="17">
        <v>46035.6920178241</v>
      </c>
      <c r="K104" s="6" t="s">
        <v>4880</v>
      </c>
      <c r="L104" t="str">
        <f t="shared" si="1"/>
        <v>TRINCHA 2" - 395/5|46036</v>
      </c>
    </row>
    <row r="105" ht="13.5" customHeight="1" spans="1:12">
      <c r="A105" s="17">
        <v>46035.688900463</v>
      </c>
      <c r="B105" s="6" t="s">
        <v>4876</v>
      </c>
      <c r="C105" s="6" t="s">
        <v>4969</v>
      </c>
      <c r="D105" s="6" t="s">
        <v>4919</v>
      </c>
      <c r="E105" s="6" t="s">
        <v>26</v>
      </c>
      <c r="F105" s="6" t="s">
        <v>4882</v>
      </c>
      <c r="G105" s="6" t="s">
        <v>537</v>
      </c>
      <c r="H105" s="6">
        <v>10</v>
      </c>
      <c r="I105" s="18">
        <v>79.1</v>
      </c>
      <c r="J105" s="17">
        <v>46035.6920174769</v>
      </c>
      <c r="K105" s="6" t="s">
        <v>4880</v>
      </c>
      <c r="L105" t="str">
        <f t="shared" si="1"/>
        <v>FITA CREPE AUTOMOTIVO VERDE 18X50|46036</v>
      </c>
    </row>
    <row r="106" ht="13.5" customHeight="1" spans="1:12">
      <c r="A106" s="17">
        <v>46035.6929282407</v>
      </c>
      <c r="B106" s="6" t="s">
        <v>4876</v>
      </c>
      <c r="C106" s="6" t="s">
        <v>4970</v>
      </c>
      <c r="D106" s="6" t="s">
        <v>4971</v>
      </c>
      <c r="E106" s="6" t="s">
        <v>26</v>
      </c>
      <c r="F106" s="6" t="s">
        <v>4882</v>
      </c>
      <c r="G106" s="6" t="s">
        <v>1384</v>
      </c>
      <c r="H106" s="6">
        <v>3</v>
      </c>
      <c r="I106" s="18">
        <v>10.62</v>
      </c>
      <c r="J106" s="17">
        <v>46035.6986221875</v>
      </c>
      <c r="K106" s="6" t="s">
        <v>4880</v>
      </c>
      <c r="L106" t="str">
        <f t="shared" si="1"/>
        <v>SOLDA LUVA 25MM MARCA TIGRE|46036</v>
      </c>
    </row>
    <row r="107" ht="13.5" customHeight="1" spans="1:12">
      <c r="A107" s="17">
        <v>46035.6929282407</v>
      </c>
      <c r="B107" s="6" t="s">
        <v>4876</v>
      </c>
      <c r="C107" s="6" t="s">
        <v>4970</v>
      </c>
      <c r="D107" s="6" t="s">
        <v>4971</v>
      </c>
      <c r="E107" s="6" t="s">
        <v>26</v>
      </c>
      <c r="F107" s="6" t="s">
        <v>4882</v>
      </c>
      <c r="G107" s="6" t="s">
        <v>4181</v>
      </c>
      <c r="H107" s="6">
        <v>4</v>
      </c>
      <c r="I107" s="18">
        <v>3.92</v>
      </c>
      <c r="J107" s="17">
        <v>46035.6986218403</v>
      </c>
      <c r="K107" s="6" t="s">
        <v>4880</v>
      </c>
      <c r="L107" t="str">
        <f t="shared" si="1"/>
        <v>BUCHA RED CURTA SOLD 25X20MM|46036</v>
      </c>
    </row>
    <row r="108" ht="13.5" customHeight="1" spans="1:12">
      <c r="A108" s="17">
        <v>46035.6929282407</v>
      </c>
      <c r="B108" s="6" t="s">
        <v>4876</v>
      </c>
      <c r="C108" s="6" t="s">
        <v>4970</v>
      </c>
      <c r="D108" s="6" t="s">
        <v>4971</v>
      </c>
      <c r="E108" s="6" t="s">
        <v>26</v>
      </c>
      <c r="F108" s="6" t="s">
        <v>4882</v>
      </c>
      <c r="G108" s="6" t="s">
        <v>1190</v>
      </c>
      <c r="H108" s="6">
        <v>6</v>
      </c>
      <c r="I108" s="18">
        <v>11.64</v>
      </c>
      <c r="J108" s="17">
        <v>46035.6986214931</v>
      </c>
      <c r="K108" s="6" t="s">
        <v>4880</v>
      </c>
      <c r="L108" t="str">
        <f t="shared" si="1"/>
        <v>TIGRE SOLDA LUVA 20X1|46036</v>
      </c>
    </row>
    <row r="109" ht="13.5" customHeight="1" spans="1:12">
      <c r="A109" s="17">
        <v>46035.6929282407</v>
      </c>
      <c r="B109" s="6" t="s">
        <v>4876</v>
      </c>
      <c r="C109" s="6" t="s">
        <v>4970</v>
      </c>
      <c r="D109" s="6" t="s">
        <v>4971</v>
      </c>
      <c r="E109" s="6" t="s">
        <v>26</v>
      </c>
      <c r="F109" s="6" t="s">
        <v>4882</v>
      </c>
      <c r="G109" s="6" t="s">
        <v>470</v>
      </c>
      <c r="H109" s="6">
        <v>10</v>
      </c>
      <c r="I109" s="18">
        <v>187.1</v>
      </c>
      <c r="J109" s="17">
        <v>46035.6986209491</v>
      </c>
      <c r="K109" s="6" t="s">
        <v>4880</v>
      </c>
      <c r="L109" t="str">
        <f t="shared" si="1"/>
        <v>FITA ISOLANTE 19x20M TIGRE|46036</v>
      </c>
    </row>
    <row r="110" ht="13.5" customHeight="1" spans="1:12">
      <c r="A110" s="17">
        <v>46036.3623958333</v>
      </c>
      <c r="B110" s="6" t="s">
        <v>4876</v>
      </c>
      <c r="C110" s="6" t="s">
        <v>4972</v>
      </c>
      <c r="D110" s="6" t="s">
        <v>4879</v>
      </c>
      <c r="E110" s="6" t="s">
        <v>26</v>
      </c>
      <c r="F110" s="6" t="s">
        <v>4882</v>
      </c>
      <c r="G110" s="6" t="s">
        <v>168</v>
      </c>
      <c r="H110" s="6">
        <v>1</v>
      </c>
      <c r="I110" s="18">
        <v>296.56</v>
      </c>
      <c r="J110" s="17">
        <v>46036.3629988079</v>
      </c>
      <c r="K110" s="6" t="s">
        <v>4880</v>
      </c>
      <c r="L110" t="str">
        <f t="shared" si="1"/>
        <v>SUPORTE PARALAMA DIANTEIRO CABINE MB ACCELO (LD)|46036</v>
      </c>
    </row>
    <row r="111" ht="13.5" customHeight="1" spans="1:12">
      <c r="A111" s="17">
        <v>46036.4036111111</v>
      </c>
      <c r="B111" s="6" t="s">
        <v>4876</v>
      </c>
      <c r="C111" s="6" t="s">
        <v>4973</v>
      </c>
      <c r="D111" s="6" t="s">
        <v>4879</v>
      </c>
      <c r="E111" s="6" t="s">
        <v>26</v>
      </c>
      <c r="F111" s="6" t="s">
        <v>4882</v>
      </c>
      <c r="G111" s="6" t="s">
        <v>169</v>
      </c>
      <c r="H111" s="6">
        <v>2</v>
      </c>
      <c r="I111" s="18">
        <v>1100</v>
      </c>
      <c r="J111" s="17">
        <v>46036.4246547801</v>
      </c>
      <c r="K111" s="6" t="s">
        <v>4880</v>
      </c>
      <c r="L111" t="str">
        <f t="shared" si="1"/>
        <v>Extensão Porta Mercedes Benz Accelo A 9797287121|46036</v>
      </c>
    </row>
    <row r="112" ht="13.5" customHeight="1" spans="1:12">
      <c r="A112" s="17">
        <v>46036.4626851852</v>
      </c>
      <c r="B112" s="6" t="s">
        <v>4876</v>
      </c>
      <c r="C112" s="6" t="s">
        <v>4974</v>
      </c>
      <c r="D112" s="6" t="s">
        <v>4896</v>
      </c>
      <c r="E112" s="6" t="s">
        <v>390</v>
      </c>
      <c r="F112" s="6" t="s">
        <v>4879</v>
      </c>
      <c r="G112" s="6" t="s">
        <v>614</v>
      </c>
      <c r="H112" s="6">
        <v>24</v>
      </c>
      <c r="I112" s="18">
        <v>1008</v>
      </c>
      <c r="J112" s="17">
        <v>46043.4651479167</v>
      </c>
      <c r="K112" s="6" t="s">
        <v>4880</v>
      </c>
      <c r="L112" t="str">
        <f t="shared" si="1"/>
        <v>RIBON G50 110 C 450 OUT|46036</v>
      </c>
    </row>
    <row r="113" ht="13.5" customHeight="1" spans="1:12">
      <c r="A113" s="17">
        <v>46036.4626851852</v>
      </c>
      <c r="B113" s="6" t="s">
        <v>4876</v>
      </c>
      <c r="C113" s="6" t="s">
        <v>4974</v>
      </c>
      <c r="D113" s="6" t="s">
        <v>4896</v>
      </c>
      <c r="E113" s="6" t="s">
        <v>51</v>
      </c>
      <c r="F113" s="6" t="s">
        <v>4879</v>
      </c>
      <c r="G113" s="6" t="s">
        <v>613</v>
      </c>
      <c r="H113" s="6">
        <v>48</v>
      </c>
      <c r="I113" s="18">
        <v>3312</v>
      </c>
      <c r="J113" s="17">
        <v>46043.4651473727</v>
      </c>
      <c r="K113" s="6" t="s">
        <v>4880</v>
      </c>
      <c r="L113" t="str">
        <f t="shared" si="1"/>
        <v>RIBON 110M 450 OUT LOGISTICA|46036</v>
      </c>
    </row>
    <row r="114" ht="13.5" customHeight="1" spans="1:12">
      <c r="A114" s="17">
        <v>46036.4635069444</v>
      </c>
      <c r="B114" s="6" t="s">
        <v>4876</v>
      </c>
      <c r="C114" s="6" t="s">
        <v>4975</v>
      </c>
      <c r="D114" s="6" t="s">
        <v>4976</v>
      </c>
      <c r="E114" s="6" t="s">
        <v>26</v>
      </c>
      <c r="F114" s="6" t="s">
        <v>4882</v>
      </c>
      <c r="G114" s="6" t="s">
        <v>2948</v>
      </c>
      <c r="H114" s="6">
        <v>6</v>
      </c>
      <c r="I114" s="18">
        <v>259.8</v>
      </c>
      <c r="J114" s="17">
        <v>46038.4649426736</v>
      </c>
      <c r="K114" s="6" t="s">
        <v>4880</v>
      </c>
      <c r="L114" t="str">
        <f t="shared" si="1"/>
        <v>GARRAFA TÉRMICA 5L |46036</v>
      </c>
    </row>
    <row r="115" ht="13.5" customHeight="1" spans="1:12">
      <c r="A115" s="17">
        <v>46036.4650810185</v>
      </c>
      <c r="B115" s="6" t="s">
        <v>4876</v>
      </c>
      <c r="C115" s="6" t="s">
        <v>4977</v>
      </c>
      <c r="D115" s="6" t="s">
        <v>4976</v>
      </c>
      <c r="E115" s="6" t="s">
        <v>26</v>
      </c>
      <c r="F115" s="6" t="s">
        <v>4882</v>
      </c>
      <c r="G115" s="6" t="s">
        <v>2948</v>
      </c>
      <c r="H115" s="6">
        <v>4</v>
      </c>
      <c r="I115" s="18">
        <v>173.2</v>
      </c>
      <c r="J115" s="17">
        <v>46038.4659695255</v>
      </c>
      <c r="K115" s="6" t="s">
        <v>4880</v>
      </c>
      <c r="L115" t="str">
        <f t="shared" si="1"/>
        <v>GARRAFA TÉRMICA 5L |46036</v>
      </c>
    </row>
    <row r="116" ht="13.5" customHeight="1" spans="1:12">
      <c r="A116" s="17">
        <v>46036.5803125</v>
      </c>
      <c r="B116" s="6" t="s">
        <v>4876</v>
      </c>
      <c r="C116" s="6" t="s">
        <v>4978</v>
      </c>
      <c r="D116" s="6" t="s">
        <v>4979</v>
      </c>
      <c r="E116" s="6" t="s">
        <v>35</v>
      </c>
      <c r="F116" s="6" t="s">
        <v>4879</v>
      </c>
      <c r="G116" s="6" t="s">
        <v>1064</v>
      </c>
      <c r="H116" s="6">
        <v>1</v>
      </c>
      <c r="I116" s="18">
        <v>470</v>
      </c>
      <c r="J116" s="17">
        <v>46038.5877905093</v>
      </c>
      <c r="K116" s="6" t="s">
        <v>4880</v>
      </c>
      <c r="L116" t="str">
        <f t="shared" si="1"/>
        <v>TUBULAÇAO DE COMBUSTIVEL A6110707632|46037</v>
      </c>
    </row>
    <row r="117" ht="13.5" customHeight="1" spans="1:12">
      <c r="A117" s="17">
        <v>46036.5803125</v>
      </c>
      <c r="B117" s="6" t="s">
        <v>4876</v>
      </c>
      <c r="C117" s="6" t="s">
        <v>4978</v>
      </c>
      <c r="D117" s="6" t="s">
        <v>4979</v>
      </c>
      <c r="E117" s="6" t="s">
        <v>35</v>
      </c>
      <c r="F117" s="6" t="s">
        <v>4879</v>
      </c>
      <c r="G117" s="6" t="s">
        <v>4621</v>
      </c>
      <c r="H117" s="6">
        <v>1</v>
      </c>
      <c r="I117" s="18">
        <v>3.3</v>
      </c>
      <c r="J117" s="17">
        <v>46038.587790162</v>
      </c>
      <c r="K117" s="6" t="s">
        <v>4880</v>
      </c>
      <c r="L117" t="str">
        <f t="shared" si="1"/>
        <v>ANEL DE APOIO A0002648429|46037</v>
      </c>
    </row>
    <row r="118" ht="13.5" customHeight="1" spans="1:12">
      <c r="A118" s="17">
        <v>46036.5803125</v>
      </c>
      <c r="B118" s="6" t="s">
        <v>4876</v>
      </c>
      <c r="C118" s="6" t="s">
        <v>4978</v>
      </c>
      <c r="D118" s="6" t="s">
        <v>4979</v>
      </c>
      <c r="E118" s="6" t="s">
        <v>35</v>
      </c>
      <c r="F118" s="6" t="s">
        <v>4879</v>
      </c>
      <c r="G118" s="6" t="s">
        <v>205</v>
      </c>
      <c r="H118" s="6">
        <v>1</v>
      </c>
      <c r="I118" s="18">
        <v>198</v>
      </c>
      <c r="J118" s="17">
        <v>46038.5877899653</v>
      </c>
      <c r="K118" s="6" t="s">
        <v>4880</v>
      </c>
      <c r="L118" t="str">
        <f t="shared" si="1"/>
        <v>ALAVANCA SELETORA A002650330|46037</v>
      </c>
    </row>
    <row r="119" ht="13.5" customHeight="1" spans="1:12">
      <c r="A119" s="17">
        <v>46036.5803125</v>
      </c>
      <c r="B119" s="6" t="s">
        <v>4876</v>
      </c>
      <c r="C119" s="6" t="s">
        <v>4978</v>
      </c>
      <c r="D119" s="6" t="s">
        <v>4979</v>
      </c>
      <c r="E119" s="6" t="s">
        <v>35</v>
      </c>
      <c r="F119" s="6" t="s">
        <v>4879</v>
      </c>
      <c r="G119" s="6" t="s">
        <v>206</v>
      </c>
      <c r="H119" s="6">
        <v>1</v>
      </c>
      <c r="I119" s="18">
        <v>375</v>
      </c>
      <c r="J119" s="17">
        <v>46038.5877896181</v>
      </c>
      <c r="K119" s="6" t="s">
        <v>4880</v>
      </c>
      <c r="L119" t="str">
        <f t="shared" si="1"/>
        <v>EIXO SELETOR A9902651600|46037</v>
      </c>
    </row>
    <row r="120" ht="13.5" customHeight="1" spans="1:12">
      <c r="A120" s="17">
        <v>46036.5900925926</v>
      </c>
      <c r="B120" s="6" t="s">
        <v>4876</v>
      </c>
      <c r="C120" s="6" t="s">
        <v>4980</v>
      </c>
      <c r="D120" s="6" t="s">
        <v>4954</v>
      </c>
      <c r="E120" s="6" t="s">
        <v>26</v>
      </c>
      <c r="F120" s="6" t="s">
        <v>4882</v>
      </c>
      <c r="G120" s="6" t="s">
        <v>2698</v>
      </c>
      <c r="H120" s="6">
        <v>1</v>
      </c>
      <c r="I120" s="18">
        <v>134</v>
      </c>
      <c r="J120" s="17">
        <v>46036.6021888542</v>
      </c>
      <c r="K120" s="6" t="s">
        <v>4880</v>
      </c>
      <c r="L120" t="str">
        <f t="shared" si="1"/>
        <v>LANTERNA  CANOINHA LED|46037</v>
      </c>
    </row>
    <row r="121" ht="13.5" customHeight="1" spans="1:12">
      <c r="A121" s="17">
        <v>46036.5900925926</v>
      </c>
      <c r="B121" s="6" t="s">
        <v>4876</v>
      </c>
      <c r="C121" s="6" t="s">
        <v>4980</v>
      </c>
      <c r="D121" s="6" t="s">
        <v>4954</v>
      </c>
      <c r="E121" s="6" t="s">
        <v>26</v>
      </c>
      <c r="F121" s="6" t="s">
        <v>4882</v>
      </c>
      <c r="G121" s="6" t="s">
        <v>173</v>
      </c>
      <c r="H121" s="6">
        <v>2</v>
      </c>
      <c r="I121" s="18">
        <v>254</v>
      </c>
      <c r="J121" s="17">
        <v>46036.6021884607</v>
      </c>
      <c r="K121" s="6" t="s">
        <v>4880</v>
      </c>
      <c r="L121" t="str">
        <f t="shared" si="1"/>
        <v>VIDRO ESPELHO RETROVISOR SUPERIOR LE 23B857521A|46037</v>
      </c>
    </row>
    <row r="122" ht="13.5" customHeight="1" spans="1:12">
      <c r="A122" s="17">
        <v>46036.5900925926</v>
      </c>
      <c r="B122" s="6" t="s">
        <v>4876</v>
      </c>
      <c r="C122" s="6" t="s">
        <v>4980</v>
      </c>
      <c r="D122" s="6" t="s">
        <v>4954</v>
      </c>
      <c r="E122" s="6" t="s">
        <v>26</v>
      </c>
      <c r="F122" s="6" t="s">
        <v>4882</v>
      </c>
      <c r="G122" s="6" t="s">
        <v>240</v>
      </c>
      <c r="H122" s="6">
        <v>3</v>
      </c>
      <c r="I122" s="18">
        <v>294</v>
      </c>
      <c r="J122" s="17">
        <v>46036.6021879282</v>
      </c>
      <c r="K122" s="6" t="s">
        <v>4880</v>
      </c>
      <c r="L122" t="str">
        <f t="shared" si="1"/>
        <v>SENSOR DE TEMPERATURA AGUA REFRIGERADOR 000712|46037</v>
      </c>
    </row>
    <row r="123" ht="13.5" customHeight="1" spans="1:12">
      <c r="A123" s="17">
        <v>46036.6032407407</v>
      </c>
      <c r="B123" s="6" t="s">
        <v>4876</v>
      </c>
      <c r="C123" s="6" t="s">
        <v>4981</v>
      </c>
      <c r="D123" s="6" t="s">
        <v>4982</v>
      </c>
      <c r="E123" s="6" t="s">
        <v>26</v>
      </c>
      <c r="F123" s="6" t="s">
        <v>4882</v>
      </c>
      <c r="G123" s="6" t="s">
        <v>3968</v>
      </c>
      <c r="H123" s="6">
        <v>5</v>
      </c>
      <c r="I123" s="18">
        <v>49.5</v>
      </c>
      <c r="J123" s="17">
        <v>46036.6051015394</v>
      </c>
      <c r="K123" s="6" t="s">
        <v>4880</v>
      </c>
      <c r="L123" t="str">
        <f t="shared" si="1"/>
        <v>CANETA CD DUO MARKER|46037</v>
      </c>
    </row>
    <row r="124" ht="13.5" customHeight="1" spans="1:12">
      <c r="A124" s="17">
        <v>46036.605775463</v>
      </c>
      <c r="B124" s="6" t="s">
        <v>4876</v>
      </c>
      <c r="C124" s="6" t="s">
        <v>4983</v>
      </c>
      <c r="D124" s="6" t="s">
        <v>4984</v>
      </c>
      <c r="E124" s="6" t="s">
        <v>26</v>
      </c>
      <c r="F124" s="6" t="s">
        <v>4882</v>
      </c>
      <c r="G124" s="6" t="s">
        <v>203</v>
      </c>
      <c r="H124" s="6">
        <v>3</v>
      </c>
      <c r="I124" s="18">
        <v>202.8</v>
      </c>
      <c r="J124" s="17">
        <v>46036.616818287</v>
      </c>
      <c r="K124" s="6" t="s">
        <v>4880</v>
      </c>
      <c r="L124" t="str">
        <f t="shared" si="1"/>
        <v>PUXADOR DE PORTA MERCEDES BENZ ACCELO 715 815 915 1016 LE|46037</v>
      </c>
    </row>
    <row r="125" ht="13.5" customHeight="1" spans="1:12">
      <c r="A125" s="17">
        <v>46036.605775463</v>
      </c>
      <c r="B125" s="6" t="s">
        <v>4876</v>
      </c>
      <c r="C125" s="6" t="s">
        <v>4983</v>
      </c>
      <c r="D125" s="6" t="s">
        <v>4984</v>
      </c>
      <c r="E125" s="6" t="s">
        <v>26</v>
      </c>
      <c r="F125" s="6" t="s">
        <v>4882</v>
      </c>
      <c r="G125" s="6" t="s">
        <v>219</v>
      </c>
      <c r="H125" s="6">
        <v>3</v>
      </c>
      <c r="I125" s="18">
        <v>202.8</v>
      </c>
      <c r="J125" s="17">
        <v>46036.6168175579</v>
      </c>
      <c r="K125" s="6" t="s">
        <v>4880</v>
      </c>
      <c r="L125" t="str">
        <f t="shared" si="1"/>
        <v>PUXADOR DE PORTA MERCEDES BENZ ACCELO 715 815 915 1016 LD|46037</v>
      </c>
    </row>
    <row r="126" ht="13.5" customHeight="1" spans="1:12">
      <c r="A126" s="17">
        <v>46036.7137731482</v>
      </c>
      <c r="B126" s="6" t="s">
        <v>4876</v>
      </c>
      <c r="C126" s="6" t="s">
        <v>4985</v>
      </c>
      <c r="D126" s="6" t="s">
        <v>4986</v>
      </c>
      <c r="E126" s="6" t="s">
        <v>26</v>
      </c>
      <c r="F126" s="6" t="s">
        <v>4882</v>
      </c>
      <c r="G126" s="6" t="s">
        <v>4295</v>
      </c>
      <c r="H126" s="6">
        <v>5</v>
      </c>
      <c r="I126" s="18">
        <v>949.5</v>
      </c>
      <c r="J126" s="17">
        <v>46041.7229459144</v>
      </c>
      <c r="K126" s="6" t="s">
        <v>4880</v>
      </c>
      <c r="L126" t="str">
        <f t="shared" si="1"/>
        <v>BOTA N°43 FRIGORÍFICA BRANCA MICROFIBRA|46037</v>
      </c>
    </row>
    <row r="127" ht="13.5" customHeight="1" spans="1:12">
      <c r="A127" s="17">
        <v>46036.7137731482</v>
      </c>
      <c r="B127" s="6" t="s">
        <v>4876</v>
      </c>
      <c r="C127" s="6" t="s">
        <v>4985</v>
      </c>
      <c r="D127" s="6" t="s">
        <v>4986</v>
      </c>
      <c r="E127" s="6" t="s">
        <v>26</v>
      </c>
      <c r="F127" s="6" t="s">
        <v>4882</v>
      </c>
      <c r="G127" s="6" t="s">
        <v>4304</v>
      </c>
      <c r="H127" s="6">
        <v>5</v>
      </c>
      <c r="I127" s="18">
        <v>949.5</v>
      </c>
      <c r="J127" s="17">
        <v>46041.7229453704</v>
      </c>
      <c r="K127" s="6" t="s">
        <v>4880</v>
      </c>
      <c r="L127" t="str">
        <f t="shared" si="1"/>
        <v>BOTA FRIGORIFICA N/42|46037</v>
      </c>
    </row>
    <row r="128" ht="13.5" customHeight="1" spans="1:12">
      <c r="A128" s="17">
        <v>46036.7137731482</v>
      </c>
      <c r="B128" s="6" t="s">
        <v>4876</v>
      </c>
      <c r="C128" s="6" t="s">
        <v>4985</v>
      </c>
      <c r="D128" s="6" t="s">
        <v>4986</v>
      </c>
      <c r="E128" s="6" t="s">
        <v>26</v>
      </c>
      <c r="F128" s="6" t="s">
        <v>4882</v>
      </c>
      <c r="G128" s="6" t="s">
        <v>535</v>
      </c>
      <c r="H128" s="6">
        <v>5</v>
      </c>
      <c r="I128" s="18">
        <v>949.5</v>
      </c>
      <c r="J128" s="17">
        <v>46041.7229450232</v>
      </c>
      <c r="K128" s="6" t="s">
        <v>4880</v>
      </c>
      <c r="L128" t="str">
        <f t="shared" si="1"/>
        <v>BOTA N°41 FRIGORÍFICA BRANCA MICROFIBRA	|46037</v>
      </c>
    </row>
    <row r="129" ht="13.5" customHeight="1" spans="1:12">
      <c r="A129" s="17">
        <v>46036.7137731482</v>
      </c>
      <c r="B129" s="6" t="s">
        <v>4876</v>
      </c>
      <c r="C129" s="6" t="s">
        <v>4985</v>
      </c>
      <c r="D129" s="6" t="s">
        <v>4986</v>
      </c>
      <c r="E129" s="6" t="s">
        <v>26</v>
      </c>
      <c r="F129" s="6" t="s">
        <v>4882</v>
      </c>
      <c r="G129" s="6" t="s">
        <v>4296</v>
      </c>
      <c r="H129" s="6">
        <v>5</v>
      </c>
      <c r="I129" s="18">
        <v>949.5</v>
      </c>
      <c r="J129" s="17">
        <v>46041.7229448264</v>
      </c>
      <c r="K129" s="6" t="s">
        <v>4880</v>
      </c>
      <c r="L129" t="str">
        <f t="shared" si="1"/>
        <v>BOTA N°40 FRIGORÍFICA BRANCA MICROFIBRA |46037</v>
      </c>
    </row>
    <row r="130" ht="13.5" customHeight="1" spans="1:12">
      <c r="A130" s="17">
        <v>46036.7137731482</v>
      </c>
      <c r="B130" s="6" t="s">
        <v>4876</v>
      </c>
      <c r="C130" s="6" t="s">
        <v>4985</v>
      </c>
      <c r="D130" s="6" t="s">
        <v>4986</v>
      </c>
      <c r="E130" s="6" t="s">
        <v>26</v>
      </c>
      <c r="F130" s="6" t="s">
        <v>4882</v>
      </c>
      <c r="G130" s="6" t="s">
        <v>4305</v>
      </c>
      <c r="H130" s="6">
        <v>4</v>
      </c>
      <c r="I130" s="18">
        <v>759.6</v>
      </c>
      <c r="J130" s="17">
        <v>46041.7229444792</v>
      </c>
      <c r="K130" s="6" t="s">
        <v>4880</v>
      </c>
      <c r="L130" t="str">
        <f t="shared" ref="L130:L193" si="2">IF(G130="","",G130&amp;"|"&amp;TEXT(A130,"0"))</f>
        <v>BOTA FRIGORIFICA N/39|46037</v>
      </c>
    </row>
    <row r="131" ht="13.5" customHeight="1" spans="1:12">
      <c r="A131" s="17">
        <v>46036.7137731482</v>
      </c>
      <c r="B131" s="6" t="s">
        <v>4876</v>
      </c>
      <c r="C131" s="6" t="s">
        <v>4985</v>
      </c>
      <c r="D131" s="6" t="s">
        <v>4986</v>
      </c>
      <c r="E131" s="6" t="s">
        <v>26</v>
      </c>
      <c r="F131" s="6" t="s">
        <v>4882</v>
      </c>
      <c r="G131" s="6" t="s">
        <v>4298</v>
      </c>
      <c r="H131" s="6">
        <v>2</v>
      </c>
      <c r="I131" s="18">
        <v>379.8</v>
      </c>
      <c r="J131" s="17">
        <v>46041.722944294</v>
      </c>
      <c r="K131" s="6" t="s">
        <v>4880</v>
      </c>
      <c r="L131" t="str">
        <f t="shared" si="2"/>
        <v>BOTA N°36 FRIGORÍFICA BRANCA MICROFIBRA|46037</v>
      </c>
    </row>
    <row r="132" ht="13.5" customHeight="1" spans="1:12">
      <c r="A132" s="17">
        <v>46036.7137731482</v>
      </c>
      <c r="B132" s="6" t="s">
        <v>4876</v>
      </c>
      <c r="C132" s="6" t="s">
        <v>4985</v>
      </c>
      <c r="D132" s="6" t="s">
        <v>4986</v>
      </c>
      <c r="E132" s="6" t="s">
        <v>26</v>
      </c>
      <c r="F132" s="6" t="s">
        <v>4882</v>
      </c>
      <c r="G132" s="6" t="s">
        <v>4317</v>
      </c>
      <c r="H132" s="6">
        <v>10</v>
      </c>
      <c r="I132" s="18">
        <v>899</v>
      </c>
      <c r="J132" s="17">
        <v>46041.7229441319</v>
      </c>
      <c r="K132" s="6" t="s">
        <v>4880</v>
      </c>
      <c r="L132" t="str">
        <f t="shared" si="2"/>
        <v>BOTA DE COURO N/44|46037</v>
      </c>
    </row>
    <row r="133" ht="13.5" customHeight="1" spans="1:12">
      <c r="A133" s="17">
        <v>46036.7137731482</v>
      </c>
      <c r="B133" s="6" t="s">
        <v>4876</v>
      </c>
      <c r="C133" s="6" t="s">
        <v>4985</v>
      </c>
      <c r="D133" s="6" t="s">
        <v>4986</v>
      </c>
      <c r="E133" s="6" t="s">
        <v>26</v>
      </c>
      <c r="F133" s="6" t="s">
        <v>4882</v>
      </c>
      <c r="G133" s="6" t="s">
        <v>4318</v>
      </c>
      <c r="H133" s="6">
        <v>10</v>
      </c>
      <c r="I133" s="18">
        <v>899</v>
      </c>
      <c r="J133" s="17">
        <v>46041.7229439468</v>
      </c>
      <c r="K133" s="6" t="s">
        <v>4880</v>
      </c>
      <c r="L133" t="str">
        <f t="shared" si="2"/>
        <v>BOTA DE COURO N/43|46037</v>
      </c>
    </row>
    <row r="134" ht="13.5" customHeight="1" spans="1:12">
      <c r="A134" s="17">
        <v>46036.7137731482</v>
      </c>
      <c r="B134" s="6" t="s">
        <v>4876</v>
      </c>
      <c r="C134" s="6" t="s">
        <v>4985</v>
      </c>
      <c r="D134" s="6" t="s">
        <v>4986</v>
      </c>
      <c r="E134" s="6" t="s">
        <v>26</v>
      </c>
      <c r="F134" s="6" t="s">
        <v>4882</v>
      </c>
      <c r="G134" s="6" t="s">
        <v>906</v>
      </c>
      <c r="H134" s="6">
        <v>15</v>
      </c>
      <c r="I134" s="18">
        <v>1348.5</v>
      </c>
      <c r="J134" s="17">
        <v>46041.72294375</v>
      </c>
      <c r="K134" s="6" t="s">
        <v>4880</v>
      </c>
      <c r="L134" t="str">
        <f t="shared" si="2"/>
        <v>BOTA DE COURO N/42|46037</v>
      </c>
    </row>
    <row r="135" ht="13.5" customHeight="1" spans="1:12">
      <c r="A135" s="17">
        <v>46036.7137731482</v>
      </c>
      <c r="B135" s="6" t="s">
        <v>4876</v>
      </c>
      <c r="C135" s="6" t="s">
        <v>4985</v>
      </c>
      <c r="D135" s="6" t="s">
        <v>4986</v>
      </c>
      <c r="E135" s="6" t="s">
        <v>26</v>
      </c>
      <c r="F135" s="6" t="s">
        <v>4882</v>
      </c>
      <c r="G135" s="6" t="s">
        <v>852</v>
      </c>
      <c r="H135" s="6">
        <v>10</v>
      </c>
      <c r="I135" s="18">
        <v>899</v>
      </c>
      <c r="J135" s="17">
        <v>46041.7229435995</v>
      </c>
      <c r="K135" s="6" t="s">
        <v>4880</v>
      </c>
      <c r="L135" t="str">
        <f t="shared" si="2"/>
        <v>BOTA DE COURO N/41|46037</v>
      </c>
    </row>
    <row r="136" ht="13.5" customHeight="1" spans="1:12">
      <c r="A136" s="17">
        <v>46036.7137731482</v>
      </c>
      <c r="B136" s="6" t="s">
        <v>4876</v>
      </c>
      <c r="C136" s="6" t="s">
        <v>4985</v>
      </c>
      <c r="D136" s="6" t="s">
        <v>4986</v>
      </c>
      <c r="E136" s="6" t="s">
        <v>26</v>
      </c>
      <c r="F136" s="6" t="s">
        <v>4882</v>
      </c>
      <c r="G136" s="6" t="s">
        <v>887</v>
      </c>
      <c r="H136" s="6">
        <v>15</v>
      </c>
      <c r="I136" s="18">
        <v>1348.5</v>
      </c>
      <c r="J136" s="17">
        <v>46041.7229434028</v>
      </c>
      <c r="K136" s="6" t="s">
        <v>4880</v>
      </c>
      <c r="L136" t="str">
        <f t="shared" si="2"/>
        <v>BOTA DE COURO N/40|46037</v>
      </c>
    </row>
    <row r="137" ht="13.5" customHeight="1" spans="1:12">
      <c r="A137" s="17">
        <v>46036.7137731482</v>
      </c>
      <c r="B137" s="6" t="s">
        <v>4876</v>
      </c>
      <c r="C137" s="6" t="s">
        <v>4985</v>
      </c>
      <c r="D137" s="6" t="s">
        <v>4986</v>
      </c>
      <c r="E137" s="6" t="s">
        <v>26</v>
      </c>
      <c r="F137" s="6" t="s">
        <v>4882</v>
      </c>
      <c r="G137" s="6" t="s">
        <v>4319</v>
      </c>
      <c r="H137" s="6">
        <v>10</v>
      </c>
      <c r="I137" s="18">
        <v>899</v>
      </c>
      <c r="J137" s="17">
        <v>46041.7229428588</v>
      </c>
      <c r="K137" s="6" t="s">
        <v>4880</v>
      </c>
      <c r="L137" t="str">
        <f t="shared" si="2"/>
        <v>BOTA DE COURO N/39|46037</v>
      </c>
    </row>
    <row r="138" ht="13.5" customHeight="1" spans="1:12">
      <c r="A138" s="17">
        <v>46037.3818865741</v>
      </c>
      <c r="B138" s="6" t="s">
        <v>4876</v>
      </c>
      <c r="C138" s="6" t="s">
        <v>4987</v>
      </c>
      <c r="D138" s="6" t="s">
        <v>4988</v>
      </c>
      <c r="E138" s="6" t="s">
        <v>26</v>
      </c>
      <c r="F138" s="6" t="s">
        <v>4882</v>
      </c>
      <c r="G138" s="6" t="s">
        <v>1052</v>
      </c>
      <c r="H138" s="6">
        <v>2</v>
      </c>
      <c r="I138" s="18">
        <v>20</v>
      </c>
      <c r="J138" s="17">
        <v>46038.4547135764</v>
      </c>
      <c r="K138" s="6" t="s">
        <v>4880</v>
      </c>
      <c r="L138" t="str">
        <f t="shared" si="2"/>
        <v>UNIAO 3/8|46037</v>
      </c>
    </row>
    <row r="139" ht="13.5" customHeight="1" spans="1:12">
      <c r="A139" s="17">
        <v>46037.3818865741</v>
      </c>
      <c r="B139" s="6" t="s">
        <v>4876</v>
      </c>
      <c r="C139" s="6" t="s">
        <v>4987</v>
      </c>
      <c r="D139" s="6" t="s">
        <v>4988</v>
      </c>
      <c r="E139" s="6" t="s">
        <v>26</v>
      </c>
      <c r="F139" s="6" t="s">
        <v>4882</v>
      </c>
      <c r="G139" s="6" t="s">
        <v>1945</v>
      </c>
      <c r="H139" s="6">
        <v>2</v>
      </c>
      <c r="I139" s="18">
        <v>14</v>
      </c>
      <c r="J139" s="17">
        <v>46038.4547131944</v>
      </c>
      <c r="K139" s="6" t="s">
        <v>4880</v>
      </c>
      <c r="L139" t="str">
        <f t="shared" si="2"/>
        <v>PORCA 3/8|46037</v>
      </c>
    </row>
    <row r="140" ht="13.5" customHeight="1" spans="1:12">
      <c r="A140" s="17">
        <v>46037.4615972222</v>
      </c>
      <c r="B140" s="6" t="s">
        <v>4876</v>
      </c>
      <c r="C140" s="6" t="s">
        <v>4989</v>
      </c>
      <c r="D140" s="6" t="s">
        <v>4990</v>
      </c>
      <c r="E140" s="6" t="s">
        <v>26</v>
      </c>
      <c r="F140" s="6" t="s">
        <v>4882</v>
      </c>
      <c r="G140" s="6" t="s">
        <v>3079</v>
      </c>
      <c r="H140" s="6">
        <v>2</v>
      </c>
      <c r="I140" s="18">
        <v>20</v>
      </c>
      <c r="J140" s="17">
        <v>46038.4631223727</v>
      </c>
      <c r="K140" s="6" t="s">
        <v>4880</v>
      </c>
      <c r="L140" t="str">
        <f t="shared" si="2"/>
        <v>FIM DE CURSO MICRO SWITCH|46037</v>
      </c>
    </row>
    <row r="141" ht="13.5" customHeight="1" spans="1:12">
      <c r="A141" s="17">
        <v>46037.5409953704</v>
      </c>
      <c r="B141" s="6" t="s">
        <v>4876</v>
      </c>
      <c r="C141" s="6" t="s">
        <v>4991</v>
      </c>
      <c r="D141" s="6" t="s">
        <v>104</v>
      </c>
      <c r="E141" s="6" t="s">
        <v>51</v>
      </c>
      <c r="F141" s="6" t="s">
        <v>4879</v>
      </c>
      <c r="G141" s="6" t="s">
        <v>2847</v>
      </c>
      <c r="H141" s="6">
        <v>1</v>
      </c>
      <c r="I141" s="18">
        <v>122</v>
      </c>
      <c r="J141" s="17">
        <v>46043.5481466782</v>
      </c>
      <c r="K141" s="6" t="s">
        <v>4880</v>
      </c>
      <c r="L141" t="str">
        <f t="shared" si="2"/>
        <v>JAPONA NYLON AZUL MOTORISTA EEGG|46038</v>
      </c>
    </row>
    <row r="142" ht="13.5" customHeight="1" spans="1:12">
      <c r="A142" s="17">
        <v>46037.5409953704</v>
      </c>
      <c r="B142" s="6" t="s">
        <v>4876</v>
      </c>
      <c r="C142" s="6" t="s">
        <v>4991</v>
      </c>
      <c r="D142" s="6" t="s">
        <v>104</v>
      </c>
      <c r="E142" s="6" t="s">
        <v>51</v>
      </c>
      <c r="F142" s="6" t="s">
        <v>4879</v>
      </c>
      <c r="G142" s="6" t="s">
        <v>54</v>
      </c>
      <c r="H142" s="6">
        <v>4</v>
      </c>
      <c r="I142" s="18">
        <v>488</v>
      </c>
      <c r="J142" s="17">
        <v>46043.5481465278</v>
      </c>
      <c r="K142" s="6" t="s">
        <v>4880</v>
      </c>
      <c r="L142" t="str">
        <f t="shared" si="2"/>
        <v>JAPONA NYLON MOTORISTA (EGG)|46038</v>
      </c>
    </row>
    <row r="143" ht="13.5" customHeight="1" spans="1:12">
      <c r="A143" s="17">
        <v>46037.5409953704</v>
      </c>
      <c r="B143" s="6" t="s">
        <v>4876</v>
      </c>
      <c r="C143" s="6" t="s">
        <v>4991</v>
      </c>
      <c r="D143" s="6" t="s">
        <v>104</v>
      </c>
      <c r="E143" s="6" t="s">
        <v>51</v>
      </c>
      <c r="F143" s="6" t="s">
        <v>4879</v>
      </c>
      <c r="G143" s="6" t="s">
        <v>53</v>
      </c>
      <c r="H143" s="6">
        <v>6</v>
      </c>
      <c r="I143" s="18">
        <v>732</v>
      </c>
      <c r="J143" s="17">
        <v>46043.548146331</v>
      </c>
      <c r="K143" s="6" t="s">
        <v>4880</v>
      </c>
      <c r="L143" t="str">
        <f t="shared" si="2"/>
        <v>JAPONA NYLON AZUL MOTORISTA (GG)|46038</v>
      </c>
    </row>
    <row r="144" ht="13.5" customHeight="1" spans="1:12">
      <c r="A144" s="17">
        <v>46037.5409953704</v>
      </c>
      <c r="B144" s="6" t="s">
        <v>4876</v>
      </c>
      <c r="C144" s="6" t="s">
        <v>4991</v>
      </c>
      <c r="D144" s="6" t="s">
        <v>104</v>
      </c>
      <c r="E144" s="6" t="s">
        <v>51</v>
      </c>
      <c r="F144" s="6" t="s">
        <v>4879</v>
      </c>
      <c r="G144" s="6" t="s">
        <v>52</v>
      </c>
      <c r="H144" s="6">
        <v>6</v>
      </c>
      <c r="I144" s="18">
        <v>732</v>
      </c>
      <c r="J144" s="17">
        <v>46043.5481461458</v>
      </c>
      <c r="K144" s="6" t="s">
        <v>4880</v>
      </c>
      <c r="L144" t="str">
        <f t="shared" si="2"/>
        <v>JAPONA NYLON AZUL MOTORISTA (G)|46038</v>
      </c>
    </row>
    <row r="145" ht="13.5" customHeight="1" spans="1:12">
      <c r="A145" s="17">
        <v>46037.5409953704</v>
      </c>
      <c r="B145" s="6" t="s">
        <v>4876</v>
      </c>
      <c r="C145" s="6" t="s">
        <v>4991</v>
      </c>
      <c r="D145" s="6" t="s">
        <v>104</v>
      </c>
      <c r="E145" s="6" t="s">
        <v>51</v>
      </c>
      <c r="F145" s="6" t="s">
        <v>4879</v>
      </c>
      <c r="G145" s="6" t="s">
        <v>50</v>
      </c>
      <c r="H145" s="6">
        <v>4</v>
      </c>
      <c r="I145" s="18">
        <v>488</v>
      </c>
      <c r="J145" s="17">
        <v>46043.5481457986</v>
      </c>
      <c r="K145" s="6" t="s">
        <v>4880</v>
      </c>
      <c r="L145" t="str">
        <f t="shared" si="2"/>
        <v>JAPONA NYLON AZUL MOTORISTA (M)|46038</v>
      </c>
    </row>
    <row r="146" ht="13.5" customHeight="1" spans="1:12">
      <c r="A146" s="17">
        <v>46037.5511342593</v>
      </c>
      <c r="B146" s="6" t="s">
        <v>4876</v>
      </c>
      <c r="C146" s="6" t="s">
        <v>4992</v>
      </c>
      <c r="D146" s="6" t="s">
        <v>4993</v>
      </c>
      <c r="E146" s="6" t="s">
        <v>26</v>
      </c>
      <c r="F146" s="6" t="s">
        <v>4882</v>
      </c>
      <c r="G146" s="6" t="s">
        <v>3353</v>
      </c>
      <c r="H146" s="6">
        <v>1</v>
      </c>
      <c r="I146" s="18">
        <v>20</v>
      </c>
      <c r="J146" s="17">
        <v>46041.5560310185</v>
      </c>
      <c r="K146" s="6" t="s">
        <v>4880</v>
      </c>
      <c r="L146" t="str">
        <f t="shared" si="2"/>
        <v>EMENDA 10MM ALUMINIO C/VALV R12 450 107|46038</v>
      </c>
    </row>
    <row r="147" ht="13.5" customHeight="1" spans="1:12">
      <c r="A147" s="17">
        <v>46037.5857175926</v>
      </c>
      <c r="B147" s="6" t="s">
        <v>4876</v>
      </c>
      <c r="C147" s="6" t="s">
        <v>4994</v>
      </c>
      <c r="D147" s="6" t="s">
        <v>110</v>
      </c>
      <c r="E147" s="6" t="s">
        <v>26</v>
      </c>
      <c r="F147" s="6" t="s">
        <v>4882</v>
      </c>
      <c r="G147" s="6" t="s">
        <v>171</v>
      </c>
      <c r="H147" s="6">
        <v>4</v>
      </c>
      <c r="I147" s="18">
        <v>112</v>
      </c>
      <c r="J147" s="17">
        <v>46037.5926151273</v>
      </c>
      <c r="K147" s="6" t="s">
        <v>4880</v>
      </c>
      <c r="L147" t="str">
        <f t="shared" si="2"/>
        <v>LANTERNA LATERAL OVAL CRISTAL BIVOLT |46038</v>
      </c>
    </row>
    <row r="148" ht="13.5" customHeight="1" spans="1:12">
      <c r="A148" s="17">
        <v>46037.5857175926</v>
      </c>
      <c r="B148" s="6" t="s">
        <v>4876</v>
      </c>
      <c r="C148" s="6" t="s">
        <v>4994</v>
      </c>
      <c r="D148" s="6" t="s">
        <v>110</v>
      </c>
      <c r="E148" s="6" t="s">
        <v>26</v>
      </c>
      <c r="F148" s="6" t="s">
        <v>4882</v>
      </c>
      <c r="G148" s="6" t="s">
        <v>307</v>
      </c>
      <c r="H148" s="6">
        <v>6</v>
      </c>
      <c r="I148" s="18">
        <v>720</v>
      </c>
      <c r="J148" s="17">
        <v>46037.5926143866</v>
      </c>
      <c r="K148" s="6" t="s">
        <v>4880</v>
      </c>
      <c r="L148" t="str">
        <f t="shared" si="2"/>
        <v>LANTERNA IAM SETA DIANT 24V VW|46038</v>
      </c>
    </row>
    <row r="149" ht="13.5" customHeight="1" spans="1:12">
      <c r="A149" s="17">
        <v>46037.5950694445</v>
      </c>
      <c r="B149" s="6" t="s">
        <v>4876</v>
      </c>
      <c r="C149" s="6" t="s">
        <v>4995</v>
      </c>
      <c r="D149" s="6" t="s">
        <v>4954</v>
      </c>
      <c r="E149" s="6" t="s">
        <v>26</v>
      </c>
      <c r="F149" s="6" t="s">
        <v>4882</v>
      </c>
      <c r="G149" s="6" t="s">
        <v>27</v>
      </c>
      <c r="H149" s="6">
        <v>4</v>
      </c>
      <c r="I149" s="18">
        <v>232</v>
      </c>
      <c r="J149" s="17">
        <v>46037.5993243403</v>
      </c>
      <c r="K149" s="6" t="s">
        <v>4880</v>
      </c>
      <c r="L149" t="str">
        <f t="shared" si="2"/>
        <v>LAMPADA H7 24V PHILLIPS|46038</v>
      </c>
    </row>
    <row r="150" ht="13.5" customHeight="1" spans="1:12">
      <c r="A150" s="17">
        <v>46037.5950694445</v>
      </c>
      <c r="B150" s="6" t="s">
        <v>4876</v>
      </c>
      <c r="C150" s="6" t="s">
        <v>4995</v>
      </c>
      <c r="D150" s="6" t="s">
        <v>4954</v>
      </c>
      <c r="E150" s="6" t="s">
        <v>26</v>
      </c>
      <c r="F150" s="6" t="s">
        <v>4882</v>
      </c>
      <c r="G150" s="6" t="s">
        <v>175</v>
      </c>
      <c r="H150" s="6">
        <v>1</v>
      </c>
      <c r="I150" s="18">
        <v>53</v>
      </c>
      <c r="J150" s="17">
        <v>46037.5993221875</v>
      </c>
      <c r="K150" s="6" t="s">
        <v>4880</v>
      </c>
      <c r="L150" t="str">
        <f t="shared" si="2"/>
        <v>Lanterna Lateral LED Bivolt Amarela,VERMELHA,CRISTAL(Pisca) - Sinalsul|46038</v>
      </c>
    </row>
    <row r="151" ht="13.5" customHeight="1" spans="1:12">
      <c r="A151" s="17">
        <v>46037.5950694445</v>
      </c>
      <c r="B151" s="6" t="s">
        <v>4876</v>
      </c>
      <c r="C151" s="6" t="s">
        <v>4995</v>
      </c>
      <c r="D151" s="6" t="s">
        <v>4954</v>
      </c>
      <c r="E151" s="6" t="s">
        <v>26</v>
      </c>
      <c r="F151" s="6" t="s">
        <v>4882</v>
      </c>
      <c r="G151" s="6" t="s">
        <v>1892</v>
      </c>
      <c r="H151" s="6">
        <v>15</v>
      </c>
      <c r="I151" s="18">
        <v>120</v>
      </c>
      <c r="J151" s="17">
        <v>46037.5993207176</v>
      </c>
      <c r="K151" s="6" t="s">
        <v>4880</v>
      </c>
      <c r="L151" t="str">
        <f t="shared" si="2"/>
        <v>PORTA FUSIVEL LAMINA|46038</v>
      </c>
    </row>
    <row r="152" ht="13.5" customHeight="1" spans="1:12">
      <c r="A152" s="17">
        <v>46037.5995486111</v>
      </c>
      <c r="B152" s="6" t="s">
        <v>4876</v>
      </c>
      <c r="C152" s="6" t="s">
        <v>4996</v>
      </c>
      <c r="D152" s="6" t="s">
        <v>4971</v>
      </c>
      <c r="E152" s="6" t="s">
        <v>26</v>
      </c>
      <c r="F152" s="6" t="s">
        <v>4882</v>
      </c>
      <c r="G152" s="6" t="s">
        <v>1127</v>
      </c>
      <c r="H152" s="6">
        <v>2</v>
      </c>
      <c r="I152" s="18">
        <v>63.3</v>
      </c>
      <c r="J152" s="17">
        <v>46037.6024754282</v>
      </c>
      <c r="K152" s="6" t="s">
        <v>4880</v>
      </c>
      <c r="L152" t="str">
        <f t="shared" si="2"/>
        <v>TORNEIRA P/JARDIM 1/2 BRANCA|46038</v>
      </c>
    </row>
    <row r="153" ht="13.5" customHeight="1" spans="1:12">
      <c r="A153" s="17">
        <v>46037.5995486111</v>
      </c>
      <c r="B153" s="6" t="s">
        <v>4876</v>
      </c>
      <c r="C153" s="6" t="s">
        <v>4996</v>
      </c>
      <c r="D153" s="6" t="s">
        <v>4971</v>
      </c>
      <c r="E153" s="6" t="s">
        <v>26</v>
      </c>
      <c r="F153" s="6" t="s">
        <v>4882</v>
      </c>
      <c r="G153" s="6" t="s">
        <v>868</v>
      </c>
      <c r="H153" s="6">
        <v>4</v>
      </c>
      <c r="I153" s="18">
        <v>880</v>
      </c>
      <c r="J153" s="17">
        <v>46037.6024746875</v>
      </c>
      <c r="K153" s="6" t="s">
        <v>4880</v>
      </c>
      <c r="L153" t="str">
        <f t="shared" si="2"/>
        <v>CORDA 4MM BRANCA|46038</v>
      </c>
    </row>
    <row r="154" ht="13.5" customHeight="1" spans="1:12">
      <c r="A154" s="17">
        <v>46037.6031018519</v>
      </c>
      <c r="B154" s="6" t="s">
        <v>4876</v>
      </c>
      <c r="C154" s="6" t="s">
        <v>4997</v>
      </c>
      <c r="D154" s="6" t="s">
        <v>4910</v>
      </c>
      <c r="E154" s="6" t="s">
        <v>26</v>
      </c>
      <c r="F154" s="6" t="s">
        <v>4882</v>
      </c>
      <c r="G154" s="6" t="s">
        <v>1428</v>
      </c>
      <c r="H154" s="6">
        <v>1</v>
      </c>
      <c r="I154" s="18">
        <v>77.28</v>
      </c>
      <c r="J154" s="17">
        <v>46037.6068025116</v>
      </c>
      <c r="K154" s="6" t="s">
        <v>4880</v>
      </c>
      <c r="L154" t="str">
        <f t="shared" si="2"/>
        <v>SKY CATALISADOR P/ ESMALTE PU GL630000940118|46038</v>
      </c>
    </row>
    <row r="155" ht="13.5" customHeight="1" spans="1:12">
      <c r="A155" s="17">
        <v>46037.6031018519</v>
      </c>
      <c r="B155" s="6" t="s">
        <v>4876</v>
      </c>
      <c r="C155" s="6" t="s">
        <v>4997</v>
      </c>
      <c r="D155" s="6" t="s">
        <v>4910</v>
      </c>
      <c r="E155" s="6" t="s">
        <v>26</v>
      </c>
      <c r="F155" s="6" t="s">
        <v>4882</v>
      </c>
      <c r="G155" s="6" t="s">
        <v>1846</v>
      </c>
      <c r="H155" s="6">
        <v>4</v>
      </c>
      <c r="I155" s="18">
        <v>215.8</v>
      </c>
      <c r="J155" s="17">
        <v>46037.6068017708</v>
      </c>
      <c r="K155" s="6" t="s">
        <v>4880</v>
      </c>
      <c r="L155" t="str">
        <f t="shared" si="2"/>
        <v>PU BRANCO SPRINTER 9147 MBB 97 1/4 6100511601D4|46038</v>
      </c>
    </row>
    <row r="156" ht="13.5" customHeight="1" spans="1:12">
      <c r="A156" s="17">
        <v>46037.6128819444</v>
      </c>
      <c r="B156" s="6" t="s">
        <v>4876</v>
      </c>
      <c r="C156" s="6" t="s">
        <v>4998</v>
      </c>
      <c r="D156" s="6" t="s">
        <v>4999</v>
      </c>
      <c r="E156" s="6" t="s">
        <v>26</v>
      </c>
      <c r="F156" s="6" t="s">
        <v>4882</v>
      </c>
      <c r="G156" s="6" t="s">
        <v>183</v>
      </c>
      <c r="H156" s="6">
        <v>1</v>
      </c>
      <c r="I156" s="18">
        <v>1064.73</v>
      </c>
      <c r="J156" s="17">
        <v>46037.6182322917</v>
      </c>
      <c r="K156" s="6" t="s">
        <v>4880</v>
      </c>
      <c r="L156" t="str">
        <f t="shared" si="2"/>
        <v>MOTOBOMBABFG 2 SAUTO ESCOVANTE|46038</v>
      </c>
    </row>
    <row r="157" ht="13.5" customHeight="1" spans="1:12">
      <c r="A157" s="17">
        <v>46038.4333912037</v>
      </c>
      <c r="B157" s="6" t="s">
        <v>4876</v>
      </c>
      <c r="C157" s="6" t="s">
        <v>5000</v>
      </c>
      <c r="D157" s="6" t="s">
        <v>4901</v>
      </c>
      <c r="E157" s="6" t="s">
        <v>26</v>
      </c>
      <c r="F157" s="6" t="s">
        <v>4882</v>
      </c>
      <c r="G157" s="6" t="s">
        <v>2906</v>
      </c>
      <c r="H157" s="6">
        <v>1</v>
      </c>
      <c r="I157" s="18">
        <v>118</v>
      </c>
      <c r="J157" s="17">
        <v>46041.4339711806</v>
      </c>
      <c r="K157" s="6" t="s">
        <v>4880</v>
      </c>
      <c r="L157" t="str">
        <f t="shared" si="2"/>
        <v>GÁS BOTIJÃO P 13|46038</v>
      </c>
    </row>
    <row r="158" ht="13.5" customHeight="1" spans="1:12">
      <c r="A158" s="17">
        <v>46038.4342013889</v>
      </c>
      <c r="B158" s="6" t="s">
        <v>4876</v>
      </c>
      <c r="C158" s="6" t="s">
        <v>5001</v>
      </c>
      <c r="D158" s="6" t="s">
        <v>4988</v>
      </c>
      <c r="E158" s="6" t="s">
        <v>26</v>
      </c>
      <c r="F158" s="6" t="s">
        <v>4882</v>
      </c>
      <c r="G158" s="6" t="s">
        <v>1088</v>
      </c>
      <c r="H158" s="6">
        <v>0.54</v>
      </c>
      <c r="I158" s="18">
        <v>72.9</v>
      </c>
      <c r="J158" s="17">
        <v>46041.4364374653</v>
      </c>
      <c r="K158" s="6" t="s">
        <v>4880</v>
      </c>
      <c r="L158" t="str">
        <f t="shared" si="2"/>
        <v>TUBO COBRE 1/4 |46038</v>
      </c>
    </row>
    <row r="159" ht="13.5" customHeight="1" spans="1:12">
      <c r="A159" s="17">
        <v>46038.4549652778</v>
      </c>
      <c r="B159" s="6" t="s">
        <v>4876</v>
      </c>
      <c r="C159" s="6" t="s">
        <v>5002</v>
      </c>
      <c r="D159" s="6" t="s">
        <v>5003</v>
      </c>
      <c r="E159" s="6" t="s">
        <v>26</v>
      </c>
      <c r="F159" s="6" t="s">
        <v>4882</v>
      </c>
      <c r="G159" s="6" t="s">
        <v>413</v>
      </c>
      <c r="H159" s="6">
        <v>50</v>
      </c>
      <c r="I159" s="18">
        <v>329.5</v>
      </c>
      <c r="J159" s="17">
        <v>46038.4614433218</v>
      </c>
      <c r="K159" s="6" t="s">
        <v>4880</v>
      </c>
      <c r="L159" t="str">
        <f t="shared" si="2"/>
        <v>GASOLINA COMUM 01|46038</v>
      </c>
    </row>
    <row r="160" ht="13.5" customHeight="1" spans="1:12">
      <c r="A160" s="17">
        <v>46038.566400463</v>
      </c>
      <c r="B160" s="6" t="s">
        <v>4876</v>
      </c>
      <c r="C160" s="6" t="s">
        <v>5004</v>
      </c>
      <c r="D160" s="6" t="s">
        <v>5005</v>
      </c>
      <c r="E160" s="6" t="s">
        <v>26</v>
      </c>
      <c r="F160" s="6" t="s">
        <v>4882</v>
      </c>
      <c r="G160" s="6" t="s">
        <v>708</v>
      </c>
      <c r="H160" s="6">
        <v>4</v>
      </c>
      <c r="I160" s="18">
        <v>110</v>
      </c>
      <c r="J160" s="17">
        <v>46041.567496956</v>
      </c>
      <c r="K160" s="6" t="s">
        <v>4880</v>
      </c>
      <c r="L160" t="str">
        <f t="shared" si="2"/>
        <v>REFIL FIO DENTAL 500M|46039</v>
      </c>
    </row>
    <row r="161" ht="13.5" customHeight="1" spans="1:12">
      <c r="A161" s="17">
        <v>46038.5884722222</v>
      </c>
      <c r="B161" s="6" t="s">
        <v>4876</v>
      </c>
      <c r="C161" s="6" t="s">
        <v>5006</v>
      </c>
      <c r="D161" s="6" t="s">
        <v>4894</v>
      </c>
      <c r="E161" s="6" t="s">
        <v>26</v>
      </c>
      <c r="F161" s="6" t="s">
        <v>4882</v>
      </c>
      <c r="G161" s="6" t="s">
        <v>2022</v>
      </c>
      <c r="H161" s="6">
        <v>3</v>
      </c>
      <c r="I161" s="18">
        <v>17.13</v>
      </c>
      <c r="J161" s="17">
        <v>46038.5920573264</v>
      </c>
      <c r="K161" s="6" t="s">
        <v>4880</v>
      </c>
      <c r="L161" t="str">
        <f t="shared" si="2"/>
        <v>PINO UNIFORT ELASTICO 5 X 40|46039</v>
      </c>
    </row>
    <row r="162" ht="13.5" customHeight="1" spans="1:12">
      <c r="A162" s="17">
        <v>46038.5884722222</v>
      </c>
      <c r="B162" s="6" t="s">
        <v>4876</v>
      </c>
      <c r="C162" s="6" t="s">
        <v>5006</v>
      </c>
      <c r="D162" s="6" t="s">
        <v>4894</v>
      </c>
      <c r="E162" s="6" t="s">
        <v>26</v>
      </c>
      <c r="F162" s="6" t="s">
        <v>4882</v>
      </c>
      <c r="G162" s="6" t="s">
        <v>2023</v>
      </c>
      <c r="H162" s="6">
        <v>3</v>
      </c>
      <c r="I162" s="18">
        <v>10.59</v>
      </c>
      <c r="J162" s="17">
        <v>46038.592056794</v>
      </c>
      <c r="K162" s="6" t="s">
        <v>4880</v>
      </c>
      <c r="L162" t="str">
        <f t="shared" si="2"/>
        <v>PINO UNIFORT ELASTICO 4 X 60 |46039</v>
      </c>
    </row>
    <row r="163" ht="13.5" customHeight="1" spans="1:12">
      <c r="A163" s="17">
        <v>46038.5921064815</v>
      </c>
      <c r="B163" s="6" t="s">
        <v>4876</v>
      </c>
      <c r="C163" s="6" t="s">
        <v>5007</v>
      </c>
      <c r="D163" s="6" t="s">
        <v>4954</v>
      </c>
      <c r="E163" s="6" t="s">
        <v>26</v>
      </c>
      <c r="F163" s="6" t="s">
        <v>4882</v>
      </c>
      <c r="G163" s="6" t="s">
        <v>399</v>
      </c>
      <c r="H163" s="6">
        <v>4</v>
      </c>
      <c r="I163" s="18">
        <v>104</v>
      </c>
      <c r="J163" s="17">
        <v>46038.5965300926</v>
      </c>
      <c r="K163" s="6" t="s">
        <v>4880</v>
      </c>
      <c r="L163" t="str">
        <f t="shared" si="2"/>
        <v>ABRAÇADEIRA CRUZETA 709/912|46039</v>
      </c>
    </row>
    <row r="164" ht="13.5" customHeight="1" spans="1:12">
      <c r="A164" s="17">
        <v>46038.5921064815</v>
      </c>
      <c r="B164" s="6" t="s">
        <v>4876</v>
      </c>
      <c r="C164" s="6" t="s">
        <v>5007</v>
      </c>
      <c r="D164" s="6" t="s">
        <v>4954</v>
      </c>
      <c r="E164" s="6" t="s">
        <v>26</v>
      </c>
      <c r="F164" s="6" t="s">
        <v>4882</v>
      </c>
      <c r="G164" s="6" t="s">
        <v>189</v>
      </c>
      <c r="H164" s="6">
        <v>1</v>
      </c>
      <c r="I164" s="18">
        <v>1335</v>
      </c>
      <c r="J164" s="17">
        <v>46038.5965297106</v>
      </c>
      <c r="K164" s="6" t="s">
        <v>4880</v>
      </c>
      <c r="L164" t="str">
        <f t="shared" si="2"/>
        <v>EMBREAGEM VISCOSA -VW 9.170/11.180 |46039</v>
      </c>
    </row>
    <row r="165" ht="13.5" customHeight="1" spans="1:12">
      <c r="A165" s="17">
        <v>46038.5976157407</v>
      </c>
      <c r="B165" s="6" t="s">
        <v>4876</v>
      </c>
      <c r="C165" s="6" t="s">
        <v>5008</v>
      </c>
      <c r="D165" s="6" t="s">
        <v>5009</v>
      </c>
      <c r="E165" s="6" t="s">
        <v>26</v>
      </c>
      <c r="F165" s="6" t="s">
        <v>4882</v>
      </c>
      <c r="G165" s="6" t="s">
        <v>2050</v>
      </c>
      <c r="H165" s="6">
        <v>1</v>
      </c>
      <c r="I165" s="18">
        <v>139.45</v>
      </c>
      <c r="J165" s="17">
        <v>46038.6002466435</v>
      </c>
      <c r="K165" s="6" t="s">
        <v>4880</v>
      </c>
      <c r="L165" t="str">
        <f t="shared" si="2"/>
        <v>PERFIL75X40 SIMPLES|46039</v>
      </c>
    </row>
    <row r="166" ht="13.5" customHeight="1" spans="1:12">
      <c r="A166" s="17">
        <v>46038.7096759259</v>
      </c>
      <c r="B166" s="6" t="s">
        <v>4876</v>
      </c>
      <c r="C166" s="6" t="s">
        <v>5010</v>
      </c>
      <c r="D166" s="6" t="s">
        <v>5011</v>
      </c>
      <c r="E166" s="6" t="s">
        <v>26</v>
      </c>
      <c r="F166" s="6" t="s">
        <v>4882</v>
      </c>
      <c r="G166" s="6" t="s">
        <v>1970</v>
      </c>
      <c r="H166" s="6">
        <v>2</v>
      </c>
      <c r="I166" s="18">
        <v>5923.32</v>
      </c>
      <c r="J166" s="17">
        <v>46041.7125825232</v>
      </c>
      <c r="K166" s="6" t="s">
        <v>4880</v>
      </c>
      <c r="L166" t="str">
        <f t="shared" si="2"/>
        <v>PNEU 295/80R22.5 154/149L R269Z BRIDGESTONE |46039</v>
      </c>
    </row>
    <row r="167" ht="13.5" customHeight="1" spans="1:12">
      <c r="A167" s="17">
        <v>46039.5597916667</v>
      </c>
      <c r="B167" s="6" t="s">
        <v>4876</v>
      </c>
      <c r="C167" s="6" t="s">
        <v>5012</v>
      </c>
      <c r="D167" s="6" t="s">
        <v>5013</v>
      </c>
      <c r="E167" s="6" t="s">
        <v>26</v>
      </c>
      <c r="F167" s="6" t="s">
        <v>4882</v>
      </c>
      <c r="G167" s="6" t="s">
        <v>3972</v>
      </c>
      <c r="H167" s="6">
        <v>10</v>
      </c>
      <c r="I167" s="18">
        <v>38</v>
      </c>
      <c r="J167" s="17">
        <v>46041.5610567477</v>
      </c>
      <c r="K167" s="6" t="s">
        <v>4880</v>
      </c>
      <c r="L167" t="str">
        <f t="shared" si="2"/>
        <v>CANECA 8MM ALUMINIO NORMAL(CON AR)|46040</v>
      </c>
    </row>
    <row r="168" ht="13.5" customHeight="1" spans="1:12">
      <c r="A168" s="17">
        <v>46039.5647337963</v>
      </c>
      <c r="B168" s="6" t="s">
        <v>4876</v>
      </c>
      <c r="C168" s="6" t="s">
        <v>5014</v>
      </c>
      <c r="D168" s="6" t="s">
        <v>5013</v>
      </c>
      <c r="E168" s="6" t="s">
        <v>26</v>
      </c>
      <c r="F168" s="6" t="s">
        <v>4882</v>
      </c>
      <c r="G168" s="6" t="s">
        <v>1530</v>
      </c>
      <c r="H168" s="6">
        <v>1</v>
      </c>
      <c r="I168" s="18">
        <v>52.25</v>
      </c>
      <c r="J168" s="17">
        <v>46041.5658064005</v>
      </c>
      <c r="K168" s="6" t="s">
        <v>4880</v>
      </c>
      <c r="L168" t="str">
        <f t="shared" si="2"/>
        <v>SALVA VIDA 8MM ALUMINIO MANG AR COND|46040</v>
      </c>
    </row>
    <row r="169" ht="13.5" customHeight="1" spans="1:12">
      <c r="A169" s="17">
        <v>46041.530162037</v>
      </c>
      <c r="B169" s="6" t="s">
        <v>4876</v>
      </c>
      <c r="C169" s="6" t="s">
        <v>5015</v>
      </c>
      <c r="D169" s="6" t="s">
        <v>4954</v>
      </c>
      <c r="E169" s="6" t="s">
        <v>26</v>
      </c>
      <c r="F169" s="6" t="s">
        <v>4882</v>
      </c>
      <c r="G169" s="6" t="s">
        <v>196</v>
      </c>
      <c r="H169" s="6">
        <v>24</v>
      </c>
      <c r="I169" s="18">
        <v>1104</v>
      </c>
      <c r="J169" s="17">
        <v>46041.5509122338</v>
      </c>
      <c r="K169" s="6" t="s">
        <v>4880</v>
      </c>
      <c r="L169" t="str">
        <f t="shared" si="2"/>
        <v>ANTI-FERRUGEM WD-40 300ML|46042</v>
      </c>
    </row>
    <row r="170" ht="13.5" customHeight="1" spans="1:12">
      <c r="A170" s="17">
        <v>46041.5683912037</v>
      </c>
      <c r="B170" s="6" t="s">
        <v>4876</v>
      </c>
      <c r="C170" s="6" t="s">
        <v>5016</v>
      </c>
      <c r="D170" s="6" t="s">
        <v>4894</v>
      </c>
      <c r="E170" s="6" t="s">
        <v>26</v>
      </c>
      <c r="F170" s="6" t="s">
        <v>4882</v>
      </c>
      <c r="G170" s="6" t="s">
        <v>3296</v>
      </c>
      <c r="H170" s="6">
        <v>1</v>
      </c>
      <c r="I170" s="18">
        <v>8.67</v>
      </c>
      <c r="J170" s="17">
        <v>46041.5708354514</v>
      </c>
      <c r="K170" s="6" t="s">
        <v>4880</v>
      </c>
      <c r="L170" t="str">
        <f t="shared" si="2"/>
        <v>ESGUICHO AJUSTAVEL P/MANGUEIRA|46042</v>
      </c>
    </row>
    <row r="171" ht="13.5" customHeight="1" spans="1:12">
      <c r="A171" s="17">
        <v>46041.5683912037</v>
      </c>
      <c r="B171" s="6" t="s">
        <v>4876</v>
      </c>
      <c r="C171" s="6" t="s">
        <v>5016</v>
      </c>
      <c r="D171" s="6" t="s">
        <v>4894</v>
      </c>
      <c r="E171" s="6" t="s">
        <v>26</v>
      </c>
      <c r="F171" s="6" t="s">
        <v>4882</v>
      </c>
      <c r="G171" s="6" t="s">
        <v>995</v>
      </c>
      <c r="H171" s="6">
        <v>4</v>
      </c>
      <c r="I171" s="18">
        <v>64.16</v>
      </c>
      <c r="J171" s="17">
        <v>46041.5708353009</v>
      </c>
      <c r="K171" s="6" t="s">
        <v>4880</v>
      </c>
      <c r="L171" t="str">
        <f t="shared" si="2"/>
        <v>VASELINA SPRAY 300ML TEK BOND|46042</v>
      </c>
    </row>
    <row r="172" ht="13.5" customHeight="1" spans="1:12">
      <c r="A172" s="17">
        <v>46041.5683912037</v>
      </c>
      <c r="B172" s="6" t="s">
        <v>4876</v>
      </c>
      <c r="C172" s="6" t="s">
        <v>5016</v>
      </c>
      <c r="D172" s="6" t="s">
        <v>4894</v>
      </c>
      <c r="E172" s="6" t="s">
        <v>26</v>
      </c>
      <c r="F172" s="6" t="s">
        <v>4882</v>
      </c>
      <c r="G172" s="6" t="s">
        <v>2916</v>
      </c>
      <c r="H172" s="6">
        <v>4</v>
      </c>
      <c r="I172" s="18">
        <v>68.8</v>
      </c>
      <c r="J172" s="17">
        <v>46041.570834919</v>
      </c>
      <c r="K172" s="6" t="s">
        <v>4880</v>
      </c>
      <c r="L172" t="str">
        <f t="shared" si="2"/>
        <v>GRAXA SPRAY BRANCA|46042</v>
      </c>
    </row>
    <row r="173" ht="13.5" customHeight="1" spans="1:12">
      <c r="A173" s="17">
        <v>46041.5683912037</v>
      </c>
      <c r="B173" s="6" t="s">
        <v>4876</v>
      </c>
      <c r="C173" s="6" t="s">
        <v>5016</v>
      </c>
      <c r="D173" s="6" t="s">
        <v>4894</v>
      </c>
      <c r="E173" s="6" t="s">
        <v>26</v>
      </c>
      <c r="F173" s="6" t="s">
        <v>4882</v>
      </c>
      <c r="G173" s="6" t="s">
        <v>40</v>
      </c>
      <c r="H173" s="6">
        <v>20</v>
      </c>
      <c r="I173" s="18">
        <v>3226</v>
      </c>
      <c r="J173" s="17">
        <v>46041.570834375</v>
      </c>
      <c r="K173" s="6" t="s">
        <v>4880</v>
      </c>
      <c r="L173" t="str">
        <f t="shared" si="2"/>
        <v>RODA COLSON PNEUMATICA 350-4 R.7|46042</v>
      </c>
    </row>
    <row r="174" ht="13.5" customHeight="1" spans="1:12">
      <c r="A174" s="17">
        <v>46041.5710300926</v>
      </c>
      <c r="B174" s="6" t="s">
        <v>4876</v>
      </c>
      <c r="C174" s="6" t="s">
        <v>5017</v>
      </c>
      <c r="D174" s="6" t="s">
        <v>5018</v>
      </c>
      <c r="E174" s="6" t="s">
        <v>26</v>
      </c>
      <c r="F174" s="6" t="s">
        <v>4882</v>
      </c>
      <c r="G174" s="6" t="s">
        <v>4179</v>
      </c>
      <c r="H174" s="6">
        <v>1</v>
      </c>
      <c r="I174" s="18">
        <v>37.08</v>
      </c>
      <c r="J174" s="17">
        <v>46041.5721728357</v>
      </c>
      <c r="K174" s="6" t="s">
        <v>4880</v>
      </c>
      <c r="L174" t="str">
        <f t="shared" si="2"/>
        <v>BUCHA REDUÇÃO ROSCA MACHO 1/2 x FEMEA AC|46042</v>
      </c>
    </row>
    <row r="175" ht="13.5" customHeight="1" spans="1:12">
      <c r="A175" s="17">
        <v>46041.6738310185</v>
      </c>
      <c r="B175" s="6" t="s">
        <v>4876</v>
      </c>
      <c r="C175" s="6" t="s">
        <v>5019</v>
      </c>
      <c r="D175" s="6" t="s">
        <v>4912</v>
      </c>
      <c r="E175" s="6" t="s">
        <v>26</v>
      </c>
      <c r="F175" s="6" t="s">
        <v>4882</v>
      </c>
      <c r="G175" s="6" t="s">
        <v>289</v>
      </c>
      <c r="H175" s="6">
        <v>1</v>
      </c>
      <c r="I175" s="18">
        <v>800</v>
      </c>
      <c r="J175" s="17">
        <v>46041.6758633102</v>
      </c>
      <c r="K175" s="6" t="s">
        <v>4880</v>
      </c>
      <c r="L175" t="str">
        <f t="shared" si="2"/>
        <v>BATERIA ZETTA Z 100E|46042</v>
      </c>
    </row>
    <row r="176" ht="13.5" customHeight="1" spans="1:12">
      <c r="A176" s="17">
        <v>46042.3761805556</v>
      </c>
      <c r="B176" s="6" t="s">
        <v>4876</v>
      </c>
      <c r="C176" s="6" t="s">
        <v>5020</v>
      </c>
      <c r="D176" s="6" t="s">
        <v>5021</v>
      </c>
      <c r="E176" s="6" t="s">
        <v>26</v>
      </c>
      <c r="F176" s="6" t="s">
        <v>4882</v>
      </c>
      <c r="G176" s="6" t="s">
        <v>4522</v>
      </c>
      <c r="H176" s="6">
        <v>4.83</v>
      </c>
      <c r="I176" s="18">
        <v>1062.117</v>
      </c>
      <c r="J176" s="17">
        <v>46045.377452581</v>
      </c>
      <c r="K176" s="6" t="s">
        <v>4880</v>
      </c>
      <c r="L176" t="str">
        <f t="shared" si="2"/>
        <v>ASSOALHO DE GARAPA 1 SECO ESTUFA 10 23PC COMP; 2.100 LARG 0.100|46042</v>
      </c>
    </row>
    <row r="177" ht="13.5" customHeight="1" spans="1:12">
      <c r="A177" s="17">
        <v>46042.3761805556</v>
      </c>
      <c r="B177" s="6" t="s">
        <v>4876</v>
      </c>
      <c r="C177" s="6" t="s">
        <v>5020</v>
      </c>
      <c r="D177" s="6" t="s">
        <v>5021</v>
      </c>
      <c r="E177" s="6" t="s">
        <v>26</v>
      </c>
      <c r="F177" s="6" t="s">
        <v>4882</v>
      </c>
      <c r="G177" s="6" t="s">
        <v>4524</v>
      </c>
      <c r="H177" s="6">
        <v>1.44</v>
      </c>
      <c r="I177" s="18">
        <v>316.656</v>
      </c>
      <c r="J177" s="17">
        <v>46045.3774517014</v>
      </c>
      <c r="K177" s="6" t="s">
        <v>4880</v>
      </c>
      <c r="L177" t="str">
        <f t="shared" si="2"/>
        <v>ASSOALHO DE GARAPA 1 SECO ESTUFA 10 12PC COMP;1.200 LAG; 0.100|46042</v>
      </c>
    </row>
    <row r="178" ht="13.5" customHeight="1" spans="1:12">
      <c r="A178" s="17">
        <v>46042.5533449074</v>
      </c>
      <c r="B178" s="6" t="s">
        <v>4876</v>
      </c>
      <c r="C178" s="6" t="s">
        <v>5022</v>
      </c>
      <c r="D178" s="6" t="s">
        <v>4905</v>
      </c>
      <c r="E178" s="6" t="s">
        <v>26</v>
      </c>
      <c r="F178" s="6" t="s">
        <v>4882</v>
      </c>
      <c r="G178" s="6" t="s">
        <v>2929</v>
      </c>
      <c r="H178" s="6">
        <v>4</v>
      </c>
      <c r="I178" s="18">
        <v>35.6</v>
      </c>
      <c r="J178" s="17">
        <v>46042.5568280903</v>
      </c>
      <c r="K178" s="6" t="s">
        <v>4880</v>
      </c>
      <c r="L178" t="str">
        <f t="shared" si="2"/>
        <v>GONZO 2 C/ABAS BICROMATIZADO|46043</v>
      </c>
    </row>
    <row r="179" ht="13.5" customHeight="1" spans="1:12">
      <c r="A179" s="17">
        <v>46042.5533449074</v>
      </c>
      <c r="B179" s="6" t="s">
        <v>4876</v>
      </c>
      <c r="C179" s="6" t="s">
        <v>5022</v>
      </c>
      <c r="D179" s="6" t="s">
        <v>4905</v>
      </c>
      <c r="E179" s="6" t="s">
        <v>26</v>
      </c>
      <c r="F179" s="6" t="s">
        <v>4882</v>
      </c>
      <c r="G179" s="6" t="s">
        <v>1836</v>
      </c>
      <c r="H179" s="6">
        <v>1</v>
      </c>
      <c r="I179" s="18">
        <v>71.33</v>
      </c>
      <c r="J179" s="17">
        <v>46042.5568276968</v>
      </c>
      <c r="K179" s="6" t="s">
        <v>4880</v>
      </c>
      <c r="L179" t="str">
        <f t="shared" si="2"/>
        <v>QUADRADO 1/2 ASTM A-36 VL BASE|46043</v>
      </c>
    </row>
    <row r="180" ht="13.5" customHeight="1" spans="1:12">
      <c r="A180" s="17">
        <v>46042.5571527778</v>
      </c>
      <c r="B180" s="6" t="s">
        <v>4876</v>
      </c>
      <c r="C180" s="6" t="s">
        <v>5023</v>
      </c>
      <c r="D180" s="6" t="s">
        <v>4971</v>
      </c>
      <c r="E180" s="6" t="s">
        <v>26</v>
      </c>
      <c r="F180" s="6" t="s">
        <v>4882</v>
      </c>
      <c r="G180" s="6" t="s">
        <v>849</v>
      </c>
      <c r="H180" s="6">
        <v>5</v>
      </c>
      <c r="I180" s="18">
        <v>252.35</v>
      </c>
      <c r="J180" s="17">
        <v>46042.5585767361</v>
      </c>
      <c r="K180" s="6" t="s">
        <v>4880</v>
      </c>
      <c r="L180" t="str">
        <f t="shared" si="2"/>
        <v>REFLETOR LED TR SLIM 50W 6500K PRETO|46043</v>
      </c>
    </row>
    <row r="181" ht="13.5" customHeight="1" spans="1:12">
      <c r="A181" s="17">
        <v>46042.5574421296</v>
      </c>
      <c r="B181" s="6" t="s">
        <v>4876</v>
      </c>
      <c r="C181" s="6" t="s">
        <v>5024</v>
      </c>
      <c r="D181" s="6" t="s">
        <v>5025</v>
      </c>
      <c r="E181" s="6" t="s">
        <v>26</v>
      </c>
      <c r="F181" s="6" t="s">
        <v>4882</v>
      </c>
      <c r="G181" s="6" t="s">
        <v>4008</v>
      </c>
      <c r="H181" s="6">
        <v>4</v>
      </c>
      <c r="I181" s="18">
        <v>131.2</v>
      </c>
      <c r="J181" s="17">
        <v>46044.5612832523</v>
      </c>
      <c r="K181" s="6" t="s">
        <v>4880</v>
      </c>
      <c r="L181" t="str">
        <f t="shared" si="2"/>
        <v>CAMISA DE MANGA VERDE (G)|46043</v>
      </c>
    </row>
    <row r="182" ht="13.5" customHeight="1" spans="1:12">
      <c r="A182" s="17">
        <v>46042.5588425926</v>
      </c>
      <c r="B182" s="6" t="s">
        <v>4876</v>
      </c>
      <c r="C182" s="6" t="s">
        <v>5026</v>
      </c>
      <c r="D182" s="6" t="s">
        <v>4954</v>
      </c>
      <c r="E182" s="6" t="s">
        <v>26</v>
      </c>
      <c r="F182" s="6" t="s">
        <v>4882</v>
      </c>
      <c r="G182" s="6" t="s">
        <v>1141</v>
      </c>
      <c r="H182" s="6">
        <v>1</v>
      </c>
      <c r="I182" s="18">
        <v>73</v>
      </c>
      <c r="J182" s="17">
        <v>46042.5672038195</v>
      </c>
      <c r="K182" s="6" t="s">
        <v>4880</v>
      </c>
      <c r="L182" t="str">
        <f t="shared" si="2"/>
        <v>TOMADA REBOQUE GRANDE DNI 8311|46043</v>
      </c>
    </row>
    <row r="183" ht="13.5" customHeight="1" spans="1:12">
      <c r="A183" s="17">
        <v>46042.5588425926</v>
      </c>
      <c r="B183" s="6" t="s">
        <v>4876</v>
      </c>
      <c r="C183" s="6" t="s">
        <v>5026</v>
      </c>
      <c r="D183" s="6" t="s">
        <v>4954</v>
      </c>
      <c r="E183" s="6" t="s">
        <v>26</v>
      </c>
      <c r="F183" s="6" t="s">
        <v>4882</v>
      </c>
      <c r="G183" s="6" t="s">
        <v>175</v>
      </c>
      <c r="H183" s="6">
        <v>8</v>
      </c>
      <c r="I183" s="18">
        <v>432</v>
      </c>
      <c r="J183" s="17">
        <v>46042.5672036227</v>
      </c>
      <c r="K183" s="6" t="s">
        <v>4880</v>
      </c>
      <c r="L183" t="str">
        <f t="shared" si="2"/>
        <v>Lanterna Lateral LED Bivolt Amarela,VERMELHA,CRISTAL(Pisca) - Sinalsul|46043</v>
      </c>
    </row>
    <row r="184" ht="13.5" customHeight="1" spans="1:12">
      <c r="A184" s="17">
        <v>46042.5588425926</v>
      </c>
      <c r="B184" s="6" t="s">
        <v>4876</v>
      </c>
      <c r="C184" s="6" t="s">
        <v>5026</v>
      </c>
      <c r="D184" s="6" t="s">
        <v>4954</v>
      </c>
      <c r="E184" s="6" t="s">
        <v>26</v>
      </c>
      <c r="F184" s="6" t="s">
        <v>4882</v>
      </c>
      <c r="G184" s="6" t="s">
        <v>194</v>
      </c>
      <c r="H184" s="6">
        <v>5</v>
      </c>
      <c r="I184" s="18">
        <v>590</v>
      </c>
      <c r="J184" s="17">
        <v>46042.5672032755</v>
      </c>
      <c r="K184" s="6" t="s">
        <v>4880</v>
      </c>
      <c r="L184" t="str">
        <f t="shared" si="2"/>
        <v>RETENTOR RODA TRZ SABO 08397|46043</v>
      </c>
    </row>
    <row r="185" ht="13.5" customHeight="1" spans="1:12">
      <c r="A185" s="17">
        <v>46042.5588425926</v>
      </c>
      <c r="B185" s="6" t="s">
        <v>4876</v>
      </c>
      <c r="C185" s="6" t="s">
        <v>5026</v>
      </c>
      <c r="D185" s="6" t="s">
        <v>4954</v>
      </c>
      <c r="E185" s="6" t="s">
        <v>26</v>
      </c>
      <c r="F185" s="6" t="s">
        <v>4882</v>
      </c>
      <c r="G185" s="6" t="s">
        <v>4749</v>
      </c>
      <c r="H185" s="6">
        <v>4</v>
      </c>
      <c r="I185" s="18">
        <v>36.8</v>
      </c>
      <c r="J185" s="17">
        <v>46042.5672030903</v>
      </c>
      <c r="K185" s="6" t="s">
        <v>4880</v>
      </c>
      <c r="L185" t="str">
        <f t="shared" si="2"/>
        <v>ABRAÇADEIRA FLEXIVEL CARBONO 5164|46043</v>
      </c>
    </row>
    <row r="186" ht="13.5" customHeight="1" spans="1:12">
      <c r="A186" s="17">
        <v>46042.5588425926</v>
      </c>
      <c r="B186" s="6" t="s">
        <v>4876</v>
      </c>
      <c r="C186" s="6" t="s">
        <v>5026</v>
      </c>
      <c r="D186" s="6" t="s">
        <v>4954</v>
      </c>
      <c r="E186" s="6" t="s">
        <v>26</v>
      </c>
      <c r="F186" s="6" t="s">
        <v>4882</v>
      </c>
      <c r="G186" s="6" t="s">
        <v>4750</v>
      </c>
      <c r="H186" s="6">
        <v>5</v>
      </c>
      <c r="I186" s="18">
        <v>40</v>
      </c>
      <c r="J186" s="17">
        <v>46042.5672028935</v>
      </c>
      <c r="K186" s="6" t="s">
        <v>4880</v>
      </c>
      <c r="L186" t="str">
        <f t="shared" si="2"/>
        <v>ABRAÇADEIRA FLEXIVE CARBONO 4457|46043</v>
      </c>
    </row>
    <row r="187" ht="13.5" customHeight="1" spans="1:12">
      <c r="A187" s="17">
        <v>46042.5588425926</v>
      </c>
      <c r="B187" s="6" t="s">
        <v>4876</v>
      </c>
      <c r="C187" s="6" t="s">
        <v>5026</v>
      </c>
      <c r="D187" s="6" t="s">
        <v>4954</v>
      </c>
      <c r="E187" s="6" t="s">
        <v>26</v>
      </c>
      <c r="F187" s="6" t="s">
        <v>4882</v>
      </c>
      <c r="G187" s="6" t="s">
        <v>4739</v>
      </c>
      <c r="H187" s="6">
        <v>5</v>
      </c>
      <c r="I187" s="18">
        <v>40</v>
      </c>
      <c r="J187" s="17">
        <v>46042.5672025463</v>
      </c>
      <c r="K187" s="6" t="s">
        <v>4880</v>
      </c>
      <c r="L187" t="str">
        <f t="shared" si="2"/>
        <v>ABRAÇADEIRA METAL FLEXIVEL CARBONO 32-44|46043</v>
      </c>
    </row>
    <row r="188" ht="13.5" customHeight="1" spans="1:12">
      <c r="A188" s="17">
        <v>46043.3465277778</v>
      </c>
      <c r="B188" s="6" t="s">
        <v>4876</v>
      </c>
      <c r="C188" s="6" t="s">
        <v>5027</v>
      </c>
      <c r="D188" s="6" t="s">
        <v>4879</v>
      </c>
      <c r="E188" s="6" t="s">
        <v>26</v>
      </c>
      <c r="F188" s="6" t="s">
        <v>4882</v>
      </c>
      <c r="G188" s="6" t="s">
        <v>184</v>
      </c>
      <c r="H188" s="6">
        <v>2</v>
      </c>
      <c r="I188" s="18">
        <v>496</v>
      </c>
      <c r="J188" s="17">
        <v>46043.3469449421</v>
      </c>
      <c r="K188" s="6" t="s">
        <v>4880</v>
      </c>
      <c r="L188" t="str">
        <f t="shared" si="2"/>
        <v>PRESSOSTATO BAIXA -5/7 PSI 061F1076 COD 01317 MARCA PARALELA (MB 815)|46043</v>
      </c>
    </row>
    <row r="189" ht="13.5" customHeight="1" spans="1:12">
      <c r="A189" s="17">
        <v>46043.4616087963</v>
      </c>
      <c r="B189" s="6" t="s">
        <v>4876</v>
      </c>
      <c r="C189" s="6" t="s">
        <v>5028</v>
      </c>
      <c r="D189" s="6" t="s">
        <v>110</v>
      </c>
      <c r="E189" s="6" t="s">
        <v>26</v>
      </c>
      <c r="F189" s="6" t="s">
        <v>4882</v>
      </c>
      <c r="G189" s="6" t="s">
        <v>29</v>
      </c>
      <c r="H189" s="6">
        <v>2</v>
      </c>
      <c r="I189" s="18">
        <v>640</v>
      </c>
      <c r="J189" s="17">
        <v>46043.4624804051</v>
      </c>
      <c r="K189" s="6" t="s">
        <v>4880</v>
      </c>
      <c r="L189" t="str">
        <f t="shared" si="2"/>
        <v>RESERVATORIO DE ÁGUA ACCELO TANQUE EXPANSÃO PARALELA|46043</v>
      </c>
    </row>
    <row r="190" ht="13.5" customHeight="1" spans="1:12">
      <c r="A190" s="17">
        <v>46043.5503009259</v>
      </c>
      <c r="B190" s="6" t="s">
        <v>4876</v>
      </c>
      <c r="C190" s="6" t="s">
        <v>5029</v>
      </c>
      <c r="D190" s="6" t="s">
        <v>4901</v>
      </c>
      <c r="E190" s="6" t="s">
        <v>26</v>
      </c>
      <c r="F190" s="6" t="s">
        <v>4882</v>
      </c>
      <c r="G190" s="6" t="s">
        <v>2904</v>
      </c>
      <c r="H190" s="6">
        <v>2</v>
      </c>
      <c r="I190" s="18">
        <v>840</v>
      </c>
      <c r="J190" s="17">
        <v>46043.551055787</v>
      </c>
      <c r="K190" s="6" t="s">
        <v>4880</v>
      </c>
      <c r="L190" t="str">
        <f t="shared" si="2"/>
        <v>GÁS BOTIJÃO P 45|46044</v>
      </c>
    </row>
    <row r="191" ht="13.5" customHeight="1" spans="1:12">
      <c r="A191" s="17">
        <v>46043.5710532407</v>
      </c>
      <c r="B191" s="6" t="s">
        <v>4876</v>
      </c>
      <c r="C191" s="6" t="s">
        <v>5030</v>
      </c>
      <c r="D191" s="6" t="s">
        <v>5031</v>
      </c>
      <c r="E191" s="6" t="s">
        <v>26</v>
      </c>
      <c r="F191" s="6" t="s">
        <v>4882</v>
      </c>
      <c r="G191" s="6" t="s">
        <v>710</v>
      </c>
      <c r="H191" s="6">
        <v>1</v>
      </c>
      <c r="I191" s="18">
        <v>78.9</v>
      </c>
      <c r="J191" s="17">
        <v>46048.5729670949</v>
      </c>
      <c r="K191" s="6" t="s">
        <v>4880</v>
      </c>
      <c r="L191" t="str">
        <f t="shared" si="2"/>
        <v>GRAMPEADOR ALICATE CIS HP-45|46044</v>
      </c>
    </row>
    <row r="192" ht="13.5" customHeight="1" spans="1:12">
      <c r="A192" s="17">
        <v>46043.6871990741</v>
      </c>
      <c r="B192" s="6" t="s">
        <v>4876</v>
      </c>
      <c r="C192" s="6" t="s">
        <v>5032</v>
      </c>
      <c r="D192" s="6" t="s">
        <v>4954</v>
      </c>
      <c r="E192" s="6" t="s">
        <v>26</v>
      </c>
      <c r="F192" s="6" t="s">
        <v>4882</v>
      </c>
      <c r="G192" s="6" t="s">
        <v>216</v>
      </c>
      <c r="H192" s="6">
        <v>1</v>
      </c>
      <c r="I192" s="18">
        <v>436</v>
      </c>
      <c r="J192" s="17">
        <v>46043.6899901273</v>
      </c>
      <c r="K192" s="6" t="s">
        <v>4880</v>
      </c>
      <c r="L192" t="str">
        <f t="shared" si="2"/>
        <v>FAROL AUX DIREITO 4592|46044</v>
      </c>
    </row>
    <row r="193" ht="13.5" customHeight="1" spans="1:12">
      <c r="A193" s="17">
        <v>46043.6871990741</v>
      </c>
      <c r="B193" s="6" t="s">
        <v>4876</v>
      </c>
      <c r="C193" s="6" t="s">
        <v>5032</v>
      </c>
      <c r="D193" s="6" t="s">
        <v>4954</v>
      </c>
      <c r="E193" s="6" t="s">
        <v>26</v>
      </c>
      <c r="F193" s="6" t="s">
        <v>4882</v>
      </c>
      <c r="G193" s="6" t="s">
        <v>215</v>
      </c>
      <c r="H193" s="6">
        <v>1</v>
      </c>
      <c r="I193" s="18">
        <v>436</v>
      </c>
      <c r="J193" s="17">
        <v>46043.6899886574</v>
      </c>
      <c r="K193" s="6" t="s">
        <v>4880</v>
      </c>
      <c r="L193" t="str">
        <f t="shared" si="2"/>
        <v>FAROL AUX ESQUERDO 4592-A|46044</v>
      </c>
    </row>
    <row r="194" ht="13.5" customHeight="1" spans="1:12">
      <c r="A194" s="17">
        <v>46043.6921064815</v>
      </c>
      <c r="B194" s="6" t="s">
        <v>4876</v>
      </c>
      <c r="C194" s="6" t="s">
        <v>5033</v>
      </c>
      <c r="D194" s="6" t="s">
        <v>110</v>
      </c>
      <c r="E194" s="6" t="s">
        <v>26</v>
      </c>
      <c r="F194" s="6" t="s">
        <v>4882</v>
      </c>
      <c r="G194" s="6" t="s">
        <v>299</v>
      </c>
      <c r="H194" s="6">
        <v>2</v>
      </c>
      <c r="I194" s="18">
        <v>166</v>
      </c>
      <c r="J194" s="17">
        <v>46043.6980087153</v>
      </c>
      <c r="K194" s="6" t="s">
        <v>4880</v>
      </c>
      <c r="L194" t="str">
        <f t="shared" ref="L194:L257" si="3">IF(G194="","",G194&amp;"|"&amp;TEXT(A194,"0"))</f>
        <v>FAROL TIPO SELED BRAN |46044</v>
      </c>
    </row>
    <row r="195" ht="13.5" customHeight="1" spans="1:12">
      <c r="A195" s="17">
        <v>46043.6988078704</v>
      </c>
      <c r="B195" s="6" t="s">
        <v>4876</v>
      </c>
      <c r="C195" s="6" t="s">
        <v>5033</v>
      </c>
      <c r="D195" s="6" t="s">
        <v>110</v>
      </c>
      <c r="E195" s="6" t="s">
        <v>26</v>
      </c>
      <c r="F195" s="6" t="s">
        <v>4882</v>
      </c>
      <c r="G195" s="6" t="s">
        <v>2697</v>
      </c>
      <c r="H195" s="6">
        <v>2</v>
      </c>
      <c r="I195" s="18">
        <v>396</v>
      </c>
      <c r="J195" s="17">
        <v>46043.705581794</v>
      </c>
      <c r="K195" s="6" t="s">
        <v>4880</v>
      </c>
      <c r="L195" t="str">
        <f t="shared" si="3"/>
        <v>LANTERNA  TRASEIRA VOLVO FH C/CONECTOR|46044</v>
      </c>
    </row>
    <row r="196" ht="13.5" customHeight="1" spans="1:12">
      <c r="A196" s="17">
        <v>46043.6988078704</v>
      </c>
      <c r="B196" s="6" t="s">
        <v>4876</v>
      </c>
      <c r="C196" s="6" t="s">
        <v>5033</v>
      </c>
      <c r="D196" s="6" t="s">
        <v>110</v>
      </c>
      <c r="E196" s="6" t="s">
        <v>26</v>
      </c>
      <c r="F196" s="6" t="s">
        <v>4882</v>
      </c>
      <c r="G196" s="6" t="s">
        <v>27</v>
      </c>
      <c r="H196" s="6">
        <v>15</v>
      </c>
      <c r="I196" s="18">
        <v>885</v>
      </c>
      <c r="J196" s="17">
        <v>46043.7055810532</v>
      </c>
      <c r="K196" s="6" t="s">
        <v>4880</v>
      </c>
      <c r="L196" t="str">
        <f t="shared" si="3"/>
        <v>LAMPADA H7 24V PHILLIPS|46044</v>
      </c>
    </row>
    <row r="197" ht="13.5" customHeight="1" spans="1:12">
      <c r="A197" s="17">
        <v>46043.6988078704</v>
      </c>
      <c r="B197" s="6" t="s">
        <v>4876</v>
      </c>
      <c r="C197" s="6" t="s">
        <v>5033</v>
      </c>
      <c r="D197" s="6" t="s">
        <v>110</v>
      </c>
      <c r="E197" s="6" t="s">
        <v>26</v>
      </c>
      <c r="F197" s="6" t="s">
        <v>4882</v>
      </c>
      <c r="G197" s="6" t="s">
        <v>2720</v>
      </c>
      <c r="H197" s="6">
        <v>20</v>
      </c>
      <c r="I197" s="18">
        <v>70</v>
      </c>
      <c r="J197" s="17">
        <v>46043.7055783565</v>
      </c>
      <c r="K197" s="6" t="s">
        <v>4880</v>
      </c>
      <c r="L197" t="str">
        <f t="shared" si="3"/>
        <v>LAMPADA 67 - 24V |46044</v>
      </c>
    </row>
    <row r="198" ht="13.5" customHeight="1" spans="1:12">
      <c r="A198" s="17">
        <v>46043.6988078704</v>
      </c>
      <c r="B198" s="6" t="s">
        <v>4876</v>
      </c>
      <c r="C198" s="6" t="s">
        <v>5033</v>
      </c>
      <c r="D198" s="6" t="s">
        <v>110</v>
      </c>
      <c r="E198" s="6" t="s">
        <v>26</v>
      </c>
      <c r="F198" s="6" t="s">
        <v>4882</v>
      </c>
      <c r="G198" s="6" t="s">
        <v>2709</v>
      </c>
      <c r="H198" s="6">
        <v>2</v>
      </c>
      <c r="I198" s="18">
        <v>44</v>
      </c>
      <c r="J198" s="17">
        <v>46043.7055780093</v>
      </c>
      <c r="K198" s="6" t="s">
        <v>4880</v>
      </c>
      <c r="L198" t="str">
        <f t="shared" si="3"/>
        <v>LAMPADA H4 12V|46044</v>
      </c>
    </row>
    <row r="199" ht="13.5" customHeight="1" spans="1:12">
      <c r="A199" s="17">
        <v>46044.3632986111</v>
      </c>
      <c r="B199" s="6" t="s">
        <v>4876</v>
      </c>
      <c r="C199" s="6" t="s">
        <v>5034</v>
      </c>
      <c r="D199" s="6" t="s">
        <v>5035</v>
      </c>
      <c r="E199" s="6" t="s">
        <v>26</v>
      </c>
      <c r="F199" s="6" t="s">
        <v>4882</v>
      </c>
      <c r="G199" s="6" t="s">
        <v>2594</v>
      </c>
      <c r="H199" s="6">
        <v>1</v>
      </c>
      <c r="I199" s="18">
        <v>1.75</v>
      </c>
      <c r="J199" s="17">
        <v>46045.365772257</v>
      </c>
      <c r="K199" s="6" t="s">
        <v>4880</v>
      </c>
      <c r="L199" t="str">
        <f t="shared" si="3"/>
        <v>LUVA PVC 1/2|46044</v>
      </c>
    </row>
    <row r="200" ht="13.5" customHeight="1" spans="1:12">
      <c r="A200" s="17">
        <v>46044.3632986111</v>
      </c>
      <c r="B200" s="6" t="s">
        <v>4876</v>
      </c>
      <c r="C200" s="6" t="s">
        <v>5034</v>
      </c>
      <c r="D200" s="6" t="s">
        <v>5035</v>
      </c>
      <c r="E200" s="6" t="s">
        <v>26</v>
      </c>
      <c r="F200" s="6" t="s">
        <v>4882</v>
      </c>
      <c r="G200" s="6" t="s">
        <v>939</v>
      </c>
      <c r="H200" s="6">
        <v>1</v>
      </c>
      <c r="I200" s="18">
        <v>390</v>
      </c>
      <c r="J200" s="17">
        <v>46045.3657717245</v>
      </c>
      <c r="K200" s="6" t="s">
        <v>4880</v>
      </c>
      <c r="L200" t="str">
        <f t="shared" si="3"/>
        <v>VÁLVULA P/ MICTÓRIO AUTOMATICO 1/2|46044</v>
      </c>
    </row>
    <row r="201" ht="13.5" customHeight="1" spans="1:12">
      <c r="A201" s="17">
        <v>46044.3661111111</v>
      </c>
      <c r="B201" s="6" t="s">
        <v>4876</v>
      </c>
      <c r="C201" s="6" t="s">
        <v>5036</v>
      </c>
      <c r="D201" s="6" t="s">
        <v>5037</v>
      </c>
      <c r="E201" s="6" t="s">
        <v>26</v>
      </c>
      <c r="F201" s="6" t="s">
        <v>4882</v>
      </c>
      <c r="G201" s="6" t="s">
        <v>989</v>
      </c>
      <c r="H201" s="6">
        <v>4</v>
      </c>
      <c r="I201" s="18">
        <v>74</v>
      </c>
      <c r="J201" s="17">
        <v>46045.3666932523</v>
      </c>
      <c r="K201" s="6" t="s">
        <v>4880</v>
      </c>
      <c r="L201" t="str">
        <f t="shared" si="3"/>
        <v>VASSOURA DE PIAÇAVA |46044</v>
      </c>
    </row>
    <row r="202" ht="13.5" customHeight="1" spans="1:12">
      <c r="A202" s="17">
        <v>46044.3669791667</v>
      </c>
      <c r="B202" s="6" t="s">
        <v>4876</v>
      </c>
      <c r="C202" s="6" t="s">
        <v>5038</v>
      </c>
      <c r="D202" s="6" t="s">
        <v>5039</v>
      </c>
      <c r="E202" s="6" t="s">
        <v>26</v>
      </c>
      <c r="F202" s="6" t="s">
        <v>4882</v>
      </c>
      <c r="G202" s="6" t="s">
        <v>3738</v>
      </c>
      <c r="H202" s="6">
        <v>2</v>
      </c>
      <c r="I202" s="18">
        <v>24</v>
      </c>
      <c r="J202" s="17">
        <v>46045.3677335301</v>
      </c>
      <c r="K202" s="6" t="s">
        <v>4880</v>
      </c>
      <c r="L202" t="str">
        <f t="shared" si="3"/>
        <v>COADOR DE CAFE|46044</v>
      </c>
    </row>
    <row r="203" ht="13.5" customHeight="1" spans="1:12">
      <c r="A203" s="17">
        <v>46044.3679513889</v>
      </c>
      <c r="B203" s="6" t="s">
        <v>4876</v>
      </c>
      <c r="C203" s="6" t="s">
        <v>5040</v>
      </c>
      <c r="D203" s="6" t="s">
        <v>5041</v>
      </c>
      <c r="E203" s="6" t="s">
        <v>26</v>
      </c>
      <c r="F203" s="6" t="s">
        <v>4882</v>
      </c>
      <c r="G203" s="6" t="s">
        <v>3311</v>
      </c>
      <c r="H203" s="6">
        <v>1</v>
      </c>
      <c r="I203" s="18">
        <v>49.9</v>
      </c>
      <c r="J203" s="17">
        <v>46045.3693889236</v>
      </c>
      <c r="K203" s="6" t="s">
        <v>4880</v>
      </c>
      <c r="L203" t="str">
        <f t="shared" si="3"/>
        <v>ESCOVA DE CARVÃO ESMERILHADEIRA DWE4020|46044</v>
      </c>
    </row>
    <row r="204" ht="13.5" customHeight="1" spans="1:12">
      <c r="A204" s="17">
        <v>46044.3696527778</v>
      </c>
      <c r="B204" s="6" t="s">
        <v>4876</v>
      </c>
      <c r="C204" s="6" t="s">
        <v>5042</v>
      </c>
      <c r="D204" s="6" t="s">
        <v>4971</v>
      </c>
      <c r="E204" s="6" t="s">
        <v>26</v>
      </c>
      <c r="F204" s="6" t="s">
        <v>4882</v>
      </c>
      <c r="G204" s="6" t="s">
        <v>1250</v>
      </c>
      <c r="H204" s="6">
        <v>2</v>
      </c>
      <c r="I204" s="18">
        <v>91.52</v>
      </c>
      <c r="J204" s="17">
        <v>46045.370415706</v>
      </c>
      <c r="K204" s="6" t="s">
        <v>4880</v>
      </c>
      <c r="L204" t="str">
        <f t="shared" si="3"/>
        <v>TEK BOND  793|46044</v>
      </c>
    </row>
    <row r="205" ht="13.5" customHeight="1" spans="1:12">
      <c r="A205" s="17">
        <v>46044.370775463</v>
      </c>
      <c r="B205" s="6" t="s">
        <v>4876</v>
      </c>
      <c r="C205" s="6" t="s">
        <v>5043</v>
      </c>
      <c r="D205" s="6" t="s">
        <v>5044</v>
      </c>
      <c r="E205" s="6" t="s">
        <v>38</v>
      </c>
      <c r="F205" s="6" t="s">
        <v>4879</v>
      </c>
      <c r="G205" s="6" t="s">
        <v>458</v>
      </c>
      <c r="H205" s="6">
        <v>20</v>
      </c>
      <c r="I205" s="18">
        <v>398</v>
      </c>
      <c r="J205" s="17">
        <v>46045.3719996181</v>
      </c>
      <c r="K205" s="6" t="s">
        <v>4880</v>
      </c>
      <c r="L205" t="str">
        <f t="shared" si="3"/>
        <v>SACO DE LIXO 60L LEVE C/100|46044</v>
      </c>
    </row>
    <row r="206" ht="13.5" customHeight="1" spans="1:12">
      <c r="A206" s="17">
        <v>46044.370775463</v>
      </c>
      <c r="B206" s="6" t="s">
        <v>4876</v>
      </c>
      <c r="C206" s="6" t="s">
        <v>5043</v>
      </c>
      <c r="D206" s="6" t="s">
        <v>5044</v>
      </c>
      <c r="E206" s="6" t="s">
        <v>182</v>
      </c>
      <c r="F206" s="6" t="s">
        <v>4879</v>
      </c>
      <c r="G206" s="6" t="s">
        <v>533</v>
      </c>
      <c r="H206" s="6">
        <v>20</v>
      </c>
      <c r="I206" s="18">
        <v>1360</v>
      </c>
      <c r="J206" s="17">
        <v>46045.3719990741</v>
      </c>
      <c r="K206" s="6" t="s">
        <v>4880</v>
      </c>
      <c r="L206" t="str">
        <f t="shared" si="3"/>
        <v>SACOLA VERDE REFORÇADA 50x60 5 KG|46044</v>
      </c>
    </row>
    <row r="207" ht="13.5" customHeight="1" spans="1:12">
      <c r="A207" s="17">
        <v>46044.4349884259</v>
      </c>
      <c r="B207" s="6" t="s">
        <v>4876</v>
      </c>
      <c r="C207" s="6" t="s">
        <v>5045</v>
      </c>
      <c r="D207" s="6" t="s">
        <v>5046</v>
      </c>
      <c r="E207" s="6" t="s">
        <v>38</v>
      </c>
      <c r="F207" s="6" t="s">
        <v>4879</v>
      </c>
      <c r="G207" s="6" t="s">
        <v>260</v>
      </c>
      <c r="H207" s="6">
        <v>60</v>
      </c>
      <c r="I207" s="18">
        <v>1492.2</v>
      </c>
      <c r="J207" s="17">
        <v>46048.4417944792</v>
      </c>
      <c r="K207" s="6" t="s">
        <v>4880</v>
      </c>
      <c r="L207" t="str">
        <f t="shared" si="3"/>
        <v>PAPEL TOALHA BOBINA 6X20X200|46044</v>
      </c>
    </row>
    <row r="208" ht="13.5" customHeight="1" spans="1:12">
      <c r="A208" s="17">
        <v>46044.4349884259</v>
      </c>
      <c r="B208" s="6" t="s">
        <v>4876</v>
      </c>
      <c r="C208" s="6" t="s">
        <v>5045</v>
      </c>
      <c r="D208" s="6" t="s">
        <v>5046</v>
      </c>
      <c r="E208" s="6" t="s">
        <v>38</v>
      </c>
      <c r="F208" s="6" t="s">
        <v>4879</v>
      </c>
      <c r="G208" s="6" t="s">
        <v>3027</v>
      </c>
      <c r="H208" s="6">
        <v>8</v>
      </c>
      <c r="I208" s="18">
        <v>966.08</v>
      </c>
      <c r="J208" s="17">
        <v>46048.4417906597</v>
      </c>
      <c r="K208" s="6" t="s">
        <v>4880</v>
      </c>
      <c r="L208" t="str">
        <f t="shared" si="3"/>
        <v>FLOX ESPUMA (ERVA DOCE) 5L MARCA MERCOTECH|46044</v>
      </c>
    </row>
    <row r="209" ht="13.5" customHeight="1" spans="1:12">
      <c r="A209" s="17">
        <v>46045.4472453704</v>
      </c>
      <c r="B209" s="6" t="s">
        <v>4876</v>
      </c>
      <c r="C209" s="6" t="s">
        <v>5047</v>
      </c>
      <c r="D209" s="6" t="s">
        <v>5048</v>
      </c>
      <c r="E209" s="6" t="s">
        <v>26</v>
      </c>
      <c r="F209" s="6" t="s">
        <v>4882</v>
      </c>
      <c r="G209" s="6" t="s">
        <v>4257</v>
      </c>
      <c r="H209" s="6">
        <v>1</v>
      </c>
      <c r="I209" s="18">
        <v>8.9</v>
      </c>
      <c r="J209" s="19">
        <v>46048.4490980324</v>
      </c>
      <c r="K209" s="6" t="s">
        <v>4880</v>
      </c>
      <c r="L209" t="str">
        <f t="shared" si="3"/>
        <v>BROCA AÇO RAPIDO 01,00MM|46045</v>
      </c>
    </row>
    <row r="210" ht="13.5" customHeight="1" spans="1:12">
      <c r="A210" s="17">
        <v>46045.4493634259</v>
      </c>
      <c r="B210" s="6" t="s">
        <v>4876</v>
      </c>
      <c r="C210" s="6" t="s">
        <v>5049</v>
      </c>
      <c r="D210" s="6" t="s">
        <v>5050</v>
      </c>
      <c r="E210" s="6" t="s">
        <v>26</v>
      </c>
      <c r="F210" s="6" t="s">
        <v>4882</v>
      </c>
      <c r="G210" s="6" t="s">
        <v>635</v>
      </c>
      <c r="H210" s="6">
        <v>1</v>
      </c>
      <c r="I210" s="18">
        <v>123.97</v>
      </c>
      <c r="J210" s="19">
        <v>46048.4517522801</v>
      </c>
      <c r="K210" s="6" t="s">
        <v>4880</v>
      </c>
      <c r="L210" t="str">
        <f t="shared" si="3"/>
        <v>RAÇÃO P/ PEIXE (LAGUNA)|46045</v>
      </c>
    </row>
    <row r="211" ht="13.5" customHeight="1" spans="1:12">
      <c r="A211" s="17">
        <v>46045.4493634259</v>
      </c>
      <c r="B211" s="6" t="s">
        <v>4876</v>
      </c>
      <c r="C211" s="6" t="s">
        <v>5049</v>
      </c>
      <c r="D211" s="6" t="s">
        <v>5050</v>
      </c>
      <c r="E211" s="6" t="s">
        <v>26</v>
      </c>
      <c r="F211" s="6" t="s">
        <v>4882</v>
      </c>
      <c r="G211" s="6" t="s">
        <v>1308</v>
      </c>
      <c r="H211" s="6">
        <v>2</v>
      </c>
      <c r="I211" s="18">
        <v>60.6</v>
      </c>
      <c r="J211" s="19">
        <v>46048.4517511921</v>
      </c>
      <c r="K211" s="6" t="s">
        <v>4880</v>
      </c>
      <c r="L211" t="str">
        <f t="shared" si="3"/>
        <v>TALFON TOP 1KG|46045</v>
      </c>
    </row>
    <row r="212" ht="13.5" customHeight="1" spans="1:12">
      <c r="A212" s="17">
        <v>46045.5574421296</v>
      </c>
      <c r="B212" s="6" t="s">
        <v>4876</v>
      </c>
      <c r="C212" s="6" t="s">
        <v>5051</v>
      </c>
      <c r="D212" s="6" t="s">
        <v>4888</v>
      </c>
      <c r="E212" s="6" t="s">
        <v>26</v>
      </c>
      <c r="F212" s="6" t="s">
        <v>4882</v>
      </c>
      <c r="G212" s="6" t="s">
        <v>653</v>
      </c>
      <c r="H212" s="6">
        <v>1</v>
      </c>
      <c r="I212" s="18">
        <v>65</v>
      </c>
      <c r="J212" s="19">
        <v>46045.559108831</v>
      </c>
      <c r="K212" s="6" t="s">
        <v>4880</v>
      </c>
      <c r="L212" t="str">
        <f t="shared" si="3"/>
        <v>TESOURA PARA CERCA VIVA |46046</v>
      </c>
    </row>
    <row r="213" ht="13.5" customHeight="1" spans="1:12">
      <c r="A213" s="17">
        <v>46045.5574421296</v>
      </c>
      <c r="B213" s="6" t="s">
        <v>4876</v>
      </c>
      <c r="C213" s="6" t="s">
        <v>5051</v>
      </c>
      <c r="D213" s="6" t="s">
        <v>4888</v>
      </c>
      <c r="E213" s="6" t="s">
        <v>26</v>
      </c>
      <c r="F213" s="6" t="s">
        <v>4882</v>
      </c>
      <c r="G213" s="6" t="s">
        <v>655</v>
      </c>
      <c r="H213" s="6">
        <v>1</v>
      </c>
      <c r="I213" s="18">
        <v>41.1</v>
      </c>
      <c r="J213" s="19">
        <v>46045.5591084838</v>
      </c>
      <c r="K213" s="6" t="s">
        <v>4880</v>
      </c>
      <c r="L213" t="str">
        <f t="shared" si="3"/>
        <v>TESOURAO PODA TIPO BYPASS |46046</v>
      </c>
    </row>
    <row r="214" ht="13.5" customHeight="1" spans="1:12">
      <c r="A214" s="17">
        <v>46045.5574421296</v>
      </c>
      <c r="B214" s="6" t="s">
        <v>4876</v>
      </c>
      <c r="C214" s="6" t="s">
        <v>5051</v>
      </c>
      <c r="D214" s="6" t="s">
        <v>4888</v>
      </c>
      <c r="E214" s="6" t="s">
        <v>26</v>
      </c>
      <c r="F214" s="6" t="s">
        <v>4882</v>
      </c>
      <c r="G214" s="6" t="s">
        <v>2881</v>
      </c>
      <c r="H214" s="6">
        <v>3</v>
      </c>
      <c r="I214" s="18">
        <v>270</v>
      </c>
      <c r="J214" s="19">
        <v>46045.5591077546</v>
      </c>
      <c r="K214" s="6" t="s">
        <v>4880</v>
      </c>
      <c r="L214" t="str">
        <f t="shared" si="3"/>
        <v>INSETIMAX-INSETICOM JARDIM 25G|46046</v>
      </c>
    </row>
    <row r="215" ht="13.5" customHeight="1" spans="1:12">
      <c r="A215" s="17">
        <v>46048.3936458333</v>
      </c>
      <c r="B215" s="6" t="s">
        <v>4876</v>
      </c>
      <c r="C215" s="6" t="s">
        <v>5052</v>
      </c>
      <c r="D215" s="6" t="s">
        <v>4916</v>
      </c>
      <c r="E215" s="6" t="s">
        <v>26</v>
      </c>
      <c r="F215" s="6" t="s">
        <v>4882</v>
      </c>
      <c r="G215" s="6" t="s">
        <v>4029</v>
      </c>
      <c r="H215" s="6">
        <v>1</v>
      </c>
      <c r="I215" s="18">
        <v>479.9</v>
      </c>
      <c r="J215" s="19">
        <v>46050.3981043634</v>
      </c>
      <c r="K215" s="6" t="s">
        <v>4880</v>
      </c>
      <c r="L215" t="str">
        <f t="shared" si="3"/>
        <v>CAMERA DE VIDEO WI FI FULL HD IM5 SC|46048</v>
      </c>
    </row>
    <row r="216" ht="13.5" customHeight="1" spans="1:12">
      <c r="A216" s="17">
        <v>46048.3936458333</v>
      </c>
      <c r="B216" s="6" t="s">
        <v>4876</v>
      </c>
      <c r="C216" s="6" t="s">
        <v>5052</v>
      </c>
      <c r="D216" s="6" t="s">
        <v>4916</v>
      </c>
      <c r="E216" s="6" t="s">
        <v>26</v>
      </c>
      <c r="F216" s="6" t="s">
        <v>4882</v>
      </c>
      <c r="G216" s="6" t="s">
        <v>4027</v>
      </c>
      <c r="H216" s="6">
        <v>2</v>
      </c>
      <c r="I216" s="18">
        <v>559.8</v>
      </c>
      <c r="J216" s="19">
        <v>46050.3981043634</v>
      </c>
      <c r="K216" s="6" t="s">
        <v>4880</v>
      </c>
      <c r="L216" t="str">
        <f t="shared" si="3"/>
        <v>CAMERA TV IP BULLET VIPC 1230 B G2|46048</v>
      </c>
    </row>
    <row r="217" ht="13.5" customHeight="1" spans="1:12">
      <c r="A217" s="17">
        <v>46048.3936458333</v>
      </c>
      <c r="B217" s="6" t="s">
        <v>4876</v>
      </c>
      <c r="C217" s="6" t="s">
        <v>5052</v>
      </c>
      <c r="D217" s="6" t="s">
        <v>4916</v>
      </c>
      <c r="E217" s="6" t="s">
        <v>26</v>
      </c>
      <c r="F217" s="6" t="s">
        <v>4882</v>
      </c>
      <c r="G217" s="6" t="s">
        <v>4421</v>
      </c>
      <c r="H217" s="6">
        <v>2</v>
      </c>
      <c r="I217" s="18">
        <v>281.8</v>
      </c>
      <c r="J217" s="19">
        <v>46050.3981039699</v>
      </c>
      <c r="K217" s="6" t="s">
        <v>4880</v>
      </c>
      <c r="L217" t="str">
        <f t="shared" si="3"/>
        <v>BATERIA VRLA 12V 7AH XB 1270 |46048</v>
      </c>
    </row>
    <row r="218" ht="13.5" customHeight="1" spans="1:12">
      <c r="A218" s="17">
        <v>46048.4457060185</v>
      </c>
      <c r="B218" s="6" t="s">
        <v>4876</v>
      </c>
      <c r="C218" s="6" t="s">
        <v>5053</v>
      </c>
      <c r="D218" s="6" t="s">
        <v>4879</v>
      </c>
      <c r="E218" s="6" t="s">
        <v>26</v>
      </c>
      <c r="F218" s="6" t="s">
        <v>4882</v>
      </c>
      <c r="G218" s="6" t="s">
        <v>165</v>
      </c>
      <c r="H218" s="6">
        <v>4</v>
      </c>
      <c r="I218" s="18">
        <v>569.28</v>
      </c>
      <c r="J218" s="19">
        <v>46048.446262963</v>
      </c>
      <c r="K218" s="6" t="s">
        <v>4880</v>
      </c>
      <c r="L218" t="str">
        <f t="shared" si="3"/>
        <v>SENSOR DE TEMPERATURA|46048</v>
      </c>
    </row>
    <row r="219" ht="13.5" customHeight="1" spans="1:12">
      <c r="A219" s="17">
        <v>46048.5820486111</v>
      </c>
      <c r="B219" s="6" t="s">
        <v>4876</v>
      </c>
      <c r="C219" s="6" t="s">
        <v>5054</v>
      </c>
      <c r="D219" s="6" t="s">
        <v>4919</v>
      </c>
      <c r="E219" s="6" t="s">
        <v>26</v>
      </c>
      <c r="F219" s="6" t="s">
        <v>4882</v>
      </c>
      <c r="G219" s="6" t="s">
        <v>959</v>
      </c>
      <c r="H219" s="6">
        <v>1</v>
      </c>
      <c r="I219" s="18">
        <v>169.9</v>
      </c>
      <c r="J219" s="19">
        <v>46048.5855397801</v>
      </c>
      <c r="K219" s="6" t="s">
        <v>4880</v>
      </c>
      <c r="L219" t="str">
        <f t="shared" si="3"/>
        <v>VERNIZ PREMIUM SOLARE FILTRO SOLAR MONTANA|46049</v>
      </c>
    </row>
    <row r="220" ht="13.5" customHeight="1" spans="1:12">
      <c r="A220" s="17">
        <v>46048.5820486111</v>
      </c>
      <c r="B220" s="6" t="s">
        <v>4876</v>
      </c>
      <c r="C220" s="6" t="s">
        <v>5054</v>
      </c>
      <c r="D220" s="6" t="s">
        <v>4919</v>
      </c>
      <c r="E220" s="6" t="s">
        <v>26</v>
      </c>
      <c r="F220" s="6" t="s">
        <v>4882</v>
      </c>
      <c r="G220" s="6" t="s">
        <v>2479</v>
      </c>
      <c r="H220" s="6">
        <v>1</v>
      </c>
      <c r="I220" s="18">
        <v>44.9</v>
      </c>
      <c r="J220" s="19">
        <v>46048.5855350695</v>
      </c>
      <c r="K220" s="6" t="s">
        <v>4880</v>
      </c>
      <c r="L220" t="str">
        <f t="shared" si="3"/>
        <v>MASSA CORRIDA PVA 5,6KG|46049</v>
      </c>
    </row>
    <row r="221" ht="13.5" customHeight="1" spans="1:12">
      <c r="A221" s="17">
        <v>46048.5820486111</v>
      </c>
      <c r="B221" s="6" t="s">
        <v>4876</v>
      </c>
      <c r="C221" s="6" t="s">
        <v>5054</v>
      </c>
      <c r="D221" s="6" t="s">
        <v>4919</v>
      </c>
      <c r="E221" s="6" t="s">
        <v>26</v>
      </c>
      <c r="F221" s="6" t="s">
        <v>4882</v>
      </c>
      <c r="G221" s="6" t="s">
        <v>957</v>
      </c>
      <c r="H221" s="6">
        <v>1</v>
      </c>
      <c r="I221" s="18">
        <v>202.77</v>
      </c>
      <c r="J221" s="19">
        <v>46048.5855318287</v>
      </c>
      <c r="K221" s="6" t="s">
        <v>4880</v>
      </c>
      <c r="L221" t="str">
        <f t="shared" si="3"/>
        <v>VIAPOL FITA ADESIVA 45CM |46049</v>
      </c>
    </row>
    <row r="222" ht="13.5" customHeight="1" spans="1:12">
      <c r="A222" s="17">
        <v>46048.5820486111</v>
      </c>
      <c r="B222" s="6" t="s">
        <v>4876</v>
      </c>
      <c r="C222" s="6" t="s">
        <v>5054</v>
      </c>
      <c r="D222" s="6" t="s">
        <v>4919</v>
      </c>
      <c r="E222" s="6" t="s">
        <v>26</v>
      </c>
      <c r="F222" s="6" t="s">
        <v>4882</v>
      </c>
      <c r="G222" s="6" t="s">
        <v>607</v>
      </c>
      <c r="H222" s="6">
        <v>3</v>
      </c>
      <c r="I222" s="18">
        <v>44.7</v>
      </c>
      <c r="J222" s="19">
        <v>46048.5855287384</v>
      </c>
      <c r="K222" s="6" t="s">
        <v>4880</v>
      </c>
      <c r="L222" t="str">
        <f t="shared" si="3"/>
        <v>FIBRA ABRASIVA (P/FERRUGEM)|46049</v>
      </c>
    </row>
    <row r="223" ht="13.5" customHeight="1" spans="1:12">
      <c r="A223" s="17">
        <v>46048.5859143519</v>
      </c>
      <c r="B223" s="6" t="s">
        <v>4876</v>
      </c>
      <c r="C223" s="6" t="s">
        <v>5055</v>
      </c>
      <c r="D223" s="6" t="s">
        <v>5056</v>
      </c>
      <c r="E223" s="6" t="s">
        <v>26</v>
      </c>
      <c r="F223" s="6" t="s">
        <v>4882</v>
      </c>
      <c r="G223" s="6" t="s">
        <v>4690</v>
      </c>
      <c r="H223" s="6">
        <v>2</v>
      </c>
      <c r="I223" s="18">
        <v>48</v>
      </c>
      <c r="J223" s="19">
        <v>46048.5864305208</v>
      </c>
      <c r="K223" s="6" t="s">
        <v>4880</v>
      </c>
      <c r="L223" t="str">
        <f t="shared" si="3"/>
        <v>ADAPTADOR CUICA ACCELO|46049</v>
      </c>
    </row>
    <row r="224" ht="13.5" customHeight="1" spans="1:12">
      <c r="A224" s="17">
        <v>46048.5902430556</v>
      </c>
      <c r="B224" s="6" t="s">
        <v>4876</v>
      </c>
      <c r="C224" s="6" t="s">
        <v>5057</v>
      </c>
      <c r="D224" s="6" t="s">
        <v>110</v>
      </c>
      <c r="E224" s="6" t="s">
        <v>26</v>
      </c>
      <c r="F224" s="6" t="s">
        <v>4882</v>
      </c>
      <c r="G224" s="6" t="s">
        <v>3514</v>
      </c>
      <c r="H224" s="6">
        <v>1</v>
      </c>
      <c r="I224" s="18">
        <v>460</v>
      </c>
      <c r="J224" s="19">
        <v>46048.5952234144</v>
      </c>
      <c r="K224" s="6" t="s">
        <v>4880</v>
      </c>
      <c r="L224" t="str">
        <f t="shared" si="3"/>
        <v>CUICA 24X20 ACCELO|46049</v>
      </c>
    </row>
    <row r="225" ht="13.5" customHeight="1" spans="1:12">
      <c r="A225" s="17">
        <v>46048.5902430556</v>
      </c>
      <c r="B225" s="6" t="s">
        <v>4876</v>
      </c>
      <c r="C225" s="6" t="s">
        <v>5057</v>
      </c>
      <c r="D225" s="6" t="s">
        <v>110</v>
      </c>
      <c r="E225" s="6" t="s">
        <v>26</v>
      </c>
      <c r="F225" s="6" t="s">
        <v>4882</v>
      </c>
      <c r="G225" s="6" t="s">
        <v>1027</v>
      </c>
      <c r="H225" s="6">
        <v>2</v>
      </c>
      <c r="I225" s="18">
        <v>560</v>
      </c>
      <c r="J225" s="19">
        <v>46048.5952232292</v>
      </c>
      <c r="K225" s="6" t="s">
        <v>4880</v>
      </c>
      <c r="L225" t="str">
        <f t="shared" si="3"/>
        <v>VALVULA 4 CIRCUITO SAIDA 22MM|46049</v>
      </c>
    </row>
    <row r="226" ht="13.5" customHeight="1" spans="1:12">
      <c r="A226" s="17">
        <v>46048.5902430556</v>
      </c>
      <c r="B226" s="6" t="s">
        <v>4876</v>
      </c>
      <c r="C226" s="6" t="s">
        <v>5057</v>
      </c>
      <c r="D226" s="6" t="s">
        <v>110</v>
      </c>
      <c r="E226" s="6" t="s">
        <v>26</v>
      </c>
      <c r="F226" s="6" t="s">
        <v>4882</v>
      </c>
      <c r="G226" s="6" t="s">
        <v>161</v>
      </c>
      <c r="H226" s="6">
        <v>10</v>
      </c>
      <c r="I226" s="18">
        <v>250</v>
      </c>
      <c r="J226" s="19">
        <v>46048.5952228357</v>
      </c>
      <c r="K226" s="6" t="s">
        <v>4880</v>
      </c>
      <c r="L226" t="str">
        <f t="shared" si="3"/>
        <v>MACANETA INTERNA DIREITA ACCELO|46049</v>
      </c>
    </row>
    <row r="227" ht="13.5" customHeight="1" spans="1:12">
      <c r="A227" s="17">
        <v>46048.8261574074</v>
      </c>
      <c r="B227" s="6" t="s">
        <v>4876</v>
      </c>
      <c r="C227" s="6" t="s">
        <v>5058</v>
      </c>
      <c r="D227" s="6" t="s">
        <v>5059</v>
      </c>
      <c r="E227" s="6" t="s">
        <v>26</v>
      </c>
      <c r="F227" s="6" t="s">
        <v>4882</v>
      </c>
      <c r="G227" s="6" t="s">
        <v>3338</v>
      </c>
      <c r="H227" s="6">
        <v>5</v>
      </c>
      <c r="I227" s="18">
        <v>416.5</v>
      </c>
      <c r="J227" s="19">
        <v>46056.8278940162</v>
      </c>
      <c r="K227" s="6" t="s">
        <v>4880</v>
      </c>
      <c r="L227" t="str">
        <f t="shared" si="3"/>
        <v>ENDURIT A.N COMP C - CINZA CLARO RA REVE-02|46049</v>
      </c>
    </row>
    <row r="228" ht="13.5" customHeight="1" spans="1:12">
      <c r="A228" s="17">
        <v>46048.8261574074</v>
      </c>
      <c r="B228" s="6" t="s">
        <v>4876</v>
      </c>
      <c r="C228" s="6" t="s">
        <v>5058</v>
      </c>
      <c r="D228" s="6" t="s">
        <v>5059</v>
      </c>
      <c r="E228" s="6" t="s">
        <v>26</v>
      </c>
      <c r="F228" s="6" t="s">
        <v>4882</v>
      </c>
      <c r="G228" s="6" t="s">
        <v>3339</v>
      </c>
      <c r="H228" s="6">
        <v>5</v>
      </c>
      <c r="I228" s="18">
        <v>760.75</v>
      </c>
      <c r="J228" s="19">
        <v>46056.827893831</v>
      </c>
      <c r="K228" s="6" t="s">
        <v>4880</v>
      </c>
      <c r="L228" t="str">
        <f t="shared" si="3"/>
        <v>ENDURIT A.N COMP B REVE-02|46049</v>
      </c>
    </row>
    <row r="229" ht="13.5" customHeight="1" spans="1:12">
      <c r="A229" s="17">
        <v>46048.8261574074</v>
      </c>
      <c r="B229" s="6" t="s">
        <v>4876</v>
      </c>
      <c r="C229" s="6" t="s">
        <v>5058</v>
      </c>
      <c r="D229" s="6" t="s">
        <v>5059</v>
      </c>
      <c r="E229" s="6" t="s">
        <v>26</v>
      </c>
      <c r="F229" s="6" t="s">
        <v>4882</v>
      </c>
      <c r="G229" s="6" t="s">
        <v>3340</v>
      </c>
      <c r="H229" s="6">
        <v>5</v>
      </c>
      <c r="I229" s="18">
        <v>382.5</v>
      </c>
      <c r="J229" s="19">
        <v>46056.8278934838</v>
      </c>
      <c r="K229" s="6" t="s">
        <v>4880</v>
      </c>
      <c r="L229" t="str">
        <f t="shared" si="3"/>
        <v>ENDURIT A.N COMP A REVE-02|46049</v>
      </c>
    </row>
    <row r="230" ht="13.5" customHeight="1" spans="1:12">
      <c r="A230" s="17">
        <v>46049.3538657407</v>
      </c>
      <c r="B230" s="6" t="s">
        <v>4876</v>
      </c>
      <c r="C230" s="6" t="s">
        <v>5060</v>
      </c>
      <c r="D230" s="6" t="s">
        <v>5061</v>
      </c>
      <c r="E230" s="6" t="s">
        <v>38</v>
      </c>
      <c r="F230" s="6" t="s">
        <v>4879</v>
      </c>
      <c r="G230" s="6" t="s">
        <v>2676</v>
      </c>
      <c r="H230" s="6">
        <v>2</v>
      </c>
      <c r="I230" s="18">
        <v>851.18</v>
      </c>
      <c r="J230" s="19">
        <v>46056.3653002315</v>
      </c>
      <c r="K230" s="6" t="s">
        <v>4880</v>
      </c>
      <c r="L230" t="str">
        <f t="shared" si="3"/>
        <v>LAV PASTA UMECTANTE 20KG START|46049</v>
      </c>
    </row>
    <row r="231" ht="13.5" customHeight="1" spans="1:12">
      <c r="A231" s="17">
        <v>46049.3538657407</v>
      </c>
      <c r="B231" s="6" t="s">
        <v>4876</v>
      </c>
      <c r="C231" s="6" t="s">
        <v>5060</v>
      </c>
      <c r="D231" s="6" t="s">
        <v>5061</v>
      </c>
      <c r="E231" s="6" t="s">
        <v>38</v>
      </c>
      <c r="F231" s="6" t="s">
        <v>4879</v>
      </c>
      <c r="G231" s="6" t="s">
        <v>2677</v>
      </c>
      <c r="H231" s="6">
        <v>2</v>
      </c>
      <c r="I231" s="18">
        <v>1091.46</v>
      </c>
      <c r="J231" s="19">
        <v>46056.3652998843</v>
      </c>
      <c r="K231" s="6" t="s">
        <v>4880</v>
      </c>
      <c r="L231" t="str">
        <f t="shared" si="3"/>
        <v>LAV DETERGENTE EM PO 20KG BALDE|46049</v>
      </c>
    </row>
    <row r="232" ht="13.5" customHeight="1" spans="1:12">
      <c r="A232" s="17">
        <v>46049.3538657407</v>
      </c>
      <c r="B232" s="6" t="s">
        <v>4876</v>
      </c>
      <c r="C232" s="6" t="s">
        <v>5060</v>
      </c>
      <c r="D232" s="6" t="s">
        <v>5061</v>
      </c>
      <c r="E232" s="6" t="s">
        <v>38</v>
      </c>
      <c r="F232" s="6" t="s">
        <v>4879</v>
      </c>
      <c r="G232" s="6" t="s">
        <v>2679</v>
      </c>
      <c r="H232" s="6">
        <v>2</v>
      </c>
      <c r="I232" s="18">
        <v>1030.34</v>
      </c>
      <c r="J232" s="19">
        <v>46056.3652993403</v>
      </c>
      <c r="K232" s="6" t="s">
        <v>4880</v>
      </c>
      <c r="L232" t="str">
        <f t="shared" si="3"/>
        <v>LAV ALVEJANTE CLORADO EM PO 20KG BALDE|46049</v>
      </c>
    </row>
    <row r="233" ht="13.5" customHeight="1" spans="1:12">
      <c r="A233" s="17">
        <v>46049.3905324074</v>
      </c>
      <c r="B233" s="6" t="s">
        <v>4876</v>
      </c>
      <c r="C233" s="6" t="s">
        <v>5062</v>
      </c>
      <c r="D233" s="6" t="s">
        <v>5063</v>
      </c>
      <c r="E233" s="6" t="s">
        <v>26</v>
      </c>
      <c r="F233" s="6" t="s">
        <v>4882</v>
      </c>
      <c r="G233" s="6" t="s">
        <v>2893</v>
      </c>
      <c r="H233" s="6">
        <v>1</v>
      </c>
      <c r="I233" s="18">
        <v>74.97</v>
      </c>
      <c r="J233" s="19">
        <v>46050.3933584838</v>
      </c>
      <c r="K233" s="6" t="s">
        <v>4880</v>
      </c>
      <c r="L233" t="str">
        <f t="shared" si="3"/>
        <v>HS 300 C 5L|46049</v>
      </c>
    </row>
    <row r="234" ht="13.5" customHeight="1" spans="1:12">
      <c r="A234" s="17">
        <v>46049.3905324074</v>
      </c>
      <c r="B234" s="6" t="s">
        <v>4876</v>
      </c>
      <c r="C234" s="6" t="s">
        <v>5062</v>
      </c>
      <c r="D234" s="6" t="s">
        <v>5063</v>
      </c>
      <c r="E234" s="6" t="s">
        <v>26</v>
      </c>
      <c r="F234" s="6" t="s">
        <v>4882</v>
      </c>
      <c r="G234" s="6" t="s">
        <v>1896</v>
      </c>
      <c r="H234" s="6">
        <v>1</v>
      </c>
      <c r="I234" s="18">
        <v>49.58</v>
      </c>
      <c r="J234" s="19">
        <v>46050.3933581019</v>
      </c>
      <c r="K234" s="6" t="s">
        <v>4880</v>
      </c>
      <c r="L234" t="str">
        <f t="shared" si="3"/>
        <v>PORTA COPO DESCARTAVEL|46049</v>
      </c>
    </row>
    <row r="235" ht="13.5" customHeight="1" spans="1:12">
      <c r="A235" s="17">
        <v>46049.3905324074</v>
      </c>
      <c r="B235" s="6" t="s">
        <v>4876</v>
      </c>
      <c r="C235" s="6" t="s">
        <v>5062</v>
      </c>
      <c r="D235" s="6" t="s">
        <v>5063</v>
      </c>
      <c r="E235" s="6" t="s">
        <v>26</v>
      </c>
      <c r="F235" s="6" t="s">
        <v>4882</v>
      </c>
      <c r="G235" s="6" t="s">
        <v>3474</v>
      </c>
      <c r="H235" s="6">
        <v>2</v>
      </c>
      <c r="I235" s="18">
        <v>177.72</v>
      </c>
      <c r="J235" s="19">
        <v>46050.3933575579</v>
      </c>
      <c r="K235" s="6" t="s">
        <v>4880</v>
      </c>
      <c r="L235" t="str">
        <f t="shared" si="3"/>
        <v>DETERFRESH C 5L|46049</v>
      </c>
    </row>
    <row r="236" ht="13.5" customHeight="1" spans="1:12">
      <c r="A236" s="17">
        <v>46049.3983449074</v>
      </c>
      <c r="B236" s="6" t="s">
        <v>4876</v>
      </c>
      <c r="C236" s="6" t="s">
        <v>5064</v>
      </c>
      <c r="D236" s="6" t="s">
        <v>5065</v>
      </c>
      <c r="E236" s="6" t="s">
        <v>26</v>
      </c>
      <c r="F236" s="6" t="s">
        <v>4882</v>
      </c>
      <c r="G236" s="6" t="s">
        <v>2072</v>
      </c>
      <c r="H236" s="6">
        <v>2</v>
      </c>
      <c r="I236" s="18">
        <v>96</v>
      </c>
      <c r="J236" s="19">
        <v>46050.3990548611</v>
      </c>
      <c r="K236" s="6" t="s">
        <v>4880</v>
      </c>
      <c r="L236" t="str">
        <f t="shared" si="3"/>
        <v>PEDRA DE AFIAR 08|46049</v>
      </c>
    </row>
    <row r="237" ht="13.5" customHeight="1" spans="1:12">
      <c r="A237" s="17">
        <v>46049.5236574074</v>
      </c>
      <c r="B237" s="6" t="s">
        <v>4876</v>
      </c>
      <c r="C237" s="6" t="s">
        <v>5066</v>
      </c>
      <c r="D237" s="6" t="s">
        <v>5067</v>
      </c>
      <c r="E237" s="6" t="s">
        <v>26</v>
      </c>
      <c r="F237" s="6" t="s">
        <v>4882</v>
      </c>
      <c r="G237" s="6" t="s">
        <v>1337</v>
      </c>
      <c r="H237" s="6">
        <v>1</v>
      </c>
      <c r="I237" s="18">
        <v>849.73</v>
      </c>
      <c r="J237" s="19">
        <v>46051.5257109144</v>
      </c>
      <c r="K237" s="6" t="s">
        <v>4880</v>
      </c>
      <c r="L237" t="str">
        <f t="shared" si="3"/>
        <v>SUPORTE ALMA PARA-CHOQUE DIANTEIRO ACCELO 815 915 1016 1316|46050</v>
      </c>
    </row>
    <row r="238" ht="13.5" customHeight="1" spans="1:12">
      <c r="A238" s="17">
        <v>46049.5708796296</v>
      </c>
      <c r="B238" s="6" t="s">
        <v>4876</v>
      </c>
      <c r="C238" s="6" t="s">
        <v>5068</v>
      </c>
      <c r="D238" s="6" t="s">
        <v>4919</v>
      </c>
      <c r="E238" s="6" t="s">
        <v>26</v>
      </c>
      <c r="F238" s="6" t="s">
        <v>4882</v>
      </c>
      <c r="G238" s="6" t="s">
        <v>1105</v>
      </c>
      <c r="H238" s="6">
        <v>2</v>
      </c>
      <c r="I238" s="18">
        <v>15.98</v>
      </c>
      <c r="J238" s="19">
        <v>46049.5737751505</v>
      </c>
      <c r="K238" s="6" t="s">
        <v>4880</v>
      </c>
      <c r="L238" t="str">
        <f t="shared" si="3"/>
        <v>TRINCHA 1'' 395/3|46050</v>
      </c>
    </row>
    <row r="239" ht="13.5" customHeight="1" spans="1:12">
      <c r="A239" s="17">
        <v>46049.5708796296</v>
      </c>
      <c r="B239" s="6" t="s">
        <v>4876</v>
      </c>
      <c r="C239" s="6" t="s">
        <v>5068</v>
      </c>
      <c r="D239" s="6" t="s">
        <v>4919</v>
      </c>
      <c r="E239" s="6" t="s">
        <v>26</v>
      </c>
      <c r="F239" s="6" t="s">
        <v>4882</v>
      </c>
      <c r="G239" s="6" t="s">
        <v>1102</v>
      </c>
      <c r="H239" s="6">
        <v>2</v>
      </c>
      <c r="I239" s="18">
        <v>21.46</v>
      </c>
      <c r="J239" s="19">
        <v>46049.5737744213</v>
      </c>
      <c r="K239" s="6" t="s">
        <v>4880</v>
      </c>
      <c r="L239" t="str">
        <f t="shared" si="3"/>
        <v>TRINCHA 2 1/2'' 395/6|46050</v>
      </c>
    </row>
    <row r="240" ht="13.5" customHeight="1" spans="1:12">
      <c r="A240" s="17">
        <v>46049.5708796296</v>
      </c>
      <c r="B240" s="6" t="s">
        <v>4876</v>
      </c>
      <c r="C240" s="6" t="s">
        <v>5068</v>
      </c>
      <c r="D240" s="6" t="s">
        <v>4919</v>
      </c>
      <c r="E240" s="6" t="s">
        <v>26</v>
      </c>
      <c r="F240" s="6" t="s">
        <v>4882</v>
      </c>
      <c r="G240" s="6" t="s">
        <v>1103</v>
      </c>
      <c r="H240" s="6">
        <v>2</v>
      </c>
      <c r="I240" s="18">
        <v>7.06</v>
      </c>
      <c r="J240" s="19">
        <v>46049.5737736921</v>
      </c>
      <c r="K240" s="6" t="s">
        <v>4880</v>
      </c>
      <c r="L240" t="str">
        <f t="shared" si="3"/>
        <v>TRINCHA 1/2'' 395/1|46050</v>
      </c>
    </row>
    <row r="241" ht="13.5" customHeight="1" spans="1:12">
      <c r="A241" s="17">
        <v>46049.5708796296</v>
      </c>
      <c r="B241" s="6" t="s">
        <v>4876</v>
      </c>
      <c r="C241" s="6" t="s">
        <v>5068</v>
      </c>
      <c r="D241" s="6" t="s">
        <v>4919</v>
      </c>
      <c r="E241" s="6" t="s">
        <v>26</v>
      </c>
      <c r="F241" s="6" t="s">
        <v>4882</v>
      </c>
      <c r="G241" s="6" t="s">
        <v>1104</v>
      </c>
      <c r="H241" s="6">
        <v>2</v>
      </c>
      <c r="I241" s="18">
        <v>15</v>
      </c>
      <c r="J241" s="19">
        <v>46049.5737731482</v>
      </c>
      <c r="K241" s="6" t="s">
        <v>4880</v>
      </c>
      <c r="L241" t="str">
        <f t="shared" si="3"/>
        <v>TRINCHA 1.1/2'' 395/4|46050</v>
      </c>
    </row>
    <row r="242" ht="13.5" customHeight="1" spans="1:12">
      <c r="A242" s="17">
        <v>46049.5708796296</v>
      </c>
      <c r="B242" s="6" t="s">
        <v>4876</v>
      </c>
      <c r="C242" s="6" t="s">
        <v>5068</v>
      </c>
      <c r="D242" s="6" t="s">
        <v>4919</v>
      </c>
      <c r="E242" s="6" t="s">
        <v>26</v>
      </c>
      <c r="F242" s="6" t="s">
        <v>4882</v>
      </c>
      <c r="G242" s="6" t="s">
        <v>1100</v>
      </c>
      <c r="H242" s="6">
        <v>10</v>
      </c>
      <c r="I242" s="18">
        <v>105</v>
      </c>
      <c r="J242" s="19">
        <v>46049.573772419</v>
      </c>
      <c r="K242" s="6" t="s">
        <v>4880</v>
      </c>
      <c r="L242" t="str">
        <f t="shared" si="3"/>
        <v>TRINCHA 2" - 395/5|46050</v>
      </c>
    </row>
    <row r="243" ht="13.5" customHeight="1" spans="1:12">
      <c r="A243" s="17">
        <v>46049.5740625</v>
      </c>
      <c r="B243" s="6" t="s">
        <v>4876</v>
      </c>
      <c r="C243" s="6" t="s">
        <v>5069</v>
      </c>
      <c r="D243" s="6" t="s">
        <v>4954</v>
      </c>
      <c r="E243" s="6" t="s">
        <v>26</v>
      </c>
      <c r="F243" s="6" t="s">
        <v>4882</v>
      </c>
      <c r="G243" s="6" t="s">
        <v>153</v>
      </c>
      <c r="H243" s="6">
        <v>10</v>
      </c>
      <c r="I243" s="18">
        <v>175</v>
      </c>
      <c r="J243" s="19">
        <v>46049.5751840625</v>
      </c>
      <c r="K243" s="6" t="s">
        <v>4880</v>
      </c>
      <c r="L243" t="str">
        <f t="shared" si="3"/>
        <v>CABO LIGAÇAO FECHADURA ACCELO (LD) (LE)|46050</v>
      </c>
    </row>
    <row r="244" ht="13.5" customHeight="1" spans="1:12">
      <c r="A244" s="17">
        <v>46049.577037037</v>
      </c>
      <c r="B244" s="6" t="s">
        <v>4876</v>
      </c>
      <c r="C244" s="6" t="s">
        <v>5070</v>
      </c>
      <c r="D244" s="6" t="s">
        <v>4971</v>
      </c>
      <c r="E244" s="6" t="s">
        <v>26</v>
      </c>
      <c r="F244" s="6" t="s">
        <v>4882</v>
      </c>
      <c r="G244" s="6" t="s">
        <v>2071</v>
      </c>
      <c r="H244" s="6">
        <v>2</v>
      </c>
      <c r="I244" s="18">
        <v>84.48</v>
      </c>
      <c r="J244" s="19">
        <v>46049.5851023148</v>
      </c>
      <c r="K244" s="6" t="s">
        <v>4880</v>
      </c>
      <c r="L244" t="str">
        <f t="shared" si="3"/>
        <v>PEDRA DE AFIAR 108 -CARBURUNDUM|46050</v>
      </c>
    </row>
    <row r="245" ht="13.5" customHeight="1" spans="1:12">
      <c r="A245" s="17">
        <v>46049.577037037</v>
      </c>
      <c r="B245" s="6" t="s">
        <v>4876</v>
      </c>
      <c r="C245" s="6" t="s">
        <v>5070</v>
      </c>
      <c r="D245" s="6" t="s">
        <v>4971</v>
      </c>
      <c r="E245" s="6" t="s">
        <v>26</v>
      </c>
      <c r="F245" s="6" t="s">
        <v>4882</v>
      </c>
      <c r="G245" s="6" t="s">
        <v>268</v>
      </c>
      <c r="H245" s="6">
        <v>5</v>
      </c>
      <c r="I245" s="18">
        <v>45.9</v>
      </c>
      <c r="J245" s="19">
        <v>46049.5851017708</v>
      </c>
      <c r="K245" s="6" t="s">
        <v>4880</v>
      </c>
      <c r="L245" t="str">
        <f t="shared" si="3"/>
        <v>ATLAS FIBRA ABRASIVA |46050</v>
      </c>
    </row>
    <row r="246" ht="13.5" customHeight="1" spans="1:12">
      <c r="A246" s="17">
        <v>46049.5854050926</v>
      </c>
      <c r="B246" s="6" t="s">
        <v>4876</v>
      </c>
      <c r="C246" s="6" t="s">
        <v>5071</v>
      </c>
      <c r="D246" s="6" t="s">
        <v>4979</v>
      </c>
      <c r="E246" s="6" t="s">
        <v>26</v>
      </c>
      <c r="F246" s="6" t="s">
        <v>4882</v>
      </c>
      <c r="G246" s="6" t="s">
        <v>201</v>
      </c>
      <c r="H246" s="6">
        <v>2</v>
      </c>
      <c r="I246" s="18">
        <v>320</v>
      </c>
      <c r="J246" s="19">
        <v>46049.5872801736</v>
      </c>
      <c r="K246" s="6" t="s">
        <v>4880</v>
      </c>
      <c r="L246" t="str">
        <f t="shared" si="3"/>
        <v>FILTRO DML 164 DANFOS |46050</v>
      </c>
    </row>
    <row r="247" ht="13.5" customHeight="1" spans="1:12">
      <c r="A247" s="17">
        <v>46049.587974537</v>
      </c>
      <c r="B247" s="6" t="s">
        <v>4876</v>
      </c>
      <c r="C247" s="6" t="s">
        <v>5072</v>
      </c>
      <c r="D247" s="6" t="s">
        <v>4884</v>
      </c>
      <c r="E247" s="6" t="s">
        <v>26</v>
      </c>
      <c r="F247" s="6" t="s">
        <v>4882</v>
      </c>
      <c r="G247" s="6" t="s">
        <v>851</v>
      </c>
      <c r="H247" s="6">
        <v>1</v>
      </c>
      <c r="I247" s="18">
        <v>803.35</v>
      </c>
      <c r="J247" s="19">
        <v>46049.5928809375</v>
      </c>
      <c r="K247" s="6" t="s">
        <v>4880</v>
      </c>
      <c r="L247" t="str">
        <f t="shared" si="3"/>
        <v>FIO CABO FLEX 750V 6,00MM VD/AM BRASILEIRINHO|46050</v>
      </c>
    </row>
    <row r="248" ht="13.5" customHeight="1" spans="1:12">
      <c r="A248" s="17">
        <v>46049.6030902778</v>
      </c>
      <c r="B248" s="6" t="s">
        <v>4876</v>
      </c>
      <c r="C248" s="6" t="s">
        <v>5073</v>
      </c>
      <c r="D248" s="6" t="s">
        <v>4894</v>
      </c>
      <c r="E248" s="6" t="s">
        <v>26</v>
      </c>
      <c r="F248" s="6" t="s">
        <v>4882</v>
      </c>
      <c r="G248" s="6" t="s">
        <v>1823</v>
      </c>
      <c r="H248" s="6">
        <v>4</v>
      </c>
      <c r="I248" s="18">
        <v>127.16</v>
      </c>
      <c r="J248" s="19">
        <v>46049.6040322107</v>
      </c>
      <c r="K248" s="6" t="s">
        <v>4880</v>
      </c>
      <c r="L248" t="str">
        <f t="shared" si="3"/>
        <v>QUEROSENE 900ML|46050</v>
      </c>
    </row>
    <row r="249" ht="13.5" customHeight="1" spans="1:12">
      <c r="A249" s="17">
        <v>46049.7870949074</v>
      </c>
      <c r="B249" s="6" t="s">
        <v>4876</v>
      </c>
      <c r="C249" s="6" t="s">
        <v>5074</v>
      </c>
      <c r="D249" s="6" t="s">
        <v>110</v>
      </c>
      <c r="E249" s="6" t="s">
        <v>26</v>
      </c>
      <c r="F249" s="6" t="s">
        <v>4882</v>
      </c>
      <c r="G249" s="6" t="s">
        <v>212</v>
      </c>
      <c r="H249" s="6">
        <v>1</v>
      </c>
      <c r="I249" s="18">
        <v>890</v>
      </c>
      <c r="J249" s="19">
        <v>46049.7886764699</v>
      </c>
      <c r="K249" s="6" t="s">
        <v>4880</v>
      </c>
      <c r="L249" t="str">
        <f t="shared" si="3"/>
        <v>BARRA LONGA DIREÇAO 8.160/9.170/10.160 (23B415801)VW|46050</v>
      </c>
    </row>
    <row r="250" ht="13.5" customHeight="1" spans="1:12">
      <c r="A250" s="17">
        <v>46049.7901388889</v>
      </c>
      <c r="B250" s="6" t="s">
        <v>4876</v>
      </c>
      <c r="C250" s="6" t="s">
        <v>5075</v>
      </c>
      <c r="D250" s="6" t="s">
        <v>4919</v>
      </c>
      <c r="E250" s="6" t="s">
        <v>26</v>
      </c>
      <c r="F250" s="6" t="s">
        <v>4882</v>
      </c>
      <c r="G250" s="6" t="s">
        <v>1427</v>
      </c>
      <c r="H250" s="6">
        <v>3</v>
      </c>
      <c r="I250" s="18">
        <v>88.74</v>
      </c>
      <c r="J250" s="19">
        <v>46049.7925757755</v>
      </c>
      <c r="K250" s="6" t="s">
        <v>4880</v>
      </c>
      <c r="L250" t="str">
        <f t="shared" si="3"/>
        <v>SKY CATALISADOR P/ESMALTE PU 225 ML |46050</v>
      </c>
    </row>
    <row r="251" ht="13.5" customHeight="1" spans="1:12">
      <c r="A251" s="17">
        <v>46049.7901388889</v>
      </c>
      <c r="B251" s="6" t="s">
        <v>4876</v>
      </c>
      <c r="C251" s="6" t="s">
        <v>5075</v>
      </c>
      <c r="D251" s="6" t="s">
        <v>4919</v>
      </c>
      <c r="E251" s="6" t="s">
        <v>26</v>
      </c>
      <c r="F251" s="6" t="s">
        <v>4882</v>
      </c>
      <c r="G251" s="6" t="s">
        <v>435</v>
      </c>
      <c r="H251" s="6">
        <v>3</v>
      </c>
      <c r="I251" s="18">
        <v>154.59</v>
      </c>
      <c r="J251" s="19">
        <v>46049.792575081</v>
      </c>
      <c r="K251" s="6" t="s">
        <v>4880</v>
      </c>
      <c r="L251" t="str">
        <f t="shared" si="3"/>
        <v>SKY PU PRETO CADILAC  |46050</v>
      </c>
    </row>
    <row r="252" ht="13.5" customHeight="1" spans="1:12">
      <c r="A252" s="17">
        <v>46049.7941782407</v>
      </c>
      <c r="B252" s="6" t="s">
        <v>4876</v>
      </c>
      <c r="C252" s="6" t="s">
        <v>5076</v>
      </c>
      <c r="D252" s="6" t="s">
        <v>4988</v>
      </c>
      <c r="E252" s="6" t="s">
        <v>26</v>
      </c>
      <c r="F252" s="6" t="s">
        <v>4882</v>
      </c>
      <c r="G252" s="6" t="s">
        <v>2435</v>
      </c>
      <c r="H252" s="6">
        <v>1</v>
      </c>
      <c r="I252" s="18">
        <v>50</v>
      </c>
      <c r="J252" s="19">
        <v>46049.7950651968</v>
      </c>
      <c r="K252" s="6" t="s">
        <v>4880</v>
      </c>
      <c r="L252" t="str">
        <f t="shared" si="3"/>
        <v>MICRO 1/40 ENGIN|46050</v>
      </c>
    </row>
    <row r="253" ht="13.5" customHeight="1" spans="1:12">
      <c r="A253" s="17">
        <v>46050.3611111111</v>
      </c>
      <c r="B253" s="6" t="s">
        <v>4876</v>
      </c>
      <c r="C253" s="6" t="s">
        <v>5077</v>
      </c>
      <c r="D253" s="6" t="s">
        <v>4894</v>
      </c>
      <c r="E253" s="6" t="s">
        <v>26</v>
      </c>
      <c r="F253" s="6" t="s">
        <v>4882</v>
      </c>
      <c r="G253" s="6" t="s">
        <v>1442</v>
      </c>
      <c r="H253" s="6">
        <v>6</v>
      </c>
      <c r="I253" s="18">
        <v>97.02</v>
      </c>
      <c r="J253" s="19">
        <v>46051.3660251157</v>
      </c>
      <c r="K253" s="6" t="s">
        <v>4880</v>
      </c>
      <c r="L253" t="str">
        <f t="shared" si="3"/>
        <v>SIFÃO SANFONADO DUPLO|46050</v>
      </c>
    </row>
    <row r="254" ht="13.5" customHeight="1" spans="1:12">
      <c r="A254" s="17">
        <v>46050.3611111111</v>
      </c>
      <c r="B254" s="6" t="s">
        <v>4876</v>
      </c>
      <c r="C254" s="6" t="s">
        <v>5077</v>
      </c>
      <c r="D254" s="6" t="s">
        <v>4894</v>
      </c>
      <c r="E254" s="6" t="s">
        <v>26</v>
      </c>
      <c r="F254" s="6" t="s">
        <v>4882</v>
      </c>
      <c r="G254" s="6" t="s">
        <v>2141</v>
      </c>
      <c r="H254" s="6">
        <v>28</v>
      </c>
      <c r="I254" s="18">
        <v>50.12</v>
      </c>
      <c r="J254" s="19">
        <v>46051.3660249653</v>
      </c>
      <c r="K254" s="6" t="s">
        <v>4880</v>
      </c>
      <c r="L254" t="str">
        <f t="shared" si="3"/>
        <v>PARAFUSO FRANCES 5/16 X1 3/4|46050</v>
      </c>
    </row>
    <row r="255" ht="13.5" customHeight="1" spans="1:12">
      <c r="A255" s="17">
        <v>46050.3611111111</v>
      </c>
      <c r="B255" s="6" t="s">
        <v>4876</v>
      </c>
      <c r="C255" s="6" t="s">
        <v>5077</v>
      </c>
      <c r="D255" s="6" t="s">
        <v>4894</v>
      </c>
      <c r="E255" s="6" t="s">
        <v>26</v>
      </c>
      <c r="F255" s="6" t="s">
        <v>4882</v>
      </c>
      <c r="G255" s="6" t="s">
        <v>2140</v>
      </c>
      <c r="H255" s="6">
        <v>103</v>
      </c>
      <c r="I255" s="18">
        <v>181.28</v>
      </c>
      <c r="J255" s="19">
        <v>46051.3660245718</v>
      </c>
      <c r="K255" s="6" t="s">
        <v>4880</v>
      </c>
      <c r="L255" t="str">
        <f t="shared" si="3"/>
        <v>PARAFUSO FRANCES 5/16X1 1/2|46050</v>
      </c>
    </row>
    <row r="256" ht="13.5" customHeight="1" spans="1:12">
      <c r="A256" s="17">
        <v>46050.3611111111</v>
      </c>
      <c r="B256" s="6" t="s">
        <v>4876</v>
      </c>
      <c r="C256" s="6" t="s">
        <v>5077</v>
      </c>
      <c r="D256" s="6" t="s">
        <v>4894</v>
      </c>
      <c r="E256" s="6" t="s">
        <v>26</v>
      </c>
      <c r="F256" s="6" t="s">
        <v>4882</v>
      </c>
      <c r="G256" s="6" t="s">
        <v>4541</v>
      </c>
      <c r="H256" s="6">
        <v>15</v>
      </c>
      <c r="I256" s="18">
        <v>27.15</v>
      </c>
      <c r="J256" s="19">
        <v>46051.3660244213</v>
      </c>
      <c r="K256" s="6" t="s">
        <v>4880</v>
      </c>
      <c r="L256" t="str">
        <f t="shared" si="3"/>
        <v>ARRUELA LISA ZB 8M|46050</v>
      </c>
    </row>
    <row r="257" ht="13.5" customHeight="1" spans="1:12">
      <c r="A257" s="17">
        <v>46050.6261689815</v>
      </c>
      <c r="B257" s="6" t="s">
        <v>4876</v>
      </c>
      <c r="C257" s="6" t="s">
        <v>5078</v>
      </c>
      <c r="D257" s="6" t="s">
        <v>5079</v>
      </c>
      <c r="E257" s="6" t="s">
        <v>35</v>
      </c>
      <c r="F257" s="6" t="s">
        <v>4879</v>
      </c>
      <c r="G257" s="6" t="s">
        <v>3551</v>
      </c>
      <c r="H257" s="6">
        <v>2</v>
      </c>
      <c r="I257" s="18">
        <v>865.7</v>
      </c>
      <c r="J257" s="19">
        <v>46051.6362097569</v>
      </c>
      <c r="K257" s="6" t="s">
        <v>4880</v>
      </c>
      <c r="L257" t="str">
        <f t="shared" si="3"/>
        <v>COTOVELO SEM GTIN V060115913|46051</v>
      </c>
    </row>
    <row r="258" ht="13.5" customHeight="1" spans="1:12">
      <c r="A258" s="17">
        <v>46050.6261689815</v>
      </c>
      <c r="B258" s="6" t="s">
        <v>4876</v>
      </c>
      <c r="C258" s="6" t="s">
        <v>5078</v>
      </c>
      <c r="D258" s="6" t="s">
        <v>5079</v>
      </c>
      <c r="E258" s="6" t="s">
        <v>35</v>
      </c>
      <c r="F258" s="6" t="s">
        <v>4879</v>
      </c>
      <c r="G258" s="6" t="s">
        <v>273</v>
      </c>
      <c r="H258" s="6">
        <v>1</v>
      </c>
      <c r="I258" s="18">
        <v>47.83</v>
      </c>
      <c r="J258" s="19">
        <v>46051.6362096065</v>
      </c>
      <c r="K258" s="6" t="s">
        <v>4880</v>
      </c>
      <c r="L258" t="str">
        <f t="shared" ref="L258:L321" si="4">IF(G258="","",G258&amp;"|"&amp;TEXT(A258,"0"))</f>
        <v>ROLAMENTO DE AGULHA SEM GTIN VO184141|46051</v>
      </c>
    </row>
    <row r="259" ht="13.5" customHeight="1" spans="1:12">
      <c r="A259" s="17">
        <v>46050.6261689815</v>
      </c>
      <c r="B259" s="6" t="s">
        <v>4876</v>
      </c>
      <c r="C259" s="6" t="s">
        <v>5078</v>
      </c>
      <c r="D259" s="6" t="s">
        <v>5079</v>
      </c>
      <c r="E259" s="6" t="s">
        <v>35</v>
      </c>
      <c r="F259" s="6" t="s">
        <v>4879</v>
      </c>
      <c r="G259" s="6" t="s">
        <v>4625</v>
      </c>
      <c r="H259" s="6">
        <v>2</v>
      </c>
      <c r="I259" s="18">
        <v>56</v>
      </c>
      <c r="J259" s="19">
        <v>46051.6362094097</v>
      </c>
      <c r="K259" s="6" t="s">
        <v>4880</v>
      </c>
      <c r="L259" t="str">
        <f t="shared" si="4"/>
        <v>ANEL -O SEM GTIN VO955990|46051</v>
      </c>
    </row>
    <row r="260" ht="13.5" customHeight="1" spans="1:12">
      <c r="A260" s="17">
        <v>46050.6261689815</v>
      </c>
      <c r="B260" s="6" t="s">
        <v>4876</v>
      </c>
      <c r="C260" s="6" t="s">
        <v>5078</v>
      </c>
      <c r="D260" s="6" t="s">
        <v>5079</v>
      </c>
      <c r="E260" s="6" t="s">
        <v>35</v>
      </c>
      <c r="F260" s="6" t="s">
        <v>4879</v>
      </c>
      <c r="G260" s="6" t="s">
        <v>1902</v>
      </c>
      <c r="H260" s="6">
        <v>3</v>
      </c>
      <c r="I260" s="18">
        <v>56.19</v>
      </c>
      <c r="J260" s="19">
        <v>46051.6362092245</v>
      </c>
      <c r="K260" s="6" t="s">
        <v>4880</v>
      </c>
      <c r="L260" t="str">
        <f t="shared" si="4"/>
        <v>PORCA TRAVA SEM GTIN VO990978|46051</v>
      </c>
    </row>
    <row r="261" ht="13.5" customHeight="1" spans="1:12">
      <c r="A261" s="17">
        <v>46050.6261689815</v>
      </c>
      <c r="B261" s="6" t="s">
        <v>4876</v>
      </c>
      <c r="C261" s="6" t="s">
        <v>5078</v>
      </c>
      <c r="D261" s="6" t="s">
        <v>5079</v>
      </c>
      <c r="E261" s="6" t="s">
        <v>35</v>
      </c>
      <c r="F261" s="6" t="s">
        <v>4879</v>
      </c>
      <c r="G261" s="6" t="s">
        <v>2144</v>
      </c>
      <c r="H261" s="6">
        <v>2</v>
      </c>
      <c r="I261" s="18">
        <v>8.38</v>
      </c>
      <c r="J261" s="19">
        <v>46051.6362090625</v>
      </c>
      <c r="K261" s="6" t="s">
        <v>4880</v>
      </c>
      <c r="L261" t="str">
        <f t="shared" si="4"/>
        <v>PARAFUSO FLANGEADO SEM GTIN VO984725|46051</v>
      </c>
    </row>
    <row r="262" ht="13.5" customHeight="1" spans="1:12">
      <c r="A262" s="17">
        <v>46050.6261689815</v>
      </c>
      <c r="B262" s="6" t="s">
        <v>4876</v>
      </c>
      <c r="C262" s="6" t="s">
        <v>5078</v>
      </c>
      <c r="D262" s="6" t="s">
        <v>5079</v>
      </c>
      <c r="E262" s="6" t="s">
        <v>35</v>
      </c>
      <c r="F262" s="6" t="s">
        <v>4879</v>
      </c>
      <c r="G262" s="6" t="s">
        <v>274</v>
      </c>
      <c r="H262" s="6">
        <v>1</v>
      </c>
      <c r="I262" s="18">
        <v>3023.48</v>
      </c>
      <c r="J262" s="19">
        <v>46051.6362088773</v>
      </c>
      <c r="K262" s="6" t="s">
        <v>4880</v>
      </c>
      <c r="L262" t="str">
        <f t="shared" si="4"/>
        <v>ALAVANCA DE MUDANÇA SEM GTIN VO21869820|46051</v>
      </c>
    </row>
    <row r="263" ht="13.5" customHeight="1" spans="1:12">
      <c r="A263" s="17">
        <v>46050.6261689815</v>
      </c>
      <c r="B263" s="6" t="s">
        <v>4876</v>
      </c>
      <c r="C263" s="6" t="s">
        <v>5078</v>
      </c>
      <c r="D263" s="6" t="s">
        <v>5079</v>
      </c>
      <c r="E263" s="6" t="s">
        <v>35</v>
      </c>
      <c r="F263" s="6" t="s">
        <v>4879</v>
      </c>
      <c r="G263" s="6" t="s">
        <v>1849</v>
      </c>
      <c r="H263" s="6">
        <v>1</v>
      </c>
      <c r="I263" s="18">
        <v>74.19</v>
      </c>
      <c r="J263" s="19">
        <v>46051.6362085301</v>
      </c>
      <c r="K263" s="6" t="s">
        <v>4880</v>
      </c>
      <c r="L263" t="str">
        <f t="shared" si="4"/>
        <v>PROTEÇA SEM GTIN VO21708611|46051</v>
      </c>
    </row>
    <row r="264" ht="13.5" customHeight="1" spans="1:12">
      <c r="A264" s="17">
        <v>46050.6261689815</v>
      </c>
      <c r="B264" s="6" t="s">
        <v>4876</v>
      </c>
      <c r="C264" s="6" t="s">
        <v>5078</v>
      </c>
      <c r="D264" s="6" t="s">
        <v>5079</v>
      </c>
      <c r="E264" s="6" t="s">
        <v>35</v>
      </c>
      <c r="F264" s="6" t="s">
        <v>4879</v>
      </c>
      <c r="G264" s="6" t="s">
        <v>1317</v>
      </c>
      <c r="H264" s="6">
        <v>1</v>
      </c>
      <c r="I264" s="18">
        <v>251.92</v>
      </c>
      <c r="J264" s="19">
        <v>46051.6362081366</v>
      </c>
      <c r="K264" s="6" t="s">
        <v>4880</v>
      </c>
      <c r="L264" t="str">
        <f t="shared" si="4"/>
        <v>SUPORTE SEM GTIN V021261040|46051</v>
      </c>
    </row>
    <row r="265" ht="13.5" customHeight="1" spans="1:12">
      <c r="A265" s="17">
        <v>46050.6261689815</v>
      </c>
      <c r="B265" s="6" t="s">
        <v>4876</v>
      </c>
      <c r="C265" s="6" t="s">
        <v>5078</v>
      </c>
      <c r="D265" s="6" t="s">
        <v>5079</v>
      </c>
      <c r="E265" s="6" t="s">
        <v>35</v>
      </c>
      <c r="F265" s="6" t="s">
        <v>4879</v>
      </c>
      <c r="G265" s="6" t="s">
        <v>276</v>
      </c>
      <c r="H265" s="6">
        <v>4</v>
      </c>
      <c r="I265" s="18">
        <v>101.36</v>
      </c>
      <c r="J265" s="19">
        <v>46051.6362079861</v>
      </c>
      <c r="K265" s="6" t="s">
        <v>4880</v>
      </c>
      <c r="L265" t="str">
        <f t="shared" si="4"/>
        <v>PARAFUSO SEM GTIN VO20490013|46051</v>
      </c>
    </row>
    <row r="266" ht="13.5" customHeight="1" spans="1:12">
      <c r="A266" s="17">
        <v>46050.6261689815</v>
      </c>
      <c r="B266" s="6" t="s">
        <v>4876</v>
      </c>
      <c r="C266" s="6" t="s">
        <v>5078</v>
      </c>
      <c r="D266" s="6" t="s">
        <v>5079</v>
      </c>
      <c r="E266" s="6" t="s">
        <v>35</v>
      </c>
      <c r="F266" s="6" t="s">
        <v>4879</v>
      </c>
      <c r="G266" s="6" t="s">
        <v>275</v>
      </c>
      <c r="H266" s="6">
        <v>1</v>
      </c>
      <c r="I266" s="18">
        <v>2114.69</v>
      </c>
      <c r="J266" s="19">
        <v>46051.6362076042</v>
      </c>
      <c r="K266" s="6" t="s">
        <v>4880</v>
      </c>
      <c r="L266" t="str">
        <f t="shared" si="4"/>
        <v>ALMOFADA SEM GTIN VO20489993|46051</v>
      </c>
    </row>
    <row r="267" ht="13.5" customHeight="1" spans="1:12">
      <c r="A267" s="17">
        <v>46050.7108912037</v>
      </c>
      <c r="B267" s="6" t="s">
        <v>4876</v>
      </c>
      <c r="C267" s="6" t="s">
        <v>5080</v>
      </c>
      <c r="D267" s="6" t="s">
        <v>110</v>
      </c>
      <c r="E267" s="6" t="s">
        <v>26</v>
      </c>
      <c r="F267" s="6" t="s">
        <v>4882</v>
      </c>
      <c r="G267" s="6" t="s">
        <v>28</v>
      </c>
      <c r="H267" s="6">
        <v>6</v>
      </c>
      <c r="I267" s="18">
        <v>414</v>
      </c>
      <c r="J267" s="19">
        <v>46050.7122563657</v>
      </c>
      <c r="K267" s="6" t="s">
        <v>4880</v>
      </c>
      <c r="L267" t="str">
        <f t="shared" si="4"/>
        <v>BUZINA BIBI 24V|46051</v>
      </c>
    </row>
    <row r="268" ht="13.5" customHeight="1" spans="1:12">
      <c r="A268" s="17">
        <v>46050.7108912037</v>
      </c>
      <c r="B268" s="6" t="s">
        <v>4876</v>
      </c>
      <c r="C268" s="6" t="s">
        <v>5080</v>
      </c>
      <c r="D268" s="6" t="s">
        <v>110</v>
      </c>
      <c r="E268" s="6" t="s">
        <v>26</v>
      </c>
      <c r="F268" s="6" t="s">
        <v>4882</v>
      </c>
      <c r="G268" s="6" t="s">
        <v>325</v>
      </c>
      <c r="H268" s="6">
        <v>10</v>
      </c>
      <c r="I268" s="18">
        <v>280</v>
      </c>
      <c r="J268" s="19">
        <v>46050.7122556366</v>
      </c>
      <c r="K268" s="6" t="s">
        <v>4880</v>
      </c>
      <c r="L268" t="str">
        <f t="shared" si="4"/>
        <v>LANTERNA LATERAL BAU C/SUPORTE AMARELA/LARANJA|46051</v>
      </c>
    </row>
    <row r="269" ht="13.5" customHeight="1" spans="1:12">
      <c r="A269" s="17">
        <v>46050.7141666667</v>
      </c>
      <c r="B269" s="6" t="s">
        <v>4876</v>
      </c>
      <c r="C269" s="6" t="s">
        <v>5081</v>
      </c>
      <c r="D269" s="6" t="s">
        <v>4919</v>
      </c>
      <c r="E269" s="6" t="s">
        <v>26</v>
      </c>
      <c r="F269" s="6" t="s">
        <v>4882</v>
      </c>
      <c r="G269" s="6" t="s">
        <v>1184</v>
      </c>
      <c r="H269" s="6">
        <v>1</v>
      </c>
      <c r="I269" s="18">
        <v>869.2</v>
      </c>
      <c r="J269" s="19">
        <v>46050.7161096875</v>
      </c>
      <c r="K269" s="6" t="s">
        <v>4880</v>
      </c>
      <c r="L269" t="str">
        <f t="shared" si="4"/>
        <v>TINTA ACRILICA METALATEX REQUINTE ACET BRANCO 18L SW 7790006|46051</v>
      </c>
    </row>
    <row r="270" ht="13.5" customHeight="1" spans="1:12">
      <c r="A270" s="17">
        <v>46050.7141666667</v>
      </c>
      <c r="B270" s="6" t="s">
        <v>4876</v>
      </c>
      <c r="C270" s="6" t="s">
        <v>5081</v>
      </c>
      <c r="D270" s="6" t="s">
        <v>4919</v>
      </c>
      <c r="E270" s="6" t="s">
        <v>26</v>
      </c>
      <c r="F270" s="6" t="s">
        <v>4882</v>
      </c>
      <c r="G270" s="6" t="s">
        <v>435</v>
      </c>
      <c r="H270" s="6">
        <v>3</v>
      </c>
      <c r="I270" s="18">
        <v>139.59</v>
      </c>
      <c r="J270" s="19">
        <v>46050.7161094907</v>
      </c>
      <c r="K270" s="6" t="s">
        <v>4880</v>
      </c>
      <c r="L270" t="str">
        <f t="shared" si="4"/>
        <v>SKY PU PRETO CADILAC  |46051</v>
      </c>
    </row>
    <row r="271" ht="13.5" customHeight="1" spans="1:12">
      <c r="A271" s="17">
        <v>46050.7141666667</v>
      </c>
      <c r="B271" s="6" t="s">
        <v>4876</v>
      </c>
      <c r="C271" s="6" t="s">
        <v>5081</v>
      </c>
      <c r="D271" s="6" t="s">
        <v>4919</v>
      </c>
      <c r="E271" s="6" t="s">
        <v>26</v>
      </c>
      <c r="F271" s="6" t="s">
        <v>4882</v>
      </c>
      <c r="G271" s="6" t="s">
        <v>1427</v>
      </c>
      <c r="H271" s="6">
        <v>3</v>
      </c>
      <c r="I271" s="18">
        <v>88.74</v>
      </c>
      <c r="J271" s="19">
        <v>46050.7161089468</v>
      </c>
      <c r="K271" s="6" t="s">
        <v>4880</v>
      </c>
      <c r="L271" t="str">
        <f t="shared" si="4"/>
        <v>SKY CATALISADOR P/ESMALTE PU 225 ML |46051</v>
      </c>
    </row>
    <row r="272" ht="13.5" customHeight="1" spans="1:12">
      <c r="A272" s="17">
        <v>46051.3593634259</v>
      </c>
      <c r="B272" s="6" t="s">
        <v>4876</v>
      </c>
      <c r="C272" s="6" t="s">
        <v>5082</v>
      </c>
      <c r="D272" s="6" t="s">
        <v>4879</v>
      </c>
      <c r="E272" s="6" t="s">
        <v>26</v>
      </c>
      <c r="F272" s="6" t="s">
        <v>4882</v>
      </c>
      <c r="G272" s="6" t="s">
        <v>214</v>
      </c>
      <c r="H272" s="6">
        <v>2</v>
      </c>
      <c r="I272" s="18">
        <v>960</v>
      </c>
      <c r="J272" s="19">
        <v>46051.3600728357</v>
      </c>
      <c r="K272" s="6" t="s">
        <v>4880</v>
      </c>
      <c r="L272" t="str">
        <f t="shared" si="4"/>
        <v>TAMBOR DE FREIO TRASEIRO (ACCELO 1016) MARCA PARALELA|46051</v>
      </c>
    </row>
    <row r="273" ht="13.5" customHeight="1" spans="1:12">
      <c r="A273" s="17">
        <v>46051.3683101852</v>
      </c>
      <c r="B273" s="6" t="s">
        <v>4876</v>
      </c>
      <c r="C273" s="6" t="s">
        <v>5083</v>
      </c>
      <c r="D273" s="6" t="s">
        <v>5044</v>
      </c>
      <c r="E273" s="6" t="s">
        <v>390</v>
      </c>
      <c r="F273" s="6" t="s">
        <v>4879</v>
      </c>
      <c r="G273" s="6" t="s">
        <v>256</v>
      </c>
      <c r="H273" s="6">
        <v>75</v>
      </c>
      <c r="I273" s="18">
        <v>1575</v>
      </c>
      <c r="J273" s="19">
        <v>46052.3702823727</v>
      </c>
      <c r="K273" s="6" t="s">
        <v>4880</v>
      </c>
      <c r="L273" t="str">
        <f t="shared" si="4"/>
        <v>SACO PLAST PE 60X90|46051</v>
      </c>
    </row>
    <row r="274" ht="13.5" customHeight="1" spans="1:12">
      <c r="A274" s="17">
        <v>46051.3683101852</v>
      </c>
      <c r="B274" s="6" t="s">
        <v>4876</v>
      </c>
      <c r="C274" s="6" t="s">
        <v>5083</v>
      </c>
      <c r="D274" s="6" t="s">
        <v>5044</v>
      </c>
      <c r="E274" s="6" t="s">
        <v>35</v>
      </c>
      <c r="F274" s="6" t="s">
        <v>4879</v>
      </c>
      <c r="G274" s="6" t="s">
        <v>533</v>
      </c>
      <c r="H274" s="6">
        <v>30</v>
      </c>
      <c r="I274" s="18">
        <v>1653</v>
      </c>
      <c r="J274" s="19">
        <v>46052.3702789352</v>
      </c>
      <c r="K274" s="6" t="s">
        <v>4880</v>
      </c>
      <c r="L274" t="str">
        <f t="shared" si="4"/>
        <v>SACOLA VERDE REFORÇADA 50x60 5 KG|46051</v>
      </c>
    </row>
    <row r="275" ht="13.5" customHeight="1" spans="1:12">
      <c r="A275" s="17">
        <v>46051.3711921296</v>
      </c>
      <c r="B275" s="6" t="s">
        <v>4876</v>
      </c>
      <c r="C275" s="6" t="s">
        <v>5084</v>
      </c>
      <c r="D275" s="6" t="s">
        <v>110</v>
      </c>
      <c r="E275" s="6" t="s">
        <v>26</v>
      </c>
      <c r="F275" s="6" t="s">
        <v>4882</v>
      </c>
      <c r="G275" s="6" t="s">
        <v>248</v>
      </c>
      <c r="H275" s="6">
        <v>20</v>
      </c>
      <c r="I275" s="18">
        <v>120</v>
      </c>
      <c r="J275" s="19">
        <v>46052.3843554398</v>
      </c>
      <c r="K275" s="6" t="s">
        <v>4880</v>
      </c>
      <c r="L275" t="str">
        <f t="shared" si="4"/>
        <v>LAMPADA  1POLO LARANJA 24V|46051</v>
      </c>
    </row>
    <row r="276" ht="13.5" customHeight="1" spans="1:12">
      <c r="A276" s="17">
        <v>46051.393275463</v>
      </c>
      <c r="B276" s="6" t="s">
        <v>4876</v>
      </c>
      <c r="C276" s="6" t="s">
        <v>5085</v>
      </c>
      <c r="D276" s="6" t="s">
        <v>110</v>
      </c>
      <c r="E276" s="6" t="s">
        <v>26</v>
      </c>
      <c r="F276" s="6" t="s">
        <v>4882</v>
      </c>
      <c r="G276" s="6" t="s">
        <v>4605</v>
      </c>
      <c r="H276" s="6">
        <v>4</v>
      </c>
      <c r="I276" s="18">
        <v>45</v>
      </c>
      <c r="J276" s="19">
        <v>46052.3950866898</v>
      </c>
      <c r="K276" s="6" t="s">
        <v>4880</v>
      </c>
      <c r="L276" t="str">
        <f t="shared" si="4"/>
        <v>ANILHA P/TUBO 1/4|46051</v>
      </c>
    </row>
    <row r="277" ht="13.5" customHeight="1" spans="1:12">
      <c r="A277" s="17">
        <v>46051.5738773148</v>
      </c>
      <c r="B277" s="6" t="s">
        <v>4876</v>
      </c>
      <c r="C277" s="6" t="s">
        <v>5086</v>
      </c>
      <c r="D277" s="6" t="s">
        <v>4878</v>
      </c>
      <c r="E277" s="6" t="s">
        <v>51</v>
      </c>
      <c r="F277" s="6" t="s">
        <v>4879</v>
      </c>
      <c r="G277" s="6" t="s">
        <v>3104</v>
      </c>
      <c r="H277" s="6">
        <v>3</v>
      </c>
      <c r="I277" s="18">
        <v>599.4</v>
      </c>
      <c r="J277" s="19">
        <v>46059.5849914352</v>
      </c>
      <c r="K277" s="6" t="s">
        <v>4880</v>
      </c>
      <c r="L277" t="str">
        <f t="shared" si="4"/>
        <v>FILTRO DO HIDRAULICO E RESPIRO 143221|46052</v>
      </c>
    </row>
    <row r="278" ht="13.5" customHeight="1" spans="1:12">
      <c r="A278" s="17">
        <v>46051.5738773148</v>
      </c>
      <c r="B278" s="6" t="s">
        <v>4876</v>
      </c>
      <c r="C278" s="6" t="s">
        <v>5086</v>
      </c>
      <c r="D278" s="6" t="s">
        <v>4878</v>
      </c>
      <c r="E278" s="6" t="s">
        <v>51</v>
      </c>
      <c r="F278" s="6" t="s">
        <v>4879</v>
      </c>
      <c r="G278" s="6" t="s">
        <v>3121</v>
      </c>
      <c r="H278" s="6">
        <v>3</v>
      </c>
      <c r="I278" s="18">
        <v>2055.54</v>
      </c>
      <c r="J278" s="19">
        <v>46059.5849912384</v>
      </c>
      <c r="K278" s="6" t="s">
        <v>4880</v>
      </c>
      <c r="L278" t="str">
        <f t="shared" si="4"/>
        <v>FILTRO DE OLEO 146314|46052</v>
      </c>
    </row>
    <row r="279" ht="13.5" customHeight="1" spans="1:12">
      <c r="A279" s="17">
        <v>46051.5738773148</v>
      </c>
      <c r="B279" s="6" t="s">
        <v>4876</v>
      </c>
      <c r="C279" s="6" t="s">
        <v>5086</v>
      </c>
      <c r="D279" s="6" t="s">
        <v>4878</v>
      </c>
      <c r="E279" s="6" t="s">
        <v>51</v>
      </c>
      <c r="F279" s="6" t="s">
        <v>4879</v>
      </c>
      <c r="G279" s="6" t="s">
        <v>3001</v>
      </c>
      <c r="H279" s="6">
        <v>3</v>
      </c>
      <c r="I279" s="18">
        <v>902.22</v>
      </c>
      <c r="J279" s="19">
        <v>46059.5849908912</v>
      </c>
      <c r="K279" s="6" t="s">
        <v>4880</v>
      </c>
      <c r="L279" t="str">
        <f t="shared" si="4"/>
        <v>FUSIVEL DE POTENCIA 800A ANN/CNN 80VDC|46052</v>
      </c>
    </row>
    <row r="280" ht="13.5" customHeight="1" spans="1:12">
      <c r="A280" s="17">
        <v>46051.5738773148</v>
      </c>
      <c r="B280" s="6" t="s">
        <v>4876</v>
      </c>
      <c r="C280" s="6" t="s">
        <v>5086</v>
      </c>
      <c r="D280" s="6" t="s">
        <v>4878</v>
      </c>
      <c r="E280" s="6" t="s">
        <v>51</v>
      </c>
      <c r="F280" s="6" t="s">
        <v>4879</v>
      </c>
      <c r="G280" s="6" t="s">
        <v>3002</v>
      </c>
      <c r="H280" s="6">
        <v>2</v>
      </c>
      <c r="I280" s="18">
        <v>525</v>
      </c>
      <c r="J280" s="19">
        <v>46059.584990706</v>
      </c>
      <c r="K280" s="6" t="s">
        <v>4880</v>
      </c>
      <c r="L280" t="str">
        <f t="shared" si="4"/>
        <v>FUSIVEL DE POTENCIA 500A ANN/CNN 80VDC|46052</v>
      </c>
    </row>
    <row r="281" ht="13.5" customHeight="1" spans="1:12">
      <c r="A281" s="17">
        <v>46051.5738773148</v>
      </c>
      <c r="B281" s="6" t="s">
        <v>4876</v>
      </c>
      <c r="C281" s="6" t="s">
        <v>5086</v>
      </c>
      <c r="D281" s="6" t="s">
        <v>4878</v>
      </c>
      <c r="E281" s="6" t="s">
        <v>51</v>
      </c>
      <c r="F281" s="6" t="s">
        <v>4879</v>
      </c>
      <c r="G281" s="6" t="s">
        <v>2872</v>
      </c>
      <c r="H281" s="6">
        <v>1</v>
      </c>
      <c r="I281" s="18">
        <v>1120</v>
      </c>
      <c r="J281" s="19">
        <v>46059.584990162</v>
      </c>
      <c r="K281" s="6" t="s">
        <v>4880</v>
      </c>
      <c r="L281" t="str">
        <f t="shared" si="4"/>
        <v>INTERRUPTOR DO SENSOR DE PROXIMIDADE RM/CROWN|46052</v>
      </c>
    </row>
    <row r="282" ht="13.5" customHeight="1" spans="1:12">
      <c r="A282" s="17">
        <v>46051.6177083333</v>
      </c>
      <c r="B282" s="6" t="s">
        <v>4876</v>
      </c>
      <c r="C282" s="6" t="s">
        <v>5087</v>
      </c>
      <c r="D282" s="6" t="s">
        <v>4954</v>
      </c>
      <c r="E282" s="6" t="s">
        <v>26</v>
      </c>
      <c r="F282" s="6" t="s">
        <v>4882</v>
      </c>
      <c r="G282" s="6" t="s">
        <v>242</v>
      </c>
      <c r="H282" s="6">
        <v>1</v>
      </c>
      <c r="I282" s="18">
        <v>128</v>
      </c>
      <c r="J282" s="19">
        <v>46051.6205701736</v>
      </c>
      <c r="K282" s="6" t="s">
        <v>4880</v>
      </c>
      <c r="L282" t="str">
        <f t="shared" si="4"/>
        <v>CABO P/DESTRAVAMENTO DA ESCORA (CABINE)ACCELO A 9793170018|46052</v>
      </c>
    </row>
    <row r="283" ht="13.5" customHeight="1" spans="1:12">
      <c r="A283" s="17">
        <v>46051.6177083333</v>
      </c>
      <c r="B283" s="6" t="s">
        <v>4876</v>
      </c>
      <c r="C283" s="6" t="s">
        <v>5087</v>
      </c>
      <c r="D283" s="6" t="s">
        <v>4954</v>
      </c>
      <c r="E283" s="6" t="s">
        <v>26</v>
      </c>
      <c r="F283" s="6" t="s">
        <v>4882</v>
      </c>
      <c r="G283" s="6" t="s">
        <v>152</v>
      </c>
      <c r="H283" s="6">
        <v>20</v>
      </c>
      <c r="I283" s="18">
        <v>135</v>
      </c>
      <c r="J283" s="19">
        <v>46051.6205696412</v>
      </c>
      <c r="K283" s="6" t="s">
        <v>4880</v>
      </c>
      <c r="L283" t="str">
        <f t="shared" si="4"/>
        <v>LAMPADA 1 POLO 24V|46052</v>
      </c>
    </row>
    <row r="284" ht="13.5" customHeight="1" spans="1:12">
      <c r="A284" s="17">
        <v>46051.6177083333</v>
      </c>
      <c r="B284" s="6" t="s">
        <v>4876</v>
      </c>
      <c r="C284" s="6" t="s">
        <v>5087</v>
      </c>
      <c r="D284" s="6" t="s">
        <v>4954</v>
      </c>
      <c r="E284" s="6" t="s">
        <v>26</v>
      </c>
      <c r="F284" s="6" t="s">
        <v>4882</v>
      </c>
      <c r="G284" s="6" t="s">
        <v>25</v>
      </c>
      <c r="H284" s="6">
        <v>20</v>
      </c>
      <c r="I284" s="18">
        <v>556</v>
      </c>
      <c r="J284" s="19">
        <v>46051.6205692477</v>
      </c>
      <c r="K284" s="6" t="s">
        <v>4880</v>
      </c>
      <c r="L284" t="str">
        <f t="shared" si="4"/>
        <v>LAMPADA H4 24V PHILLIPS|46052</v>
      </c>
    </row>
    <row r="285" ht="13.5" customHeight="1" spans="1:12">
      <c r="A285" s="17">
        <v>46051.828275463</v>
      </c>
      <c r="B285" s="6" t="s">
        <v>4876</v>
      </c>
      <c r="C285" s="6" t="s">
        <v>5088</v>
      </c>
      <c r="D285" s="6" t="s">
        <v>4926</v>
      </c>
      <c r="E285" s="6" t="s">
        <v>26</v>
      </c>
      <c r="F285" s="6" t="s">
        <v>4882</v>
      </c>
      <c r="G285" s="6" t="s">
        <v>674</v>
      </c>
      <c r="H285" s="6">
        <v>2</v>
      </c>
      <c r="I285" s="18">
        <v>798</v>
      </c>
      <c r="J285" s="19">
        <v>46056.8289859954</v>
      </c>
      <c r="K285" s="6" t="s">
        <v>4880</v>
      </c>
      <c r="L285" t="str">
        <f t="shared" si="4"/>
        <v>FITA DBA 9MM ROLOS COM 4.000MTS|46052</v>
      </c>
    </row>
    <row r="286" ht="13.5" customHeight="1" spans="1:12">
      <c r="A286" s="17">
        <v>46052.4021759259</v>
      </c>
      <c r="B286" s="6" t="s">
        <v>4876</v>
      </c>
      <c r="C286" s="6" t="s">
        <v>5089</v>
      </c>
      <c r="D286" s="6" t="s">
        <v>4903</v>
      </c>
      <c r="E286" s="6" t="s">
        <v>26</v>
      </c>
      <c r="F286" s="6" t="s">
        <v>4882</v>
      </c>
      <c r="G286" s="6" t="s">
        <v>413</v>
      </c>
      <c r="H286" s="6">
        <v>50</v>
      </c>
      <c r="I286" s="18">
        <v>329.5</v>
      </c>
      <c r="J286" s="19">
        <v>46052.4046175926</v>
      </c>
      <c r="K286" s="6" t="s">
        <v>4880</v>
      </c>
      <c r="L286" t="str">
        <f t="shared" si="4"/>
        <v>GASOLINA COMUM 01|46052</v>
      </c>
    </row>
    <row r="287" ht="13.5" customHeight="1" spans="1:12">
      <c r="A287" s="17">
        <v>46052.5682291667</v>
      </c>
      <c r="B287" s="6" t="s">
        <v>4876</v>
      </c>
      <c r="C287" s="6" t="s">
        <v>5090</v>
      </c>
      <c r="D287" s="6" t="s">
        <v>5091</v>
      </c>
      <c r="E287" s="6" t="s">
        <v>182</v>
      </c>
      <c r="F287" s="6" t="s">
        <v>4879</v>
      </c>
      <c r="G287" s="6" t="s">
        <v>4095</v>
      </c>
      <c r="H287" s="6">
        <v>1</v>
      </c>
      <c r="I287" s="18">
        <v>781</v>
      </c>
      <c r="J287" s="19">
        <v>46059.5704723032</v>
      </c>
      <c r="K287" s="6" t="s">
        <v>4880</v>
      </c>
      <c r="L287" t="str">
        <f t="shared" si="4"/>
        <v>CADEIRA GAMER HUSKY TEMPEST 700 ATE 145KG|46053</v>
      </c>
    </row>
    <row r="288" ht="13.5" customHeight="1" spans="1:12">
      <c r="A288" s="17">
        <v>46054.4360300926</v>
      </c>
      <c r="B288" s="6" t="s">
        <v>4876</v>
      </c>
      <c r="C288" s="6" t="s">
        <v>5092</v>
      </c>
      <c r="D288" s="6" t="s">
        <v>5093</v>
      </c>
      <c r="E288" s="6" t="s">
        <v>26</v>
      </c>
      <c r="F288" s="6" t="s">
        <v>4882</v>
      </c>
      <c r="G288" s="6" t="s">
        <v>2483</v>
      </c>
      <c r="H288" s="6">
        <v>2</v>
      </c>
      <c r="I288" s="18">
        <v>85.7</v>
      </c>
      <c r="J288" s="19">
        <v>46056.4372239583</v>
      </c>
      <c r="K288" s="6" t="s">
        <v>4880</v>
      </c>
      <c r="L288" t="str">
        <f t="shared" si="4"/>
        <v>MASCARA RESPIRATORIA 2 FILTROSCG306 CARBOGRAFITE|46054</v>
      </c>
    </row>
    <row r="289" ht="13.5" customHeight="1" spans="1:12">
      <c r="A289" s="17">
        <v>46055.7000925926</v>
      </c>
      <c r="B289" s="6" t="s">
        <v>4876</v>
      </c>
      <c r="C289" s="6" t="s">
        <v>5094</v>
      </c>
      <c r="D289" s="6" t="s">
        <v>4954</v>
      </c>
      <c r="E289" s="6" t="s">
        <v>26</v>
      </c>
      <c r="F289" s="6" t="s">
        <v>4882</v>
      </c>
      <c r="G289" s="6" t="s">
        <v>1220</v>
      </c>
      <c r="H289" s="6">
        <v>100</v>
      </c>
      <c r="I289" s="18">
        <v>70</v>
      </c>
      <c r="J289" s="19">
        <v>46055.70940625</v>
      </c>
      <c r="K289" s="6" t="s">
        <v>4880</v>
      </c>
      <c r="L289" t="str">
        <f t="shared" si="4"/>
        <v>TERMINAL FEMEA 1,5 X 2,5 MM|46056</v>
      </c>
    </row>
    <row r="290" ht="13.5" customHeight="1" spans="1:12">
      <c r="A290" s="17">
        <v>46055.7000925926</v>
      </c>
      <c r="B290" s="6" t="s">
        <v>4876</v>
      </c>
      <c r="C290" s="6" t="s">
        <v>5094</v>
      </c>
      <c r="D290" s="6" t="s">
        <v>4954</v>
      </c>
      <c r="E290" s="6" t="s">
        <v>26</v>
      </c>
      <c r="F290" s="6" t="s">
        <v>4882</v>
      </c>
      <c r="G290" s="6" t="s">
        <v>1222</v>
      </c>
      <c r="H290" s="6">
        <v>46</v>
      </c>
      <c r="I290" s="18">
        <v>41.4</v>
      </c>
      <c r="J290" s="19">
        <v>46055.7094040857</v>
      </c>
      <c r="K290" s="6" t="s">
        <v>4880</v>
      </c>
      <c r="L290" t="str">
        <f t="shared" si="4"/>
        <v>TERMINAL ENCAIXE MACHO|46056</v>
      </c>
    </row>
    <row r="291" ht="13.5" customHeight="1" spans="1:12">
      <c r="A291" s="17">
        <v>46055.7105324074</v>
      </c>
      <c r="B291" s="6" t="s">
        <v>4876</v>
      </c>
      <c r="C291" s="6" t="s">
        <v>5095</v>
      </c>
      <c r="D291" s="6" t="s">
        <v>4905</v>
      </c>
      <c r="E291" s="6" t="s">
        <v>26</v>
      </c>
      <c r="F291" s="6" t="s">
        <v>4882</v>
      </c>
      <c r="G291" s="6" t="s">
        <v>1461</v>
      </c>
      <c r="H291" s="6">
        <v>1</v>
      </c>
      <c r="I291" s="18">
        <v>82.2</v>
      </c>
      <c r="J291" s="19">
        <v>46055.7178068287</v>
      </c>
      <c r="K291" s="6" t="s">
        <v>4880</v>
      </c>
      <c r="L291" t="str">
        <f t="shared" si="4"/>
        <v>SERRA TICO TICO C/5 STARRETT|46056</v>
      </c>
    </row>
    <row r="292" ht="13.5" customHeight="1" spans="1:12">
      <c r="A292" s="17">
        <v>46055.7105324074</v>
      </c>
      <c r="B292" s="6" t="s">
        <v>4876</v>
      </c>
      <c r="C292" s="6" t="s">
        <v>5095</v>
      </c>
      <c r="D292" s="6" t="s">
        <v>4905</v>
      </c>
      <c r="E292" s="6" t="s">
        <v>26</v>
      </c>
      <c r="F292" s="6" t="s">
        <v>4882</v>
      </c>
      <c r="G292" s="6" t="s">
        <v>1795</v>
      </c>
      <c r="H292" s="6">
        <v>5</v>
      </c>
      <c r="I292" s="18">
        <v>179.3</v>
      </c>
      <c r="J292" s="19">
        <v>46055.7178062847</v>
      </c>
      <c r="K292" s="6" t="s">
        <v>4880</v>
      </c>
      <c r="L292" t="str">
        <f t="shared" si="4"/>
        <v>REBITE CARTELA W-525 (50 PÇS)|46056</v>
      </c>
    </row>
    <row r="293" ht="13.5" customHeight="1" spans="1:12">
      <c r="A293" s="17">
        <v>46055.7105324074</v>
      </c>
      <c r="B293" s="6" t="s">
        <v>4876</v>
      </c>
      <c r="C293" s="6" t="s">
        <v>5095</v>
      </c>
      <c r="D293" s="6" t="s">
        <v>4905</v>
      </c>
      <c r="E293" s="6" t="s">
        <v>26</v>
      </c>
      <c r="F293" s="6" t="s">
        <v>4882</v>
      </c>
      <c r="G293" s="6" t="s">
        <v>1463</v>
      </c>
      <c r="H293" s="6">
        <v>1</v>
      </c>
      <c r="I293" s="18">
        <v>34.1</v>
      </c>
      <c r="J293" s="19">
        <v>46055.7178059028</v>
      </c>
      <c r="K293" s="6" t="s">
        <v>4880</v>
      </c>
      <c r="L293" t="str">
        <f t="shared" si="4"/>
        <v>SERRA MANUAL STARRET |46056</v>
      </c>
    </row>
    <row r="294" ht="13.5" customHeight="1" spans="1:12">
      <c r="A294" s="17">
        <v>46055.714375</v>
      </c>
      <c r="B294" s="6" t="s">
        <v>4876</v>
      </c>
      <c r="C294" s="6" t="s">
        <v>5096</v>
      </c>
      <c r="D294" s="6" t="s">
        <v>4916</v>
      </c>
      <c r="E294" s="6" t="s">
        <v>26</v>
      </c>
      <c r="F294" s="6" t="s">
        <v>4882</v>
      </c>
      <c r="G294" s="6" t="s">
        <v>713</v>
      </c>
      <c r="H294" s="6">
        <v>1</v>
      </c>
      <c r="I294" s="18">
        <v>4248.04</v>
      </c>
      <c r="J294" s="19">
        <v>46058.7160765857</v>
      </c>
      <c r="K294" s="6" t="s">
        <v>4880</v>
      </c>
      <c r="L294" t="str">
        <f t="shared" si="4"/>
        <v>SWITCH GER 24P+4P POE S2328G-PA|46056</v>
      </c>
    </row>
    <row r="295" ht="13.5" customHeight="1" spans="1:12">
      <c r="A295" s="17">
        <v>46055.7183217593</v>
      </c>
      <c r="B295" s="6" t="s">
        <v>4876</v>
      </c>
      <c r="C295" s="6" t="s">
        <v>5097</v>
      </c>
      <c r="D295" s="6" t="s">
        <v>4954</v>
      </c>
      <c r="E295" s="6" t="s">
        <v>26</v>
      </c>
      <c r="F295" s="6" t="s">
        <v>4882</v>
      </c>
      <c r="G295" s="6" t="s">
        <v>221</v>
      </c>
      <c r="H295" s="6">
        <v>4</v>
      </c>
      <c r="I295" s="18">
        <v>3796</v>
      </c>
      <c r="J295" s="19">
        <v>46055.7224347569</v>
      </c>
      <c r="K295" s="6" t="s">
        <v>4880</v>
      </c>
      <c r="L295" t="str">
        <f t="shared" si="4"/>
        <v>TAMBOR DE FREIO D/T ACCELO /915|46056</v>
      </c>
    </row>
    <row r="296" ht="13.5" customHeight="1" spans="1:12">
      <c r="A296" s="17">
        <v>46055.7260069445</v>
      </c>
      <c r="B296" s="6" t="s">
        <v>4876</v>
      </c>
      <c r="C296" s="6" t="s">
        <v>5098</v>
      </c>
      <c r="D296" s="6" t="s">
        <v>111</v>
      </c>
      <c r="E296" s="6" t="s">
        <v>26</v>
      </c>
      <c r="F296" s="6" t="s">
        <v>4882</v>
      </c>
      <c r="G296" s="6" t="s">
        <v>1262</v>
      </c>
      <c r="H296" s="6">
        <v>2</v>
      </c>
      <c r="I296" s="18">
        <v>1535.56</v>
      </c>
      <c r="J296" s="19">
        <v>46055.7314873032</v>
      </c>
      <c r="K296" s="6" t="s">
        <v>4880</v>
      </c>
      <c r="L296" t="str">
        <f t="shared" si="4"/>
        <v>TANQUE DE LIQUIDO FLEX 300AR  ATUALIZADO |46056</v>
      </c>
    </row>
    <row r="297" ht="13.5" customHeight="1" spans="1:12">
      <c r="A297" s="17">
        <v>46055.7260069445</v>
      </c>
      <c r="B297" s="6" t="s">
        <v>4876</v>
      </c>
      <c r="C297" s="6" t="s">
        <v>5098</v>
      </c>
      <c r="D297" s="6" t="s">
        <v>111</v>
      </c>
      <c r="E297" s="6" t="s">
        <v>26</v>
      </c>
      <c r="F297" s="6" t="s">
        <v>4882</v>
      </c>
      <c r="G297" s="6" t="s">
        <v>165</v>
      </c>
      <c r="H297" s="6">
        <v>4</v>
      </c>
      <c r="I297" s="18">
        <v>275.44</v>
      </c>
      <c r="J297" s="19">
        <v>46055.7314869213</v>
      </c>
      <c r="K297" s="6" t="s">
        <v>4880</v>
      </c>
      <c r="L297" t="str">
        <f t="shared" si="4"/>
        <v>SENSOR DE TEMPERATURA|46056</v>
      </c>
    </row>
    <row r="298" ht="13.5" customHeight="1" spans="1:12">
      <c r="A298" s="17">
        <v>46056.3476157407</v>
      </c>
      <c r="B298" s="6" t="s">
        <v>4876</v>
      </c>
      <c r="C298" s="6" t="s">
        <v>5099</v>
      </c>
      <c r="D298" s="6" t="s">
        <v>5100</v>
      </c>
      <c r="E298" s="6" t="s">
        <v>26</v>
      </c>
      <c r="F298" s="6" t="s">
        <v>4882</v>
      </c>
      <c r="G298" s="6" t="s">
        <v>2542</v>
      </c>
      <c r="H298" s="6">
        <v>2</v>
      </c>
      <c r="I298" s="18">
        <v>20</v>
      </c>
      <c r="J298" s="19">
        <v>46056.3493926273</v>
      </c>
      <c r="K298" s="6" t="s">
        <v>4880</v>
      </c>
      <c r="L298" t="str">
        <f t="shared" si="4"/>
        <v>MANGUEIRA CRISTAL 5/8 3MM|46056</v>
      </c>
    </row>
    <row r="299" ht="13.5" customHeight="1" spans="1:12">
      <c r="A299" s="17">
        <v>46056.352349537</v>
      </c>
      <c r="B299" s="6" t="s">
        <v>4876</v>
      </c>
      <c r="C299" s="6" t="s">
        <v>5101</v>
      </c>
      <c r="D299" s="6" t="s">
        <v>5102</v>
      </c>
      <c r="E299" s="6" t="s">
        <v>26</v>
      </c>
      <c r="F299" s="6" t="s">
        <v>4882</v>
      </c>
      <c r="G299" s="6" t="s">
        <v>3308</v>
      </c>
      <c r="H299" s="6">
        <v>2</v>
      </c>
      <c r="I299" s="18">
        <v>9.98</v>
      </c>
      <c r="J299" s="19">
        <v>46056.353531713</v>
      </c>
      <c r="K299" s="6" t="s">
        <v>4880</v>
      </c>
      <c r="L299" t="str">
        <f t="shared" si="4"/>
        <v>ESCOVA MULTIUSO|46056</v>
      </c>
    </row>
    <row r="300" ht="13.5" customHeight="1" spans="1:12">
      <c r="A300" s="17">
        <v>46056.3671527778</v>
      </c>
      <c r="B300" s="6" t="s">
        <v>4876</v>
      </c>
      <c r="C300" s="6" t="s">
        <v>5103</v>
      </c>
      <c r="D300" s="6" t="s">
        <v>5104</v>
      </c>
      <c r="E300" s="6" t="s">
        <v>26</v>
      </c>
      <c r="F300" s="6" t="s">
        <v>4882</v>
      </c>
      <c r="G300" s="6" t="s">
        <v>1896</v>
      </c>
      <c r="H300" s="6">
        <v>2</v>
      </c>
      <c r="I300" s="18">
        <v>71.98</v>
      </c>
      <c r="J300" s="19">
        <v>46056.3721198727</v>
      </c>
      <c r="K300" s="6" t="s">
        <v>4880</v>
      </c>
      <c r="L300" t="str">
        <f t="shared" si="4"/>
        <v>PORTA COPO DESCARTAVEL|46056</v>
      </c>
    </row>
    <row r="301" ht="13.5" customHeight="1" spans="1:12">
      <c r="A301" s="17">
        <v>46056.3671527778</v>
      </c>
      <c r="B301" s="6" t="s">
        <v>4876</v>
      </c>
      <c r="C301" s="6" t="s">
        <v>5103</v>
      </c>
      <c r="D301" s="6" t="s">
        <v>5104</v>
      </c>
      <c r="E301" s="6" t="s">
        <v>26</v>
      </c>
      <c r="F301" s="6" t="s">
        <v>4882</v>
      </c>
      <c r="G301" s="6" t="s">
        <v>981</v>
      </c>
      <c r="H301" s="6">
        <v>1</v>
      </c>
      <c r="I301" s="18">
        <v>18</v>
      </c>
      <c r="J301" s="19">
        <v>46056.3721196759</v>
      </c>
      <c r="K301" s="6" t="s">
        <v>4880</v>
      </c>
      <c r="L301" t="str">
        <f t="shared" si="4"/>
        <v>VASSOURA ROSSI MODERNA|46056</v>
      </c>
    </row>
    <row r="302" ht="13.5" customHeight="1" spans="1:12">
      <c r="A302" s="17">
        <v>46056.3671527778</v>
      </c>
      <c r="B302" s="6" t="s">
        <v>4876</v>
      </c>
      <c r="C302" s="6" t="s">
        <v>5103</v>
      </c>
      <c r="D302" s="6" t="s">
        <v>5104</v>
      </c>
      <c r="E302" s="6" t="s">
        <v>26</v>
      </c>
      <c r="F302" s="6" t="s">
        <v>4882</v>
      </c>
      <c r="G302" s="6" t="s">
        <v>4437</v>
      </c>
      <c r="H302" s="6">
        <v>5</v>
      </c>
      <c r="I302" s="18">
        <v>111.25</v>
      </c>
      <c r="J302" s="19">
        <v>46056.3721191319</v>
      </c>
      <c r="K302" s="6" t="s">
        <v>4880</v>
      </c>
      <c r="L302" t="str">
        <f t="shared" si="4"/>
        <v>BATERIA GOLDE EVEREADY |46056</v>
      </c>
    </row>
    <row r="303" ht="13.5" customHeight="1" spans="1:12">
      <c r="A303" s="17">
        <v>46056.8082407407</v>
      </c>
      <c r="B303" s="6" t="s">
        <v>4876</v>
      </c>
      <c r="C303" s="6" t="s">
        <v>5105</v>
      </c>
      <c r="D303" s="6" t="s">
        <v>4971</v>
      </c>
      <c r="E303" s="6" t="s">
        <v>26</v>
      </c>
      <c r="F303" s="6" t="s">
        <v>4882</v>
      </c>
      <c r="G303" s="6" t="s">
        <v>4598</v>
      </c>
      <c r="H303" s="6">
        <v>1</v>
      </c>
      <c r="I303" s="18">
        <v>186.94</v>
      </c>
      <c r="J303" s="19">
        <v>46056.8096198727</v>
      </c>
      <c r="K303" s="6" t="s">
        <v>4880</v>
      </c>
      <c r="L303" t="str">
        <f t="shared" si="4"/>
        <v>AQUATHERM ADESIVO NT 850 G|46057</v>
      </c>
    </row>
    <row r="304" ht="13.5" customHeight="1" spans="1:12">
      <c r="A304" s="17">
        <v>46056.8098958333</v>
      </c>
      <c r="B304" s="6" t="s">
        <v>4876</v>
      </c>
      <c r="C304" s="6" t="s">
        <v>5106</v>
      </c>
      <c r="D304" s="6" t="s">
        <v>4954</v>
      </c>
      <c r="E304" s="6" t="s">
        <v>26</v>
      </c>
      <c r="F304" s="6" t="s">
        <v>4882</v>
      </c>
      <c r="G304" s="6" t="s">
        <v>253</v>
      </c>
      <c r="H304" s="6">
        <v>2</v>
      </c>
      <c r="I304" s="18">
        <v>349.6</v>
      </c>
      <c r="J304" s="19">
        <v>46056.8163023495</v>
      </c>
      <c r="K304" s="6" t="s">
        <v>4880</v>
      </c>
      <c r="L304" t="str">
        <f t="shared" si="4"/>
        <v>CABO DE CAPO DESTRAVAMENTO INTERNO ACCELO|46057</v>
      </c>
    </row>
    <row r="305" ht="13.5" customHeight="1" spans="1:12">
      <c r="A305" s="17">
        <v>46056.8098958333</v>
      </c>
      <c r="B305" s="6" t="s">
        <v>4876</v>
      </c>
      <c r="C305" s="6" t="s">
        <v>5106</v>
      </c>
      <c r="D305" s="6" t="s">
        <v>4954</v>
      </c>
      <c r="E305" s="6" t="s">
        <v>26</v>
      </c>
      <c r="F305" s="6" t="s">
        <v>4882</v>
      </c>
      <c r="G305" s="6" t="s">
        <v>222</v>
      </c>
      <c r="H305" s="6">
        <v>12</v>
      </c>
      <c r="I305" s="18">
        <v>216</v>
      </c>
      <c r="J305" s="19">
        <v>46056.8163021991</v>
      </c>
      <c r="K305" s="6" t="s">
        <v>4880</v>
      </c>
      <c r="L305" t="str">
        <f t="shared" si="4"/>
        <v>CABO DE ACIONAMENTO DE PORTA (FECHADURA) VW (LD) (LE)|46057</v>
      </c>
    </row>
    <row r="306" ht="13.5" customHeight="1" spans="1:12">
      <c r="A306" s="17">
        <v>46056.8165740741</v>
      </c>
      <c r="B306" s="6" t="s">
        <v>4876</v>
      </c>
      <c r="C306" s="6" t="s">
        <v>5107</v>
      </c>
      <c r="D306" s="6" t="s">
        <v>4935</v>
      </c>
      <c r="E306" s="6" t="s">
        <v>26</v>
      </c>
      <c r="F306" s="6" t="s">
        <v>4882</v>
      </c>
      <c r="G306" s="6" t="s">
        <v>1850</v>
      </c>
      <c r="H306" s="6">
        <v>1</v>
      </c>
      <c r="I306" s="18">
        <v>162.23</v>
      </c>
      <c r="J306" s="19">
        <v>46056.8199689815</v>
      </c>
      <c r="K306" s="6" t="s">
        <v>4880</v>
      </c>
      <c r="L306" t="str">
        <f t="shared" si="4"/>
        <v>PROTETOR SOLAR SUNLAU FPS 60 1L RES4H AGUA|46057</v>
      </c>
    </row>
    <row r="307" ht="13.5" customHeight="1" spans="1:12">
      <c r="A307" s="17">
        <v>46056.8165740741</v>
      </c>
      <c r="B307" s="6" t="s">
        <v>4876</v>
      </c>
      <c r="C307" s="6" t="s">
        <v>5107</v>
      </c>
      <c r="D307" s="6" t="s">
        <v>4935</v>
      </c>
      <c r="E307" s="6" t="s">
        <v>26</v>
      </c>
      <c r="F307" s="6" t="s">
        <v>4882</v>
      </c>
      <c r="G307" s="6" t="s">
        <v>1522</v>
      </c>
      <c r="H307" s="6">
        <v>1</v>
      </c>
      <c r="I307" s="18">
        <v>96.56</v>
      </c>
      <c r="J307" s="19">
        <v>46056.819968831</v>
      </c>
      <c r="K307" s="6" t="s">
        <v>4880</v>
      </c>
      <c r="L307" t="str">
        <f t="shared" si="4"/>
        <v>SAPATO SOFTWORKS BRANCO N 40|46057</v>
      </c>
    </row>
    <row r="308" ht="13.5" customHeight="1" spans="1:12">
      <c r="A308" s="17">
        <v>46056.8165740741</v>
      </c>
      <c r="B308" s="6" t="s">
        <v>4876</v>
      </c>
      <c r="C308" s="6" t="s">
        <v>5107</v>
      </c>
      <c r="D308" s="6" t="s">
        <v>4935</v>
      </c>
      <c r="E308" s="6" t="s">
        <v>26</v>
      </c>
      <c r="F308" s="6" t="s">
        <v>4882</v>
      </c>
      <c r="G308" s="6" t="s">
        <v>1521</v>
      </c>
      <c r="H308" s="6">
        <v>1</v>
      </c>
      <c r="I308" s="18">
        <v>96.56</v>
      </c>
      <c r="J308" s="19">
        <v>46056.8199684375</v>
      </c>
      <c r="K308" s="6" t="s">
        <v>4880</v>
      </c>
      <c r="L308" t="str">
        <f t="shared" si="4"/>
        <v>SAPATO SOFTWORKS BRANCO N39|46057</v>
      </c>
    </row>
    <row r="309" ht="13.5" customHeight="1" spans="1:12">
      <c r="A309" s="17">
        <v>46056.8221875</v>
      </c>
      <c r="B309" s="6" t="s">
        <v>4876</v>
      </c>
      <c r="C309" s="6" t="s">
        <v>5108</v>
      </c>
      <c r="D309" s="6" t="s">
        <v>5109</v>
      </c>
      <c r="E309" s="6" t="s">
        <v>26</v>
      </c>
      <c r="F309" s="6" t="s">
        <v>4882</v>
      </c>
      <c r="G309" s="6" t="s">
        <v>1983</v>
      </c>
      <c r="H309" s="6">
        <v>3</v>
      </c>
      <c r="I309" s="18">
        <v>190.5</v>
      </c>
      <c r="J309" s="19">
        <v>46056.8258549769</v>
      </c>
      <c r="K309" s="6" t="s">
        <v>4880</v>
      </c>
      <c r="L309" t="str">
        <f t="shared" si="4"/>
        <v>PLUG MACHO INDUST 16A 3P+T+N 380V 9H |46057</v>
      </c>
    </row>
    <row r="310" ht="13.5" customHeight="1" spans="1:12">
      <c r="A310" s="17">
        <v>46056.8221875</v>
      </c>
      <c r="B310" s="6" t="s">
        <v>4876</v>
      </c>
      <c r="C310" s="6" t="s">
        <v>5108</v>
      </c>
      <c r="D310" s="6" t="s">
        <v>5109</v>
      </c>
      <c r="E310" s="6" t="s">
        <v>26</v>
      </c>
      <c r="F310" s="6" t="s">
        <v>4882</v>
      </c>
      <c r="G310" s="6" t="s">
        <v>4695</v>
      </c>
      <c r="H310" s="6">
        <v>3</v>
      </c>
      <c r="I310" s="18">
        <v>248.7</v>
      </c>
      <c r="J310" s="19">
        <v>46056.8258545949</v>
      </c>
      <c r="K310" s="6" t="s">
        <v>4880</v>
      </c>
      <c r="L310" t="str">
        <f t="shared" si="4"/>
        <v>ACOPLAMENTO FEMEA INDUST 16A 3P+T+N 380V 9H|46057</v>
      </c>
    </row>
    <row r="311" ht="13.5" customHeight="1" spans="1:12">
      <c r="A311" s="17">
        <v>46057.5785185185</v>
      </c>
      <c r="B311" s="6" t="s">
        <v>4876</v>
      </c>
      <c r="C311" s="6" t="s">
        <v>5110</v>
      </c>
      <c r="D311" s="6" t="s">
        <v>110</v>
      </c>
      <c r="E311" s="6" t="s">
        <v>26</v>
      </c>
      <c r="F311" s="6" t="s">
        <v>4882</v>
      </c>
      <c r="G311" s="6" t="s">
        <v>3023</v>
      </c>
      <c r="H311" s="6">
        <v>10</v>
      </c>
      <c r="I311" s="18">
        <v>340</v>
      </c>
      <c r="J311" s="19">
        <v>46057.580275463</v>
      </c>
      <c r="K311" s="6" t="s">
        <v>4880</v>
      </c>
      <c r="L311" t="str">
        <f t="shared" si="4"/>
        <v>FLUIDO FREIO DOT4 500 ML|46058</v>
      </c>
    </row>
    <row r="312" ht="13.5" customHeight="1" spans="1:12">
      <c r="A312" s="17">
        <v>46057.5785185185</v>
      </c>
      <c r="B312" s="6" t="s">
        <v>4876</v>
      </c>
      <c r="C312" s="6" t="s">
        <v>5110</v>
      </c>
      <c r="D312" s="6" t="s">
        <v>110</v>
      </c>
      <c r="E312" s="6" t="s">
        <v>26</v>
      </c>
      <c r="F312" s="6" t="s">
        <v>4882</v>
      </c>
      <c r="G312" s="6" t="s">
        <v>3000</v>
      </c>
      <c r="H312" s="6">
        <v>4</v>
      </c>
      <c r="I312" s="18">
        <v>4</v>
      </c>
      <c r="J312" s="19">
        <v>46057.5802738426</v>
      </c>
      <c r="K312" s="6" t="s">
        <v>4880</v>
      </c>
      <c r="L312" t="str">
        <f t="shared" si="4"/>
        <v>FUSIVEL DE VIDRO 1A|46058</v>
      </c>
    </row>
    <row r="313" ht="13.5" customHeight="1" spans="1:12">
      <c r="A313" s="17">
        <v>46057.5785185185</v>
      </c>
      <c r="B313" s="6" t="s">
        <v>4876</v>
      </c>
      <c r="C313" s="6" t="s">
        <v>5110</v>
      </c>
      <c r="D313" s="6" t="s">
        <v>110</v>
      </c>
      <c r="E313" s="6" t="s">
        <v>26</v>
      </c>
      <c r="F313" s="6" t="s">
        <v>4882</v>
      </c>
      <c r="G313" s="6" t="s">
        <v>223</v>
      </c>
      <c r="H313" s="6">
        <v>2</v>
      </c>
      <c r="I313" s="18">
        <v>196</v>
      </c>
      <c r="J313" s="19">
        <v>46057.5802712963</v>
      </c>
      <c r="K313" s="6" t="s">
        <v>4880</v>
      </c>
      <c r="L313" t="str">
        <f t="shared" si="4"/>
        <v>CORREIA 8PK 1950 RNH|46058</v>
      </c>
    </row>
    <row r="314" ht="13.5" customHeight="1" spans="1:12">
      <c r="A314" s="17">
        <v>46057.5807291667</v>
      </c>
      <c r="B314" s="6" t="s">
        <v>4876</v>
      </c>
      <c r="C314" s="6" t="s">
        <v>5111</v>
      </c>
      <c r="D314" s="6" t="s">
        <v>5065</v>
      </c>
      <c r="E314" s="6" t="s">
        <v>26</v>
      </c>
      <c r="F314" s="6" t="s">
        <v>4882</v>
      </c>
      <c r="G314" s="6" t="s">
        <v>267</v>
      </c>
      <c r="H314" s="6">
        <v>5</v>
      </c>
      <c r="I314" s="18">
        <v>275</v>
      </c>
      <c r="J314" s="19">
        <v>46057.5825517361</v>
      </c>
      <c r="K314" s="6" t="s">
        <v>4880</v>
      </c>
      <c r="L314" t="str">
        <f t="shared" si="4"/>
        <v>OLEO LUBRIFICANTE 2T 500ML 8017H MARCA STIHLL|46058</v>
      </c>
    </row>
    <row r="315" ht="13.5" customHeight="1" spans="1:12">
      <c r="A315" s="17">
        <v>46057.5807291667</v>
      </c>
      <c r="B315" s="6" t="s">
        <v>4876</v>
      </c>
      <c r="C315" s="6" t="s">
        <v>5111</v>
      </c>
      <c r="D315" s="6" t="s">
        <v>5065</v>
      </c>
      <c r="E315" s="6" t="s">
        <v>26</v>
      </c>
      <c r="F315" s="6" t="s">
        <v>4882</v>
      </c>
      <c r="G315" s="6" t="s">
        <v>266</v>
      </c>
      <c r="H315" s="6">
        <v>4</v>
      </c>
      <c r="I315" s="18">
        <v>140</v>
      </c>
      <c r="J315" s="19">
        <v>46057.582551007</v>
      </c>
      <c r="K315" s="6" t="s">
        <v>4880</v>
      </c>
      <c r="L315" t="str">
        <f t="shared" si="4"/>
        <v>LAMINA 2 PONTAS 350MM FURO 20MM AÇO (ROÇADEIRA)|46058</v>
      </c>
    </row>
    <row r="316" ht="13.5" customHeight="1" spans="1:12">
      <c r="A316" s="17">
        <v>46057.5829166667</v>
      </c>
      <c r="B316" s="6" t="s">
        <v>4876</v>
      </c>
      <c r="C316" s="6" t="s">
        <v>5112</v>
      </c>
      <c r="D316" s="6" t="s">
        <v>4971</v>
      </c>
      <c r="E316" s="6" t="s">
        <v>26</v>
      </c>
      <c r="F316" s="6" t="s">
        <v>4882</v>
      </c>
      <c r="G316" s="6" t="s">
        <v>470</v>
      </c>
      <c r="H316" s="6">
        <v>7</v>
      </c>
      <c r="I316" s="18">
        <v>130.97</v>
      </c>
      <c r="J316" s="19">
        <v>46057.5837535069</v>
      </c>
      <c r="K316" s="6" t="s">
        <v>4880</v>
      </c>
      <c r="L316" t="str">
        <f t="shared" si="4"/>
        <v>FITA ISOLANTE 19x20M TIGRE|46058</v>
      </c>
    </row>
    <row r="317" ht="13.5" customHeight="1" spans="1:12">
      <c r="A317" s="17">
        <v>46057.5840046296</v>
      </c>
      <c r="B317" s="6" t="s">
        <v>4876</v>
      </c>
      <c r="C317" s="6" t="s">
        <v>5113</v>
      </c>
      <c r="D317" s="6" t="s">
        <v>4919</v>
      </c>
      <c r="E317" s="6" t="s">
        <v>26</v>
      </c>
      <c r="F317" s="6" t="s">
        <v>4882</v>
      </c>
      <c r="G317" s="6" t="s">
        <v>1418</v>
      </c>
      <c r="H317" s="6">
        <v>4</v>
      </c>
      <c r="I317" s="18">
        <v>1178.28</v>
      </c>
      <c r="J317" s="19">
        <v>46057.5857415162</v>
      </c>
      <c r="K317" s="6" t="s">
        <v>4880</v>
      </c>
      <c r="L317" t="str">
        <f t="shared" si="4"/>
        <v>SKY THINNER PU P/POLIESTER|46058</v>
      </c>
    </row>
    <row r="318" ht="13.5" customHeight="1" spans="1:12">
      <c r="A318" s="17">
        <v>46057.5840046296</v>
      </c>
      <c r="B318" s="6" t="s">
        <v>4876</v>
      </c>
      <c r="C318" s="6" t="s">
        <v>5113</v>
      </c>
      <c r="D318" s="6" t="s">
        <v>4919</v>
      </c>
      <c r="E318" s="6" t="s">
        <v>26</v>
      </c>
      <c r="F318" s="6" t="s">
        <v>4882</v>
      </c>
      <c r="G318" s="6" t="s">
        <v>2470</v>
      </c>
      <c r="H318" s="6">
        <v>2</v>
      </c>
      <c r="I318" s="18">
        <v>194.68</v>
      </c>
      <c r="J318" s="19">
        <v>46057.5857404282</v>
      </c>
      <c r="K318" s="6" t="s">
        <v>4880</v>
      </c>
      <c r="L318" t="str">
        <f t="shared" si="4"/>
        <v>MAZA DIRETO NA FERRUGEM BRANCO 1/4|46058</v>
      </c>
    </row>
    <row r="319" ht="13.5" customHeight="1" spans="1:12">
      <c r="A319" s="17">
        <v>46057.5859606482</v>
      </c>
      <c r="B319" s="6" t="s">
        <v>4876</v>
      </c>
      <c r="C319" s="6" t="s">
        <v>5114</v>
      </c>
      <c r="D319" s="6" t="s">
        <v>4988</v>
      </c>
      <c r="E319" s="6" t="s">
        <v>26</v>
      </c>
      <c r="F319" s="6" t="s">
        <v>4882</v>
      </c>
      <c r="G319" s="6" t="s">
        <v>417</v>
      </c>
      <c r="H319" s="6">
        <v>4</v>
      </c>
      <c r="I319" s="18">
        <v>92</v>
      </c>
      <c r="J319" s="19">
        <v>46057.5880447917</v>
      </c>
      <c r="K319" s="6" t="s">
        <v>4880</v>
      </c>
      <c r="L319" t="str">
        <f t="shared" si="4"/>
        <v>ZENNITH - ACIDO P/LIMPEZA 1L|46058</v>
      </c>
    </row>
    <row r="320" ht="13.5" customHeight="1" spans="1:12">
      <c r="A320" s="17">
        <v>46057.5859606482</v>
      </c>
      <c r="B320" s="6" t="s">
        <v>4876</v>
      </c>
      <c r="C320" s="6" t="s">
        <v>5114</v>
      </c>
      <c r="D320" s="6" t="s">
        <v>4988</v>
      </c>
      <c r="E320" s="6" t="s">
        <v>26</v>
      </c>
      <c r="F320" s="6" t="s">
        <v>4882</v>
      </c>
      <c r="G320" s="6" t="s">
        <v>2351</v>
      </c>
      <c r="H320" s="6">
        <v>2</v>
      </c>
      <c r="I320" s="18">
        <v>76</v>
      </c>
      <c r="J320" s="19">
        <v>46057.5880438657</v>
      </c>
      <c r="K320" s="6" t="s">
        <v>4880</v>
      </c>
      <c r="L320" t="str">
        <f t="shared" si="4"/>
        <v>OLEO BOMBA VACUO MONTREAL ISO VG 46 |46058</v>
      </c>
    </row>
    <row r="321" ht="13.5" customHeight="1" spans="1:12">
      <c r="A321" s="17">
        <v>46057.7922685185</v>
      </c>
      <c r="B321" s="6" t="s">
        <v>4876</v>
      </c>
      <c r="C321" s="6" t="s">
        <v>5115</v>
      </c>
      <c r="D321" s="6" t="s">
        <v>4954</v>
      </c>
      <c r="E321" s="6" t="s">
        <v>26</v>
      </c>
      <c r="F321" s="6" t="s">
        <v>4882</v>
      </c>
      <c r="G321" s="6" t="s">
        <v>225</v>
      </c>
      <c r="H321" s="6">
        <v>2</v>
      </c>
      <c r="I321" s="18">
        <v>756</v>
      </c>
      <c r="J321" s="19">
        <v>46057.7933540162</v>
      </c>
      <c r="K321" s="6" t="s">
        <v>4880</v>
      </c>
      <c r="L321" t="str">
        <f t="shared" si="4"/>
        <v>CILINDRO AUXILIAR EMBREAGEM (ACCELO/ATEGO) 3046|46058</v>
      </c>
    </row>
    <row r="322" ht="13.5" customHeight="1" spans="1:12">
      <c r="A322" s="17">
        <v>46057.7937731482</v>
      </c>
      <c r="B322" s="6" t="s">
        <v>4876</v>
      </c>
      <c r="C322" s="6" t="s">
        <v>5116</v>
      </c>
      <c r="D322" s="6" t="s">
        <v>4954</v>
      </c>
      <c r="E322" s="6" t="s">
        <v>26</v>
      </c>
      <c r="F322" s="6" t="s">
        <v>4882</v>
      </c>
      <c r="G322" s="6" t="s">
        <v>2615</v>
      </c>
      <c r="H322" s="6">
        <v>20</v>
      </c>
      <c r="I322" s="18">
        <v>776</v>
      </c>
      <c r="J322" s="19">
        <v>46057.7951297454</v>
      </c>
      <c r="K322" s="6" t="s">
        <v>4880</v>
      </c>
      <c r="L322" t="str">
        <f t="shared" ref="L322:L385" si="5">IF(G322="","",G322&amp;"|"&amp;TEXT(A322,"0"))</f>
        <v>LUBRAX ATF TA 1L|46058</v>
      </c>
    </row>
    <row r="323" ht="13.5" customHeight="1" spans="1:12">
      <c r="A323" s="17">
        <v>46057.795462963</v>
      </c>
      <c r="B323" s="6" t="s">
        <v>4876</v>
      </c>
      <c r="C323" s="6" t="s">
        <v>5117</v>
      </c>
      <c r="D323" s="6" t="s">
        <v>5118</v>
      </c>
      <c r="E323" s="6" t="s">
        <v>26</v>
      </c>
      <c r="F323" s="6" t="s">
        <v>4882</v>
      </c>
      <c r="G323" s="6" t="s">
        <v>3719</v>
      </c>
      <c r="H323" s="6">
        <v>1</v>
      </c>
      <c r="I323" s="18">
        <v>48.5</v>
      </c>
      <c r="J323" s="19">
        <v>46057.796096875</v>
      </c>
      <c r="K323" s="6" t="s">
        <v>4880</v>
      </c>
      <c r="L323" t="str">
        <f t="shared" si="5"/>
        <v>COLA VULK 1L VIPAL|46058</v>
      </c>
    </row>
    <row r="324" ht="13.5" customHeight="1" spans="1:12">
      <c r="A324" s="17">
        <v>46057.7970023148</v>
      </c>
      <c r="B324" s="6" t="s">
        <v>4876</v>
      </c>
      <c r="C324" s="6" t="s">
        <v>5119</v>
      </c>
      <c r="D324" s="6" t="s">
        <v>5120</v>
      </c>
      <c r="E324" s="6" t="s">
        <v>26</v>
      </c>
      <c r="F324" s="6" t="s">
        <v>4882</v>
      </c>
      <c r="G324" s="6" t="s">
        <v>1466</v>
      </c>
      <c r="H324" s="6">
        <v>1</v>
      </c>
      <c r="I324" s="18">
        <v>0.89</v>
      </c>
      <c r="J324" s="19">
        <v>46057.798076007</v>
      </c>
      <c r="K324" s="6" t="s">
        <v>4880</v>
      </c>
      <c r="L324" t="str">
        <f t="shared" si="5"/>
        <v>SERINGA DESCARTAVEL|46058</v>
      </c>
    </row>
    <row r="325" ht="13.5" customHeight="1" spans="1:12">
      <c r="A325" s="17">
        <v>46057.7983796296</v>
      </c>
      <c r="B325" s="6" t="s">
        <v>4876</v>
      </c>
      <c r="C325" s="6" t="s">
        <v>5121</v>
      </c>
      <c r="D325" s="6" t="s">
        <v>4894</v>
      </c>
      <c r="E325" s="6" t="s">
        <v>26</v>
      </c>
      <c r="F325" s="6" t="s">
        <v>4882</v>
      </c>
      <c r="G325" s="6" t="s">
        <v>826</v>
      </c>
      <c r="H325" s="6">
        <v>2</v>
      </c>
      <c r="I325" s="18">
        <v>25.58</v>
      </c>
      <c r="J325" s="19">
        <v>46057.7994999653</v>
      </c>
      <c r="K325" s="6" t="s">
        <v>4880</v>
      </c>
      <c r="L325" t="str">
        <f t="shared" si="5"/>
        <v>PORTA CADEADO 4 1/2|46058</v>
      </c>
    </row>
    <row r="326" ht="13.5" customHeight="1" spans="1:12">
      <c r="A326" s="17">
        <v>46058.5860648148</v>
      </c>
      <c r="B326" s="6" t="s">
        <v>4876</v>
      </c>
      <c r="C326" s="6" t="s">
        <v>5122</v>
      </c>
      <c r="D326" s="6" t="s">
        <v>5123</v>
      </c>
      <c r="E326" s="6" t="s">
        <v>26</v>
      </c>
      <c r="F326" s="6" t="s">
        <v>4882</v>
      </c>
      <c r="G326" s="6" t="s">
        <v>3306</v>
      </c>
      <c r="H326" s="6">
        <v>3</v>
      </c>
      <c r="I326" s="18">
        <v>36.6</v>
      </c>
      <c r="J326" s="19">
        <v>46059.5922650116</v>
      </c>
      <c r="K326" s="6" t="s">
        <v>4880</v>
      </c>
      <c r="L326" t="str">
        <f t="shared" si="5"/>
        <v>ESCOVA SANITARIA|46059</v>
      </c>
    </row>
    <row r="327" ht="13.5" customHeight="1" spans="1:12">
      <c r="A327" s="17">
        <v>46058.5860648148</v>
      </c>
      <c r="B327" s="6" t="s">
        <v>4876</v>
      </c>
      <c r="C327" s="6" t="s">
        <v>5122</v>
      </c>
      <c r="D327" s="6" t="s">
        <v>5123</v>
      </c>
      <c r="E327" s="6" t="s">
        <v>26</v>
      </c>
      <c r="F327" s="6" t="s">
        <v>4882</v>
      </c>
      <c r="G327" s="6" t="s">
        <v>3715</v>
      </c>
      <c r="H327" s="6">
        <v>2</v>
      </c>
      <c r="I327" s="18">
        <v>21.5</v>
      </c>
      <c r="J327" s="19">
        <v>46059.5922648148</v>
      </c>
      <c r="K327" s="6" t="s">
        <v>4880</v>
      </c>
      <c r="L327" t="str">
        <f t="shared" si="5"/>
        <v>COLHER DESCARTÁVEL SOBREMESA C/200 UND|46059</v>
      </c>
    </row>
    <row r="328" ht="13.5" customHeight="1" spans="1:12">
      <c r="A328" s="17">
        <v>46058.5860648148</v>
      </c>
      <c r="B328" s="6" t="s">
        <v>4876</v>
      </c>
      <c r="C328" s="6" t="s">
        <v>5122</v>
      </c>
      <c r="D328" s="6" t="s">
        <v>5123</v>
      </c>
      <c r="E328" s="6" t="s">
        <v>26</v>
      </c>
      <c r="F328" s="6" t="s">
        <v>4882</v>
      </c>
      <c r="G328" s="6" t="s">
        <v>1887</v>
      </c>
      <c r="H328" s="6">
        <v>4</v>
      </c>
      <c r="I328" s="18">
        <v>30</v>
      </c>
      <c r="J328" s="19">
        <v>46059.5922642708</v>
      </c>
      <c r="K328" s="6" t="s">
        <v>4880</v>
      </c>
      <c r="L328" t="str">
        <f t="shared" si="5"/>
        <v>POTE P180 COPAZA C/100|46059</v>
      </c>
    </row>
    <row r="329" ht="13.5" customHeight="1" spans="1:12">
      <c r="A329" s="17">
        <v>46058.5860648148</v>
      </c>
      <c r="B329" s="6" t="s">
        <v>4876</v>
      </c>
      <c r="C329" s="6" t="s">
        <v>5122</v>
      </c>
      <c r="D329" s="6" t="s">
        <v>5123</v>
      </c>
      <c r="E329" s="6" t="s">
        <v>26</v>
      </c>
      <c r="F329" s="6" t="s">
        <v>4882</v>
      </c>
      <c r="G329" s="6" t="s">
        <v>1267</v>
      </c>
      <c r="H329" s="6">
        <v>8</v>
      </c>
      <c r="I329" s="18">
        <v>55.6</v>
      </c>
      <c r="J329" s="19">
        <v>46059.5922639236</v>
      </c>
      <c r="K329" s="6" t="s">
        <v>4880</v>
      </c>
      <c r="L329" t="str">
        <f t="shared" si="5"/>
        <v>TAMPA TP03/06 COPAZA C/50|46059</v>
      </c>
    </row>
    <row r="330" ht="13.5" customHeight="1" spans="1:12">
      <c r="A330" s="17">
        <v>46058.7040277778</v>
      </c>
      <c r="B330" s="6" t="s">
        <v>4876</v>
      </c>
      <c r="C330" s="6" t="s">
        <v>5124</v>
      </c>
      <c r="D330" s="6" t="s">
        <v>4910</v>
      </c>
      <c r="E330" s="6" t="s">
        <v>26</v>
      </c>
      <c r="F330" s="6" t="s">
        <v>4882</v>
      </c>
      <c r="G330" s="6" t="s">
        <v>1428</v>
      </c>
      <c r="H330" s="6">
        <v>4</v>
      </c>
      <c r="I330" s="18">
        <v>309.12</v>
      </c>
      <c r="J330" s="19">
        <v>46058.7059070602</v>
      </c>
      <c r="K330" s="6" t="s">
        <v>4880</v>
      </c>
      <c r="L330" t="str">
        <f t="shared" si="5"/>
        <v>SKY CATALISADOR P/ ESMALTE PU GL630000940118|46059</v>
      </c>
    </row>
    <row r="331" ht="13.5" customHeight="1" spans="1:12">
      <c r="A331" s="17">
        <v>46058.7040277778</v>
      </c>
      <c r="B331" s="6" t="s">
        <v>4876</v>
      </c>
      <c r="C331" s="6" t="s">
        <v>5124</v>
      </c>
      <c r="D331" s="6" t="s">
        <v>4910</v>
      </c>
      <c r="E331" s="6" t="s">
        <v>26</v>
      </c>
      <c r="F331" s="6" t="s">
        <v>4882</v>
      </c>
      <c r="G331" s="6" t="s">
        <v>1847</v>
      </c>
      <c r="H331" s="6">
        <v>2</v>
      </c>
      <c r="I331" s="18">
        <v>853.06</v>
      </c>
      <c r="J331" s="19">
        <v>46058.705906331</v>
      </c>
      <c r="K331" s="6" t="s">
        <v>4880</v>
      </c>
      <c r="L331" t="str">
        <f t="shared" si="5"/>
        <v>PU A BRANCO GEADA VW 1995 3,600|46059</v>
      </c>
    </row>
    <row r="332" ht="13.5" customHeight="1" spans="1:12">
      <c r="A332" s="17">
        <v>46058.7061226852</v>
      </c>
      <c r="B332" s="6" t="s">
        <v>4876</v>
      </c>
      <c r="C332" s="6" t="s">
        <v>5125</v>
      </c>
      <c r="D332" s="6" t="s">
        <v>4954</v>
      </c>
      <c r="E332" s="6" t="s">
        <v>26</v>
      </c>
      <c r="F332" s="6" t="s">
        <v>4882</v>
      </c>
      <c r="G332" s="6" t="s">
        <v>226</v>
      </c>
      <c r="H332" s="6">
        <v>2</v>
      </c>
      <c r="I332" s="18">
        <v>758</v>
      </c>
      <c r="J332" s="19">
        <v>46058.708409838</v>
      </c>
      <c r="K332" s="6" t="s">
        <v>4880</v>
      </c>
      <c r="L332" t="str">
        <f t="shared" si="5"/>
        <v>TENSIONADOR CORREIA - 9.160 EOD 0761-A|46059</v>
      </c>
    </row>
    <row r="333" ht="13.5" customHeight="1" spans="1:12">
      <c r="A333" s="17">
        <v>46058.7061226852</v>
      </c>
      <c r="B333" s="6" t="s">
        <v>4876</v>
      </c>
      <c r="C333" s="6" t="s">
        <v>5125</v>
      </c>
      <c r="D333" s="6" t="s">
        <v>4954</v>
      </c>
      <c r="E333" s="6" t="s">
        <v>26</v>
      </c>
      <c r="F333" s="6" t="s">
        <v>4882</v>
      </c>
      <c r="G333" s="6" t="s">
        <v>229</v>
      </c>
      <c r="H333" s="6">
        <v>3</v>
      </c>
      <c r="I333" s="18">
        <v>167.4</v>
      </c>
      <c r="J333" s="19">
        <v>46058.7083827199</v>
      </c>
      <c r="K333" s="6" t="s">
        <v>4880</v>
      </c>
      <c r="L333" t="str">
        <f t="shared" si="5"/>
        <v>CORREIA ALTERNADOR 13X 1325|46059</v>
      </c>
    </row>
    <row r="334" ht="13.5" customHeight="1" spans="1:12">
      <c r="A334" s="17">
        <v>46058.7084837963</v>
      </c>
      <c r="B334" s="6" t="s">
        <v>4876</v>
      </c>
      <c r="C334" s="6" t="s">
        <v>5126</v>
      </c>
      <c r="D334" s="6" t="s">
        <v>5127</v>
      </c>
      <c r="E334" s="6" t="s">
        <v>26</v>
      </c>
      <c r="F334" s="6" t="s">
        <v>4882</v>
      </c>
      <c r="G334" s="6" t="s">
        <v>4655</v>
      </c>
      <c r="H334" s="6">
        <v>1</v>
      </c>
      <c r="I334" s="18">
        <v>58.9</v>
      </c>
      <c r="J334" s="19">
        <v>46058.7127650463</v>
      </c>
      <c r="K334" s="6" t="s">
        <v>4880</v>
      </c>
      <c r="L334" t="str">
        <f t="shared" si="5"/>
        <v>ALICATE DE BICO 6 1/2 BICO RETO|46059</v>
      </c>
    </row>
    <row r="335" ht="13.5" customHeight="1" spans="1:12">
      <c r="A335" s="17">
        <v>46058.7084837963</v>
      </c>
      <c r="B335" s="6" t="s">
        <v>4876</v>
      </c>
      <c r="C335" s="6" t="s">
        <v>5126</v>
      </c>
      <c r="D335" s="6" t="s">
        <v>5127</v>
      </c>
      <c r="E335" s="6" t="s">
        <v>26</v>
      </c>
      <c r="F335" s="6" t="s">
        <v>4882</v>
      </c>
      <c r="G335" s="6" t="s">
        <v>3871</v>
      </c>
      <c r="H335" s="6">
        <v>1</v>
      </c>
      <c r="I335" s="18">
        <v>18.9</v>
      </c>
      <c r="J335" s="19">
        <v>46058.7127648495</v>
      </c>
      <c r="K335" s="6" t="s">
        <v>4880</v>
      </c>
      <c r="L335" t="str">
        <f t="shared" si="5"/>
        <v>CHAVE COMBINADA 07MM |46059</v>
      </c>
    </row>
    <row r="336" ht="13.5" customHeight="1" spans="1:12">
      <c r="A336" s="17">
        <v>46058.7084837963</v>
      </c>
      <c r="B336" s="6" t="s">
        <v>4876</v>
      </c>
      <c r="C336" s="6" t="s">
        <v>5126</v>
      </c>
      <c r="D336" s="6" t="s">
        <v>5127</v>
      </c>
      <c r="E336" s="6" t="s">
        <v>26</v>
      </c>
      <c r="F336" s="6" t="s">
        <v>4882</v>
      </c>
      <c r="G336" s="6" t="s">
        <v>4649</v>
      </c>
      <c r="H336" s="6">
        <v>1</v>
      </c>
      <c r="I336" s="18">
        <v>65</v>
      </c>
      <c r="J336" s="19">
        <v>46058.7127643171</v>
      </c>
      <c r="K336" s="6" t="s">
        <v>4880</v>
      </c>
      <c r="L336" t="str">
        <f t="shared" si="5"/>
        <v>ALICATE UNIVERSAL 8C/CHAVEDE FENDA|46059</v>
      </c>
    </row>
    <row r="337" ht="13.5" customHeight="1" spans="1:12">
      <c r="A337" s="17">
        <v>46058.7130208333</v>
      </c>
      <c r="B337" s="6" t="s">
        <v>4876</v>
      </c>
      <c r="C337" s="6" t="s">
        <v>5128</v>
      </c>
      <c r="D337" s="6" t="s">
        <v>5129</v>
      </c>
      <c r="E337" s="6" t="s">
        <v>26</v>
      </c>
      <c r="F337" s="6" t="s">
        <v>4882</v>
      </c>
      <c r="G337" s="6" t="s">
        <v>4136</v>
      </c>
      <c r="H337" s="6">
        <v>1</v>
      </c>
      <c r="I337" s="18">
        <v>46.3</v>
      </c>
      <c r="J337" s="19">
        <v>46058.7140414699</v>
      </c>
      <c r="K337" s="6" t="s">
        <v>4880</v>
      </c>
      <c r="L337" t="str">
        <f t="shared" si="5"/>
        <v>CABO DE FORÇA SOQUETE 1/2|46059</v>
      </c>
    </row>
    <row r="338" ht="13.5" customHeight="1" spans="1:12">
      <c r="A338" s="17">
        <v>46059.4660416667</v>
      </c>
      <c r="B338" s="6" t="s">
        <v>4876</v>
      </c>
      <c r="C338" s="6" t="s">
        <v>5130</v>
      </c>
      <c r="D338" s="6" t="s">
        <v>4954</v>
      </c>
      <c r="E338" s="6" t="s">
        <v>26</v>
      </c>
      <c r="F338" s="6" t="s">
        <v>4882</v>
      </c>
      <c r="G338" s="6" t="s">
        <v>950</v>
      </c>
      <c r="H338" s="6">
        <v>1</v>
      </c>
      <c r="I338" s="18">
        <v>127</v>
      </c>
      <c r="J338" s="19">
        <v>46062.4686621875</v>
      </c>
      <c r="K338" s="6" t="s">
        <v>4880</v>
      </c>
      <c r="L338" t="str">
        <f t="shared" si="5"/>
        <v>VIDRO ESPELHO RETROVISOR LD 23B877522B|46059</v>
      </c>
    </row>
    <row r="339" ht="13.5" customHeight="1" spans="1:12">
      <c r="A339" s="17">
        <v>46059.4660416667</v>
      </c>
      <c r="B339" s="6" t="s">
        <v>4876</v>
      </c>
      <c r="C339" s="6" t="s">
        <v>5130</v>
      </c>
      <c r="D339" s="6" t="s">
        <v>4954</v>
      </c>
      <c r="E339" s="6" t="s">
        <v>26</v>
      </c>
      <c r="F339" s="6" t="s">
        <v>4882</v>
      </c>
      <c r="G339" s="6" t="s">
        <v>230</v>
      </c>
      <c r="H339" s="6">
        <v>2</v>
      </c>
      <c r="I339" s="18">
        <v>318</v>
      </c>
      <c r="J339" s="19">
        <v>46062.4686613079</v>
      </c>
      <c r="K339" s="6" t="s">
        <v>4880</v>
      </c>
      <c r="L339" t="str">
        <f t="shared" si="5"/>
        <v>CORREIA ALTERNADOR 8PK 2155|46059</v>
      </c>
    </row>
    <row r="340" ht="13.5" customHeight="1" spans="1:12">
      <c r="A340" s="17">
        <v>46059.4660416667</v>
      </c>
      <c r="B340" s="6" t="s">
        <v>4876</v>
      </c>
      <c r="C340" s="6" t="s">
        <v>5130</v>
      </c>
      <c r="D340" s="6" t="s">
        <v>4954</v>
      </c>
      <c r="E340" s="6" t="s">
        <v>26</v>
      </c>
      <c r="F340" s="6" t="s">
        <v>4882</v>
      </c>
      <c r="G340" s="6" t="s">
        <v>150</v>
      </c>
      <c r="H340" s="6">
        <v>6</v>
      </c>
      <c r="I340" s="18">
        <v>498</v>
      </c>
      <c r="J340" s="19">
        <v>46062.4686585648</v>
      </c>
      <c r="K340" s="6" t="s">
        <v>4880</v>
      </c>
      <c r="L340" t="str">
        <f t="shared" si="5"/>
        <v>FAROL DE MILHA - LED (REDONDO) |46059</v>
      </c>
    </row>
    <row r="341" ht="13.5" customHeight="1" spans="1:12">
      <c r="A341" s="17">
        <v>46059.468900463</v>
      </c>
      <c r="B341" s="6" t="s">
        <v>4876</v>
      </c>
      <c r="C341" s="6" t="s">
        <v>5131</v>
      </c>
      <c r="D341" s="6" t="s">
        <v>5132</v>
      </c>
      <c r="E341" s="6" t="s">
        <v>26</v>
      </c>
      <c r="F341" s="6" t="s">
        <v>4882</v>
      </c>
      <c r="G341" s="6" t="s">
        <v>295</v>
      </c>
      <c r="H341" s="6">
        <v>2</v>
      </c>
      <c r="I341" s="18">
        <v>780</v>
      </c>
      <c r="J341" s="19">
        <v>46062.4698822107</v>
      </c>
      <c r="K341" s="6" t="s">
        <v>4880</v>
      </c>
      <c r="L341" t="str">
        <f t="shared" si="5"/>
        <v>ELETRO VENT UNIV 11P 24V SOPRANTE |46059</v>
      </c>
    </row>
    <row r="342" ht="13.5" customHeight="1" spans="1:12">
      <c r="A342" s="17">
        <v>46059.5673148148</v>
      </c>
      <c r="B342" s="6" t="s">
        <v>4876</v>
      </c>
      <c r="C342" s="6" t="s">
        <v>5133</v>
      </c>
      <c r="D342" s="6" t="s">
        <v>5127</v>
      </c>
      <c r="E342" s="6" t="s">
        <v>26</v>
      </c>
      <c r="F342" s="6" t="s">
        <v>4882</v>
      </c>
      <c r="G342" s="6" t="s">
        <v>3870</v>
      </c>
      <c r="H342" s="6">
        <v>1</v>
      </c>
      <c r="I342" s="18">
        <v>18.9</v>
      </c>
      <c r="J342" s="19">
        <v>46059.5679212616</v>
      </c>
      <c r="K342" s="6" t="s">
        <v>4880</v>
      </c>
      <c r="L342" t="str">
        <f t="shared" si="5"/>
        <v>CHAVE COMBINADA 09MM GEDORE|46060</v>
      </c>
    </row>
    <row r="343" ht="13.5" customHeight="1" spans="1:12">
      <c r="A343" s="17">
        <v>46059.5711226852</v>
      </c>
      <c r="B343" s="6" t="s">
        <v>4876</v>
      </c>
      <c r="C343" s="6" t="s">
        <v>5134</v>
      </c>
      <c r="D343" s="6" t="s">
        <v>5135</v>
      </c>
      <c r="E343" s="6" t="s">
        <v>26</v>
      </c>
      <c r="F343" s="6" t="s">
        <v>4882</v>
      </c>
      <c r="G343" s="6" t="s">
        <v>3568</v>
      </c>
      <c r="H343" s="6">
        <v>1.8</v>
      </c>
      <c r="I343" s="18">
        <v>142.02</v>
      </c>
      <c r="J343" s="19">
        <v>46059.5734330208</v>
      </c>
      <c r="K343" s="6" t="s">
        <v>4880</v>
      </c>
      <c r="L343" t="str">
        <f t="shared" si="5"/>
        <v>CORREIA PLANA 2,5LONAS|46060</v>
      </c>
    </row>
    <row r="344" ht="13.5" customHeight="1" spans="1:12">
      <c r="A344" s="17">
        <v>46059.5875925926</v>
      </c>
      <c r="B344" s="6" t="s">
        <v>4876</v>
      </c>
      <c r="C344" s="6" t="s">
        <v>5136</v>
      </c>
      <c r="D344" s="6" t="s">
        <v>5067</v>
      </c>
      <c r="E344" s="6" t="s">
        <v>26</v>
      </c>
      <c r="F344" s="6" t="s">
        <v>4882</v>
      </c>
      <c r="G344" s="6" t="s">
        <v>357</v>
      </c>
      <c r="H344" s="6">
        <v>1</v>
      </c>
      <c r="I344" s="18">
        <v>348.44</v>
      </c>
      <c r="J344" s="19">
        <v>46064.5895634259</v>
      </c>
      <c r="K344" s="6" t="s">
        <v>4880</v>
      </c>
      <c r="L344" t="str">
        <f t="shared" si="5"/>
        <v>MOLDURA FAROL C/DEFLETOR MB ACCELO 815 915 1016 (LE)|46060</v>
      </c>
    </row>
    <row r="345" ht="13.5" customHeight="1" spans="1:12">
      <c r="A345" s="17">
        <v>46059.5875925926</v>
      </c>
      <c r="B345" s="6" t="s">
        <v>4876</v>
      </c>
      <c r="C345" s="6" t="s">
        <v>5136</v>
      </c>
      <c r="D345" s="6" t="s">
        <v>5067</v>
      </c>
      <c r="E345" s="6" t="s">
        <v>26</v>
      </c>
      <c r="F345" s="6" t="s">
        <v>4882</v>
      </c>
      <c r="G345" s="6" t="s">
        <v>176</v>
      </c>
      <c r="H345" s="6">
        <v>1</v>
      </c>
      <c r="I345" s="18">
        <v>348.43</v>
      </c>
      <c r="J345" s="19">
        <v>46064.589563044</v>
      </c>
      <c r="K345" s="6" t="s">
        <v>4880</v>
      </c>
      <c r="L345" t="str">
        <f t="shared" si="5"/>
        <v>MOLDURA FAROL C/DEFLETOR MB ACCELO 815 915 1016 (LD)|46060</v>
      </c>
    </row>
    <row r="346" ht="13.5" customHeight="1" spans="1:12">
      <c r="A346" s="17">
        <v>46059.6547685185</v>
      </c>
      <c r="B346" s="6" t="s">
        <v>4876</v>
      </c>
      <c r="C346" s="6" t="s">
        <v>5137</v>
      </c>
      <c r="D346" s="6" t="s">
        <v>5067</v>
      </c>
      <c r="E346" s="6" t="s">
        <v>26</v>
      </c>
      <c r="F346" s="6" t="s">
        <v>4882</v>
      </c>
      <c r="G346" s="6" t="s">
        <v>357</v>
      </c>
      <c r="H346" s="6">
        <v>1</v>
      </c>
      <c r="I346" s="18">
        <v>348.43</v>
      </c>
      <c r="J346" s="19">
        <v>46064.6571161227</v>
      </c>
      <c r="K346" s="6" t="s">
        <v>4880</v>
      </c>
      <c r="L346" t="str">
        <f t="shared" si="5"/>
        <v>MOLDURA FAROL C/DEFLETOR MB ACCELO 815 915 1016 (LE)|46060</v>
      </c>
    </row>
    <row r="347" ht="13.5" customHeight="1" spans="1:12">
      <c r="A347" s="17">
        <v>46059.6547685185</v>
      </c>
      <c r="B347" s="6" t="s">
        <v>4876</v>
      </c>
      <c r="C347" s="6" t="s">
        <v>5137</v>
      </c>
      <c r="D347" s="6" t="s">
        <v>5067</v>
      </c>
      <c r="E347" s="6" t="s">
        <v>26</v>
      </c>
      <c r="F347" s="6" t="s">
        <v>4882</v>
      </c>
      <c r="G347" s="6" t="s">
        <v>176</v>
      </c>
      <c r="H347" s="6">
        <v>1</v>
      </c>
      <c r="I347" s="18">
        <v>348.43</v>
      </c>
      <c r="J347" s="19">
        <v>46064.6571157755</v>
      </c>
      <c r="K347" s="6" t="s">
        <v>4880</v>
      </c>
      <c r="L347" t="str">
        <f t="shared" si="5"/>
        <v>MOLDURA FAROL C/DEFLETOR MB ACCELO 815 915 1016 (LD)|46060</v>
      </c>
    </row>
    <row r="348" ht="13.5" customHeight="1" spans="1:12">
      <c r="A348" s="17">
        <v>46059.657962963</v>
      </c>
      <c r="B348" s="6" t="s">
        <v>4876</v>
      </c>
      <c r="C348" s="6" t="s">
        <v>5138</v>
      </c>
      <c r="D348" s="6" t="s">
        <v>5067</v>
      </c>
      <c r="E348" s="6" t="s">
        <v>26</v>
      </c>
      <c r="F348" s="6" t="s">
        <v>4882</v>
      </c>
      <c r="G348" s="6" t="s">
        <v>357</v>
      </c>
      <c r="H348" s="6">
        <v>1</v>
      </c>
      <c r="I348" s="18">
        <v>348.43</v>
      </c>
      <c r="J348" s="19">
        <v>46064.6592976505</v>
      </c>
      <c r="K348" s="6" t="s">
        <v>4880</v>
      </c>
      <c r="L348" t="str">
        <f t="shared" si="5"/>
        <v>MOLDURA FAROL C/DEFLETOR MB ACCELO 815 915 1016 (LE)|46060</v>
      </c>
    </row>
    <row r="349" ht="13.5" customHeight="1" spans="1:12">
      <c r="A349" s="17">
        <v>46059.657962963</v>
      </c>
      <c r="B349" s="6" t="s">
        <v>4876</v>
      </c>
      <c r="C349" s="6" t="s">
        <v>5138</v>
      </c>
      <c r="D349" s="6" t="s">
        <v>5067</v>
      </c>
      <c r="E349" s="6" t="s">
        <v>26</v>
      </c>
      <c r="F349" s="6" t="s">
        <v>4882</v>
      </c>
      <c r="G349" s="6" t="s">
        <v>176</v>
      </c>
      <c r="H349" s="6">
        <v>1</v>
      </c>
      <c r="I349" s="18">
        <v>348.43</v>
      </c>
      <c r="J349" s="19">
        <v>46064.6592866088</v>
      </c>
      <c r="K349" s="6" t="s">
        <v>4880</v>
      </c>
      <c r="L349" t="str">
        <f t="shared" si="5"/>
        <v>MOLDURA FAROL C/DEFLETOR MB ACCELO 815 915 1016 (LD)|46060</v>
      </c>
    </row>
    <row r="350" ht="13.5" customHeight="1" spans="1:12">
      <c r="A350" s="17">
        <v>46059.7185416667</v>
      </c>
      <c r="B350" s="6" t="s">
        <v>4876</v>
      </c>
      <c r="C350" s="6" t="s">
        <v>5139</v>
      </c>
      <c r="D350" s="6" t="s">
        <v>5140</v>
      </c>
      <c r="E350" s="6" t="s">
        <v>35</v>
      </c>
      <c r="F350" s="6" t="s">
        <v>4879</v>
      </c>
      <c r="G350" s="6" t="s">
        <v>3414</v>
      </c>
      <c r="H350" s="6">
        <v>20</v>
      </c>
      <c r="I350" s="18">
        <v>370</v>
      </c>
      <c r="J350" s="19">
        <v>46064.7227956366</v>
      </c>
      <c r="K350" s="6" t="s">
        <v>4880</v>
      </c>
      <c r="L350" t="str">
        <f t="shared" si="5"/>
        <v>DML 002  DISCO TACOGRAFO|46060</v>
      </c>
    </row>
    <row r="351" ht="13.5" customHeight="1" spans="1:12">
      <c r="A351" s="17">
        <v>46059.7185416667</v>
      </c>
      <c r="B351" s="6" t="s">
        <v>4876</v>
      </c>
      <c r="C351" s="6" t="s">
        <v>5139</v>
      </c>
      <c r="D351" s="6" t="s">
        <v>5140</v>
      </c>
      <c r="E351" s="6" t="s">
        <v>35</v>
      </c>
      <c r="F351" s="6" t="s">
        <v>4879</v>
      </c>
      <c r="G351" s="6" t="s">
        <v>3415</v>
      </c>
      <c r="H351" s="6">
        <v>80</v>
      </c>
      <c r="I351" s="18">
        <v>1480</v>
      </c>
      <c r="J351" s="19">
        <v>46064.7227950579</v>
      </c>
      <c r="K351" s="6" t="s">
        <v>4880</v>
      </c>
      <c r="L351" t="str">
        <f t="shared" si="5"/>
        <v>DML 001 DISCO TACOGRAFO|46060</v>
      </c>
    </row>
    <row r="352" ht="13.5" customHeight="1" spans="1:12">
      <c r="A352" s="17">
        <v>46062.3520601852</v>
      </c>
      <c r="B352" s="6" t="s">
        <v>4876</v>
      </c>
      <c r="C352" s="6" t="s">
        <v>5141</v>
      </c>
      <c r="D352" s="6" t="s">
        <v>5142</v>
      </c>
      <c r="E352" s="6" t="s">
        <v>26</v>
      </c>
      <c r="F352" s="6" t="s">
        <v>4882</v>
      </c>
      <c r="G352" s="6" t="s">
        <v>245</v>
      </c>
      <c r="H352" s="6">
        <v>1</v>
      </c>
      <c r="I352" s="18">
        <v>4900</v>
      </c>
      <c r="J352" s="19">
        <v>46063.3574127315</v>
      </c>
      <c r="K352" s="6" t="s">
        <v>4880</v>
      </c>
      <c r="L352" t="str">
        <f t="shared" si="5"/>
        <v>COLUNA DE DIREÇÂO 23B422067 A|46062</v>
      </c>
    </row>
    <row r="353" ht="13.5" customHeight="1" spans="1:12">
      <c r="A353" s="17">
        <v>46062.3520601852</v>
      </c>
      <c r="B353" s="6" t="s">
        <v>4876</v>
      </c>
      <c r="C353" s="6" t="s">
        <v>5141</v>
      </c>
      <c r="D353" s="6" t="s">
        <v>5142</v>
      </c>
      <c r="E353" s="6" t="s">
        <v>26</v>
      </c>
      <c r="F353" s="6" t="s">
        <v>4882</v>
      </c>
      <c r="G353" s="6" t="s">
        <v>293</v>
      </c>
      <c r="H353" s="6">
        <v>1</v>
      </c>
      <c r="I353" s="18">
        <v>750</v>
      </c>
      <c r="J353" s="19">
        <v>46063.3573881134</v>
      </c>
      <c r="K353" s="6" t="s">
        <v>4880</v>
      </c>
      <c r="L353" t="str">
        <f t="shared" si="5"/>
        <v>ALAVANCA DE ENGATE 3364146|46062</v>
      </c>
    </row>
    <row r="354" ht="13.5" customHeight="1" spans="1:12">
      <c r="A354" s="17">
        <v>46062.3550578704</v>
      </c>
      <c r="B354" s="6" t="s">
        <v>4876</v>
      </c>
      <c r="C354" s="6" t="s">
        <v>5143</v>
      </c>
      <c r="D354" s="6" t="s">
        <v>4898</v>
      </c>
      <c r="E354" s="6" t="s">
        <v>51</v>
      </c>
      <c r="F354" s="6" t="s">
        <v>4879</v>
      </c>
      <c r="G354" s="6" t="s">
        <v>499</v>
      </c>
      <c r="H354" s="6">
        <v>1608</v>
      </c>
      <c r="I354" s="18">
        <v>18009.6</v>
      </c>
      <c r="J354" s="19">
        <v>46064.3578596875</v>
      </c>
      <c r="K354" s="6" t="s">
        <v>4880</v>
      </c>
      <c r="L354" t="str">
        <f t="shared" si="5"/>
        <v>STRETCH MANUAL 500MM X 25 MICRA X 3|46062</v>
      </c>
    </row>
    <row r="355" ht="13.5" customHeight="1" spans="1:12">
      <c r="A355" s="17">
        <v>46062.3783217593</v>
      </c>
      <c r="B355" s="6" t="s">
        <v>4876</v>
      </c>
      <c r="C355" s="6" t="s">
        <v>4922</v>
      </c>
      <c r="D355" s="6" t="s">
        <v>4923</v>
      </c>
      <c r="E355" s="6" t="s">
        <v>783</v>
      </c>
      <c r="F355" s="6" t="s">
        <v>4879</v>
      </c>
      <c r="G355" s="6" t="s">
        <v>4055</v>
      </c>
      <c r="H355" s="6">
        <v>20</v>
      </c>
      <c r="I355" s="18">
        <v>1280</v>
      </c>
      <c r="J355" s="19">
        <v>46063.4049763079</v>
      </c>
      <c r="K355" s="6" t="s">
        <v>4880</v>
      </c>
      <c r="L355" t="str">
        <f t="shared" si="5"/>
        <v>CALÇA BRIM ROYAL - (GG)|46062</v>
      </c>
    </row>
    <row r="356" ht="13.5" customHeight="1" spans="1:12">
      <c r="A356" s="17">
        <v>46062.3783217593</v>
      </c>
      <c r="B356" s="6" t="s">
        <v>4876</v>
      </c>
      <c r="C356" s="6" t="s">
        <v>4922</v>
      </c>
      <c r="D356" s="6" t="s">
        <v>4923</v>
      </c>
      <c r="E356" s="6" t="s">
        <v>783</v>
      </c>
      <c r="F356" s="6" t="s">
        <v>4879</v>
      </c>
      <c r="G356" s="6" t="s">
        <v>4060</v>
      </c>
      <c r="H356" s="6">
        <v>20</v>
      </c>
      <c r="I356" s="18">
        <v>1280</v>
      </c>
      <c r="J356" s="19">
        <v>46063.4049763079</v>
      </c>
      <c r="K356" s="6" t="s">
        <v>4880</v>
      </c>
      <c r="L356" t="str">
        <f t="shared" si="5"/>
        <v>CALÇA BRIM AZUL ROYAL (P)|46062</v>
      </c>
    </row>
    <row r="357" ht="13.5" customHeight="1" spans="1:12">
      <c r="A357" s="17">
        <v>46062.3783217593</v>
      </c>
      <c r="B357" s="6" t="s">
        <v>4876</v>
      </c>
      <c r="C357" s="6" t="s">
        <v>4922</v>
      </c>
      <c r="D357" s="6" t="s">
        <v>4923</v>
      </c>
      <c r="E357" s="6" t="s">
        <v>783</v>
      </c>
      <c r="F357" s="6" t="s">
        <v>4879</v>
      </c>
      <c r="G357" s="6" t="s">
        <v>4056</v>
      </c>
      <c r="H357" s="6">
        <v>20</v>
      </c>
      <c r="I357" s="18">
        <v>1280</v>
      </c>
      <c r="J357" s="19">
        <v>46063.4049761227</v>
      </c>
      <c r="K357" s="6" t="s">
        <v>4880</v>
      </c>
      <c r="L357" t="str">
        <f t="shared" si="5"/>
        <v>CALÇA BRIM ROYAL - (G)|46062</v>
      </c>
    </row>
    <row r="358" ht="13.5" customHeight="1" spans="1:12">
      <c r="A358" s="17">
        <v>46062.3783217593</v>
      </c>
      <c r="B358" s="6" t="s">
        <v>4876</v>
      </c>
      <c r="C358" s="6" t="s">
        <v>4922</v>
      </c>
      <c r="D358" s="6" t="s">
        <v>4923</v>
      </c>
      <c r="E358" s="6" t="s">
        <v>783</v>
      </c>
      <c r="F358" s="6" t="s">
        <v>4879</v>
      </c>
      <c r="G358" s="6" t="s">
        <v>4054</v>
      </c>
      <c r="H358" s="6">
        <v>20</v>
      </c>
      <c r="I358" s="18">
        <v>1280</v>
      </c>
      <c r="J358" s="19">
        <v>46063.4049759259</v>
      </c>
      <c r="K358" s="6" t="s">
        <v>4880</v>
      </c>
      <c r="L358" t="str">
        <f t="shared" si="5"/>
        <v>CALÇA BRIM ROYAL -(M)|46062</v>
      </c>
    </row>
    <row r="359" ht="13.5" customHeight="1" spans="1:12">
      <c r="A359" s="17">
        <v>46062.3783217593</v>
      </c>
      <c r="B359" s="6" t="s">
        <v>4876</v>
      </c>
      <c r="C359" s="6" t="s">
        <v>4922</v>
      </c>
      <c r="D359" s="6" t="s">
        <v>4923</v>
      </c>
      <c r="E359" s="6" t="s">
        <v>783</v>
      </c>
      <c r="F359" s="6" t="s">
        <v>4879</v>
      </c>
      <c r="G359" s="6" t="s">
        <v>4066</v>
      </c>
      <c r="H359" s="6">
        <v>20</v>
      </c>
      <c r="I359" s="18">
        <v>1280</v>
      </c>
      <c r="J359" s="19">
        <v>46063.4049757755</v>
      </c>
      <c r="K359" s="6" t="s">
        <v>4880</v>
      </c>
      <c r="L359" t="str">
        <f t="shared" si="5"/>
        <v>CALÇA BRANCA GG |46062</v>
      </c>
    </row>
    <row r="360" ht="13.5" customHeight="1" spans="1:12">
      <c r="A360" s="17">
        <v>46062.3783217593</v>
      </c>
      <c r="B360" s="6" t="s">
        <v>4876</v>
      </c>
      <c r="C360" s="6" t="s">
        <v>4922</v>
      </c>
      <c r="D360" s="6" t="s">
        <v>4923</v>
      </c>
      <c r="E360" s="6" t="s">
        <v>783</v>
      </c>
      <c r="F360" s="6" t="s">
        <v>4879</v>
      </c>
      <c r="G360" s="6" t="s">
        <v>4065</v>
      </c>
      <c r="H360" s="6">
        <v>20</v>
      </c>
      <c r="I360" s="18">
        <v>1280</v>
      </c>
      <c r="J360" s="19">
        <v>46063.4049757755</v>
      </c>
      <c r="K360" s="6" t="s">
        <v>4880</v>
      </c>
      <c r="L360" t="str">
        <f t="shared" si="5"/>
        <v>CALÇA BRANCA P|46062</v>
      </c>
    </row>
    <row r="361" ht="13.5" customHeight="1" spans="1:12">
      <c r="A361" s="17">
        <v>46062.3783217593</v>
      </c>
      <c r="B361" s="6" t="s">
        <v>4876</v>
      </c>
      <c r="C361" s="6" t="s">
        <v>4922</v>
      </c>
      <c r="D361" s="6" t="s">
        <v>4923</v>
      </c>
      <c r="E361" s="6" t="s">
        <v>783</v>
      </c>
      <c r="F361" s="6" t="s">
        <v>4879</v>
      </c>
      <c r="G361" s="6" t="s">
        <v>4067</v>
      </c>
      <c r="H361" s="6">
        <v>30</v>
      </c>
      <c r="I361" s="18">
        <v>1920</v>
      </c>
      <c r="J361" s="19">
        <v>46063.4049755787</v>
      </c>
      <c r="K361" s="6" t="s">
        <v>4880</v>
      </c>
      <c r="L361" t="str">
        <f t="shared" si="5"/>
        <v>CALÇA BRANCA G|46062</v>
      </c>
    </row>
    <row r="362" ht="13.5" customHeight="1" spans="1:12">
      <c r="A362" s="17">
        <v>46062.3783217593</v>
      </c>
      <c r="B362" s="6" t="s">
        <v>4876</v>
      </c>
      <c r="C362" s="6" t="s">
        <v>4922</v>
      </c>
      <c r="D362" s="6" t="s">
        <v>4923</v>
      </c>
      <c r="E362" s="6" t="s">
        <v>783</v>
      </c>
      <c r="F362" s="6" t="s">
        <v>4879</v>
      </c>
      <c r="G362" s="6" t="s">
        <v>871</v>
      </c>
      <c r="H362" s="6">
        <v>30</v>
      </c>
      <c r="I362" s="18">
        <v>1920</v>
      </c>
      <c r="J362" s="19">
        <v>46063.4049753819</v>
      </c>
      <c r="K362" s="6" t="s">
        <v>4880</v>
      </c>
      <c r="L362" t="str">
        <f t="shared" si="5"/>
        <v>CALÇA BRANCA M|46062</v>
      </c>
    </row>
    <row r="363" ht="13.5" customHeight="1" spans="1:12">
      <c r="A363" s="17">
        <v>46062.3783217593</v>
      </c>
      <c r="B363" s="6" t="s">
        <v>4876</v>
      </c>
      <c r="C363" s="6" t="s">
        <v>4922</v>
      </c>
      <c r="D363" s="6" t="s">
        <v>4923</v>
      </c>
      <c r="E363" s="6" t="s">
        <v>783</v>
      </c>
      <c r="F363" s="6" t="s">
        <v>4879</v>
      </c>
      <c r="G363" s="6" t="s">
        <v>875</v>
      </c>
      <c r="H363" s="6">
        <v>20</v>
      </c>
      <c r="I363" s="18">
        <v>720</v>
      </c>
      <c r="J363" s="19">
        <v>46063.4049751968</v>
      </c>
      <c r="K363" s="6" t="s">
        <v>4880</v>
      </c>
      <c r="L363" t="str">
        <f t="shared" si="5"/>
        <v>CAMISA CARECA PREMIUM AZUL MARINHO (G)|46062</v>
      </c>
    </row>
    <row r="364" ht="13.5" customHeight="1" spans="1:12">
      <c r="A364" s="17">
        <v>46062.3783217593</v>
      </c>
      <c r="B364" s="6" t="s">
        <v>4876</v>
      </c>
      <c r="C364" s="6" t="s">
        <v>4922</v>
      </c>
      <c r="D364" s="6" t="s">
        <v>4923</v>
      </c>
      <c r="E364" s="6" t="s">
        <v>783</v>
      </c>
      <c r="F364" s="6" t="s">
        <v>4879</v>
      </c>
      <c r="G364" s="6" t="s">
        <v>4015</v>
      </c>
      <c r="H364" s="6">
        <v>10</v>
      </c>
      <c r="I364" s="18">
        <v>360</v>
      </c>
      <c r="J364" s="19">
        <v>46063.4049750347</v>
      </c>
      <c r="K364" s="6" t="s">
        <v>4880</v>
      </c>
      <c r="L364" t="str">
        <f t="shared" si="5"/>
        <v>CAMISA CARECA PREMIUM AZUL MARINHO (P)|46062</v>
      </c>
    </row>
    <row r="365" ht="13.5" customHeight="1" spans="1:12">
      <c r="A365" s="17">
        <v>46062.3783217593</v>
      </c>
      <c r="B365" s="6" t="s">
        <v>4876</v>
      </c>
      <c r="C365" s="6" t="s">
        <v>4922</v>
      </c>
      <c r="D365" s="6" t="s">
        <v>4923</v>
      </c>
      <c r="E365" s="6" t="s">
        <v>783</v>
      </c>
      <c r="F365" s="6" t="s">
        <v>4879</v>
      </c>
      <c r="G365" s="6" t="s">
        <v>4016</v>
      </c>
      <c r="H365" s="6">
        <v>20</v>
      </c>
      <c r="I365" s="18">
        <v>720</v>
      </c>
      <c r="J365" s="19">
        <v>46063.4049750347</v>
      </c>
      <c r="K365" s="6" t="s">
        <v>4880</v>
      </c>
      <c r="L365" t="str">
        <f t="shared" si="5"/>
        <v>CAMISA CARECA PREMIUM AZUL MARINHO (M)|46062</v>
      </c>
    </row>
    <row r="366" ht="13.5" customHeight="1" spans="1:12">
      <c r="A366" s="17">
        <v>46062.3783217593</v>
      </c>
      <c r="B366" s="6" t="s">
        <v>4876</v>
      </c>
      <c r="C366" s="6" t="s">
        <v>4922</v>
      </c>
      <c r="D366" s="6" t="s">
        <v>4923</v>
      </c>
      <c r="E366" s="6" t="s">
        <v>783</v>
      </c>
      <c r="F366" s="6" t="s">
        <v>4879</v>
      </c>
      <c r="G366" s="6" t="s">
        <v>863</v>
      </c>
      <c r="H366" s="6">
        <v>20</v>
      </c>
      <c r="I366" s="18">
        <v>720</v>
      </c>
      <c r="J366" s="19">
        <v>46063.4049748495</v>
      </c>
      <c r="K366" s="6" t="s">
        <v>4880</v>
      </c>
      <c r="L366" t="str">
        <f t="shared" si="5"/>
        <v>CAMISA CARECA P.V. PREMIUM CINZA (GG)|46062</v>
      </c>
    </row>
    <row r="367" ht="13.5" customHeight="1" spans="1:12">
      <c r="A367" s="17">
        <v>46062.3783217593</v>
      </c>
      <c r="B367" s="6" t="s">
        <v>4876</v>
      </c>
      <c r="C367" s="6" t="s">
        <v>4922</v>
      </c>
      <c r="D367" s="6" t="s">
        <v>4923</v>
      </c>
      <c r="E367" s="6" t="s">
        <v>783</v>
      </c>
      <c r="F367" s="6" t="s">
        <v>4879</v>
      </c>
      <c r="G367" s="6" t="s">
        <v>4019</v>
      </c>
      <c r="H367" s="6">
        <v>20</v>
      </c>
      <c r="I367" s="18">
        <v>720</v>
      </c>
      <c r="J367" s="19">
        <v>46063.4049746528</v>
      </c>
      <c r="K367" s="6" t="s">
        <v>4880</v>
      </c>
      <c r="L367" t="str">
        <f t="shared" si="5"/>
        <v>CAMISA CARECA P.V. PREMIUM CINZA (G)|46062</v>
      </c>
    </row>
    <row r="368" ht="13.5" customHeight="1" spans="1:12">
      <c r="A368" s="17">
        <v>46062.3783217593</v>
      </c>
      <c r="B368" s="6" t="s">
        <v>4876</v>
      </c>
      <c r="C368" s="6" t="s">
        <v>4922</v>
      </c>
      <c r="D368" s="6" t="s">
        <v>4923</v>
      </c>
      <c r="E368" s="6" t="s">
        <v>783</v>
      </c>
      <c r="F368" s="6" t="s">
        <v>4879</v>
      </c>
      <c r="G368" s="6" t="s">
        <v>4018</v>
      </c>
      <c r="H368" s="6">
        <v>20</v>
      </c>
      <c r="I368" s="18">
        <v>720</v>
      </c>
      <c r="J368" s="19">
        <v>46063.4049745023</v>
      </c>
      <c r="K368" s="6" t="s">
        <v>4880</v>
      </c>
      <c r="L368" t="str">
        <f t="shared" si="5"/>
        <v>CAMISA CARECA P.V. PREMIUM CINZA (M)|46062</v>
      </c>
    </row>
    <row r="369" ht="13.5" customHeight="1" spans="1:12">
      <c r="A369" s="17">
        <v>46062.3783217593</v>
      </c>
      <c r="B369" s="6" t="s">
        <v>4876</v>
      </c>
      <c r="C369" s="6" t="s">
        <v>4922</v>
      </c>
      <c r="D369" s="6" t="s">
        <v>4923</v>
      </c>
      <c r="E369" s="6" t="s">
        <v>783</v>
      </c>
      <c r="F369" s="6" t="s">
        <v>4879</v>
      </c>
      <c r="G369" s="6" t="s">
        <v>4024</v>
      </c>
      <c r="H369" s="6">
        <v>20</v>
      </c>
      <c r="I369" s="18">
        <v>720</v>
      </c>
      <c r="J369" s="19">
        <v>46063.4049743056</v>
      </c>
      <c r="K369" s="6" t="s">
        <v>4880</v>
      </c>
      <c r="L369" t="str">
        <f t="shared" si="5"/>
        <v>CAMISA CARECA P.V PREMIUM BRANCO (P)|46062</v>
      </c>
    </row>
    <row r="370" ht="13.5" customHeight="1" spans="1:12">
      <c r="A370" s="17">
        <v>46062.3783217593</v>
      </c>
      <c r="B370" s="6" t="s">
        <v>4876</v>
      </c>
      <c r="C370" s="6" t="s">
        <v>4922</v>
      </c>
      <c r="D370" s="6" t="s">
        <v>4923</v>
      </c>
      <c r="E370" s="6" t="s">
        <v>783</v>
      </c>
      <c r="F370" s="6" t="s">
        <v>4879</v>
      </c>
      <c r="G370" s="6" t="s">
        <v>4023</v>
      </c>
      <c r="H370" s="6">
        <v>30</v>
      </c>
      <c r="I370" s="18">
        <v>1080</v>
      </c>
      <c r="J370" s="19">
        <v>46063.4049741088</v>
      </c>
      <c r="K370" s="6" t="s">
        <v>4880</v>
      </c>
      <c r="L370" t="str">
        <f t="shared" si="5"/>
        <v>CAMISA CARECA P.V. PREMIUM BRANCO (G)|46062</v>
      </c>
    </row>
    <row r="371" ht="13.5" customHeight="1" spans="1:12">
      <c r="A371" s="17">
        <v>46062.5448726852</v>
      </c>
      <c r="B371" s="6" t="s">
        <v>4876</v>
      </c>
      <c r="C371" s="6" t="s">
        <v>5144</v>
      </c>
      <c r="D371" s="6" t="s">
        <v>4988</v>
      </c>
      <c r="E371" s="6" t="s">
        <v>26</v>
      </c>
      <c r="F371" s="6" t="s">
        <v>4882</v>
      </c>
      <c r="G371" s="6" t="s">
        <v>2328</v>
      </c>
      <c r="H371" s="6">
        <v>2</v>
      </c>
      <c r="I371" s="18">
        <v>210</v>
      </c>
      <c r="J371" s="19">
        <v>46062.5470911227</v>
      </c>
      <c r="K371" s="6" t="s">
        <v>4880</v>
      </c>
      <c r="L371" t="str">
        <f t="shared" si="5"/>
        <v>ORIFICIO N4|46063</v>
      </c>
    </row>
    <row r="372" ht="13.5" customHeight="1" spans="1:12">
      <c r="A372" s="17">
        <v>46062.5482060185</v>
      </c>
      <c r="B372" s="6" t="s">
        <v>4876</v>
      </c>
      <c r="C372" s="6" t="s">
        <v>5145</v>
      </c>
      <c r="D372" s="6" t="s">
        <v>5132</v>
      </c>
      <c r="E372" s="6" t="s">
        <v>26</v>
      </c>
      <c r="F372" s="6" t="s">
        <v>4882</v>
      </c>
      <c r="G372" s="6" t="s">
        <v>320</v>
      </c>
      <c r="H372" s="6">
        <v>2</v>
      </c>
      <c r="I372" s="18">
        <v>380</v>
      </c>
      <c r="J372" s="19">
        <v>46062.5492962963</v>
      </c>
      <c r="K372" s="6" t="s">
        <v>4880</v>
      </c>
      <c r="L372" t="str">
        <f t="shared" si="5"/>
        <v>FILTRO DML 164 SPRINTER |46063</v>
      </c>
    </row>
    <row r="373" ht="13.5" customHeight="1" spans="1:12">
      <c r="A373" s="17">
        <v>46062.5496643519</v>
      </c>
      <c r="B373" s="6" t="s">
        <v>4876</v>
      </c>
      <c r="C373" s="6" t="s">
        <v>5146</v>
      </c>
      <c r="D373" s="6" t="s">
        <v>5147</v>
      </c>
      <c r="E373" s="6" t="s">
        <v>390</v>
      </c>
      <c r="F373" s="6" t="s">
        <v>4879</v>
      </c>
      <c r="G373" s="6" t="s">
        <v>835</v>
      </c>
      <c r="H373" s="6">
        <v>20.7</v>
      </c>
      <c r="I373" s="18">
        <v>7866</v>
      </c>
      <c r="J373" s="19">
        <v>46062.5529899306</v>
      </c>
      <c r="K373" s="6" t="s">
        <v>4880</v>
      </c>
      <c r="L373" t="str">
        <f t="shared" si="5"/>
        <v>SCS PLAST TR PR 20.0X30.0|46063</v>
      </c>
    </row>
    <row r="374" ht="13.5" customHeight="1" spans="1:12">
      <c r="A374" s="17">
        <v>46062.5496643519</v>
      </c>
      <c r="B374" s="6" t="s">
        <v>4876</v>
      </c>
      <c r="C374" s="6" t="s">
        <v>5146</v>
      </c>
      <c r="D374" s="6" t="s">
        <v>5147</v>
      </c>
      <c r="E374" s="6" t="s">
        <v>390</v>
      </c>
      <c r="F374" s="6" t="s">
        <v>4879</v>
      </c>
      <c r="G374" s="6" t="s">
        <v>1515</v>
      </c>
      <c r="H374" s="6">
        <v>5.6</v>
      </c>
      <c r="I374" s="18">
        <v>3617.6</v>
      </c>
      <c r="J374" s="19">
        <v>46062.5529895486</v>
      </c>
      <c r="K374" s="6" t="s">
        <v>4880</v>
      </c>
      <c r="L374" t="str">
        <f t="shared" si="5"/>
        <v>SCS PLAST LISO NAT 20X51|46063</v>
      </c>
    </row>
    <row r="375" ht="13.5" customHeight="1" spans="1:12">
      <c r="A375" s="17">
        <v>46062.5534143519</v>
      </c>
      <c r="B375" s="6" t="s">
        <v>4876</v>
      </c>
      <c r="C375" s="6" t="s">
        <v>5148</v>
      </c>
      <c r="D375" s="6" t="s">
        <v>5149</v>
      </c>
      <c r="E375" s="6" t="s">
        <v>51</v>
      </c>
      <c r="F375" s="6" t="s">
        <v>4879</v>
      </c>
      <c r="G375" s="6" t="s">
        <v>804</v>
      </c>
      <c r="H375" s="6">
        <v>26</v>
      </c>
      <c r="I375" s="18">
        <v>1430</v>
      </c>
      <c r="J375" s="19">
        <v>46062.5545123495</v>
      </c>
      <c r="K375" s="6" t="s">
        <v>4880</v>
      </c>
      <c r="L375" t="str">
        <f t="shared" si="5"/>
        <v>CAPA LOMBAR CRUA 7/8 CRU - T.UNICO|46063</v>
      </c>
    </row>
    <row r="376" ht="13.5" customHeight="1" spans="1:12">
      <c r="A376" s="17">
        <v>46062.555162037</v>
      </c>
      <c r="B376" s="6" t="s">
        <v>4876</v>
      </c>
      <c r="C376" s="6" t="s">
        <v>5150</v>
      </c>
      <c r="D376" s="6" t="s">
        <v>4956</v>
      </c>
      <c r="E376" s="6" t="s">
        <v>26</v>
      </c>
      <c r="F376" s="6" t="s">
        <v>4882</v>
      </c>
      <c r="G376" s="6" t="s">
        <v>3346</v>
      </c>
      <c r="H376" s="6">
        <v>1</v>
      </c>
      <c r="I376" s="18">
        <v>35</v>
      </c>
      <c r="J376" s="19">
        <v>46062.5561584838</v>
      </c>
      <c r="K376" s="6" t="s">
        <v>4880</v>
      </c>
      <c r="L376" t="str">
        <f t="shared" si="5"/>
        <v>EMENDA PRENSADA MANGUEIRA LAVA JATO|46063</v>
      </c>
    </row>
    <row r="377" ht="13.5" customHeight="1" spans="1:12">
      <c r="A377" s="17">
        <v>46062.6943981482</v>
      </c>
      <c r="B377" s="6" t="s">
        <v>4876</v>
      </c>
      <c r="C377" s="6" t="s">
        <v>5151</v>
      </c>
      <c r="D377" s="6" t="s">
        <v>110</v>
      </c>
      <c r="E377" s="6" t="s">
        <v>26</v>
      </c>
      <c r="F377" s="6" t="s">
        <v>4882</v>
      </c>
      <c r="G377" s="6" t="s">
        <v>539</v>
      </c>
      <c r="H377" s="6">
        <v>10</v>
      </c>
      <c r="I377" s="18">
        <v>400</v>
      </c>
      <c r="J377" s="19">
        <v>46062.6971625347</v>
      </c>
      <c r="K377" s="6" t="s">
        <v>4880</v>
      </c>
      <c r="L377" t="str">
        <f t="shared" si="5"/>
        <v>REPARO CUICA MASTER 20X30 |46063</v>
      </c>
    </row>
    <row r="378" ht="13.5" customHeight="1" spans="1:12">
      <c r="A378" s="17">
        <v>46062.6943981482</v>
      </c>
      <c r="B378" s="6" t="s">
        <v>4876</v>
      </c>
      <c r="C378" s="6" t="s">
        <v>5151</v>
      </c>
      <c r="D378" s="6" t="s">
        <v>110</v>
      </c>
      <c r="E378" s="6" t="s">
        <v>26</v>
      </c>
      <c r="F378" s="6" t="s">
        <v>4882</v>
      </c>
      <c r="G378" s="6" t="s">
        <v>3476</v>
      </c>
      <c r="H378" s="6">
        <v>6</v>
      </c>
      <c r="I378" s="18">
        <v>78</v>
      </c>
      <c r="J378" s="19">
        <v>46062.6971621528</v>
      </c>
      <c r="K378" s="6" t="s">
        <v>4880</v>
      </c>
      <c r="L378" t="str">
        <f t="shared" si="5"/>
        <v>DESINGRIPANTE SPRAY 300ML|46063</v>
      </c>
    </row>
    <row r="379" ht="13.5" customHeight="1" spans="1:12">
      <c r="A379" s="17">
        <v>46062.6943981482</v>
      </c>
      <c r="B379" s="6" t="s">
        <v>4876</v>
      </c>
      <c r="C379" s="6" t="s">
        <v>5151</v>
      </c>
      <c r="D379" s="6" t="s">
        <v>110</v>
      </c>
      <c r="E379" s="6" t="s">
        <v>26</v>
      </c>
      <c r="F379" s="6" t="s">
        <v>4882</v>
      </c>
      <c r="G379" s="6" t="s">
        <v>802</v>
      </c>
      <c r="H379" s="6">
        <v>6</v>
      </c>
      <c r="I379" s="18">
        <v>120</v>
      </c>
      <c r="J379" s="19">
        <v>46062.6971616088</v>
      </c>
      <c r="K379" s="6" t="s">
        <v>4880</v>
      </c>
      <c r="L379" t="str">
        <f t="shared" si="5"/>
        <v>LIMPA CONTATO 300ML|46063</v>
      </c>
    </row>
    <row r="380" ht="13.5" customHeight="1" spans="1:12">
      <c r="A380" s="17">
        <v>46062.6974305556</v>
      </c>
      <c r="B380" s="6" t="s">
        <v>4876</v>
      </c>
      <c r="C380" s="6" t="s">
        <v>5152</v>
      </c>
      <c r="D380" s="6" t="s">
        <v>5132</v>
      </c>
      <c r="E380" s="6" t="s">
        <v>26</v>
      </c>
      <c r="F380" s="6" t="s">
        <v>4882</v>
      </c>
      <c r="G380" s="6" t="s">
        <v>1028</v>
      </c>
      <c r="H380" s="6">
        <v>3</v>
      </c>
      <c r="I380" s="18">
        <v>45</v>
      </c>
      <c r="J380" s="19">
        <v>46062.6998511227</v>
      </c>
      <c r="K380" s="6" t="s">
        <v>4880</v>
      </c>
      <c r="L380" t="str">
        <f t="shared" si="5"/>
        <v>VALV RET UNIV SCHRADER R12/R134A PCT C/10|46063</v>
      </c>
    </row>
    <row r="381" ht="13.5" customHeight="1" spans="1:12">
      <c r="A381" s="17">
        <v>46062.7027546296</v>
      </c>
      <c r="B381" s="6" t="s">
        <v>4876</v>
      </c>
      <c r="C381" s="6" t="s">
        <v>5153</v>
      </c>
      <c r="D381" s="6" t="s">
        <v>4954</v>
      </c>
      <c r="E381" s="6" t="s">
        <v>26</v>
      </c>
      <c r="F381" s="6" t="s">
        <v>4882</v>
      </c>
      <c r="G381" s="6" t="s">
        <v>236</v>
      </c>
      <c r="H381" s="6">
        <v>3</v>
      </c>
      <c r="I381" s="18">
        <v>1464</v>
      </c>
      <c r="J381" s="19">
        <v>46062.7040851505</v>
      </c>
      <c r="K381" s="6" t="s">
        <v>4880</v>
      </c>
      <c r="L381" t="str">
        <f t="shared" si="5"/>
        <v>TENSIONADOR DE CORREIA MICRO 904/906/924 GATES|46063</v>
      </c>
    </row>
    <row r="382" ht="13.5" customHeight="1" spans="1:12">
      <c r="A382" s="17">
        <v>46063.5922337963</v>
      </c>
      <c r="B382" s="6" t="s">
        <v>4876</v>
      </c>
      <c r="C382" s="6" t="s">
        <v>5154</v>
      </c>
      <c r="D382" s="6" t="s">
        <v>4954</v>
      </c>
      <c r="E382" s="6" t="s">
        <v>26</v>
      </c>
      <c r="F382" s="6" t="s">
        <v>4882</v>
      </c>
      <c r="G382" s="6" t="s">
        <v>195</v>
      </c>
      <c r="H382" s="6">
        <v>10</v>
      </c>
      <c r="I382" s="18">
        <v>480</v>
      </c>
      <c r="J382" s="19">
        <v>46063.5939721065</v>
      </c>
      <c r="K382" s="6" t="s">
        <v>4880</v>
      </c>
      <c r="L382" t="str">
        <f t="shared" si="5"/>
        <v>MANGUEIRA DE AR ESPIRAL P/LIMPEZA -COMPLETA|46064</v>
      </c>
    </row>
    <row r="383" ht="13.5" customHeight="1" spans="1:12">
      <c r="A383" s="17">
        <v>46063.5922337963</v>
      </c>
      <c r="B383" s="6" t="s">
        <v>4876</v>
      </c>
      <c r="C383" s="6" t="s">
        <v>5154</v>
      </c>
      <c r="D383" s="6" t="s">
        <v>4954</v>
      </c>
      <c r="E383" s="6" t="s">
        <v>26</v>
      </c>
      <c r="F383" s="6" t="s">
        <v>4882</v>
      </c>
      <c r="G383" s="6" t="s">
        <v>235</v>
      </c>
      <c r="H383" s="6">
        <v>4</v>
      </c>
      <c r="I383" s="18">
        <v>384</v>
      </c>
      <c r="J383" s="19">
        <v>46063.5939697569</v>
      </c>
      <c r="K383" s="6" t="s">
        <v>4880</v>
      </c>
      <c r="L383" t="str">
        <f t="shared" si="5"/>
        <v>MANGOTE FREIO 630MM ENGATE / PORCA / 2254|46064</v>
      </c>
    </row>
    <row r="384" ht="13.5" customHeight="1" spans="1:12">
      <c r="A384" s="17">
        <v>46063.5946296296</v>
      </c>
      <c r="B384" s="6" t="s">
        <v>4876</v>
      </c>
      <c r="C384" s="6" t="s">
        <v>5155</v>
      </c>
      <c r="D384" s="6" t="s">
        <v>4894</v>
      </c>
      <c r="E384" s="6" t="s">
        <v>26</v>
      </c>
      <c r="F384" s="6" t="s">
        <v>4882</v>
      </c>
      <c r="G384" s="6" t="s">
        <v>40</v>
      </c>
      <c r="H384" s="6">
        <v>10</v>
      </c>
      <c r="I384" s="18">
        <v>1613</v>
      </c>
      <c r="J384" s="19">
        <v>46063.5985901273</v>
      </c>
      <c r="K384" s="6" t="s">
        <v>4880</v>
      </c>
      <c r="L384" t="str">
        <f t="shared" si="5"/>
        <v>RODA COLSON PNEUMATICA 350-4 R.7|46064</v>
      </c>
    </row>
    <row r="385" ht="13.5" customHeight="1" spans="1:12">
      <c r="A385" s="17">
        <v>46063.5946296296</v>
      </c>
      <c r="B385" s="6" t="s">
        <v>4876</v>
      </c>
      <c r="C385" s="6" t="s">
        <v>5155</v>
      </c>
      <c r="D385" s="6" t="s">
        <v>4894</v>
      </c>
      <c r="E385" s="6" t="s">
        <v>26</v>
      </c>
      <c r="F385" s="6" t="s">
        <v>4882</v>
      </c>
      <c r="G385" s="6" t="s">
        <v>4227</v>
      </c>
      <c r="H385" s="6">
        <v>1</v>
      </c>
      <c r="I385" s="18">
        <v>55.94</v>
      </c>
      <c r="J385" s="19">
        <v>46063.5985899306</v>
      </c>
      <c r="K385" s="6" t="s">
        <v>4880</v>
      </c>
      <c r="L385" t="str">
        <f t="shared" si="5"/>
        <v>BROCA DE ACO RAPIDO 8,0 MM |46064</v>
      </c>
    </row>
    <row r="386" ht="13.5" customHeight="1" spans="1:12">
      <c r="A386" s="17">
        <v>46063.5946296296</v>
      </c>
      <c r="B386" s="6" t="s">
        <v>4876</v>
      </c>
      <c r="C386" s="6" t="s">
        <v>5155</v>
      </c>
      <c r="D386" s="6" t="s">
        <v>4894</v>
      </c>
      <c r="E386" s="6" t="s">
        <v>26</v>
      </c>
      <c r="F386" s="6" t="s">
        <v>4882</v>
      </c>
      <c r="G386" s="6" t="s">
        <v>4250</v>
      </c>
      <c r="H386" s="6">
        <v>1</v>
      </c>
      <c r="I386" s="18">
        <v>14.7</v>
      </c>
      <c r="J386" s="19">
        <v>46063.5985892014</v>
      </c>
      <c r="K386" s="6" t="s">
        <v>4880</v>
      </c>
      <c r="L386" t="str">
        <f t="shared" ref="L386:L449" si="6">IF(G386="","",G386&amp;"|"&amp;TEXT(A386,"0"))</f>
        <v>BROCA AÇO RAPIDO 4.1MM|46064</v>
      </c>
    </row>
    <row r="387" ht="13.5" customHeight="1" spans="1:12">
      <c r="A387" s="17">
        <v>46063.6298611111</v>
      </c>
      <c r="B387" s="6" t="s">
        <v>4876</v>
      </c>
      <c r="C387" s="6" t="s">
        <v>5156</v>
      </c>
      <c r="D387" s="6" t="s">
        <v>4903</v>
      </c>
      <c r="E387" s="6" t="s">
        <v>26</v>
      </c>
      <c r="F387" s="6" t="s">
        <v>4882</v>
      </c>
      <c r="G387" s="6" t="s">
        <v>413</v>
      </c>
      <c r="H387" s="6">
        <v>50</v>
      </c>
      <c r="I387" s="18">
        <v>329.5</v>
      </c>
      <c r="J387" s="19">
        <v>46063.6313386227</v>
      </c>
      <c r="K387" s="6" t="s">
        <v>4880</v>
      </c>
      <c r="L387" t="str">
        <f t="shared" si="6"/>
        <v>GASOLINA COMUM 01|46064</v>
      </c>
    </row>
    <row r="388" ht="13.5" customHeight="1" spans="1:12">
      <c r="A388" s="17">
        <v>46064.3807175926</v>
      </c>
      <c r="B388" s="6" t="s">
        <v>4876</v>
      </c>
      <c r="C388" s="6" t="s">
        <v>5157</v>
      </c>
      <c r="D388" s="6" t="s">
        <v>4879</v>
      </c>
      <c r="E388" s="6" t="s">
        <v>26</v>
      </c>
      <c r="F388" s="6" t="s">
        <v>4882</v>
      </c>
      <c r="G388" s="6" t="s">
        <v>244</v>
      </c>
      <c r="H388" s="6">
        <v>3</v>
      </c>
      <c r="I388" s="18">
        <v>613.62</v>
      </c>
      <c r="J388" s="19">
        <v>46064.3824780903</v>
      </c>
      <c r="K388" s="6" t="s">
        <v>4880</v>
      </c>
      <c r="L388" t="str">
        <f t="shared" si="6"/>
        <v>VARETA MEDIDORA DE OLEO MERCEDES A9240101072|46064</v>
      </c>
    </row>
    <row r="389" ht="13.5" customHeight="1" spans="1:12">
      <c r="A389" s="17">
        <v>46064.3815046296</v>
      </c>
      <c r="B389" s="6" t="s">
        <v>4876</v>
      </c>
      <c r="C389" s="6" t="s">
        <v>5158</v>
      </c>
      <c r="D389" s="6" t="s">
        <v>5039</v>
      </c>
      <c r="E389" s="6" t="s">
        <v>26</v>
      </c>
      <c r="F389" s="6" t="s">
        <v>4882</v>
      </c>
      <c r="G389" s="6" t="s">
        <v>4276</v>
      </c>
      <c r="H389" s="6">
        <v>1</v>
      </c>
      <c r="I389" s="18">
        <v>209.9</v>
      </c>
      <c r="J389" s="19">
        <v>46072.3839642361</v>
      </c>
      <c r="K389" s="6" t="s">
        <v>4880</v>
      </c>
      <c r="L389" t="str">
        <f t="shared" si="6"/>
        <v>BOTIJÃO TERMICO 6L WECK|46064</v>
      </c>
    </row>
    <row r="390" ht="13.5" customHeight="1" spans="1:12">
      <c r="A390" s="17">
        <v>46064.3815046296</v>
      </c>
      <c r="B390" s="6" t="s">
        <v>4876</v>
      </c>
      <c r="C390" s="6" t="s">
        <v>5158</v>
      </c>
      <c r="D390" s="6" t="s">
        <v>5039</v>
      </c>
      <c r="E390" s="6" t="s">
        <v>26</v>
      </c>
      <c r="F390" s="6" t="s">
        <v>4882</v>
      </c>
      <c r="G390" s="6" t="s">
        <v>4277</v>
      </c>
      <c r="H390" s="6">
        <v>1</v>
      </c>
      <c r="I390" s="18">
        <v>189.9</v>
      </c>
      <c r="J390" s="19">
        <v>46072.3839613426</v>
      </c>
      <c r="K390" s="6" t="s">
        <v>4880</v>
      </c>
      <c r="L390" t="str">
        <f t="shared" si="6"/>
        <v>BOTIJÃO TERMICO 4L WECK|46064</v>
      </c>
    </row>
    <row r="391" ht="13.5" customHeight="1" spans="1:12">
      <c r="A391" s="17">
        <v>46064.4147453704</v>
      </c>
      <c r="B391" s="6" t="s">
        <v>4876</v>
      </c>
      <c r="C391" s="6" t="s">
        <v>5159</v>
      </c>
      <c r="D391" s="6" t="s">
        <v>4907</v>
      </c>
      <c r="E391" s="6" t="s">
        <v>38</v>
      </c>
      <c r="F391" s="6" t="s">
        <v>4879</v>
      </c>
      <c r="G391" s="6" t="s">
        <v>262</v>
      </c>
      <c r="H391" s="6">
        <v>48</v>
      </c>
      <c r="I391" s="18">
        <v>120</v>
      </c>
      <c r="J391" s="19">
        <v>46065.4299782755</v>
      </c>
      <c r="K391" s="6" t="s">
        <v>4880</v>
      </c>
      <c r="L391" t="str">
        <f t="shared" si="6"/>
        <v>DETERGENTE LAVA LOUÇA 500ML|46064</v>
      </c>
    </row>
    <row r="392" ht="13.5" customHeight="1" spans="1:12">
      <c r="A392" s="17">
        <v>46064.4147453704</v>
      </c>
      <c r="B392" s="6" t="s">
        <v>4876</v>
      </c>
      <c r="C392" s="6" t="s">
        <v>5159</v>
      </c>
      <c r="D392" s="6" t="s">
        <v>4907</v>
      </c>
      <c r="E392" s="6" t="s">
        <v>38</v>
      </c>
      <c r="F392" s="6" t="s">
        <v>4879</v>
      </c>
      <c r="G392" s="6" t="s">
        <v>425</v>
      </c>
      <c r="H392" s="6">
        <v>40</v>
      </c>
      <c r="I392" s="18">
        <v>121.2</v>
      </c>
      <c r="J392" s="19">
        <v>46065.4299762732</v>
      </c>
      <c r="K392" s="6" t="s">
        <v>4880</v>
      </c>
      <c r="L392" t="str">
        <f t="shared" si="6"/>
        <v>PANO DE CHÃO ALVEJADO 100% ALGODÃO |46064</v>
      </c>
    </row>
    <row r="393" ht="13.5" customHeight="1" spans="1:12">
      <c r="A393" s="17">
        <v>46064.4147453704</v>
      </c>
      <c r="B393" s="6" t="s">
        <v>4876</v>
      </c>
      <c r="C393" s="6" t="s">
        <v>5159</v>
      </c>
      <c r="D393" s="6" t="s">
        <v>4907</v>
      </c>
      <c r="E393" s="6" t="s">
        <v>182</v>
      </c>
      <c r="F393" s="6" t="s">
        <v>4879</v>
      </c>
      <c r="G393" s="6" t="s">
        <v>258</v>
      </c>
      <c r="H393" s="6">
        <v>48</v>
      </c>
      <c r="I393" s="18">
        <v>352.8</v>
      </c>
      <c r="J393" s="19">
        <v>46065.4299746528</v>
      </c>
      <c r="K393" s="6" t="s">
        <v>4880</v>
      </c>
      <c r="L393" t="str">
        <f t="shared" si="6"/>
        <v>ÁLCOOL 70% 1 LITRO|46064</v>
      </c>
    </row>
    <row r="394" ht="13.5" customHeight="1" spans="1:12">
      <c r="A394" s="17">
        <v>46064.4147453704</v>
      </c>
      <c r="B394" s="6" t="s">
        <v>4876</v>
      </c>
      <c r="C394" s="6" t="s">
        <v>5159</v>
      </c>
      <c r="D394" s="6" t="s">
        <v>4907</v>
      </c>
      <c r="E394" s="6" t="s">
        <v>182</v>
      </c>
      <c r="F394" s="6" t="s">
        <v>4879</v>
      </c>
      <c r="G394" s="6" t="s">
        <v>430</v>
      </c>
      <c r="H394" s="6">
        <v>24</v>
      </c>
      <c r="I394" s="18">
        <v>18.96</v>
      </c>
      <c r="J394" s="19">
        <v>46065.4299743056</v>
      </c>
      <c r="K394" s="6" t="s">
        <v>4880</v>
      </c>
      <c r="L394" t="str">
        <f t="shared" si="6"/>
        <v>MARCA TEXTO LUMI AM MAXPRINT|46064</v>
      </c>
    </row>
    <row r="395" ht="13.5" customHeight="1" spans="1:12">
      <c r="A395" s="17">
        <v>46064.4147453704</v>
      </c>
      <c r="B395" s="6" t="s">
        <v>4876</v>
      </c>
      <c r="C395" s="6" t="s">
        <v>5159</v>
      </c>
      <c r="D395" s="6" t="s">
        <v>4907</v>
      </c>
      <c r="E395" s="6" t="s">
        <v>182</v>
      </c>
      <c r="F395" s="6" t="s">
        <v>4879</v>
      </c>
      <c r="G395" s="6" t="s">
        <v>2085</v>
      </c>
      <c r="H395" s="6">
        <v>8</v>
      </c>
      <c r="I395" s="18">
        <v>161.12</v>
      </c>
      <c r="J395" s="19">
        <v>46065.4299735764</v>
      </c>
      <c r="K395" s="6" t="s">
        <v>4880</v>
      </c>
      <c r="L395" t="str">
        <f t="shared" si="6"/>
        <v>PASTA REGISTRADORA A/Z OFICIO LONBO LARGO PRETO|46064</v>
      </c>
    </row>
    <row r="396" ht="13.5" customHeight="1" spans="1:12">
      <c r="A396" s="17">
        <v>46064.4147453704</v>
      </c>
      <c r="B396" s="6" t="s">
        <v>4876</v>
      </c>
      <c r="C396" s="6" t="s">
        <v>5159</v>
      </c>
      <c r="D396" s="6" t="s">
        <v>4907</v>
      </c>
      <c r="E396" s="6" t="s">
        <v>182</v>
      </c>
      <c r="F396" s="6" t="s">
        <v>4879</v>
      </c>
      <c r="G396" s="6" t="s">
        <v>2087</v>
      </c>
      <c r="H396" s="6">
        <v>4</v>
      </c>
      <c r="I396" s="18">
        <v>53.92</v>
      </c>
      <c r="J396" s="19">
        <v>46065.4299732292</v>
      </c>
      <c r="K396" s="6" t="s">
        <v>4880</v>
      </c>
      <c r="L396" t="str">
        <f t="shared" si="6"/>
        <v>PASTA CATALOGO C/50 PLASTICO |46064</v>
      </c>
    </row>
    <row r="397" ht="13.5" customHeight="1" spans="1:12">
      <c r="A397" s="17">
        <v>46064.4147453704</v>
      </c>
      <c r="B397" s="6" t="s">
        <v>4876</v>
      </c>
      <c r="C397" s="6" t="s">
        <v>5159</v>
      </c>
      <c r="D397" s="6" t="s">
        <v>4907</v>
      </c>
      <c r="E397" s="6" t="s">
        <v>182</v>
      </c>
      <c r="F397" s="6" t="s">
        <v>4879</v>
      </c>
      <c r="G397" s="6" t="s">
        <v>634</v>
      </c>
      <c r="H397" s="6">
        <v>10</v>
      </c>
      <c r="I397" s="18">
        <v>33.4</v>
      </c>
      <c r="J397" s="19">
        <v>46065.4299730324</v>
      </c>
      <c r="K397" s="6" t="s">
        <v>4880</v>
      </c>
      <c r="L397" t="str">
        <f t="shared" si="6"/>
        <v>CLIPS 6/0 GALVANIZADO LINHA LEVE CX C/50 |46064</v>
      </c>
    </row>
    <row r="398" ht="13.5" customHeight="1" spans="1:12">
      <c r="A398" s="17">
        <v>46064.4147453704</v>
      </c>
      <c r="B398" s="6" t="s">
        <v>4876</v>
      </c>
      <c r="C398" s="6" t="s">
        <v>5159</v>
      </c>
      <c r="D398" s="6" t="s">
        <v>4907</v>
      </c>
      <c r="E398" s="6" t="s">
        <v>182</v>
      </c>
      <c r="F398" s="6" t="s">
        <v>4879</v>
      </c>
      <c r="G398" s="6" t="s">
        <v>616</v>
      </c>
      <c r="H398" s="6">
        <v>10</v>
      </c>
      <c r="I398" s="18">
        <v>36.7</v>
      </c>
      <c r="J398" s="19">
        <v>46065.4299726852</v>
      </c>
      <c r="K398" s="6" t="s">
        <v>4880</v>
      </c>
      <c r="L398" t="str">
        <f t="shared" si="6"/>
        <v>POSTITE BLOCO ADESIVO MAXPRINT NEON PEQUENO|46064</v>
      </c>
    </row>
    <row r="399" ht="13.5" customHeight="1" spans="1:12">
      <c r="A399" s="17">
        <v>46064.4147453704</v>
      </c>
      <c r="B399" s="6" t="s">
        <v>4876</v>
      </c>
      <c r="C399" s="6" t="s">
        <v>5159</v>
      </c>
      <c r="D399" s="6" t="s">
        <v>4907</v>
      </c>
      <c r="E399" s="6" t="s">
        <v>182</v>
      </c>
      <c r="F399" s="6" t="s">
        <v>4879</v>
      </c>
      <c r="G399" s="6" t="s">
        <v>534</v>
      </c>
      <c r="H399" s="6">
        <v>20</v>
      </c>
      <c r="I399" s="18">
        <v>156.4</v>
      </c>
      <c r="J399" s="19">
        <v>46065.4299723032</v>
      </c>
      <c r="K399" s="6" t="s">
        <v>4880</v>
      </c>
      <c r="L399" t="str">
        <f t="shared" si="6"/>
        <v>GRAMPO 26/6 CX C/5000|46064</v>
      </c>
    </row>
    <row r="400" ht="13.5" customHeight="1" spans="1:12">
      <c r="A400" s="17">
        <v>46064.4147453704</v>
      </c>
      <c r="B400" s="6" t="s">
        <v>4876</v>
      </c>
      <c r="C400" s="6" t="s">
        <v>5159</v>
      </c>
      <c r="D400" s="6" t="s">
        <v>4907</v>
      </c>
      <c r="E400" s="6" t="s">
        <v>182</v>
      </c>
      <c r="F400" s="6" t="s">
        <v>4879</v>
      </c>
      <c r="G400" s="6" t="s">
        <v>382</v>
      </c>
      <c r="H400" s="6">
        <v>100</v>
      </c>
      <c r="I400" s="18">
        <v>2409</v>
      </c>
      <c r="J400" s="19">
        <v>46065.429971412</v>
      </c>
      <c r="K400" s="6" t="s">
        <v>4880</v>
      </c>
      <c r="L400" t="str">
        <f t="shared" si="6"/>
        <v>PAPEL CHAMEX A4 CHAMEQUINHO BRANCO 75GR|46064</v>
      </c>
    </row>
    <row r="401" ht="13.5" customHeight="1" spans="1:12">
      <c r="A401" s="17">
        <v>46064.4147453704</v>
      </c>
      <c r="B401" s="6" t="s">
        <v>4876</v>
      </c>
      <c r="C401" s="6" t="s">
        <v>5159</v>
      </c>
      <c r="D401" s="6" t="s">
        <v>4907</v>
      </c>
      <c r="E401" s="6" t="s">
        <v>182</v>
      </c>
      <c r="F401" s="6" t="s">
        <v>4879</v>
      </c>
      <c r="G401" s="6" t="s">
        <v>3051</v>
      </c>
      <c r="H401" s="6">
        <v>320</v>
      </c>
      <c r="I401" s="18">
        <v>3555.2</v>
      </c>
      <c r="J401" s="19">
        <v>46065.4299708681</v>
      </c>
      <c r="K401" s="6" t="s">
        <v>4880</v>
      </c>
      <c r="L401" t="str">
        <f t="shared" si="6"/>
        <v>FITA DE EMPACOTAMENTO 45x40|46064</v>
      </c>
    </row>
    <row r="402" ht="13.5" customHeight="1" spans="1:12">
      <c r="A402" s="17">
        <v>46064.5470023148</v>
      </c>
      <c r="B402" s="6" t="s">
        <v>4876</v>
      </c>
      <c r="C402" s="6" t="s">
        <v>5160</v>
      </c>
      <c r="D402" s="6" t="s">
        <v>5161</v>
      </c>
      <c r="E402" s="6" t="s">
        <v>26</v>
      </c>
      <c r="F402" s="6" t="s">
        <v>4882</v>
      </c>
      <c r="G402" s="6" t="s">
        <v>289</v>
      </c>
      <c r="H402" s="6">
        <v>2</v>
      </c>
      <c r="I402" s="18">
        <v>1600</v>
      </c>
      <c r="J402" s="19">
        <v>46064.5482777431</v>
      </c>
      <c r="K402" s="6" t="s">
        <v>4880</v>
      </c>
      <c r="L402" t="str">
        <f t="shared" si="6"/>
        <v>BATERIA ZETTA Z 100E|46065</v>
      </c>
    </row>
    <row r="403" ht="13.5" customHeight="1" spans="1:12">
      <c r="A403" s="17">
        <v>46064.5564467593</v>
      </c>
      <c r="B403" s="6" t="s">
        <v>4876</v>
      </c>
      <c r="C403" s="6" t="s">
        <v>5162</v>
      </c>
      <c r="D403" s="6" t="s">
        <v>5163</v>
      </c>
      <c r="E403" s="6" t="s">
        <v>26</v>
      </c>
      <c r="F403" s="6" t="s">
        <v>4882</v>
      </c>
      <c r="G403" s="6" t="s">
        <v>473</v>
      </c>
      <c r="H403" s="6">
        <v>1</v>
      </c>
      <c r="I403" s="18">
        <v>396.44</v>
      </c>
      <c r="J403" s="19">
        <v>46071.5794371875</v>
      </c>
      <c r="K403" s="6" t="s">
        <v>4880</v>
      </c>
      <c r="L403" t="str">
        <f t="shared" si="6"/>
        <v>SUPORTE DO ESTRIBO ESCADA ACCELO ESQUERDO (LE)|46065</v>
      </c>
    </row>
    <row r="404" ht="13.5" customHeight="1" spans="1:12">
      <c r="A404" s="17">
        <v>46064.5564467593</v>
      </c>
      <c r="B404" s="6" t="s">
        <v>4876</v>
      </c>
      <c r="C404" s="6" t="s">
        <v>5162</v>
      </c>
      <c r="D404" s="6" t="s">
        <v>5163</v>
      </c>
      <c r="E404" s="6" t="s">
        <v>26</v>
      </c>
      <c r="F404" s="6" t="s">
        <v>4882</v>
      </c>
      <c r="G404" s="6" t="s">
        <v>177</v>
      </c>
      <c r="H404" s="6">
        <v>1</v>
      </c>
      <c r="I404" s="18">
        <v>396.44</v>
      </c>
      <c r="J404" s="19">
        <v>46071.5794357639</v>
      </c>
      <c r="K404" s="6" t="s">
        <v>4880</v>
      </c>
      <c r="L404" t="str">
        <f t="shared" si="6"/>
        <v>SUPORTE DO ESTRIBO ESCADA ACCELO DIREITO (LD)|46065</v>
      </c>
    </row>
    <row r="405" ht="13.5" customHeight="1" spans="1:12">
      <c r="A405" s="17">
        <v>46064.5666550926</v>
      </c>
      <c r="B405" s="6" t="s">
        <v>4876</v>
      </c>
      <c r="C405" s="6" t="s">
        <v>5164</v>
      </c>
      <c r="D405" s="6" t="s">
        <v>4884</v>
      </c>
      <c r="E405" s="6" t="s">
        <v>26</v>
      </c>
      <c r="F405" s="6" t="s">
        <v>4882</v>
      </c>
      <c r="G405" s="6" t="s">
        <v>2832</v>
      </c>
      <c r="H405" s="6">
        <v>1</v>
      </c>
      <c r="I405" s="18">
        <v>138.95</v>
      </c>
      <c r="J405" s="19">
        <v>46064.5682107292</v>
      </c>
      <c r="K405" s="6" t="s">
        <v>4880</v>
      </c>
      <c r="L405" t="str">
        <f t="shared" si="6"/>
        <v>JNG CHAVE FIM DE CURSO LXK P106|46065</v>
      </c>
    </row>
    <row r="406" ht="13.5" customHeight="1" spans="1:12">
      <c r="A406" s="17">
        <v>46064.5666550926</v>
      </c>
      <c r="B406" s="6" t="s">
        <v>4876</v>
      </c>
      <c r="C406" s="6" t="s">
        <v>5164</v>
      </c>
      <c r="D406" s="6" t="s">
        <v>4884</v>
      </c>
      <c r="E406" s="6" t="s">
        <v>26</v>
      </c>
      <c r="F406" s="6" t="s">
        <v>4882</v>
      </c>
      <c r="G406" s="6" t="s">
        <v>891</v>
      </c>
      <c r="H406" s="6">
        <v>4</v>
      </c>
      <c r="I406" s="18">
        <v>210</v>
      </c>
      <c r="J406" s="19">
        <v>46064.5682096412</v>
      </c>
      <c r="K406" s="6" t="s">
        <v>4880</v>
      </c>
      <c r="L406" t="str">
        <f t="shared" si="6"/>
        <v>TF7 CONVERTEDOR DE FERRUGEM 1L |46065</v>
      </c>
    </row>
    <row r="407" ht="13.5" customHeight="1" spans="1:12">
      <c r="A407" s="17">
        <v>46064.5692708333</v>
      </c>
      <c r="B407" s="6" t="s">
        <v>4876</v>
      </c>
      <c r="C407" s="6" t="s">
        <v>5165</v>
      </c>
      <c r="D407" s="6" t="s">
        <v>4910</v>
      </c>
      <c r="E407" s="6" t="s">
        <v>26</v>
      </c>
      <c r="F407" s="6" t="s">
        <v>4882</v>
      </c>
      <c r="G407" s="6" t="s">
        <v>2361</v>
      </c>
      <c r="H407" s="6">
        <v>1</v>
      </c>
      <c r="I407" s="18">
        <v>22.05</v>
      </c>
      <c r="J407" s="19">
        <v>46064.5723132755</v>
      </c>
      <c r="K407" s="6" t="s">
        <v>4880</v>
      </c>
      <c r="L407" t="str">
        <f t="shared" si="6"/>
        <v>NORTON DISCO ICE SOFT 3000|46065</v>
      </c>
    </row>
    <row r="408" ht="13.5" customHeight="1" spans="1:12">
      <c r="A408" s="17">
        <v>46064.5692708333</v>
      </c>
      <c r="B408" s="6" t="s">
        <v>4876</v>
      </c>
      <c r="C408" s="6" t="s">
        <v>5165</v>
      </c>
      <c r="D408" s="6" t="s">
        <v>4910</v>
      </c>
      <c r="E408" s="6" t="s">
        <v>26</v>
      </c>
      <c r="F408" s="6" t="s">
        <v>4882</v>
      </c>
      <c r="G408" s="6" t="s">
        <v>2362</v>
      </c>
      <c r="H408" s="6">
        <v>3</v>
      </c>
      <c r="I408" s="18">
        <v>62.43</v>
      </c>
      <c r="J408" s="19">
        <v>46064.5722986111</v>
      </c>
      <c r="K408" s="6" t="s">
        <v>4880</v>
      </c>
      <c r="L408" t="str">
        <f t="shared" si="6"/>
        <v>NORTON DISCO ICE SOFT 2000|46065</v>
      </c>
    </row>
    <row r="409" ht="13.5" customHeight="1" spans="1:12">
      <c r="A409" s="17">
        <v>46064.5692708333</v>
      </c>
      <c r="B409" s="6" t="s">
        <v>4876</v>
      </c>
      <c r="C409" s="6" t="s">
        <v>5165</v>
      </c>
      <c r="D409" s="6" t="s">
        <v>4910</v>
      </c>
      <c r="E409" s="6" t="s">
        <v>26</v>
      </c>
      <c r="F409" s="6" t="s">
        <v>4882</v>
      </c>
      <c r="G409" s="6" t="s">
        <v>1823</v>
      </c>
      <c r="H409" s="6">
        <v>4</v>
      </c>
      <c r="I409" s="18">
        <v>94.76</v>
      </c>
      <c r="J409" s="19">
        <v>46064.5722833333</v>
      </c>
      <c r="K409" s="6" t="s">
        <v>4880</v>
      </c>
      <c r="L409" t="str">
        <f t="shared" si="6"/>
        <v>QUEROSENE 900ML|46065</v>
      </c>
    </row>
    <row r="410" ht="13.5" customHeight="1" spans="1:12">
      <c r="A410" s="17">
        <v>46064.572662037</v>
      </c>
      <c r="B410" s="6" t="s">
        <v>4876</v>
      </c>
      <c r="C410" s="6" t="s">
        <v>5166</v>
      </c>
      <c r="D410" s="6" t="s">
        <v>5046</v>
      </c>
      <c r="E410" s="6" t="s">
        <v>38</v>
      </c>
      <c r="F410" s="6" t="s">
        <v>4879</v>
      </c>
      <c r="G410" s="6" t="s">
        <v>37</v>
      </c>
      <c r="H410" s="6">
        <v>80</v>
      </c>
      <c r="I410" s="18">
        <v>898.4</v>
      </c>
      <c r="J410" s="19">
        <v>46064.575100081</v>
      </c>
      <c r="K410" s="6" t="s">
        <v>4880</v>
      </c>
      <c r="L410" t="str">
        <f t="shared" si="6"/>
        <v>PAPEL HIGIENICO ROLAO 8X300|46065</v>
      </c>
    </row>
    <row r="411" ht="13.5" customHeight="1" spans="1:12">
      <c r="A411" s="17">
        <v>46064.572662037</v>
      </c>
      <c r="B411" s="6" t="s">
        <v>4876</v>
      </c>
      <c r="C411" s="6" t="s">
        <v>5166</v>
      </c>
      <c r="D411" s="6" t="s">
        <v>5046</v>
      </c>
      <c r="E411" s="6" t="s">
        <v>38</v>
      </c>
      <c r="F411" s="6" t="s">
        <v>4879</v>
      </c>
      <c r="G411" s="6" t="s">
        <v>260</v>
      </c>
      <c r="H411" s="6">
        <v>108</v>
      </c>
      <c r="I411" s="18">
        <v>2685.96</v>
      </c>
      <c r="J411" s="19">
        <v>46064.5750979167</v>
      </c>
      <c r="K411" s="6" t="s">
        <v>4880</v>
      </c>
      <c r="L411" t="str">
        <f t="shared" si="6"/>
        <v>PAPEL TOALHA BOBINA 6X20X200|46065</v>
      </c>
    </row>
    <row r="412" ht="13.5" customHeight="1" spans="1:12">
      <c r="A412" s="17">
        <v>46064.5817824074</v>
      </c>
      <c r="B412" s="6" t="s">
        <v>4876</v>
      </c>
      <c r="C412" s="6" t="s">
        <v>5167</v>
      </c>
      <c r="D412" s="6" t="s">
        <v>5163</v>
      </c>
      <c r="E412" s="6" t="s">
        <v>26</v>
      </c>
      <c r="F412" s="6" t="s">
        <v>4882</v>
      </c>
      <c r="G412" s="6" t="s">
        <v>473</v>
      </c>
      <c r="H412" s="6">
        <v>1</v>
      </c>
      <c r="I412" s="18">
        <v>396.44</v>
      </c>
      <c r="J412" s="19">
        <v>46071.5846115394</v>
      </c>
      <c r="K412" s="6" t="s">
        <v>4880</v>
      </c>
      <c r="L412" t="str">
        <f t="shared" si="6"/>
        <v>SUPORTE DO ESTRIBO ESCADA ACCELO ESQUERDO (LE)|46065</v>
      </c>
    </row>
    <row r="413" ht="13.5" customHeight="1" spans="1:12">
      <c r="A413" s="17">
        <v>46064.5817824074</v>
      </c>
      <c r="B413" s="6" t="s">
        <v>4876</v>
      </c>
      <c r="C413" s="6" t="s">
        <v>5167</v>
      </c>
      <c r="D413" s="6" t="s">
        <v>5163</v>
      </c>
      <c r="E413" s="6" t="s">
        <v>26</v>
      </c>
      <c r="F413" s="6" t="s">
        <v>4882</v>
      </c>
      <c r="G413" s="6" t="s">
        <v>177</v>
      </c>
      <c r="H413" s="6">
        <v>1</v>
      </c>
      <c r="I413" s="18">
        <v>396.44</v>
      </c>
      <c r="J413" s="19">
        <v>46071.5846113426</v>
      </c>
      <c r="K413" s="6" t="s">
        <v>4880</v>
      </c>
      <c r="L413" t="str">
        <f t="shared" si="6"/>
        <v>SUPORTE DO ESTRIBO ESCADA ACCELO DIREITO (LD)|46065</v>
      </c>
    </row>
    <row r="414" ht="13.5" customHeight="1" spans="1:12">
      <c r="A414" s="17">
        <v>46064.5834143519</v>
      </c>
      <c r="B414" s="6" t="s">
        <v>4876</v>
      </c>
      <c r="C414" s="6" t="s">
        <v>5168</v>
      </c>
      <c r="D414" s="6" t="s">
        <v>5169</v>
      </c>
      <c r="E414" s="6" t="s">
        <v>38</v>
      </c>
      <c r="F414" s="6" t="s">
        <v>4879</v>
      </c>
      <c r="G414" s="6" t="s">
        <v>1347</v>
      </c>
      <c r="H414" s="6">
        <v>4</v>
      </c>
      <c r="I414" s="18">
        <v>340</v>
      </c>
      <c r="J414" s="19">
        <v>46078.5902051273</v>
      </c>
      <c r="K414" s="6" t="s">
        <v>4880</v>
      </c>
      <c r="L414" t="str">
        <f t="shared" si="6"/>
        <v>STARCLOR 3.6KG|46065</v>
      </c>
    </row>
    <row r="415" ht="13.5" customHeight="1" spans="1:12">
      <c r="A415" s="17">
        <v>46064.5834143519</v>
      </c>
      <c r="B415" s="6" t="s">
        <v>4876</v>
      </c>
      <c r="C415" s="6" t="s">
        <v>5168</v>
      </c>
      <c r="D415" s="6" t="s">
        <v>5169</v>
      </c>
      <c r="E415" s="6" t="s">
        <v>38</v>
      </c>
      <c r="F415" s="6" t="s">
        <v>4879</v>
      </c>
      <c r="G415" s="6" t="s">
        <v>389</v>
      </c>
      <c r="H415" s="6">
        <v>20</v>
      </c>
      <c r="I415" s="18">
        <v>1440.4</v>
      </c>
      <c r="J415" s="19">
        <v>46078.5902043982</v>
      </c>
      <c r="K415" s="6" t="s">
        <v>4880</v>
      </c>
      <c r="L415" t="str">
        <f t="shared" si="6"/>
        <v>SH 5000|46065</v>
      </c>
    </row>
    <row r="416" ht="13.5" customHeight="1" spans="1:12">
      <c r="A416" s="17">
        <v>46064.5834143519</v>
      </c>
      <c r="B416" s="6" t="s">
        <v>4876</v>
      </c>
      <c r="C416" s="6" t="s">
        <v>5168</v>
      </c>
      <c r="D416" s="6" t="s">
        <v>5169</v>
      </c>
      <c r="E416" s="6" t="s">
        <v>38</v>
      </c>
      <c r="F416" s="6" t="s">
        <v>4879</v>
      </c>
      <c r="G416" s="6" t="s">
        <v>873</v>
      </c>
      <c r="H416" s="6">
        <v>12</v>
      </c>
      <c r="I416" s="18">
        <v>875.16</v>
      </c>
      <c r="J416" s="19">
        <v>46078.590165544</v>
      </c>
      <c r="K416" s="6" t="s">
        <v>4880</v>
      </c>
      <c r="L416" t="str">
        <f t="shared" si="6"/>
        <v>SABONETE ESPULMA C/TRICLOSAN|46065</v>
      </c>
    </row>
    <row r="417" ht="13.5" customHeight="1" spans="1:12">
      <c r="A417" s="17">
        <v>46064.6108564815</v>
      </c>
      <c r="B417" s="6" t="s">
        <v>4876</v>
      </c>
      <c r="C417" s="6" t="s">
        <v>5170</v>
      </c>
      <c r="D417" s="6" t="s">
        <v>5171</v>
      </c>
      <c r="E417" s="6" t="s">
        <v>26</v>
      </c>
      <c r="F417" s="6" t="s">
        <v>4882</v>
      </c>
      <c r="G417" s="6" t="s">
        <v>1483</v>
      </c>
      <c r="H417" s="6">
        <v>3</v>
      </c>
      <c r="I417" s="18">
        <v>585.96</v>
      </c>
      <c r="J417" s="19">
        <v>46071.6127229977</v>
      </c>
      <c r="K417" s="6" t="s">
        <v>4880</v>
      </c>
      <c r="L417" t="str">
        <f t="shared" si="6"/>
        <v>SENSOR DE TEMPERATURA SENDES 3058|46065</v>
      </c>
    </row>
    <row r="418" ht="13.5" customHeight="1" spans="1:12">
      <c r="A418" s="17">
        <v>46064.6341898148</v>
      </c>
      <c r="B418" s="6" t="s">
        <v>4876</v>
      </c>
      <c r="C418" s="6" t="s">
        <v>5172</v>
      </c>
      <c r="D418" s="6" t="s">
        <v>4894</v>
      </c>
      <c r="E418" s="6" t="s">
        <v>26</v>
      </c>
      <c r="F418" s="6" t="s">
        <v>4882</v>
      </c>
      <c r="G418" s="6" t="s">
        <v>2179</v>
      </c>
      <c r="H418" s="6">
        <v>20</v>
      </c>
      <c r="I418" s="18">
        <v>76</v>
      </c>
      <c r="J418" s="19">
        <v>46064.6506558218</v>
      </c>
      <c r="K418" s="6" t="s">
        <v>4880</v>
      </c>
      <c r="L418" t="str">
        <f t="shared" si="6"/>
        <v>PARAFUSO ALLEN C/C 10X70 8.8|46065</v>
      </c>
    </row>
    <row r="419" ht="13.5" customHeight="1" spans="1:12">
      <c r="A419" s="17">
        <v>46064.6341898148</v>
      </c>
      <c r="B419" s="6" t="s">
        <v>4876</v>
      </c>
      <c r="C419" s="6" t="s">
        <v>5172</v>
      </c>
      <c r="D419" s="6" t="s">
        <v>4894</v>
      </c>
      <c r="E419" s="6" t="s">
        <v>26</v>
      </c>
      <c r="F419" s="6" t="s">
        <v>4882</v>
      </c>
      <c r="G419" s="6" t="s">
        <v>1934</v>
      </c>
      <c r="H419" s="6">
        <v>20</v>
      </c>
      <c r="I419" s="18">
        <v>76</v>
      </c>
      <c r="J419" s="19">
        <v>46064.6506498495</v>
      </c>
      <c r="K419" s="6" t="s">
        <v>4880</v>
      </c>
      <c r="L419" t="str">
        <f t="shared" si="6"/>
        <v>PORCA AUTO TRAVANTE MA 10|46065</v>
      </c>
    </row>
    <row r="420" ht="13.5" customHeight="1" spans="1:12">
      <c r="A420" s="17">
        <v>46064.6341898148</v>
      </c>
      <c r="B420" s="6" t="s">
        <v>4876</v>
      </c>
      <c r="C420" s="6" t="s">
        <v>5172</v>
      </c>
      <c r="D420" s="6" t="s">
        <v>4894</v>
      </c>
      <c r="E420" s="6" t="s">
        <v>26</v>
      </c>
      <c r="F420" s="6" t="s">
        <v>4882</v>
      </c>
      <c r="G420" s="6" t="s">
        <v>4550</v>
      </c>
      <c r="H420" s="6">
        <v>40</v>
      </c>
      <c r="I420" s="18">
        <v>24.8</v>
      </c>
      <c r="J420" s="19">
        <v>46064.6506444097</v>
      </c>
      <c r="K420" s="6" t="s">
        <v>4880</v>
      </c>
      <c r="L420" t="str">
        <f t="shared" si="6"/>
        <v>ARRUELA LISA 5/16|46065</v>
      </c>
    </row>
    <row r="421" ht="13.5" customHeight="1" spans="1:12">
      <c r="A421" s="17">
        <v>46064.6341898148</v>
      </c>
      <c r="B421" s="6" t="s">
        <v>4876</v>
      </c>
      <c r="C421" s="6" t="s">
        <v>5172</v>
      </c>
      <c r="D421" s="6" t="s">
        <v>4894</v>
      </c>
      <c r="E421" s="6" t="s">
        <v>26</v>
      </c>
      <c r="F421" s="6" t="s">
        <v>4882</v>
      </c>
      <c r="G421" s="6" t="s">
        <v>2095</v>
      </c>
      <c r="H421" s="6">
        <v>10</v>
      </c>
      <c r="I421" s="18">
        <v>50.6</v>
      </c>
      <c r="J421" s="19">
        <v>46064.6506287037</v>
      </c>
      <c r="K421" s="6" t="s">
        <v>4880</v>
      </c>
      <c r="L421" t="str">
        <f t="shared" si="6"/>
        <v>PARAFUSO SEXT.UNC INOX 1/4x5/8|46065</v>
      </c>
    </row>
    <row r="422" ht="13.5" customHeight="1" spans="1:12">
      <c r="A422" s="17">
        <v>46064.6508564815</v>
      </c>
      <c r="B422" s="6" t="s">
        <v>4876</v>
      </c>
      <c r="C422" s="6" t="s">
        <v>5173</v>
      </c>
      <c r="D422" s="6" t="s">
        <v>4954</v>
      </c>
      <c r="E422" s="6" t="s">
        <v>26</v>
      </c>
      <c r="F422" s="6" t="s">
        <v>4882</v>
      </c>
      <c r="G422" s="6" t="s">
        <v>317</v>
      </c>
      <c r="H422" s="6">
        <v>1</v>
      </c>
      <c r="I422" s="18">
        <v>396</v>
      </c>
      <c r="J422" s="19">
        <v>46064.6543398958</v>
      </c>
      <c r="K422" s="6" t="s">
        <v>4880</v>
      </c>
      <c r="L422" t="str">
        <f t="shared" si="6"/>
        <v>BOMBA D´ÀGUA VW DELIVERY 9.160 |46065</v>
      </c>
    </row>
    <row r="423" ht="13.5" customHeight="1" spans="1:12">
      <c r="A423" s="17">
        <v>46065.3384722222</v>
      </c>
      <c r="B423" s="6" t="s">
        <v>4876</v>
      </c>
      <c r="C423" s="6" t="s">
        <v>5174</v>
      </c>
      <c r="D423" s="6" t="s">
        <v>5175</v>
      </c>
      <c r="E423" s="6" t="s">
        <v>35</v>
      </c>
      <c r="F423" s="6" t="s">
        <v>4879</v>
      </c>
      <c r="G423" s="6" t="s">
        <v>950</v>
      </c>
      <c r="H423" s="6">
        <v>4</v>
      </c>
      <c r="I423" s="18">
        <v>580</v>
      </c>
      <c r="J423" s="19">
        <v>46078.3525468403</v>
      </c>
      <c r="K423" s="6" t="s">
        <v>4880</v>
      </c>
      <c r="L423" t="str">
        <f t="shared" si="6"/>
        <v>VIDRO ESPELHO RETROVISOR LD 23B877522B|46065</v>
      </c>
    </row>
    <row r="424" ht="13.5" customHeight="1" spans="1:12">
      <c r="A424" s="17">
        <v>46065.3384722222</v>
      </c>
      <c r="B424" s="6" t="s">
        <v>4876</v>
      </c>
      <c r="C424" s="6" t="s">
        <v>5174</v>
      </c>
      <c r="D424" s="6" t="s">
        <v>5175</v>
      </c>
      <c r="E424" s="6" t="s">
        <v>35</v>
      </c>
      <c r="F424" s="6" t="s">
        <v>4879</v>
      </c>
      <c r="G424" s="6" t="s">
        <v>228</v>
      </c>
      <c r="H424" s="6">
        <v>4</v>
      </c>
      <c r="I424" s="18">
        <v>580</v>
      </c>
      <c r="J424" s="19">
        <v>46078.3525466435</v>
      </c>
      <c r="K424" s="6" t="s">
        <v>4880</v>
      </c>
      <c r="L424" t="str">
        <f t="shared" si="6"/>
        <v>VIDRO ESPELHO RETROVISOR LE 23B857521B|46065</v>
      </c>
    </row>
    <row r="425" ht="13.5" customHeight="1" spans="1:12">
      <c r="A425" s="17">
        <v>46065.3384722222</v>
      </c>
      <c r="B425" s="6" t="s">
        <v>4876</v>
      </c>
      <c r="C425" s="6" t="s">
        <v>5174</v>
      </c>
      <c r="D425" s="6" t="s">
        <v>5175</v>
      </c>
      <c r="E425" s="6" t="s">
        <v>35</v>
      </c>
      <c r="F425" s="6" t="s">
        <v>4879</v>
      </c>
      <c r="G425" s="6" t="s">
        <v>298</v>
      </c>
      <c r="H425" s="6">
        <v>4</v>
      </c>
      <c r="I425" s="18">
        <v>600</v>
      </c>
      <c r="J425" s="19">
        <v>46078.3525462963</v>
      </c>
      <c r="K425" s="6" t="s">
        <v>4880</v>
      </c>
      <c r="L425" t="str">
        <f t="shared" si="6"/>
        <v>VIDRO ESPELHO 23B/857522-A|46065</v>
      </c>
    </row>
    <row r="426" ht="13.5" customHeight="1" spans="1:12">
      <c r="A426" s="17">
        <v>46065.3384722222</v>
      </c>
      <c r="B426" s="6" t="s">
        <v>4876</v>
      </c>
      <c r="C426" s="6" t="s">
        <v>5174</v>
      </c>
      <c r="D426" s="6" t="s">
        <v>5175</v>
      </c>
      <c r="E426" s="6" t="s">
        <v>35</v>
      </c>
      <c r="F426" s="6" t="s">
        <v>4879</v>
      </c>
      <c r="G426" s="6" t="s">
        <v>173</v>
      </c>
      <c r="H426" s="6">
        <v>4</v>
      </c>
      <c r="I426" s="18">
        <v>1480</v>
      </c>
      <c r="J426" s="19">
        <v>46078.3525452199</v>
      </c>
      <c r="K426" s="6" t="s">
        <v>4880</v>
      </c>
      <c r="L426" t="str">
        <f t="shared" si="6"/>
        <v>VIDRO ESPELHO RETROVISOR SUPERIOR LE 23B857521A|46065</v>
      </c>
    </row>
    <row r="427" ht="13.5" customHeight="1" spans="1:12">
      <c r="A427" s="17">
        <v>46065.4258680556</v>
      </c>
      <c r="B427" s="6" t="s">
        <v>4876</v>
      </c>
      <c r="C427" s="6" t="s">
        <v>5176</v>
      </c>
      <c r="D427" s="6" t="s">
        <v>5177</v>
      </c>
      <c r="E427" s="6" t="s">
        <v>26</v>
      </c>
      <c r="F427" s="6" t="s">
        <v>4882</v>
      </c>
      <c r="G427" s="6" t="s">
        <v>280</v>
      </c>
      <c r="H427" s="6">
        <v>1</v>
      </c>
      <c r="I427" s="18">
        <v>590.73</v>
      </c>
      <c r="J427" s="19">
        <v>46076.4270001968</v>
      </c>
      <c r="K427" s="6" t="s">
        <v>4880</v>
      </c>
      <c r="L427" t="str">
        <f t="shared" si="6"/>
        <v>PARALAMA DIANTEIRO LD CABINE ACCELO |46065</v>
      </c>
    </row>
    <row r="428" ht="13.5" customHeight="1" spans="1:12">
      <c r="A428" s="17">
        <v>46065.4273148148</v>
      </c>
      <c r="B428" s="6" t="s">
        <v>4876</v>
      </c>
      <c r="C428" s="6" t="s">
        <v>5178</v>
      </c>
      <c r="D428" s="6" t="s">
        <v>5177</v>
      </c>
      <c r="E428" s="6" t="s">
        <v>26</v>
      </c>
      <c r="F428" s="6" t="s">
        <v>4882</v>
      </c>
      <c r="G428" s="6" t="s">
        <v>280</v>
      </c>
      <c r="H428" s="6">
        <v>1</v>
      </c>
      <c r="I428" s="18">
        <v>590.73</v>
      </c>
      <c r="J428" s="19">
        <v>46076.4279815162</v>
      </c>
      <c r="K428" s="6" t="s">
        <v>4880</v>
      </c>
      <c r="L428" t="str">
        <f t="shared" si="6"/>
        <v>PARALAMA DIANTEIRO LD CABINE ACCELO |46065</v>
      </c>
    </row>
    <row r="429" ht="13.5" customHeight="1" spans="1:12">
      <c r="A429" s="17">
        <v>46065.4299884259</v>
      </c>
      <c r="B429" s="6" t="s">
        <v>4876</v>
      </c>
      <c r="C429" s="6" t="s">
        <v>5179</v>
      </c>
      <c r="D429" s="6" t="s">
        <v>5180</v>
      </c>
      <c r="E429" s="6" t="s">
        <v>51</v>
      </c>
      <c r="F429" s="6" t="s">
        <v>4879</v>
      </c>
      <c r="G429" s="6" t="s">
        <v>3664</v>
      </c>
      <c r="H429" s="6">
        <v>8</v>
      </c>
      <c r="I429" s="18">
        <v>720</v>
      </c>
      <c r="J429" s="19">
        <v>46065.4321292014</v>
      </c>
      <c r="K429" s="6" t="s">
        <v>4880</v>
      </c>
      <c r="L429" t="str">
        <f t="shared" si="6"/>
        <v>CONECTOR DE BATERIA COMPLETO 175A|46065</v>
      </c>
    </row>
    <row r="430" ht="13.5" customHeight="1" spans="1:12">
      <c r="A430" s="17">
        <v>46065.4299884259</v>
      </c>
      <c r="B430" s="6" t="s">
        <v>4876</v>
      </c>
      <c r="C430" s="6" t="s">
        <v>5179</v>
      </c>
      <c r="D430" s="6" t="s">
        <v>5180</v>
      </c>
      <c r="E430" s="6" t="s">
        <v>51</v>
      </c>
      <c r="F430" s="6" t="s">
        <v>4879</v>
      </c>
      <c r="G430" s="6" t="s">
        <v>3666</v>
      </c>
      <c r="H430" s="6">
        <v>5</v>
      </c>
      <c r="I430" s="18">
        <v>550</v>
      </c>
      <c r="J430" s="19">
        <v>46065.4321288542</v>
      </c>
      <c r="K430" s="6" t="s">
        <v>4880</v>
      </c>
      <c r="L430" t="str">
        <f t="shared" si="6"/>
        <v>CONECTOR BATERIA 350A COMPLETO|46065</v>
      </c>
    </row>
    <row r="431" ht="13.5" customHeight="1" spans="1:12">
      <c r="A431" s="17">
        <v>46065.4513888889</v>
      </c>
      <c r="B431" s="6" t="s">
        <v>4876</v>
      </c>
      <c r="C431" s="6" t="s">
        <v>5181</v>
      </c>
      <c r="D431" s="6" t="s">
        <v>5182</v>
      </c>
      <c r="E431" s="6" t="s">
        <v>182</v>
      </c>
      <c r="F431" s="6" t="s">
        <v>4879</v>
      </c>
      <c r="G431" s="6" t="s">
        <v>4475</v>
      </c>
      <c r="H431" s="6">
        <v>1</v>
      </c>
      <c r="I431" s="18">
        <v>762.99</v>
      </c>
      <c r="J431" s="19">
        <v>46087.4536178241</v>
      </c>
      <c r="K431" s="6" t="s">
        <v>4880</v>
      </c>
      <c r="L431" t="str">
        <f t="shared" si="6"/>
        <v>BANDEIRA OFICIAL DO BRASIL 3,15 X 4,50|46065</v>
      </c>
    </row>
    <row r="432" ht="13.5" customHeight="1" spans="1:12">
      <c r="A432" s="17">
        <v>46065.560787037</v>
      </c>
      <c r="B432" s="6" t="s">
        <v>4876</v>
      </c>
      <c r="C432" s="6" t="s">
        <v>5183</v>
      </c>
      <c r="D432" s="6" t="s">
        <v>5184</v>
      </c>
      <c r="E432" s="6" t="s">
        <v>35</v>
      </c>
      <c r="F432" s="6" t="s">
        <v>4879</v>
      </c>
      <c r="G432" s="6" t="s">
        <v>252</v>
      </c>
      <c r="H432" s="6">
        <v>1</v>
      </c>
      <c r="I432" s="18">
        <v>2945.48</v>
      </c>
      <c r="J432" s="19">
        <v>46066.578312882</v>
      </c>
      <c r="K432" s="6" t="s">
        <v>4880</v>
      </c>
      <c r="L432" t="str">
        <f t="shared" si="6"/>
        <v>MANGUEIRA SEM GTIN VO20574583|46066</v>
      </c>
    </row>
    <row r="433" ht="13.5" customHeight="1" spans="1:12">
      <c r="A433" s="17">
        <v>46065.560787037</v>
      </c>
      <c r="B433" s="6" t="s">
        <v>4876</v>
      </c>
      <c r="C433" s="6" t="s">
        <v>5183</v>
      </c>
      <c r="D433" s="6" t="s">
        <v>5184</v>
      </c>
      <c r="E433" s="6" t="s">
        <v>35</v>
      </c>
      <c r="F433" s="6" t="s">
        <v>4879</v>
      </c>
      <c r="G433" s="6" t="s">
        <v>251</v>
      </c>
      <c r="H433" s="6">
        <v>1</v>
      </c>
      <c r="I433" s="18">
        <v>592.84</v>
      </c>
      <c r="J433" s="19">
        <v>46066.5783126968</v>
      </c>
      <c r="K433" s="6" t="s">
        <v>4880</v>
      </c>
      <c r="L433" t="str">
        <f t="shared" si="6"/>
        <v>MANGUIERA SEM GTIN VO20574584|46066</v>
      </c>
    </row>
    <row r="434" ht="13.5" customHeight="1" spans="1:12">
      <c r="A434" s="17">
        <v>46065.560787037</v>
      </c>
      <c r="B434" s="6" t="s">
        <v>4876</v>
      </c>
      <c r="C434" s="6" t="s">
        <v>5183</v>
      </c>
      <c r="D434" s="6" t="s">
        <v>5184</v>
      </c>
      <c r="E434" s="6" t="s">
        <v>35</v>
      </c>
      <c r="F434" s="6" t="s">
        <v>4879</v>
      </c>
      <c r="G434" s="6" t="s">
        <v>2546</v>
      </c>
      <c r="H434" s="6">
        <v>2</v>
      </c>
      <c r="I434" s="18">
        <v>2042</v>
      </c>
      <c r="J434" s="19">
        <v>46066.5783121528</v>
      </c>
      <c r="K434" s="6" t="s">
        <v>4880</v>
      </c>
      <c r="L434" t="str">
        <f t="shared" si="6"/>
        <v>MANGUEIRA COMPLETA SEM GTIN VO22938295|46066</v>
      </c>
    </row>
    <row r="435" ht="13.5" customHeight="1" spans="1:12">
      <c r="A435" s="17">
        <v>46065.560787037</v>
      </c>
      <c r="B435" s="6" t="s">
        <v>4876</v>
      </c>
      <c r="C435" s="6" t="s">
        <v>5183</v>
      </c>
      <c r="D435" s="6" t="s">
        <v>5184</v>
      </c>
      <c r="E435" s="6" t="s">
        <v>35</v>
      </c>
      <c r="F435" s="6" t="s">
        <v>4879</v>
      </c>
      <c r="G435" s="6" t="s">
        <v>3551</v>
      </c>
      <c r="H435" s="6">
        <v>2</v>
      </c>
      <c r="I435" s="18">
        <v>820</v>
      </c>
      <c r="J435" s="19">
        <v>46066.5783110764</v>
      </c>
      <c r="K435" s="6" t="s">
        <v>4880</v>
      </c>
      <c r="L435" t="str">
        <f t="shared" si="6"/>
        <v>COTOVELO SEM GTIN V060115913|46066</v>
      </c>
    </row>
    <row r="436" ht="13.5" customHeight="1" spans="1:12">
      <c r="A436" s="17">
        <v>46065.5785763889</v>
      </c>
      <c r="B436" s="6" t="s">
        <v>4876</v>
      </c>
      <c r="C436" s="6" t="s">
        <v>5185</v>
      </c>
      <c r="D436" s="6" t="s">
        <v>5044</v>
      </c>
      <c r="E436" s="6" t="s">
        <v>390</v>
      </c>
      <c r="F436" s="6" t="s">
        <v>4879</v>
      </c>
      <c r="G436" s="6" t="s">
        <v>806</v>
      </c>
      <c r="H436" s="6">
        <v>28</v>
      </c>
      <c r="I436" s="18">
        <v>644</v>
      </c>
      <c r="J436" s="19">
        <v>46066.5835374653</v>
      </c>
      <c r="K436" s="6" t="s">
        <v>4880</v>
      </c>
      <c r="L436" t="str">
        <f t="shared" si="6"/>
        <v>SACO PLÁSTICO PEBD/PE 50x80|46066</v>
      </c>
    </row>
    <row r="437" ht="13.5" customHeight="1" spans="1:12">
      <c r="A437" s="17">
        <v>46065.5785763889</v>
      </c>
      <c r="B437" s="6" t="s">
        <v>4876</v>
      </c>
      <c r="C437" s="6" t="s">
        <v>5185</v>
      </c>
      <c r="D437" s="6" t="s">
        <v>5044</v>
      </c>
      <c r="E437" s="6" t="s">
        <v>390</v>
      </c>
      <c r="F437" s="6" t="s">
        <v>4879</v>
      </c>
      <c r="G437" s="6" t="s">
        <v>256</v>
      </c>
      <c r="H437" s="6">
        <v>40</v>
      </c>
      <c r="I437" s="18">
        <v>920</v>
      </c>
      <c r="J437" s="19">
        <v>46066.5835363773</v>
      </c>
      <c r="K437" s="6" t="s">
        <v>4880</v>
      </c>
      <c r="L437" t="str">
        <f t="shared" si="6"/>
        <v>SACO PLAST PE 60X90|46066</v>
      </c>
    </row>
    <row r="438" ht="13.5" customHeight="1" spans="1:12">
      <c r="A438" s="17">
        <v>46065.5785763889</v>
      </c>
      <c r="B438" s="6" t="s">
        <v>4876</v>
      </c>
      <c r="C438" s="6" t="s">
        <v>5185</v>
      </c>
      <c r="D438" s="6" t="s">
        <v>5044</v>
      </c>
      <c r="E438" s="6" t="s">
        <v>182</v>
      </c>
      <c r="F438" s="6" t="s">
        <v>4879</v>
      </c>
      <c r="G438" s="6" t="s">
        <v>533</v>
      </c>
      <c r="H438" s="6">
        <v>10</v>
      </c>
      <c r="I438" s="18">
        <v>580</v>
      </c>
      <c r="J438" s="19">
        <v>46066.5835353009</v>
      </c>
      <c r="K438" s="6" t="s">
        <v>4880</v>
      </c>
      <c r="L438" t="str">
        <f t="shared" si="6"/>
        <v>SACOLA VERDE REFORÇADA 50x60 5 KG|46066</v>
      </c>
    </row>
    <row r="439" ht="13.5" customHeight="1" spans="1:12">
      <c r="A439" s="17">
        <v>46065.5785763889</v>
      </c>
      <c r="B439" s="6" t="s">
        <v>4876</v>
      </c>
      <c r="C439" s="6" t="s">
        <v>5185</v>
      </c>
      <c r="D439" s="6" t="s">
        <v>5044</v>
      </c>
      <c r="E439" s="6" t="s">
        <v>182</v>
      </c>
      <c r="F439" s="6" t="s">
        <v>4879</v>
      </c>
      <c r="G439" s="6" t="s">
        <v>181</v>
      </c>
      <c r="H439" s="6">
        <v>500</v>
      </c>
      <c r="I439" s="18">
        <v>1940</v>
      </c>
      <c r="J439" s="19">
        <v>46066.5835300579</v>
      </c>
      <c r="K439" s="6" t="s">
        <v>4880</v>
      </c>
      <c r="L439" t="str">
        <f t="shared" si="6"/>
        <v>COPO DESCARTÁVEL 200ML COPOMAIS|46066</v>
      </c>
    </row>
    <row r="440" ht="13.5" customHeight="1" spans="1:12">
      <c r="A440" s="17">
        <v>46065.5878587963</v>
      </c>
      <c r="B440" s="6" t="s">
        <v>4876</v>
      </c>
      <c r="C440" s="6" t="s">
        <v>5186</v>
      </c>
      <c r="D440" s="6" t="s">
        <v>4963</v>
      </c>
      <c r="E440" s="6" t="s">
        <v>26</v>
      </c>
      <c r="F440" s="6" t="s">
        <v>4882</v>
      </c>
      <c r="G440" s="6" t="s">
        <v>193</v>
      </c>
      <c r="H440" s="6">
        <v>4</v>
      </c>
      <c r="I440" s="18">
        <v>538</v>
      </c>
      <c r="J440" s="19">
        <v>46071.5894536227</v>
      </c>
      <c r="K440" s="6" t="s">
        <v>4880</v>
      </c>
      <c r="L440" t="str">
        <f t="shared" si="6"/>
        <v>PISANTE ESTRIBO MB ACCELO (LD) (LE)|46066</v>
      </c>
    </row>
    <row r="441" ht="13.5" customHeight="1" spans="1:12">
      <c r="A441" s="17">
        <v>46065.590150463</v>
      </c>
      <c r="B441" s="6" t="s">
        <v>4876</v>
      </c>
      <c r="C441" s="6" t="s">
        <v>5187</v>
      </c>
      <c r="D441" s="6" t="s">
        <v>4963</v>
      </c>
      <c r="E441" s="6" t="s">
        <v>26</v>
      </c>
      <c r="F441" s="6" t="s">
        <v>4882</v>
      </c>
      <c r="G441" s="6" t="s">
        <v>193</v>
      </c>
      <c r="H441" s="6">
        <v>4</v>
      </c>
      <c r="I441" s="18">
        <v>538</v>
      </c>
      <c r="J441" s="19">
        <v>46071.5909621875</v>
      </c>
      <c r="K441" s="6" t="s">
        <v>4880</v>
      </c>
      <c r="L441" t="str">
        <f t="shared" si="6"/>
        <v>PISANTE ESTRIBO MB ACCELO (LD) (LE)|46066</v>
      </c>
    </row>
    <row r="442" ht="13.5" customHeight="1" spans="1:12">
      <c r="A442" s="17">
        <v>46065.5929282407</v>
      </c>
      <c r="B442" s="6" t="s">
        <v>4876</v>
      </c>
      <c r="C442" s="6" t="s">
        <v>5188</v>
      </c>
      <c r="D442" s="6" t="s">
        <v>5177</v>
      </c>
      <c r="E442" s="6" t="s">
        <v>26</v>
      </c>
      <c r="F442" s="6" t="s">
        <v>4882</v>
      </c>
      <c r="G442" s="6" t="s">
        <v>280</v>
      </c>
      <c r="H442" s="6">
        <v>1</v>
      </c>
      <c r="I442" s="18">
        <v>522</v>
      </c>
      <c r="J442" s="19">
        <v>46071.5946994213</v>
      </c>
      <c r="K442" s="6" t="s">
        <v>4880</v>
      </c>
      <c r="L442" t="str">
        <f t="shared" si="6"/>
        <v>PARALAMA DIANTEIRO LD CABINE ACCELO |46066</v>
      </c>
    </row>
    <row r="443" ht="13.5" customHeight="1" spans="1:12">
      <c r="A443" s="17">
        <v>46065.6945949074</v>
      </c>
      <c r="B443" s="6" t="s">
        <v>4876</v>
      </c>
      <c r="C443" s="6" t="s">
        <v>5189</v>
      </c>
      <c r="D443" s="6" t="s">
        <v>4971</v>
      </c>
      <c r="E443" s="6" t="s">
        <v>26</v>
      </c>
      <c r="F443" s="6" t="s">
        <v>4882</v>
      </c>
      <c r="G443" s="6" t="s">
        <v>4725</v>
      </c>
      <c r="H443" s="6">
        <v>2</v>
      </c>
      <c r="I443" s="18">
        <v>49.18</v>
      </c>
      <c r="J443" s="19">
        <v>46065.7054884607</v>
      </c>
      <c r="K443" s="6" t="s">
        <v>4880</v>
      </c>
      <c r="L443" t="str">
        <f t="shared" si="6"/>
        <v>ABRAÇADEIRA NYLON 7,8X 360|46066</v>
      </c>
    </row>
    <row r="444" ht="13.5" customHeight="1" spans="1:12">
      <c r="A444" s="17">
        <v>46065.6945949074</v>
      </c>
      <c r="B444" s="6" t="s">
        <v>4876</v>
      </c>
      <c r="C444" s="6" t="s">
        <v>5189</v>
      </c>
      <c r="D444" s="6" t="s">
        <v>4971</v>
      </c>
      <c r="E444" s="6" t="s">
        <v>26</v>
      </c>
      <c r="F444" s="6" t="s">
        <v>4882</v>
      </c>
      <c r="G444" s="6" t="s">
        <v>4755</v>
      </c>
      <c r="H444" s="6">
        <v>2</v>
      </c>
      <c r="I444" s="18">
        <v>25.64</v>
      </c>
      <c r="J444" s="19">
        <v>46065.7054881134</v>
      </c>
      <c r="K444" s="6" t="s">
        <v>4880</v>
      </c>
      <c r="L444" t="str">
        <f t="shared" si="6"/>
        <v>ABRAÇADEIRA DE NYLON 3,6X200M|46066</v>
      </c>
    </row>
    <row r="445" ht="13.5" customHeight="1" spans="1:12">
      <c r="A445" s="17">
        <v>46065.6945949074</v>
      </c>
      <c r="B445" s="6" t="s">
        <v>4876</v>
      </c>
      <c r="C445" s="6" t="s">
        <v>5189</v>
      </c>
      <c r="D445" s="6" t="s">
        <v>4971</v>
      </c>
      <c r="E445" s="6" t="s">
        <v>26</v>
      </c>
      <c r="F445" s="6" t="s">
        <v>4882</v>
      </c>
      <c r="G445" s="6" t="s">
        <v>4718</v>
      </c>
      <c r="H445" s="6">
        <v>2</v>
      </c>
      <c r="I445" s="18">
        <v>51.52</v>
      </c>
      <c r="J445" s="19">
        <v>46065.705487581</v>
      </c>
      <c r="K445" s="6" t="s">
        <v>4880</v>
      </c>
      <c r="L445" t="str">
        <f t="shared" si="6"/>
        <v>ABRAÇADEIRA PLÁSTICA BRANCA 4,8MM|46066</v>
      </c>
    </row>
    <row r="446" ht="13.5" customHeight="1" spans="1:12">
      <c r="A446" s="17">
        <v>46065.6945949074</v>
      </c>
      <c r="B446" s="6" t="s">
        <v>4876</v>
      </c>
      <c r="C446" s="6" t="s">
        <v>5189</v>
      </c>
      <c r="D446" s="6" t="s">
        <v>4971</v>
      </c>
      <c r="E446" s="6" t="s">
        <v>26</v>
      </c>
      <c r="F446" s="6" t="s">
        <v>4882</v>
      </c>
      <c r="G446" s="6" t="s">
        <v>1384</v>
      </c>
      <c r="H446" s="6">
        <v>2</v>
      </c>
      <c r="I446" s="18">
        <v>2.86</v>
      </c>
      <c r="J446" s="19">
        <v>46065.705487037</v>
      </c>
      <c r="K446" s="6" t="s">
        <v>4880</v>
      </c>
      <c r="L446" t="str">
        <f t="shared" si="6"/>
        <v>SOLDA LUVA 25MM MARCA TIGRE|46066</v>
      </c>
    </row>
    <row r="447" ht="13.5" customHeight="1" spans="1:12">
      <c r="A447" s="17">
        <v>46065.6945949074</v>
      </c>
      <c r="B447" s="6" t="s">
        <v>4876</v>
      </c>
      <c r="C447" s="6" t="s">
        <v>5189</v>
      </c>
      <c r="D447" s="6" t="s">
        <v>4971</v>
      </c>
      <c r="E447" s="6" t="s">
        <v>26</v>
      </c>
      <c r="F447" s="6" t="s">
        <v>4882</v>
      </c>
      <c r="G447" s="6" t="s">
        <v>1402</v>
      </c>
      <c r="H447" s="6">
        <v>1</v>
      </c>
      <c r="I447" s="18">
        <v>4.05</v>
      </c>
      <c r="J447" s="19">
        <v>46065.7054859607</v>
      </c>
      <c r="K447" s="6" t="s">
        <v>4880</v>
      </c>
      <c r="L447" t="str">
        <f t="shared" si="6"/>
        <v>SOLDA ADAPTADOR CURTO 32X1 TIGRE|46066</v>
      </c>
    </row>
    <row r="448" ht="13.5" customHeight="1" spans="1:12">
      <c r="A448" s="17">
        <v>46065.7055439815</v>
      </c>
      <c r="B448" s="6" t="s">
        <v>4876</v>
      </c>
      <c r="C448" s="6" t="s">
        <v>5190</v>
      </c>
      <c r="D448" s="6" t="s">
        <v>4954</v>
      </c>
      <c r="E448" s="6" t="s">
        <v>26</v>
      </c>
      <c r="F448" s="6" t="s">
        <v>4882</v>
      </c>
      <c r="G448" s="6" t="s">
        <v>255</v>
      </c>
      <c r="H448" s="6">
        <v>3</v>
      </c>
      <c r="I448" s="18">
        <v>465</v>
      </c>
      <c r="J448" s="19">
        <v>46065.7067989236</v>
      </c>
      <c r="K448" s="6" t="s">
        <v>4880</v>
      </c>
      <c r="L448" t="str">
        <f t="shared" si="6"/>
        <v>JUNTA CARTER ISF 3.8 MARCA CUMMINS|46066</v>
      </c>
    </row>
    <row r="449" ht="13.5" customHeight="1" spans="1:12">
      <c r="A449" s="17">
        <v>46065.7094212963</v>
      </c>
      <c r="B449" s="6" t="s">
        <v>4876</v>
      </c>
      <c r="C449" s="6" t="s">
        <v>5191</v>
      </c>
      <c r="D449" s="6" t="s">
        <v>5132</v>
      </c>
      <c r="E449" s="6" t="s">
        <v>26</v>
      </c>
      <c r="F449" s="6" t="s">
        <v>4882</v>
      </c>
      <c r="G449" s="6" t="s">
        <v>328</v>
      </c>
      <c r="H449" s="6">
        <v>2</v>
      </c>
      <c r="I449" s="18">
        <v>780</v>
      </c>
      <c r="J449" s="19">
        <v>46065.7132383102</v>
      </c>
      <c r="K449" s="6" t="s">
        <v>4880</v>
      </c>
      <c r="L449" t="str">
        <f t="shared" si="6"/>
        <v>MOTOR CX ACCELO /ACTROS/ CARGO 24V (ONE )|46066</v>
      </c>
    </row>
    <row r="450" ht="13.5" customHeight="1" spans="1:12">
      <c r="A450" s="17">
        <v>46065.7141319444</v>
      </c>
      <c r="B450" s="6" t="s">
        <v>4876</v>
      </c>
      <c r="C450" s="6" t="s">
        <v>5192</v>
      </c>
      <c r="D450" s="6" t="s">
        <v>4954</v>
      </c>
      <c r="E450" s="6" t="s">
        <v>26</v>
      </c>
      <c r="F450" s="6" t="s">
        <v>4882</v>
      </c>
      <c r="G450" s="6" t="s">
        <v>3721</v>
      </c>
      <c r="H450" s="6">
        <v>2</v>
      </c>
      <c r="I450" s="18">
        <v>59.6</v>
      </c>
      <c r="J450" s="19">
        <v>46065.7190793634</v>
      </c>
      <c r="K450" s="6" t="s">
        <v>4880</v>
      </c>
      <c r="L450" t="str">
        <f t="shared" ref="L450:L513" si="7">IF(G450="","",G450&amp;"|"&amp;TEXT(A450,"0"))</f>
        <v>COLA SILICONE BLACK 999 PRETO|46066</v>
      </c>
    </row>
    <row r="451" ht="13.5" customHeight="1" spans="1:12">
      <c r="A451" s="17">
        <v>46065.7193865741</v>
      </c>
      <c r="B451" s="6" t="s">
        <v>4876</v>
      </c>
      <c r="C451" s="6" t="s">
        <v>5155</v>
      </c>
      <c r="D451" s="6" t="s">
        <v>4894</v>
      </c>
      <c r="E451" s="6" t="s">
        <v>26</v>
      </c>
      <c r="F451" s="6" t="s">
        <v>4882</v>
      </c>
      <c r="G451" s="6" t="s">
        <v>4737</v>
      </c>
      <c r="H451" s="6">
        <v>2</v>
      </c>
      <c r="I451" s="18">
        <v>134.32</v>
      </c>
      <c r="J451" s="19">
        <v>46065.7279664005</v>
      </c>
      <c r="K451" s="6" t="s">
        <v>4880</v>
      </c>
      <c r="L451" t="str">
        <f t="shared" si="7"/>
        <v>ABRAÇADEIRA NAYLON 12,7 X 530|46066</v>
      </c>
    </row>
    <row r="452" ht="13.5" customHeight="1" spans="1:12">
      <c r="A452" s="17">
        <v>46065.7193865741</v>
      </c>
      <c r="B452" s="6" t="s">
        <v>4876</v>
      </c>
      <c r="C452" s="6" t="s">
        <v>5155</v>
      </c>
      <c r="D452" s="6" t="s">
        <v>4894</v>
      </c>
      <c r="E452" s="6" t="s">
        <v>26</v>
      </c>
      <c r="F452" s="6" t="s">
        <v>4882</v>
      </c>
      <c r="G452" s="6" t="s">
        <v>1934</v>
      </c>
      <c r="H452" s="6">
        <v>20</v>
      </c>
      <c r="I452" s="18">
        <v>18.2</v>
      </c>
      <c r="J452" s="19">
        <v>46065.7279660532</v>
      </c>
      <c r="K452" s="6" t="s">
        <v>4880</v>
      </c>
      <c r="L452" t="str">
        <f t="shared" si="7"/>
        <v>PORCA AUTO TRAVANTE MA 10|46066</v>
      </c>
    </row>
    <row r="453" ht="13.5" customHeight="1" spans="1:12">
      <c r="A453" s="17">
        <v>46065.7193865741</v>
      </c>
      <c r="B453" s="6" t="s">
        <v>4876</v>
      </c>
      <c r="C453" s="6" t="s">
        <v>5155</v>
      </c>
      <c r="D453" s="6" t="s">
        <v>4894</v>
      </c>
      <c r="E453" s="6" t="s">
        <v>26</v>
      </c>
      <c r="F453" s="6" t="s">
        <v>4882</v>
      </c>
      <c r="G453" s="6" t="s">
        <v>2235</v>
      </c>
      <c r="H453" s="6">
        <v>20</v>
      </c>
      <c r="I453" s="18">
        <v>80.2</v>
      </c>
      <c r="J453" s="19">
        <v>46065.7279655093</v>
      </c>
      <c r="K453" s="6" t="s">
        <v>4880</v>
      </c>
      <c r="L453" t="str">
        <f t="shared" si="7"/>
        <v>PA ALLEN CL SI 8.8 10X50|46066</v>
      </c>
    </row>
    <row r="454" ht="13.5" customHeight="1" spans="1:12">
      <c r="A454" s="17">
        <v>46066.371412037</v>
      </c>
      <c r="B454" s="6" t="s">
        <v>4876</v>
      </c>
      <c r="C454" s="6" t="s">
        <v>5193</v>
      </c>
      <c r="D454" s="6" t="s">
        <v>5194</v>
      </c>
      <c r="E454" s="6" t="s">
        <v>26</v>
      </c>
      <c r="F454" s="6" t="s">
        <v>4882</v>
      </c>
      <c r="G454" s="6" t="s">
        <v>551</v>
      </c>
      <c r="H454" s="6">
        <v>4</v>
      </c>
      <c r="I454" s="18">
        <v>2974</v>
      </c>
      <c r="J454" s="19">
        <v>46072.3735637732</v>
      </c>
      <c r="K454" s="6" t="s">
        <v>4880</v>
      </c>
      <c r="L454" t="str">
        <f t="shared" si="7"/>
        <v>INTERMAX A/C B50L|46066</v>
      </c>
    </row>
    <row r="455" ht="13.5" customHeight="1" spans="1:12">
      <c r="A455" s="17">
        <v>46066.371412037</v>
      </c>
      <c r="B455" s="6" t="s">
        <v>4876</v>
      </c>
      <c r="C455" s="6" t="s">
        <v>5193</v>
      </c>
      <c r="D455" s="6" t="s">
        <v>5194</v>
      </c>
      <c r="E455" s="6" t="s">
        <v>26</v>
      </c>
      <c r="F455" s="6" t="s">
        <v>4882</v>
      </c>
      <c r="G455" s="6" t="s">
        <v>557</v>
      </c>
      <c r="H455" s="6">
        <v>4</v>
      </c>
      <c r="I455" s="18">
        <v>658</v>
      </c>
      <c r="J455" s="19">
        <v>46072.3735626968</v>
      </c>
      <c r="K455" s="6" t="s">
        <v>4880</v>
      </c>
      <c r="L455" t="str">
        <f t="shared" si="7"/>
        <v>TAE BRIL GEL 3,6KG|46066</v>
      </c>
    </row>
    <row r="456" ht="13.5" customHeight="1" spans="1:12">
      <c r="A456" s="17">
        <v>46066.371412037</v>
      </c>
      <c r="B456" s="6" t="s">
        <v>4876</v>
      </c>
      <c r="C456" s="6" t="s">
        <v>5193</v>
      </c>
      <c r="D456" s="6" t="s">
        <v>5194</v>
      </c>
      <c r="E456" s="6" t="s">
        <v>26</v>
      </c>
      <c r="F456" s="6" t="s">
        <v>4882</v>
      </c>
      <c r="G456" s="6" t="s">
        <v>552</v>
      </c>
      <c r="H456" s="6">
        <v>1</v>
      </c>
      <c r="I456" s="18">
        <v>518</v>
      </c>
      <c r="J456" s="19">
        <v>46072.3735621528</v>
      </c>
      <c r="K456" s="6" t="s">
        <v>4880</v>
      </c>
      <c r="L456" t="str">
        <f t="shared" si="7"/>
        <v>TAE PNEU NEW B50L|46066</v>
      </c>
    </row>
    <row r="457" ht="13.5" customHeight="1" spans="1:12">
      <c r="A457" s="17">
        <v>46066.378125</v>
      </c>
      <c r="B457" s="6" t="s">
        <v>4876</v>
      </c>
      <c r="C457" s="6" t="s">
        <v>5195</v>
      </c>
      <c r="D457" s="6" t="s">
        <v>5196</v>
      </c>
      <c r="E457" s="6" t="s">
        <v>26</v>
      </c>
      <c r="F457" s="6" t="s">
        <v>4882</v>
      </c>
      <c r="G457" s="6" t="s">
        <v>705</v>
      </c>
      <c r="H457" s="6">
        <v>1</v>
      </c>
      <c r="I457" s="18">
        <v>77.5</v>
      </c>
      <c r="J457" s="19">
        <v>46072.3799381597</v>
      </c>
      <c r="K457" s="6" t="s">
        <v>4880</v>
      </c>
      <c r="L457" t="str">
        <f t="shared" si="7"/>
        <v>MASCARA PARA SOLDA REG.AUTOMÁTICA MSL 5000 LYNUS|46066</v>
      </c>
    </row>
    <row r="458" ht="13.5" customHeight="1" spans="1:12">
      <c r="A458" s="17">
        <v>46066.4402083333</v>
      </c>
      <c r="B458" s="6" t="s">
        <v>4876</v>
      </c>
      <c r="C458" s="6" t="s">
        <v>5197</v>
      </c>
      <c r="D458" s="6" t="s">
        <v>4986</v>
      </c>
      <c r="E458" s="6" t="s">
        <v>26</v>
      </c>
      <c r="F458" s="6" t="s">
        <v>4882</v>
      </c>
      <c r="G458" s="6" t="s">
        <v>485</v>
      </c>
      <c r="H458" s="6">
        <v>100</v>
      </c>
      <c r="I458" s="18">
        <v>1999</v>
      </c>
      <c r="J458" s="19">
        <v>46076.4414662384</v>
      </c>
      <c r="K458" s="6" t="s">
        <v>4880</v>
      </c>
      <c r="L458" t="str">
        <f t="shared" si="7"/>
        <v>LUVA NITRÍLICA AZUL (G) C/100|46066</v>
      </c>
    </row>
    <row r="459" ht="13.5" customHeight="1" spans="1:12">
      <c r="A459" s="17">
        <v>46066.4402083333</v>
      </c>
      <c r="B459" s="6" t="s">
        <v>4876</v>
      </c>
      <c r="C459" s="6" t="s">
        <v>5197</v>
      </c>
      <c r="D459" s="6" t="s">
        <v>4986</v>
      </c>
      <c r="E459" s="6" t="s">
        <v>26</v>
      </c>
      <c r="F459" s="6" t="s">
        <v>4882</v>
      </c>
      <c r="G459" s="6" t="s">
        <v>4001</v>
      </c>
      <c r="H459" s="6">
        <v>20</v>
      </c>
      <c r="I459" s="18">
        <v>68</v>
      </c>
      <c r="J459" s="19">
        <v>46076.4414645833</v>
      </c>
      <c r="K459" s="6" t="s">
        <v>4880</v>
      </c>
      <c r="L459" t="str">
        <f t="shared" si="7"/>
        <v>CAMISA PLASTICA TRANSPARENTE COM CAPUZ|46066</v>
      </c>
    </row>
    <row r="460" ht="13.5" customHeight="1" spans="1:12">
      <c r="A460" s="17">
        <v>46066.5512731482</v>
      </c>
      <c r="B460" s="6" t="s">
        <v>4876</v>
      </c>
      <c r="C460" s="6" t="s">
        <v>5198</v>
      </c>
      <c r="D460" s="6" t="s">
        <v>5199</v>
      </c>
      <c r="E460" s="6" t="s">
        <v>26</v>
      </c>
      <c r="F460" s="6" t="s">
        <v>4882</v>
      </c>
      <c r="G460" s="6" t="s">
        <v>4728</v>
      </c>
      <c r="H460" s="6">
        <v>400</v>
      </c>
      <c r="I460" s="18">
        <v>132</v>
      </c>
      <c r="J460" s="19">
        <v>46077.5702389699</v>
      </c>
      <c r="K460" s="6" t="s">
        <v>4880</v>
      </c>
      <c r="L460" t="str">
        <f t="shared" si="7"/>
        <v>ABRAÇADEIRA NYLON 6.6 4,8X280|46067</v>
      </c>
    </row>
    <row r="461" ht="13.5" customHeight="1" spans="1:12">
      <c r="A461" s="17">
        <v>46066.5512731482</v>
      </c>
      <c r="B461" s="6" t="s">
        <v>4876</v>
      </c>
      <c r="C461" s="6" t="s">
        <v>5198</v>
      </c>
      <c r="D461" s="6" t="s">
        <v>5199</v>
      </c>
      <c r="E461" s="6" t="s">
        <v>26</v>
      </c>
      <c r="F461" s="6" t="s">
        <v>4882</v>
      </c>
      <c r="G461" s="6" t="s">
        <v>3101</v>
      </c>
      <c r="H461" s="6">
        <v>40</v>
      </c>
      <c r="I461" s="18">
        <v>48.8</v>
      </c>
      <c r="J461" s="19">
        <v>46077.5702385764</v>
      </c>
      <c r="K461" s="6" t="s">
        <v>4880</v>
      </c>
      <c r="L461" t="str">
        <f t="shared" si="7"/>
        <v>FILTRO FORT COADOR DESCATAVEL PCT/C10|46067</v>
      </c>
    </row>
    <row r="462" ht="13.5" customHeight="1" spans="1:12">
      <c r="A462" s="17">
        <v>46066.5512731482</v>
      </c>
      <c r="B462" s="6" t="s">
        <v>4876</v>
      </c>
      <c r="C462" s="6" t="s">
        <v>5198</v>
      </c>
      <c r="D462" s="6" t="s">
        <v>5199</v>
      </c>
      <c r="E462" s="6" t="s">
        <v>26</v>
      </c>
      <c r="F462" s="6" t="s">
        <v>4882</v>
      </c>
      <c r="G462" s="6" t="s">
        <v>715</v>
      </c>
      <c r="H462" s="6">
        <v>2</v>
      </c>
      <c r="I462" s="18">
        <v>64.04</v>
      </c>
      <c r="J462" s="19">
        <v>46077.5702382292</v>
      </c>
      <c r="K462" s="6" t="s">
        <v>4880</v>
      </c>
      <c r="L462" t="str">
        <f t="shared" si="7"/>
        <v>ANTI DESLIZANTE P/CORREIAS 220ML|46067</v>
      </c>
    </row>
    <row r="463" ht="13.5" customHeight="1" spans="1:12">
      <c r="A463" s="17">
        <v>46066.5512731482</v>
      </c>
      <c r="B463" s="6" t="s">
        <v>4876</v>
      </c>
      <c r="C463" s="6" t="s">
        <v>5198</v>
      </c>
      <c r="D463" s="6" t="s">
        <v>5199</v>
      </c>
      <c r="E463" s="6" t="s">
        <v>26</v>
      </c>
      <c r="F463" s="6" t="s">
        <v>4882</v>
      </c>
      <c r="G463" s="6" t="s">
        <v>4726</v>
      </c>
      <c r="H463" s="6">
        <v>100</v>
      </c>
      <c r="I463" s="18">
        <v>126</v>
      </c>
      <c r="J463" s="19">
        <v>46077.570238044</v>
      </c>
      <c r="K463" s="6" t="s">
        <v>4880</v>
      </c>
      <c r="L463" t="str">
        <f t="shared" si="7"/>
        <v>ABRAÇADEIRA NYLON 7,8 X 540|46067</v>
      </c>
    </row>
    <row r="464" ht="13.5" customHeight="1" spans="1:12">
      <c r="A464" s="17">
        <v>46066.5512731482</v>
      </c>
      <c r="B464" s="6" t="s">
        <v>4876</v>
      </c>
      <c r="C464" s="6" t="s">
        <v>5198</v>
      </c>
      <c r="D464" s="6" t="s">
        <v>5199</v>
      </c>
      <c r="E464" s="6" t="s">
        <v>26</v>
      </c>
      <c r="F464" s="6" t="s">
        <v>4882</v>
      </c>
      <c r="G464" s="6" t="s">
        <v>4729</v>
      </c>
      <c r="H464" s="6">
        <v>400</v>
      </c>
      <c r="I464" s="18">
        <v>92</v>
      </c>
      <c r="J464" s="19">
        <v>46077.570237882</v>
      </c>
      <c r="K464" s="6" t="s">
        <v>4880</v>
      </c>
      <c r="L464" t="str">
        <f t="shared" si="7"/>
        <v>ABRAÇADEIRA NYLON 6.6 3,6 X 280MM PRETA|46067</v>
      </c>
    </row>
    <row r="465" ht="13.5" customHeight="1" spans="1:12">
      <c r="A465" s="17">
        <v>46066.5512731482</v>
      </c>
      <c r="B465" s="6" t="s">
        <v>4876</v>
      </c>
      <c r="C465" s="6" t="s">
        <v>5198</v>
      </c>
      <c r="D465" s="6" t="s">
        <v>5199</v>
      </c>
      <c r="E465" s="6" t="s">
        <v>26</v>
      </c>
      <c r="F465" s="6" t="s">
        <v>4882</v>
      </c>
      <c r="G465" s="6" t="s">
        <v>4731</v>
      </c>
      <c r="H465" s="6">
        <v>400</v>
      </c>
      <c r="I465" s="18">
        <v>160</v>
      </c>
      <c r="J465" s="19">
        <v>46077.5702375</v>
      </c>
      <c r="K465" s="6" t="s">
        <v>4880</v>
      </c>
      <c r="L465" t="str">
        <f t="shared" si="7"/>
        <v>ABRAÇADEIRA NYLON 4,8X380|46067</v>
      </c>
    </row>
    <row r="466" ht="13.5" customHeight="1" spans="1:12">
      <c r="A466" s="17">
        <v>46066.5512731482</v>
      </c>
      <c r="B466" s="6" t="s">
        <v>4876</v>
      </c>
      <c r="C466" s="6" t="s">
        <v>5198</v>
      </c>
      <c r="D466" s="6" t="s">
        <v>5199</v>
      </c>
      <c r="E466" s="6" t="s">
        <v>26</v>
      </c>
      <c r="F466" s="6" t="s">
        <v>4882</v>
      </c>
      <c r="G466" s="6" t="s">
        <v>3453</v>
      </c>
      <c r="H466" s="6">
        <v>100</v>
      </c>
      <c r="I466" s="18">
        <v>429</v>
      </c>
      <c r="J466" s="19">
        <v>46077.5702371528</v>
      </c>
      <c r="K466" s="6" t="s">
        <v>4880</v>
      </c>
      <c r="L466" t="str">
        <f t="shared" si="7"/>
        <v>DISCO DE CORTE INOX 115x1 0x22 MARCA GUEPAR|46067</v>
      </c>
    </row>
    <row r="467" ht="13.5" customHeight="1" spans="1:12">
      <c r="A467" s="17">
        <v>46066.5512731482</v>
      </c>
      <c r="B467" s="6" t="s">
        <v>4876</v>
      </c>
      <c r="C467" s="6" t="s">
        <v>5198</v>
      </c>
      <c r="D467" s="6" t="s">
        <v>5199</v>
      </c>
      <c r="E467" s="6" t="s">
        <v>26</v>
      </c>
      <c r="F467" s="6" t="s">
        <v>4882</v>
      </c>
      <c r="G467" s="6" t="s">
        <v>600</v>
      </c>
      <c r="H467" s="6">
        <v>2</v>
      </c>
      <c r="I467" s="18">
        <v>48.4</v>
      </c>
      <c r="J467" s="19">
        <v>46077.5702367708</v>
      </c>
      <c r="K467" s="6" t="s">
        <v>4880</v>
      </c>
      <c r="L467" t="str">
        <f t="shared" si="7"/>
        <v>ADESIVO WURTH BONDER PLUS 100G|46067</v>
      </c>
    </row>
    <row r="468" ht="13.5" customHeight="1" spans="1:12">
      <c r="A468" s="17">
        <v>46066.5512731482</v>
      </c>
      <c r="B468" s="6" t="s">
        <v>4876</v>
      </c>
      <c r="C468" s="6" t="s">
        <v>5198</v>
      </c>
      <c r="D468" s="6" t="s">
        <v>5199</v>
      </c>
      <c r="E468" s="6" t="s">
        <v>26</v>
      </c>
      <c r="F468" s="6" t="s">
        <v>4882</v>
      </c>
      <c r="G468" s="6" t="s">
        <v>802</v>
      </c>
      <c r="H468" s="6">
        <v>30</v>
      </c>
      <c r="I468" s="18">
        <v>825</v>
      </c>
      <c r="J468" s="19">
        <v>46077.5702366088</v>
      </c>
      <c r="K468" s="6" t="s">
        <v>4880</v>
      </c>
      <c r="L468" t="str">
        <f t="shared" si="7"/>
        <v>LIMPA CONTATO 300ML|46067</v>
      </c>
    </row>
    <row r="469" ht="13.5" customHeight="1" spans="1:12">
      <c r="A469" s="17">
        <v>46066.5512731482</v>
      </c>
      <c r="B469" s="6" t="s">
        <v>4876</v>
      </c>
      <c r="C469" s="6" t="s">
        <v>5198</v>
      </c>
      <c r="D469" s="6" t="s">
        <v>5199</v>
      </c>
      <c r="E469" s="6" t="s">
        <v>26</v>
      </c>
      <c r="F469" s="6" t="s">
        <v>4882</v>
      </c>
      <c r="G469" s="6" t="s">
        <v>1592</v>
      </c>
      <c r="H469" s="6">
        <v>10</v>
      </c>
      <c r="I469" s="18">
        <v>130.9</v>
      </c>
      <c r="J469" s="19">
        <v>46077.5702362269</v>
      </c>
      <c r="K469" s="6" t="s">
        <v>4880</v>
      </c>
      <c r="L469" t="str">
        <f t="shared" si="7"/>
        <v>ROST OFF MECHANIC 300ML /200G|46067</v>
      </c>
    </row>
    <row r="470" ht="13.5" customHeight="1" spans="1:12">
      <c r="A470" s="17">
        <v>46066.5512731482</v>
      </c>
      <c r="B470" s="6" t="s">
        <v>4876</v>
      </c>
      <c r="C470" s="6" t="s">
        <v>5198</v>
      </c>
      <c r="D470" s="6" t="s">
        <v>5199</v>
      </c>
      <c r="E470" s="6" t="s">
        <v>26</v>
      </c>
      <c r="F470" s="6" t="s">
        <v>4882</v>
      </c>
      <c r="G470" s="6" t="s">
        <v>4723</v>
      </c>
      <c r="H470" s="6">
        <v>400</v>
      </c>
      <c r="I470" s="18">
        <v>88</v>
      </c>
      <c r="J470" s="19">
        <v>46077.5702358796</v>
      </c>
      <c r="K470" s="6" t="s">
        <v>4880</v>
      </c>
      <c r="L470" t="str">
        <f t="shared" si="7"/>
        <v>ABRAÇADEIRA NYLON NAT 6.6 3,6X280|46067</v>
      </c>
    </row>
    <row r="471" ht="13.5" customHeight="1" spans="1:12">
      <c r="A471" s="17">
        <v>46066.5512731482</v>
      </c>
      <c r="B471" s="6" t="s">
        <v>4876</v>
      </c>
      <c r="C471" s="6" t="s">
        <v>5198</v>
      </c>
      <c r="D471" s="6" t="s">
        <v>5199</v>
      </c>
      <c r="E471" s="6" t="s">
        <v>26</v>
      </c>
      <c r="F471" s="6" t="s">
        <v>4882</v>
      </c>
      <c r="G471" s="6" t="s">
        <v>594</v>
      </c>
      <c r="H471" s="6">
        <v>4</v>
      </c>
      <c r="I471" s="18">
        <v>378.52</v>
      </c>
      <c r="J471" s="19">
        <v>46077.5702351042</v>
      </c>
      <c r="K471" s="6" t="s">
        <v>4880</v>
      </c>
      <c r="L471" t="str">
        <f t="shared" si="7"/>
        <v>PASTA DESENGRAXANTE 3 KG MARCA WURTH|46067</v>
      </c>
    </row>
    <row r="472" ht="13.5" customHeight="1" spans="1:12">
      <c r="A472" s="17">
        <v>46066.5843518519</v>
      </c>
      <c r="B472" s="6" t="s">
        <v>4876</v>
      </c>
      <c r="C472" s="6" t="s">
        <v>5200</v>
      </c>
      <c r="D472" s="6" t="s">
        <v>4905</v>
      </c>
      <c r="E472" s="6" t="s">
        <v>26</v>
      </c>
      <c r="F472" s="6" t="s">
        <v>4882</v>
      </c>
      <c r="G472" s="6" t="s">
        <v>1402</v>
      </c>
      <c r="H472" s="6">
        <v>2</v>
      </c>
      <c r="I472" s="18">
        <v>4</v>
      </c>
      <c r="J472" s="19">
        <v>46066.5865553588</v>
      </c>
      <c r="K472" s="6" t="s">
        <v>4880</v>
      </c>
      <c r="L472" t="str">
        <f t="shared" si="7"/>
        <v>SOLDA ADAPTADOR CURTO 32X1 TIGRE|46067</v>
      </c>
    </row>
    <row r="473" ht="13.5" customHeight="1" spans="1:12">
      <c r="A473" s="17">
        <v>46066.5843518519</v>
      </c>
      <c r="B473" s="6" t="s">
        <v>4876</v>
      </c>
      <c r="C473" s="6" t="s">
        <v>5200</v>
      </c>
      <c r="D473" s="6" t="s">
        <v>4905</v>
      </c>
      <c r="E473" s="6" t="s">
        <v>26</v>
      </c>
      <c r="F473" s="6" t="s">
        <v>4882</v>
      </c>
      <c r="G473" s="6" t="s">
        <v>3883</v>
      </c>
      <c r="H473" s="6">
        <v>1</v>
      </c>
      <c r="I473" s="18">
        <v>417.12</v>
      </c>
      <c r="J473" s="19">
        <v>46066.5865549769</v>
      </c>
      <c r="K473" s="6" t="s">
        <v>4880</v>
      </c>
      <c r="L473" t="str">
        <f t="shared" si="7"/>
        <v>CHAPA PRETA 1/8 2X1 (3,00MM)|46067</v>
      </c>
    </row>
    <row r="474" ht="13.5" customHeight="1" spans="1:12">
      <c r="A474" s="17">
        <v>46066.5870949074</v>
      </c>
      <c r="B474" s="6" t="s">
        <v>4876</v>
      </c>
      <c r="C474" s="6" t="s">
        <v>5201</v>
      </c>
      <c r="D474" s="6" t="s">
        <v>5132</v>
      </c>
      <c r="E474" s="6" t="s">
        <v>26</v>
      </c>
      <c r="F474" s="6" t="s">
        <v>4882</v>
      </c>
      <c r="G474" s="6" t="s">
        <v>283</v>
      </c>
      <c r="H474" s="6">
        <v>1</v>
      </c>
      <c r="I474" s="18">
        <v>479.97</v>
      </c>
      <c r="J474" s="19">
        <v>46066.6334594907</v>
      </c>
      <c r="K474" s="6" t="s">
        <v>4880</v>
      </c>
      <c r="L474" t="str">
        <f t="shared" si="7"/>
        <v>REVESTIMENTO DE PORTA LD |46067</v>
      </c>
    </row>
    <row r="475" ht="13.5" customHeight="1" spans="1:12">
      <c r="A475" s="17">
        <v>46066.5870949074</v>
      </c>
      <c r="B475" s="6" t="s">
        <v>4876</v>
      </c>
      <c r="C475" s="6" t="s">
        <v>5201</v>
      </c>
      <c r="D475" s="6" t="s">
        <v>5132</v>
      </c>
      <c r="E475" s="6" t="s">
        <v>26</v>
      </c>
      <c r="F475" s="6" t="s">
        <v>4882</v>
      </c>
      <c r="G475" s="6" t="s">
        <v>202</v>
      </c>
      <c r="H475" s="6">
        <v>1</v>
      </c>
      <c r="I475" s="18">
        <v>350</v>
      </c>
      <c r="J475" s="19">
        <v>46066.6334591088</v>
      </c>
      <c r="K475" s="6" t="s">
        <v>4880</v>
      </c>
      <c r="L475" t="str">
        <f t="shared" si="7"/>
        <v>ELETRO VENT UNIV 10P 24V SOPRANTE 750018|46067</v>
      </c>
    </row>
    <row r="476" ht="13.5" customHeight="1" spans="1:12">
      <c r="A476" s="17">
        <v>46066.6060185185</v>
      </c>
      <c r="B476" s="6" t="s">
        <v>4876</v>
      </c>
      <c r="C476" s="6" t="s">
        <v>5202</v>
      </c>
      <c r="D476" s="6" t="s">
        <v>5093</v>
      </c>
      <c r="E476" s="6" t="s">
        <v>26</v>
      </c>
      <c r="F476" s="6" t="s">
        <v>4882</v>
      </c>
      <c r="G476" s="6" t="s">
        <v>2483</v>
      </c>
      <c r="H476" s="6">
        <v>2</v>
      </c>
      <c r="I476" s="18">
        <v>95.22</v>
      </c>
      <c r="J476" s="19">
        <v>46071.6096604514</v>
      </c>
      <c r="K476" s="6" t="s">
        <v>4880</v>
      </c>
      <c r="L476" t="str">
        <f t="shared" si="7"/>
        <v>MASCARA RESPIRATORIA 2 FILTROSCG306 CARBOGRAFITE|46067</v>
      </c>
    </row>
    <row r="477" ht="13.5" customHeight="1" spans="1:12">
      <c r="A477" s="17">
        <v>46066.6464467593</v>
      </c>
      <c r="B477" s="6" t="s">
        <v>4876</v>
      </c>
      <c r="C477" s="6" t="s">
        <v>5201</v>
      </c>
      <c r="D477" s="6" t="s">
        <v>5132</v>
      </c>
      <c r="E477" s="6" t="s">
        <v>26</v>
      </c>
      <c r="F477" s="6" t="s">
        <v>4882</v>
      </c>
      <c r="G477" s="6" t="s">
        <v>202</v>
      </c>
      <c r="H477" s="6">
        <v>1</v>
      </c>
      <c r="I477" s="18">
        <v>350</v>
      </c>
      <c r="J477" s="19">
        <v>46066.647668287</v>
      </c>
      <c r="K477" s="6" t="s">
        <v>4880</v>
      </c>
      <c r="L477" t="str">
        <f t="shared" si="7"/>
        <v>ELETRO VENT UNIV 10P 24V SOPRANTE 750018|46067</v>
      </c>
    </row>
    <row r="478" ht="13.5" customHeight="1" spans="1:12">
      <c r="A478" s="17">
        <v>46067.3803935185</v>
      </c>
      <c r="B478" s="6" t="s">
        <v>4876</v>
      </c>
      <c r="C478" s="6" t="s">
        <v>5203</v>
      </c>
      <c r="D478" s="6" t="s">
        <v>5196</v>
      </c>
      <c r="E478" s="6" t="s">
        <v>26</v>
      </c>
      <c r="F478" s="6" t="s">
        <v>4882</v>
      </c>
      <c r="G478" s="6" t="s">
        <v>705</v>
      </c>
      <c r="H478" s="6">
        <v>1</v>
      </c>
      <c r="I478" s="18">
        <v>77.5</v>
      </c>
      <c r="J478" s="19">
        <v>46072.3810853357</v>
      </c>
      <c r="K478" s="6" t="s">
        <v>4880</v>
      </c>
      <c r="L478" t="str">
        <f t="shared" si="7"/>
        <v>MASCARA PARA SOLDA REG.AUTOMÁTICA MSL 5000 LYNUS|46067</v>
      </c>
    </row>
    <row r="479" ht="13.5" customHeight="1" spans="1:12">
      <c r="A479" s="17">
        <v>46067.5433449074</v>
      </c>
      <c r="B479" s="6" t="s">
        <v>4876</v>
      </c>
      <c r="C479" s="6" t="s">
        <v>5204</v>
      </c>
      <c r="D479" s="6" t="s">
        <v>4912</v>
      </c>
      <c r="E479" s="6" t="s">
        <v>26</v>
      </c>
      <c r="F479" s="6" t="s">
        <v>4882</v>
      </c>
      <c r="G479" s="6" t="s">
        <v>3780</v>
      </c>
      <c r="H479" s="6">
        <v>1</v>
      </c>
      <c r="I479" s="18">
        <v>350</v>
      </c>
      <c r="J479" s="19">
        <v>46071.546015625</v>
      </c>
      <c r="K479" s="6" t="s">
        <v>4880</v>
      </c>
      <c r="L479" t="str">
        <f t="shared" si="7"/>
        <v>CILINDRO NITROGÊNIO 10m³|46068</v>
      </c>
    </row>
    <row r="480" ht="13.5" customHeight="1" spans="1:12">
      <c r="A480" s="17">
        <v>46067.6191782407</v>
      </c>
      <c r="B480" s="6" t="s">
        <v>4876</v>
      </c>
      <c r="C480" s="6" t="s">
        <v>5205</v>
      </c>
      <c r="D480" s="6" t="s">
        <v>5206</v>
      </c>
      <c r="E480" s="6" t="s">
        <v>26</v>
      </c>
      <c r="F480" s="6" t="s">
        <v>4882</v>
      </c>
      <c r="G480" s="6" t="s">
        <v>3808</v>
      </c>
      <c r="H480" s="6">
        <v>1</v>
      </c>
      <c r="I480" s="18">
        <v>34.11</v>
      </c>
      <c r="J480" s="19">
        <v>46071.620659757</v>
      </c>
      <c r="K480" s="6" t="s">
        <v>4880</v>
      </c>
      <c r="L480" t="str">
        <f t="shared" si="7"/>
        <v>CHAVE SACA FILTRO|46068</v>
      </c>
    </row>
    <row r="481" ht="13.5" customHeight="1" spans="1:12">
      <c r="A481" s="17">
        <v>46069.4200810185</v>
      </c>
      <c r="B481" s="6" t="s">
        <v>4876</v>
      </c>
      <c r="C481" s="6" t="s">
        <v>5207</v>
      </c>
      <c r="D481" s="6" t="s">
        <v>5208</v>
      </c>
      <c r="E481" s="6" t="s">
        <v>26</v>
      </c>
      <c r="F481" s="6" t="s">
        <v>4882</v>
      </c>
      <c r="G481" s="6" t="s">
        <v>697</v>
      </c>
      <c r="H481" s="6">
        <v>1</v>
      </c>
      <c r="I481" s="18">
        <v>166.98</v>
      </c>
      <c r="J481" s="19">
        <v>46076.4219762384</v>
      </c>
      <c r="K481" s="6" t="s">
        <v>4880</v>
      </c>
      <c r="L481" t="str">
        <f t="shared" si="7"/>
        <v>MACACÃO REFLETIVO/BRIM 100% ALGODÃO 56=G|46069</v>
      </c>
    </row>
    <row r="482" ht="13.5" customHeight="1" spans="1:12">
      <c r="A482" s="17">
        <v>46071.585</v>
      </c>
      <c r="B482" s="6" t="s">
        <v>4876</v>
      </c>
      <c r="C482" s="6" t="s">
        <v>5209</v>
      </c>
      <c r="D482" s="6" t="s">
        <v>5163</v>
      </c>
      <c r="E482" s="6" t="s">
        <v>26</v>
      </c>
      <c r="F482" s="6" t="s">
        <v>4882</v>
      </c>
      <c r="G482" s="6" t="s">
        <v>473</v>
      </c>
      <c r="H482" s="6">
        <v>1</v>
      </c>
      <c r="I482" s="18">
        <v>396.44</v>
      </c>
      <c r="J482" s="19">
        <v>46071.5866092593</v>
      </c>
      <c r="K482" s="6" t="s">
        <v>4880</v>
      </c>
      <c r="L482" t="str">
        <f t="shared" si="7"/>
        <v>SUPORTE DO ESTRIBO ESCADA ACCELO ESQUERDO (LE)|46072</v>
      </c>
    </row>
    <row r="483" ht="13.5" customHeight="1" spans="1:12">
      <c r="A483" s="17">
        <v>46071.585</v>
      </c>
      <c r="B483" s="6" t="s">
        <v>4876</v>
      </c>
      <c r="C483" s="6" t="s">
        <v>5209</v>
      </c>
      <c r="D483" s="6" t="s">
        <v>5163</v>
      </c>
      <c r="E483" s="6" t="s">
        <v>26</v>
      </c>
      <c r="F483" s="6" t="s">
        <v>4882</v>
      </c>
      <c r="G483" s="6" t="s">
        <v>177</v>
      </c>
      <c r="H483" s="6">
        <v>1</v>
      </c>
      <c r="I483" s="18">
        <v>396.44</v>
      </c>
      <c r="J483" s="19">
        <v>46071.5866090625</v>
      </c>
      <c r="K483" s="6" t="s">
        <v>4880</v>
      </c>
      <c r="L483" t="str">
        <f t="shared" si="7"/>
        <v>SUPORTE DO ESTRIBO ESCADA ACCELO DIREITO (LD)|46072</v>
      </c>
    </row>
    <row r="484" ht="13.5" customHeight="1" spans="1:12">
      <c r="A484" s="17">
        <v>46072.3649884259</v>
      </c>
      <c r="B484" s="6" t="s">
        <v>4876</v>
      </c>
      <c r="C484" s="6" t="s">
        <v>5210</v>
      </c>
      <c r="D484" s="6" t="s">
        <v>5211</v>
      </c>
      <c r="E484" s="6" t="s">
        <v>26</v>
      </c>
      <c r="F484" s="6" t="s">
        <v>4882</v>
      </c>
      <c r="G484" s="6" t="s">
        <v>1036</v>
      </c>
      <c r="H484" s="6">
        <v>10</v>
      </c>
      <c r="I484" s="18">
        <v>370</v>
      </c>
      <c r="J484" s="19">
        <v>46073.3908587153</v>
      </c>
      <c r="K484" s="6" t="s">
        <v>4880</v>
      </c>
      <c r="L484" t="str">
        <f t="shared" si="7"/>
        <v>UREIA 1KG|46072</v>
      </c>
    </row>
    <row r="485" ht="13.5" customHeight="1" spans="1:12">
      <c r="A485" s="17">
        <v>46072.371412037</v>
      </c>
      <c r="B485" s="6" t="s">
        <v>4876</v>
      </c>
      <c r="C485" s="6" t="s">
        <v>5212</v>
      </c>
      <c r="D485" s="6" t="s">
        <v>5213</v>
      </c>
      <c r="E485" s="6" t="s">
        <v>182</v>
      </c>
      <c r="F485" s="6" t="s">
        <v>4879</v>
      </c>
      <c r="G485" s="6" t="s">
        <v>3022</v>
      </c>
      <c r="H485" s="6">
        <v>11.35</v>
      </c>
      <c r="I485" s="18">
        <v>1501.605</v>
      </c>
      <c r="J485" s="19">
        <v>46078.3746052894</v>
      </c>
      <c r="K485" s="6" t="s">
        <v>4880</v>
      </c>
      <c r="L485" t="str">
        <f t="shared" si="7"/>
        <v>FLUIDO R410A ONU 3163|46072</v>
      </c>
    </row>
    <row r="486" ht="13.5" customHeight="1" spans="1:12">
      <c r="A486" s="17">
        <v>46072.371412037</v>
      </c>
      <c r="B486" s="6" t="s">
        <v>4876</v>
      </c>
      <c r="C486" s="6" t="s">
        <v>5212</v>
      </c>
      <c r="D486" s="6" t="s">
        <v>5213</v>
      </c>
      <c r="E486" s="6" t="s">
        <v>182</v>
      </c>
      <c r="F486" s="6" t="s">
        <v>4879</v>
      </c>
      <c r="G486" s="6" t="s">
        <v>3021</v>
      </c>
      <c r="H486" s="6">
        <v>87.2</v>
      </c>
      <c r="I486" s="18">
        <v>6888.8</v>
      </c>
      <c r="J486" s="19">
        <v>46078.3746034722</v>
      </c>
      <c r="K486" s="6" t="s">
        <v>4880</v>
      </c>
      <c r="L486" t="str">
        <f t="shared" si="7"/>
        <v>FLUIDO REF R404A HP62 ONU 3337 |46072</v>
      </c>
    </row>
    <row r="487" ht="13.5" customHeight="1" spans="1:12">
      <c r="A487" s="17">
        <v>46072.3909722222</v>
      </c>
      <c r="B487" s="6" t="s">
        <v>4876</v>
      </c>
      <c r="C487" s="6" t="s">
        <v>5214</v>
      </c>
      <c r="D487" s="6" t="s">
        <v>4919</v>
      </c>
      <c r="E487" s="6" t="s">
        <v>26</v>
      </c>
      <c r="F487" s="6" t="s">
        <v>4882</v>
      </c>
      <c r="G487" s="6" t="s">
        <v>239</v>
      </c>
      <c r="H487" s="6">
        <v>6</v>
      </c>
      <c r="I487" s="18">
        <v>180.24</v>
      </c>
      <c r="J487" s="19">
        <v>46073.3935103357</v>
      </c>
      <c r="K487" s="6" t="s">
        <v>4880</v>
      </c>
      <c r="L487" t="str">
        <f t="shared" si="7"/>
        <v>SPRAY PRETO FOSCO 360ML DECOR COLORGIN|46072</v>
      </c>
    </row>
    <row r="488" ht="13.5" customHeight="1" spans="1:12">
      <c r="A488" s="17">
        <v>46072.3936921296</v>
      </c>
      <c r="B488" s="6" t="s">
        <v>4876</v>
      </c>
      <c r="C488" s="6" t="s">
        <v>5215</v>
      </c>
      <c r="D488" s="6" t="s">
        <v>4971</v>
      </c>
      <c r="E488" s="6" t="s">
        <v>26</v>
      </c>
      <c r="F488" s="6" t="s">
        <v>4882</v>
      </c>
      <c r="G488" s="6" t="s">
        <v>2880</v>
      </c>
      <c r="H488" s="6">
        <v>3</v>
      </c>
      <c r="I488" s="18">
        <v>26.82</v>
      </c>
      <c r="J488" s="19">
        <v>46073.3986516551</v>
      </c>
      <c r="K488" s="6" t="s">
        <v>4880</v>
      </c>
      <c r="L488" t="str">
        <f t="shared" si="7"/>
        <v>INT MODULO SIMPLES 1 SESSAO|46072</v>
      </c>
    </row>
    <row r="489" ht="13.5" customHeight="1" spans="1:12">
      <c r="A489" s="17">
        <v>46072.3936921296</v>
      </c>
      <c r="B489" s="6" t="s">
        <v>4876</v>
      </c>
      <c r="C489" s="6" t="s">
        <v>5215</v>
      </c>
      <c r="D489" s="6" t="s">
        <v>4971</v>
      </c>
      <c r="E489" s="6" t="s">
        <v>26</v>
      </c>
      <c r="F489" s="6" t="s">
        <v>4882</v>
      </c>
      <c r="G489" s="6" t="s">
        <v>856</v>
      </c>
      <c r="H489" s="6">
        <v>3</v>
      </c>
      <c r="I489" s="18">
        <v>34.95</v>
      </c>
      <c r="J489" s="19">
        <v>46073.3986507292</v>
      </c>
      <c r="K489" s="6" t="s">
        <v>4880</v>
      </c>
      <c r="L489" t="str">
        <f t="shared" si="7"/>
        <v>INTERRUPTOR 1 SESSAO|46072</v>
      </c>
    </row>
    <row r="490" ht="13.5" customHeight="1" spans="1:12">
      <c r="A490" s="17">
        <v>46072.3936921296</v>
      </c>
      <c r="B490" s="6" t="s">
        <v>4876</v>
      </c>
      <c r="C490" s="6" t="s">
        <v>5215</v>
      </c>
      <c r="D490" s="6" t="s">
        <v>4971</v>
      </c>
      <c r="E490" s="6" t="s">
        <v>26</v>
      </c>
      <c r="F490" s="6" t="s">
        <v>4882</v>
      </c>
      <c r="G490" s="6" t="s">
        <v>4506</v>
      </c>
      <c r="H490" s="6">
        <v>5</v>
      </c>
      <c r="I490" s="18">
        <v>64.7</v>
      </c>
      <c r="J490" s="19">
        <v>46073.3986498495</v>
      </c>
      <c r="K490" s="6" t="s">
        <v>4880</v>
      </c>
      <c r="L490" t="str">
        <f t="shared" si="7"/>
        <v>ATLAS PR6804 PULVERIZADOR |46072</v>
      </c>
    </row>
    <row r="491" ht="13.5" customHeight="1" spans="1:12">
      <c r="A491" s="17">
        <v>46072.4680671296</v>
      </c>
      <c r="B491" s="6" t="s">
        <v>4876</v>
      </c>
      <c r="C491" s="6" t="s">
        <v>5216</v>
      </c>
      <c r="D491" s="6" t="s">
        <v>4894</v>
      </c>
      <c r="E491" s="6" t="s">
        <v>26</v>
      </c>
      <c r="F491" s="6" t="s">
        <v>4882</v>
      </c>
      <c r="G491" s="6" t="s">
        <v>2745</v>
      </c>
      <c r="H491" s="6">
        <v>6</v>
      </c>
      <c r="I491" s="18">
        <v>45.66</v>
      </c>
      <c r="J491" s="19">
        <v>46072.5269532407</v>
      </c>
      <c r="K491" s="6" t="s">
        <v>4880</v>
      </c>
      <c r="L491" t="str">
        <f t="shared" si="7"/>
        <v>KIT PLASTICO MOSQUETEIRO|46072</v>
      </c>
    </row>
    <row r="492" ht="13.5" customHeight="1" spans="1:12">
      <c r="A492" s="17">
        <v>46072.4680671296</v>
      </c>
      <c r="B492" s="6" t="s">
        <v>4876</v>
      </c>
      <c r="C492" s="6" t="s">
        <v>5216</v>
      </c>
      <c r="D492" s="6" t="s">
        <v>4894</v>
      </c>
      <c r="E492" s="6" t="s">
        <v>26</v>
      </c>
      <c r="F492" s="6" t="s">
        <v>4882</v>
      </c>
      <c r="G492" s="6" t="s">
        <v>507</v>
      </c>
      <c r="H492" s="6">
        <v>6</v>
      </c>
      <c r="I492" s="18">
        <v>175.8</v>
      </c>
      <c r="J492" s="19">
        <v>46072.526953044</v>
      </c>
      <c r="K492" s="6" t="s">
        <v>4880</v>
      </c>
      <c r="L492" t="str">
        <f t="shared" si="7"/>
        <v>PU PARABRISA 380GR|46072</v>
      </c>
    </row>
    <row r="493" ht="13.5" customHeight="1" spans="1:12">
      <c r="A493" s="17">
        <v>46072.5274884259</v>
      </c>
      <c r="B493" s="6" t="s">
        <v>4876</v>
      </c>
      <c r="C493" s="6" t="s">
        <v>5217</v>
      </c>
      <c r="D493" s="6" t="s">
        <v>110</v>
      </c>
      <c r="E493" s="6" t="s">
        <v>26</v>
      </c>
      <c r="F493" s="6" t="s">
        <v>4882</v>
      </c>
      <c r="G493" s="6" t="s">
        <v>2695</v>
      </c>
      <c r="H493" s="6">
        <v>2</v>
      </c>
      <c r="I493" s="18">
        <v>158</v>
      </c>
      <c r="J493" s="19">
        <v>46072.5300664699</v>
      </c>
      <c r="K493" s="6" t="s">
        <v>4880</v>
      </c>
      <c r="L493" t="str">
        <f t="shared" si="7"/>
        <v>LANTERNA LAT VOLVO VM ESTRIBO 474370|46073</v>
      </c>
    </row>
    <row r="494" ht="13.5" customHeight="1" spans="1:12">
      <c r="A494" s="17">
        <v>46073.3593402778</v>
      </c>
      <c r="B494" s="6" t="s">
        <v>4876</v>
      </c>
      <c r="C494" s="6" t="s">
        <v>5218</v>
      </c>
      <c r="D494" s="6" t="s">
        <v>4894</v>
      </c>
      <c r="E494" s="6" t="s">
        <v>26</v>
      </c>
      <c r="F494" s="6" t="s">
        <v>4882</v>
      </c>
      <c r="G494" s="6" t="s">
        <v>2105</v>
      </c>
      <c r="H494" s="6">
        <v>10</v>
      </c>
      <c r="I494" s="18">
        <v>12.8</v>
      </c>
      <c r="J494" s="19">
        <v>46076.4071137732</v>
      </c>
      <c r="K494" s="6" t="s">
        <v>4880</v>
      </c>
      <c r="L494" t="str">
        <f t="shared" si="7"/>
        <v>PARAFUSO SEXT UNC 1/4X1 1/2 ZB|46073</v>
      </c>
    </row>
    <row r="495" ht="13.5" customHeight="1" spans="1:12">
      <c r="A495" s="17">
        <v>46073.3593402778</v>
      </c>
      <c r="B495" s="6" t="s">
        <v>4876</v>
      </c>
      <c r="C495" s="6" t="s">
        <v>5218</v>
      </c>
      <c r="D495" s="6" t="s">
        <v>4894</v>
      </c>
      <c r="E495" s="6" t="s">
        <v>26</v>
      </c>
      <c r="F495" s="6" t="s">
        <v>4882</v>
      </c>
      <c r="G495" s="6" t="s">
        <v>1903</v>
      </c>
      <c r="H495" s="6">
        <v>10</v>
      </c>
      <c r="I495" s="18">
        <v>3</v>
      </c>
      <c r="J495" s="19">
        <v>46076.4071132292</v>
      </c>
      <c r="K495" s="6" t="s">
        <v>4880</v>
      </c>
      <c r="L495" t="str">
        <f t="shared" si="7"/>
        <v>PORCA SEXTAVADA UNC 1/4 ZB|46073</v>
      </c>
    </row>
    <row r="496" ht="13.5" customHeight="1" spans="1:12">
      <c r="A496" s="17">
        <v>46073.3593402778</v>
      </c>
      <c r="B496" s="6" t="s">
        <v>4876</v>
      </c>
      <c r="C496" s="6" t="s">
        <v>5218</v>
      </c>
      <c r="D496" s="6" t="s">
        <v>4894</v>
      </c>
      <c r="E496" s="6" t="s">
        <v>26</v>
      </c>
      <c r="F496" s="6" t="s">
        <v>4882</v>
      </c>
      <c r="G496" s="6" t="s">
        <v>3429</v>
      </c>
      <c r="H496" s="6">
        <v>4</v>
      </c>
      <c r="I496" s="18">
        <v>163.16</v>
      </c>
      <c r="J496" s="19">
        <v>46076.4071126968</v>
      </c>
      <c r="K496" s="6" t="s">
        <v>4880</v>
      </c>
      <c r="L496" t="str">
        <f t="shared" si="7"/>
        <v>DISCO REMOVEDOR  FLAP 115MM|46073</v>
      </c>
    </row>
    <row r="497" ht="13.5" customHeight="1" spans="1:12">
      <c r="A497" s="17">
        <v>46073.3593402778</v>
      </c>
      <c r="B497" s="6" t="s">
        <v>4876</v>
      </c>
      <c r="C497" s="6" t="s">
        <v>5218</v>
      </c>
      <c r="D497" s="6" t="s">
        <v>4894</v>
      </c>
      <c r="E497" s="6" t="s">
        <v>26</v>
      </c>
      <c r="F497" s="6" t="s">
        <v>4882</v>
      </c>
      <c r="G497" s="6" t="s">
        <v>3428</v>
      </c>
      <c r="H497" s="6">
        <v>4</v>
      </c>
      <c r="I497" s="18">
        <v>214.44</v>
      </c>
      <c r="J497" s="19">
        <v>46076.4071121528</v>
      </c>
      <c r="K497" s="6" t="s">
        <v>4880</v>
      </c>
      <c r="L497" t="str">
        <f t="shared" si="7"/>
        <v>DISCO REMOVEDOR  FLAP 125MM|46073</v>
      </c>
    </row>
    <row r="498" ht="13.5" customHeight="1" spans="1:12">
      <c r="A498" s="17">
        <v>46073.4294791667</v>
      </c>
      <c r="B498" s="6" t="s">
        <v>4876</v>
      </c>
      <c r="C498" s="6" t="s">
        <v>5219</v>
      </c>
      <c r="D498" s="6" t="s">
        <v>5220</v>
      </c>
      <c r="E498" s="6" t="s">
        <v>26</v>
      </c>
      <c r="F498" s="6" t="s">
        <v>4882</v>
      </c>
      <c r="G498" s="6" t="s">
        <v>752</v>
      </c>
      <c r="H498" s="6">
        <v>15</v>
      </c>
      <c r="I498" s="18">
        <v>179.85</v>
      </c>
      <c r="J498" s="19">
        <v>46076.4307917477</v>
      </c>
      <c r="K498" s="6" t="s">
        <v>4880</v>
      </c>
      <c r="L498" t="str">
        <f t="shared" si="7"/>
        <v>IMÃ MANTA ADESIVA A4|46073</v>
      </c>
    </row>
    <row r="499" ht="13.5" customHeight="1" spans="1:12">
      <c r="A499" s="17">
        <v>46073.5318171296</v>
      </c>
      <c r="B499" s="6" t="s">
        <v>4876</v>
      </c>
      <c r="C499" s="6" t="s">
        <v>5221</v>
      </c>
      <c r="D499" s="6" t="s">
        <v>4954</v>
      </c>
      <c r="E499" s="6" t="s">
        <v>26</v>
      </c>
      <c r="F499" s="6" t="s">
        <v>4882</v>
      </c>
      <c r="G499" s="6" t="s">
        <v>284</v>
      </c>
      <c r="H499" s="6">
        <v>1</v>
      </c>
      <c r="I499" s="18">
        <v>558</v>
      </c>
      <c r="J499" s="19">
        <v>46073.5337721065</v>
      </c>
      <c r="K499" s="6" t="s">
        <v>4880</v>
      </c>
      <c r="L499" t="str">
        <f t="shared" si="7"/>
        <v>CONJUNTO CABEÇOTE COMP.85MM ACCELO|46074</v>
      </c>
    </row>
    <row r="500" ht="13.5" customHeight="1" spans="1:12">
      <c r="A500" s="17">
        <v>46073.5318171296</v>
      </c>
      <c r="B500" s="6" t="s">
        <v>4876</v>
      </c>
      <c r="C500" s="6" t="s">
        <v>5221</v>
      </c>
      <c r="D500" s="6" t="s">
        <v>4954</v>
      </c>
      <c r="E500" s="6" t="s">
        <v>26</v>
      </c>
      <c r="F500" s="6" t="s">
        <v>4882</v>
      </c>
      <c r="G500" s="6" t="s">
        <v>3720</v>
      </c>
      <c r="H500" s="6">
        <v>6</v>
      </c>
      <c r="I500" s="18">
        <v>209.4</v>
      </c>
      <c r="J500" s="19">
        <v>46073.5337717593</v>
      </c>
      <c r="K500" s="6" t="s">
        <v>4880</v>
      </c>
      <c r="L500" t="str">
        <f t="shared" si="7"/>
        <v>COLA SILICONE MARCA GREY 999 (CINZA)|46074</v>
      </c>
    </row>
    <row r="501" ht="13.5" customHeight="1" spans="1:12">
      <c r="A501" s="17">
        <v>46073.5318171296</v>
      </c>
      <c r="B501" s="6" t="s">
        <v>4876</v>
      </c>
      <c r="C501" s="6" t="s">
        <v>5221</v>
      </c>
      <c r="D501" s="6" t="s">
        <v>4954</v>
      </c>
      <c r="E501" s="6" t="s">
        <v>26</v>
      </c>
      <c r="F501" s="6" t="s">
        <v>4882</v>
      </c>
      <c r="G501" s="6" t="s">
        <v>27</v>
      </c>
      <c r="H501" s="6">
        <v>20</v>
      </c>
      <c r="I501" s="18">
        <v>960</v>
      </c>
      <c r="J501" s="19">
        <v>46073.5337713773</v>
      </c>
      <c r="K501" s="6" t="s">
        <v>4880</v>
      </c>
      <c r="L501" t="str">
        <f t="shared" si="7"/>
        <v>LAMPADA H7 24V PHILLIPS|46074</v>
      </c>
    </row>
    <row r="502" ht="13.5" customHeight="1" spans="1:12">
      <c r="A502" s="17">
        <v>46073.5318171296</v>
      </c>
      <c r="B502" s="6" t="s">
        <v>4876</v>
      </c>
      <c r="C502" s="6" t="s">
        <v>5221</v>
      </c>
      <c r="D502" s="6" t="s">
        <v>4954</v>
      </c>
      <c r="E502" s="6" t="s">
        <v>26</v>
      </c>
      <c r="F502" s="6" t="s">
        <v>4882</v>
      </c>
      <c r="G502" s="6" t="s">
        <v>277</v>
      </c>
      <c r="H502" s="6">
        <v>2</v>
      </c>
      <c r="I502" s="18">
        <v>250</v>
      </c>
      <c r="J502" s="19">
        <v>46073.5337708333</v>
      </c>
      <c r="K502" s="6" t="s">
        <v>4880</v>
      </c>
      <c r="L502" t="str">
        <f t="shared" si="7"/>
        <v>VALVULA TERMOSTATICA 83 ACCELO|46074</v>
      </c>
    </row>
    <row r="503" ht="13.5" customHeight="1" spans="1:12">
      <c r="A503" s="17">
        <v>46073.6518865741</v>
      </c>
      <c r="B503" s="6" t="s">
        <v>4876</v>
      </c>
      <c r="C503" s="6" t="s">
        <v>5222</v>
      </c>
      <c r="D503" s="6" t="s">
        <v>4905</v>
      </c>
      <c r="E503" s="6" t="s">
        <v>26</v>
      </c>
      <c r="F503" s="6" t="s">
        <v>4882</v>
      </c>
      <c r="G503" s="6" t="s">
        <v>3454</v>
      </c>
      <c r="H503" s="6">
        <v>2</v>
      </c>
      <c r="I503" s="18">
        <v>83.1</v>
      </c>
      <c r="J503" s="19">
        <v>46073.6531634259</v>
      </c>
      <c r="K503" s="6" t="s">
        <v>4880</v>
      </c>
      <c r="L503" t="str">
        <f t="shared" si="7"/>
        <v>DISCO DE CORTE FERRO 12X1/8 (300MM X 3,2MM X 25.4MM)|46074</v>
      </c>
    </row>
    <row r="504" ht="13.5" customHeight="1" spans="1:12">
      <c r="A504" s="17">
        <v>46073.6537037037</v>
      </c>
      <c r="B504" s="6" t="s">
        <v>4876</v>
      </c>
      <c r="C504" s="6" t="s">
        <v>5223</v>
      </c>
      <c r="D504" s="6" t="s">
        <v>5224</v>
      </c>
      <c r="E504" s="6" t="s">
        <v>26</v>
      </c>
      <c r="F504" s="6" t="s">
        <v>4882</v>
      </c>
      <c r="G504" s="6" t="s">
        <v>635</v>
      </c>
      <c r="H504" s="6">
        <v>25</v>
      </c>
      <c r="I504" s="18">
        <v>136</v>
      </c>
      <c r="J504" s="19">
        <v>46073.6571170139</v>
      </c>
      <c r="K504" s="6" t="s">
        <v>4880</v>
      </c>
      <c r="L504" t="str">
        <f t="shared" si="7"/>
        <v>RAÇÃO P/ PEIXE (LAGUNA)|46074</v>
      </c>
    </row>
    <row r="505" ht="13.5" customHeight="1" spans="1:12">
      <c r="A505" s="17">
        <v>46076.5284375</v>
      </c>
      <c r="B505" s="6" t="s">
        <v>4876</v>
      </c>
      <c r="C505" s="6" t="s">
        <v>5225</v>
      </c>
      <c r="D505" s="6" t="s">
        <v>4879</v>
      </c>
      <c r="E505" s="6" t="s">
        <v>26</v>
      </c>
      <c r="F505" s="6" t="s">
        <v>4882</v>
      </c>
      <c r="G505" s="6" t="s">
        <v>282</v>
      </c>
      <c r="H505" s="6">
        <v>1</v>
      </c>
      <c r="I505" s="18">
        <v>307</v>
      </c>
      <c r="J505" s="19">
        <v>46076.5291586458</v>
      </c>
      <c r="K505" s="6" t="s">
        <v>4880</v>
      </c>
      <c r="L505" t="str">
        <f t="shared" si="7"/>
        <v>ELETRO VENTILADO. UNIVERSAL 12P  12V ´´ASPIRANTE´´|46077</v>
      </c>
    </row>
    <row r="506" ht="13.5" customHeight="1" spans="1:12">
      <c r="A506" s="17">
        <v>46076.5291319444</v>
      </c>
      <c r="B506" s="6" t="s">
        <v>4876</v>
      </c>
      <c r="C506" s="6" t="s">
        <v>5226</v>
      </c>
      <c r="D506" s="6" t="s">
        <v>5227</v>
      </c>
      <c r="E506" s="6" t="s">
        <v>26</v>
      </c>
      <c r="F506" s="6" t="s">
        <v>4882</v>
      </c>
      <c r="G506" s="6" t="s">
        <v>1413</v>
      </c>
      <c r="H506" s="6">
        <v>1</v>
      </c>
      <c r="I506" s="18">
        <v>2136.55</v>
      </c>
      <c r="J506" s="19">
        <v>46078.5306719907</v>
      </c>
      <c r="K506" s="6" t="s">
        <v>4880</v>
      </c>
      <c r="L506" t="str">
        <f t="shared" si="7"/>
        <v>SMART TV 55 SEMP |46077</v>
      </c>
    </row>
    <row r="507" ht="13.5" customHeight="1" spans="1:12">
      <c r="A507" s="17">
        <v>46076.5296412037</v>
      </c>
      <c r="B507" s="6" t="s">
        <v>4876</v>
      </c>
      <c r="C507" s="6" t="s">
        <v>5228</v>
      </c>
      <c r="D507" s="6" t="s">
        <v>5132</v>
      </c>
      <c r="E507" s="6" t="s">
        <v>26</v>
      </c>
      <c r="F507" s="6" t="s">
        <v>4882</v>
      </c>
      <c r="G507" s="6" t="s">
        <v>282</v>
      </c>
      <c r="H507" s="6">
        <v>2</v>
      </c>
      <c r="I507" s="18">
        <v>780</v>
      </c>
      <c r="J507" s="19">
        <v>46076.5302689005</v>
      </c>
      <c r="K507" s="6" t="s">
        <v>4880</v>
      </c>
      <c r="L507" t="str">
        <f t="shared" si="7"/>
        <v>ELETRO VENTILADO. UNIVERSAL 12P  12V ´´ASPIRANTE´´|46077</v>
      </c>
    </row>
    <row r="508" ht="13.5" customHeight="1" spans="1:12">
      <c r="A508" s="17">
        <v>46076.5306134259</v>
      </c>
      <c r="B508" s="6" t="s">
        <v>4876</v>
      </c>
      <c r="C508" s="6" t="s">
        <v>5229</v>
      </c>
      <c r="D508" s="6" t="s">
        <v>5065</v>
      </c>
      <c r="E508" s="6" t="s">
        <v>26</v>
      </c>
      <c r="F508" s="6" t="s">
        <v>4882</v>
      </c>
      <c r="G508" s="6" t="s">
        <v>267</v>
      </c>
      <c r="H508" s="6">
        <v>2</v>
      </c>
      <c r="I508" s="18">
        <v>110</v>
      </c>
      <c r="J508" s="19">
        <v>46076.5314705671</v>
      </c>
      <c r="K508" s="6" t="s">
        <v>4880</v>
      </c>
      <c r="L508" t="str">
        <f t="shared" si="7"/>
        <v>OLEO LUBRIFICANTE 2T 500ML 8017H MARCA STIHLL|46077</v>
      </c>
    </row>
    <row r="509" ht="13.5" customHeight="1" spans="1:12">
      <c r="A509" s="17">
        <v>46077.3985185185</v>
      </c>
      <c r="B509" s="6" t="s">
        <v>4876</v>
      </c>
      <c r="C509" s="6" t="s">
        <v>5230</v>
      </c>
      <c r="D509" s="6" t="s">
        <v>5231</v>
      </c>
      <c r="E509" s="6" t="s">
        <v>26</v>
      </c>
      <c r="F509" s="6" t="s">
        <v>4882</v>
      </c>
      <c r="G509" s="6" t="s">
        <v>3206</v>
      </c>
      <c r="H509" s="6">
        <v>6</v>
      </c>
      <c r="I509" s="18">
        <v>407.4</v>
      </c>
      <c r="J509" s="19">
        <v>46083.4031260417</v>
      </c>
      <c r="K509" s="6" t="s">
        <v>4880</v>
      </c>
      <c r="L509" t="str">
        <f t="shared" si="7"/>
        <v>FACA DESOSSA CURVADA 5516-6 AÇO INOX|46077</v>
      </c>
    </row>
    <row r="510" ht="13.5" customHeight="1" spans="1:12">
      <c r="A510" s="17">
        <v>46077.5375347222</v>
      </c>
      <c r="B510" s="6" t="s">
        <v>4876</v>
      </c>
      <c r="C510" s="6" t="s">
        <v>5232</v>
      </c>
      <c r="D510" s="6" t="s">
        <v>4971</v>
      </c>
      <c r="E510" s="6" t="s">
        <v>26</v>
      </c>
      <c r="F510" s="6" t="s">
        <v>4882</v>
      </c>
      <c r="G510" s="6" t="s">
        <v>4525</v>
      </c>
      <c r="H510" s="6">
        <v>5</v>
      </c>
      <c r="I510" s="18">
        <v>222.95</v>
      </c>
      <c r="J510" s="19">
        <v>46077.5395732292</v>
      </c>
      <c r="K510" s="6" t="s">
        <v>4880</v>
      </c>
      <c r="L510" t="str">
        <f t="shared" si="7"/>
        <v>ASSENTO SANITARIO SIMPLES|46078</v>
      </c>
    </row>
    <row r="511" ht="13.5" customHeight="1" spans="1:12">
      <c r="A511" s="17">
        <v>46077.5396180556</v>
      </c>
      <c r="B511" s="6" t="s">
        <v>4876</v>
      </c>
      <c r="C511" s="6" t="s">
        <v>5233</v>
      </c>
      <c r="D511" s="6" t="s">
        <v>4971</v>
      </c>
      <c r="E511" s="6" t="s">
        <v>26</v>
      </c>
      <c r="F511" s="6" t="s">
        <v>4882</v>
      </c>
      <c r="G511" s="6" t="s">
        <v>868</v>
      </c>
      <c r="H511" s="6">
        <v>660</v>
      </c>
      <c r="I511" s="18">
        <v>660</v>
      </c>
      <c r="J511" s="19">
        <v>46077.5402275116</v>
      </c>
      <c r="K511" s="6" t="s">
        <v>4880</v>
      </c>
      <c r="L511" t="str">
        <f t="shared" si="7"/>
        <v>CORDA 4MM BRANCA|46078</v>
      </c>
    </row>
    <row r="512" ht="13.5" customHeight="1" spans="1:12">
      <c r="A512" s="17">
        <v>46077.5403935185</v>
      </c>
      <c r="B512" s="6" t="s">
        <v>4876</v>
      </c>
      <c r="C512" s="6" t="s">
        <v>5234</v>
      </c>
      <c r="D512" s="6" t="s">
        <v>4905</v>
      </c>
      <c r="E512" s="6" t="s">
        <v>26</v>
      </c>
      <c r="F512" s="6" t="s">
        <v>4882</v>
      </c>
      <c r="G512" s="6" t="s">
        <v>1786</v>
      </c>
      <c r="H512" s="6">
        <v>10</v>
      </c>
      <c r="I512" s="18">
        <v>173.7</v>
      </c>
      <c r="J512" s="19">
        <v>46077.5441376505</v>
      </c>
      <c r="K512" s="6" t="s">
        <v>4880</v>
      </c>
      <c r="L512" t="str">
        <f t="shared" si="7"/>
        <v>REBITE W-416 AL|46078</v>
      </c>
    </row>
    <row r="513" ht="13.5" customHeight="1" spans="1:12">
      <c r="A513" s="17">
        <v>46077.5403935185</v>
      </c>
      <c r="B513" s="6" t="s">
        <v>4876</v>
      </c>
      <c r="C513" s="6" t="s">
        <v>5234</v>
      </c>
      <c r="D513" s="6" t="s">
        <v>4905</v>
      </c>
      <c r="E513" s="6" t="s">
        <v>26</v>
      </c>
      <c r="F513" s="6" t="s">
        <v>4882</v>
      </c>
      <c r="G513" s="6" t="s">
        <v>506</v>
      </c>
      <c r="H513" s="6">
        <v>2</v>
      </c>
      <c r="I513" s="18">
        <v>76.54</v>
      </c>
      <c r="J513" s="19">
        <v>46077.5441373032</v>
      </c>
      <c r="K513" s="6" t="s">
        <v>4880</v>
      </c>
      <c r="L513" t="str">
        <f t="shared" si="7"/>
        <v>DISCO CORTE FERRO 12X1/8 FURO 1 (300MMX3.0MMX25.40MM)|46078</v>
      </c>
    </row>
    <row r="514" ht="13.5" customHeight="1" spans="1:12">
      <c r="A514" s="17">
        <v>46077.5477546296</v>
      </c>
      <c r="B514" s="6" t="s">
        <v>4876</v>
      </c>
      <c r="C514" s="6" t="s">
        <v>5235</v>
      </c>
      <c r="D514" s="6" t="s">
        <v>5236</v>
      </c>
      <c r="E514" s="6" t="s">
        <v>390</v>
      </c>
      <c r="F514" s="6" t="s">
        <v>4879</v>
      </c>
      <c r="G514" s="6" t="s">
        <v>3498</v>
      </c>
      <c r="H514" s="6">
        <v>1150</v>
      </c>
      <c r="I514" s="18">
        <v>4105.5</v>
      </c>
      <c r="J514" s="19">
        <v>46077.5504604514</v>
      </c>
      <c r="K514" s="6" t="s">
        <v>4880</v>
      </c>
      <c r="L514" t="str">
        <f t="shared" ref="L514:L577" si="8">IF(G514="","",G514&amp;"|"&amp;TEXT(A514,"0"))</f>
        <v>CX CV 15KG TAMPA|46078</v>
      </c>
    </row>
    <row r="515" ht="13.5" customHeight="1" spans="1:12">
      <c r="A515" s="17">
        <v>46077.5477546296</v>
      </c>
      <c r="B515" s="6" t="s">
        <v>4876</v>
      </c>
      <c r="C515" s="6" t="s">
        <v>5235</v>
      </c>
      <c r="D515" s="6" t="s">
        <v>5236</v>
      </c>
      <c r="E515" s="6" t="s">
        <v>390</v>
      </c>
      <c r="F515" s="6" t="s">
        <v>4879</v>
      </c>
      <c r="G515" s="6" t="s">
        <v>3499</v>
      </c>
      <c r="H515" s="6">
        <v>1150</v>
      </c>
      <c r="I515" s="18">
        <v>4266.5</v>
      </c>
      <c r="J515" s="19">
        <v>46077.5504597222</v>
      </c>
      <c r="K515" s="6" t="s">
        <v>4880</v>
      </c>
      <c r="L515" t="str">
        <f t="shared" si="8"/>
        <v>CX CV 15KG FUNDO|46078</v>
      </c>
    </row>
    <row r="516" ht="13.5" customHeight="1" spans="1:12">
      <c r="A516" s="17">
        <v>46077.6234837963</v>
      </c>
      <c r="B516" s="6" t="s">
        <v>4876</v>
      </c>
      <c r="C516" s="6" t="s">
        <v>5237</v>
      </c>
      <c r="D516" s="6" t="s">
        <v>5238</v>
      </c>
      <c r="E516" s="6" t="s">
        <v>26</v>
      </c>
      <c r="F516" s="6" t="s">
        <v>4882</v>
      </c>
      <c r="G516" s="6" t="s">
        <v>3608</v>
      </c>
      <c r="H516" s="6">
        <v>29</v>
      </c>
      <c r="I516" s="18">
        <v>2001</v>
      </c>
      <c r="J516" s="19">
        <v>46077.6274207523</v>
      </c>
      <c r="K516" s="6" t="s">
        <v>4880</v>
      </c>
      <c r="L516" t="str">
        <f t="shared" si="8"/>
        <v>CORDA  PP TORCIDA 24MM|46078</v>
      </c>
    </row>
    <row r="517" ht="13.5" customHeight="1" spans="1:12">
      <c r="A517" s="17">
        <v>46078.4034259259</v>
      </c>
      <c r="B517" s="6" t="s">
        <v>4876</v>
      </c>
      <c r="C517" s="6" t="s">
        <v>5239</v>
      </c>
      <c r="D517" s="6" t="s">
        <v>5240</v>
      </c>
      <c r="E517" s="6" t="s">
        <v>26</v>
      </c>
      <c r="F517" s="6" t="s">
        <v>4882</v>
      </c>
      <c r="G517" s="6" t="s">
        <v>704</v>
      </c>
      <c r="H517" s="6">
        <v>2</v>
      </c>
      <c r="I517" s="18">
        <v>2884.92</v>
      </c>
      <c r="J517" s="19">
        <v>46083.412372338</v>
      </c>
      <c r="K517" s="6" t="s">
        <v>4880</v>
      </c>
      <c r="L517" t="str">
        <f t="shared" si="8"/>
        <v>MINI PC DELL OPTIPLEX 7040 CORE 15-6600T 8GB SSD M.2 256GB|46078</v>
      </c>
    </row>
    <row r="518" ht="13.5" customHeight="1" spans="1:12">
      <c r="A518" s="17">
        <v>46078.5280902778</v>
      </c>
      <c r="B518" s="6" t="s">
        <v>4876</v>
      </c>
      <c r="C518" s="6" t="s">
        <v>5241</v>
      </c>
      <c r="D518" s="6" t="s">
        <v>5161</v>
      </c>
      <c r="E518" s="6" t="s">
        <v>26</v>
      </c>
      <c r="F518" s="6" t="s">
        <v>4882</v>
      </c>
      <c r="G518" s="6" t="s">
        <v>289</v>
      </c>
      <c r="H518" s="6">
        <v>2</v>
      </c>
      <c r="I518" s="18">
        <v>1600</v>
      </c>
      <c r="J518" s="19">
        <v>46078.5289298611</v>
      </c>
      <c r="K518" s="6" t="s">
        <v>4880</v>
      </c>
      <c r="L518" t="str">
        <f t="shared" si="8"/>
        <v>BATERIA ZETTA Z 100E|46079</v>
      </c>
    </row>
    <row r="519" ht="13.5" customHeight="1" spans="1:12">
      <c r="A519" s="17">
        <v>46078.5484837963</v>
      </c>
      <c r="B519" s="6" t="s">
        <v>4876</v>
      </c>
      <c r="C519" s="6" t="s">
        <v>5242</v>
      </c>
      <c r="D519" s="6" t="s">
        <v>4905</v>
      </c>
      <c r="E519" s="6" t="s">
        <v>26</v>
      </c>
      <c r="F519" s="6" t="s">
        <v>4882</v>
      </c>
      <c r="G519" s="6" t="s">
        <v>1784</v>
      </c>
      <c r="H519" s="6">
        <v>1</v>
      </c>
      <c r="I519" s="18">
        <v>52.72</v>
      </c>
      <c r="J519" s="19">
        <v>46078.5558541667</v>
      </c>
      <c r="K519" s="6" t="s">
        <v>4880</v>
      </c>
      <c r="L519" t="str">
        <f t="shared" si="8"/>
        <v>REDONDO 1/2 A-36|46079</v>
      </c>
    </row>
    <row r="520" ht="13.5" customHeight="1" spans="1:12">
      <c r="A520" s="17">
        <v>46078.5484837963</v>
      </c>
      <c r="B520" s="6" t="s">
        <v>4876</v>
      </c>
      <c r="C520" s="6" t="s">
        <v>5242</v>
      </c>
      <c r="D520" s="6" t="s">
        <v>4905</v>
      </c>
      <c r="E520" s="6" t="s">
        <v>26</v>
      </c>
      <c r="F520" s="6" t="s">
        <v>4882</v>
      </c>
      <c r="G520" s="6" t="s">
        <v>1081</v>
      </c>
      <c r="H520" s="6">
        <v>2</v>
      </c>
      <c r="I520" s="18">
        <v>598.92</v>
      </c>
      <c r="J520" s="19">
        <v>46078.5558538195</v>
      </c>
      <c r="K520" s="6" t="s">
        <v>4880</v>
      </c>
      <c r="L520" t="str">
        <f t="shared" si="8"/>
        <v>TUBO GALV 1X3.35 TUPER AL|46079</v>
      </c>
    </row>
    <row r="521" ht="13.5" customHeight="1" spans="1:12">
      <c r="A521" s="17">
        <v>46078.5484837963</v>
      </c>
      <c r="B521" s="6" t="s">
        <v>4876</v>
      </c>
      <c r="C521" s="6" t="s">
        <v>5242</v>
      </c>
      <c r="D521" s="6" t="s">
        <v>4905</v>
      </c>
      <c r="E521" s="6" t="s">
        <v>26</v>
      </c>
      <c r="F521" s="6" t="s">
        <v>4882</v>
      </c>
      <c r="G521" s="6" t="s">
        <v>4469</v>
      </c>
      <c r="H521" s="6">
        <v>4</v>
      </c>
      <c r="I521" s="18">
        <v>292.48</v>
      </c>
      <c r="J521" s="19">
        <v>46078.5558534722</v>
      </c>
      <c r="K521" s="6" t="s">
        <v>4880</v>
      </c>
      <c r="L521" t="str">
        <f t="shared" si="8"/>
        <v>BARRA CHATA 1.1/4X3/16 A-36|46079</v>
      </c>
    </row>
    <row r="522" ht="13.5" customHeight="1" spans="1:12">
      <c r="A522" s="17">
        <v>46078.5484837963</v>
      </c>
      <c r="B522" s="6" t="s">
        <v>4876</v>
      </c>
      <c r="C522" s="6" t="s">
        <v>5242</v>
      </c>
      <c r="D522" s="6" t="s">
        <v>4905</v>
      </c>
      <c r="E522" s="6" t="s">
        <v>26</v>
      </c>
      <c r="F522" s="6" t="s">
        <v>4882</v>
      </c>
      <c r="G522" s="6" t="s">
        <v>579</v>
      </c>
      <c r="H522" s="6">
        <v>1</v>
      </c>
      <c r="I522" s="18">
        <v>142.56</v>
      </c>
      <c r="J522" s="19">
        <v>46078.5558532755</v>
      </c>
      <c r="K522" s="6" t="s">
        <v>4880</v>
      </c>
      <c r="L522" t="str">
        <f t="shared" si="8"/>
        <v>CHAPA U 3X2.65 AL|46079</v>
      </c>
    </row>
    <row r="523" ht="13.5" customHeight="1" spans="1:12">
      <c r="A523" s="17">
        <v>46078.5484837963</v>
      </c>
      <c r="B523" s="6" t="s">
        <v>4876</v>
      </c>
      <c r="C523" s="6" t="s">
        <v>5242</v>
      </c>
      <c r="D523" s="6" t="s">
        <v>4905</v>
      </c>
      <c r="E523" s="6" t="s">
        <v>26</v>
      </c>
      <c r="F523" s="6" t="s">
        <v>4882</v>
      </c>
      <c r="G523" s="6" t="s">
        <v>1080</v>
      </c>
      <c r="H523" s="6">
        <v>1</v>
      </c>
      <c r="I523" s="18">
        <v>154.81</v>
      </c>
      <c r="J523" s="19">
        <v>46078.5558527431</v>
      </c>
      <c r="K523" s="6" t="s">
        <v>4880</v>
      </c>
      <c r="L523" t="str">
        <f t="shared" si="8"/>
        <v>TUBO GALV DIN 1/2X2.65|46079</v>
      </c>
    </row>
    <row r="524" ht="13.5" customHeight="1" spans="1:12">
      <c r="A524" s="17">
        <v>46078.5562847222</v>
      </c>
      <c r="B524" s="6" t="s">
        <v>4876</v>
      </c>
      <c r="C524" s="6" t="s">
        <v>5243</v>
      </c>
      <c r="D524" s="6" t="s">
        <v>4905</v>
      </c>
      <c r="E524" s="6" t="s">
        <v>26</v>
      </c>
      <c r="F524" s="6" t="s">
        <v>4882</v>
      </c>
      <c r="G524" s="6" t="s">
        <v>4494</v>
      </c>
      <c r="H524" s="6">
        <v>1</v>
      </c>
      <c r="I524" s="18">
        <v>51</v>
      </c>
      <c r="J524" s="19">
        <v>46078.5579658912</v>
      </c>
      <c r="K524" s="6" t="s">
        <v>4880</v>
      </c>
      <c r="L524" t="str">
        <f t="shared" si="8"/>
        <v>AVENTAL DE RASPA 1.20X0.60 AL |46079</v>
      </c>
    </row>
    <row r="525" ht="13.5" customHeight="1" spans="1:12">
      <c r="A525" s="17">
        <v>46078.5562847222</v>
      </c>
      <c r="B525" s="6" t="s">
        <v>4876</v>
      </c>
      <c r="C525" s="6" t="s">
        <v>5243</v>
      </c>
      <c r="D525" s="6" t="s">
        <v>4905</v>
      </c>
      <c r="E525" s="6" t="s">
        <v>26</v>
      </c>
      <c r="F525" s="6" t="s">
        <v>4882</v>
      </c>
      <c r="G525" s="6" t="s">
        <v>4495</v>
      </c>
      <c r="H525" s="6">
        <v>1</v>
      </c>
      <c r="I525" s="18">
        <v>54.12</v>
      </c>
      <c r="J525" s="19">
        <v>46078.557965544</v>
      </c>
      <c r="K525" s="6" t="s">
        <v>4880</v>
      </c>
      <c r="L525" t="str">
        <f t="shared" si="8"/>
        <v>AVENTAL DE RASPA 1.00 X 0.60 M|46079</v>
      </c>
    </row>
    <row r="526" ht="13.5" customHeight="1" spans="1:12">
      <c r="A526" s="17">
        <v>46078.5562847222</v>
      </c>
      <c r="B526" s="6" t="s">
        <v>4876</v>
      </c>
      <c r="C526" s="6" t="s">
        <v>5243</v>
      </c>
      <c r="D526" s="6" t="s">
        <v>4905</v>
      </c>
      <c r="E526" s="6" t="s">
        <v>26</v>
      </c>
      <c r="F526" s="6" t="s">
        <v>4882</v>
      </c>
      <c r="G526" s="6" t="s">
        <v>3957</v>
      </c>
      <c r="H526" s="6">
        <v>1</v>
      </c>
      <c r="I526" s="18">
        <v>134.38</v>
      </c>
      <c r="J526" s="19">
        <v>46078.5579648148</v>
      </c>
      <c r="K526" s="6" t="s">
        <v>4880</v>
      </c>
      <c r="L526" t="str">
        <f t="shared" si="8"/>
        <v>CANTONEIRA 1.1/4X3/16 ASTM A-36|46079</v>
      </c>
    </row>
    <row r="527" ht="13.5" customHeight="1" spans="1:12">
      <c r="A527" s="17">
        <v>46078.5582060185</v>
      </c>
      <c r="B527" s="6" t="s">
        <v>4876</v>
      </c>
      <c r="C527" s="6" t="s">
        <v>5244</v>
      </c>
      <c r="D527" s="6" t="s">
        <v>5129</v>
      </c>
      <c r="E527" s="6" t="s">
        <v>26</v>
      </c>
      <c r="F527" s="6" t="s">
        <v>4882</v>
      </c>
      <c r="G527" s="6" t="s">
        <v>1873</v>
      </c>
      <c r="H527" s="6">
        <v>1</v>
      </c>
      <c r="I527" s="18">
        <v>47.8</v>
      </c>
      <c r="J527" s="19">
        <v>46078.5592750347</v>
      </c>
      <c r="K527" s="6" t="s">
        <v>4880</v>
      </c>
      <c r="L527" t="str">
        <f t="shared" si="8"/>
        <v>PREGO GALVANIZADO |46079</v>
      </c>
    </row>
    <row r="528" ht="13.5" customHeight="1" spans="1:12">
      <c r="A528" s="17">
        <v>46078.5594212963</v>
      </c>
      <c r="B528" s="6" t="s">
        <v>4876</v>
      </c>
      <c r="C528" s="6" t="s">
        <v>5245</v>
      </c>
      <c r="D528" s="6" t="s">
        <v>5246</v>
      </c>
      <c r="E528" s="6" t="s">
        <v>26</v>
      </c>
      <c r="F528" s="6" t="s">
        <v>4882</v>
      </c>
      <c r="G528" s="6" t="s">
        <v>413</v>
      </c>
      <c r="H528" s="6">
        <v>50</v>
      </c>
      <c r="I528" s="18">
        <v>324.5</v>
      </c>
      <c r="J528" s="19">
        <v>46078.5624429745</v>
      </c>
      <c r="K528" s="6" t="s">
        <v>4880</v>
      </c>
      <c r="L528" t="str">
        <f t="shared" si="8"/>
        <v>GASOLINA COMUM 01|46079</v>
      </c>
    </row>
    <row r="529" ht="13.5" customHeight="1" spans="1:12">
      <c r="A529" s="17">
        <v>46078.5625925926</v>
      </c>
      <c r="B529" s="6" t="s">
        <v>4876</v>
      </c>
      <c r="C529" s="6" t="s">
        <v>5247</v>
      </c>
      <c r="D529" s="6" t="s">
        <v>5037</v>
      </c>
      <c r="E529" s="6" t="s">
        <v>26</v>
      </c>
      <c r="F529" s="6" t="s">
        <v>4882</v>
      </c>
      <c r="G529" s="6" t="s">
        <v>989</v>
      </c>
      <c r="H529" s="6">
        <v>3</v>
      </c>
      <c r="I529" s="18">
        <v>50.7</v>
      </c>
      <c r="J529" s="19">
        <v>46078.5631158218</v>
      </c>
      <c r="K529" s="6" t="s">
        <v>4880</v>
      </c>
      <c r="L529" t="str">
        <f t="shared" si="8"/>
        <v>VASSOURA DE PIAÇAVA |46079</v>
      </c>
    </row>
    <row r="530" ht="13.5" customHeight="1" spans="1:12">
      <c r="A530" s="17">
        <v>46078.5905671296</v>
      </c>
      <c r="B530" s="6" t="s">
        <v>4876</v>
      </c>
      <c r="C530" s="6" t="s">
        <v>5248</v>
      </c>
      <c r="D530" s="6" t="s">
        <v>5249</v>
      </c>
      <c r="E530" s="6" t="s">
        <v>26</v>
      </c>
      <c r="F530" s="6" t="s">
        <v>4882</v>
      </c>
      <c r="G530" s="6" t="s">
        <v>1868</v>
      </c>
      <c r="H530" s="6">
        <v>5</v>
      </c>
      <c r="I530" s="18">
        <v>30</v>
      </c>
      <c r="J530" s="19">
        <v>46078.5919626968</v>
      </c>
      <c r="K530" s="6" t="s">
        <v>4880</v>
      </c>
      <c r="L530" t="str">
        <f t="shared" si="8"/>
        <v>PRESILHA FRONT TRILHO BCO |46079</v>
      </c>
    </row>
    <row r="531" ht="13.5" customHeight="1" spans="1:12">
      <c r="A531" s="17">
        <v>46078.7167708333</v>
      </c>
      <c r="B531" s="6" t="s">
        <v>4876</v>
      </c>
      <c r="C531" s="6" t="s">
        <v>5250</v>
      </c>
      <c r="D531" s="6" t="s">
        <v>4988</v>
      </c>
      <c r="E531" s="6" t="s">
        <v>26</v>
      </c>
      <c r="F531" s="6" t="s">
        <v>4882</v>
      </c>
      <c r="G531" s="6" t="s">
        <v>2435</v>
      </c>
      <c r="H531" s="6">
        <v>1</v>
      </c>
      <c r="I531" s="18">
        <v>50</v>
      </c>
      <c r="J531" s="19">
        <v>46078.71771875</v>
      </c>
      <c r="K531" s="6" t="s">
        <v>4880</v>
      </c>
      <c r="L531" t="str">
        <f t="shared" si="8"/>
        <v>MICRO 1/40 ENGIN|46079</v>
      </c>
    </row>
    <row r="532" ht="13.5" customHeight="1" spans="1:12">
      <c r="A532" s="17">
        <v>46078.7197685185</v>
      </c>
      <c r="B532" s="6" t="s">
        <v>4876</v>
      </c>
      <c r="C532" s="6" t="s">
        <v>5251</v>
      </c>
      <c r="D532" s="6" t="s">
        <v>4954</v>
      </c>
      <c r="E532" s="6" t="s">
        <v>26</v>
      </c>
      <c r="F532" s="6" t="s">
        <v>4882</v>
      </c>
      <c r="G532" s="6" t="s">
        <v>1480</v>
      </c>
      <c r="H532" s="6">
        <v>1</v>
      </c>
      <c r="I532" s="18">
        <v>74</v>
      </c>
      <c r="J532" s="19">
        <v>46078.7204123843</v>
      </c>
      <c r="K532" s="6" t="s">
        <v>4880</v>
      </c>
      <c r="L532" t="str">
        <f t="shared" si="8"/>
        <v>SENSOR FILTRO RACOR C/CHICOTE |46079</v>
      </c>
    </row>
    <row r="533" ht="13.5" customHeight="1" spans="1:12">
      <c r="A533" s="17">
        <v>46078.8003587963</v>
      </c>
      <c r="B533" s="6" t="s">
        <v>4876</v>
      </c>
      <c r="C533" s="6" t="s">
        <v>5252</v>
      </c>
      <c r="D533" s="6" t="s">
        <v>5180</v>
      </c>
      <c r="E533" s="6" t="s">
        <v>414</v>
      </c>
      <c r="F533" s="6" t="s">
        <v>4879</v>
      </c>
      <c r="G533" s="6" t="s">
        <v>3643</v>
      </c>
      <c r="H533" s="6">
        <v>8</v>
      </c>
      <c r="I533" s="18">
        <v>690</v>
      </c>
      <c r="J533" s="19">
        <v>46078.805484375</v>
      </c>
      <c r="K533" s="6" t="s">
        <v>4880</v>
      </c>
      <c r="L533" t="str">
        <f t="shared" si="8"/>
        <v>CONJUNTO COMPLETO DE ESCOVAS 4PÇS|46079</v>
      </c>
    </row>
    <row r="534" ht="13.5" customHeight="1" spans="1:12">
      <c r="A534" s="17">
        <v>46079.5686574074</v>
      </c>
      <c r="B534" s="6" t="s">
        <v>4876</v>
      </c>
      <c r="C534" s="6" t="s">
        <v>5253</v>
      </c>
      <c r="D534" s="6" t="s">
        <v>5109</v>
      </c>
      <c r="E534" s="6" t="s">
        <v>26</v>
      </c>
      <c r="F534" s="6" t="s">
        <v>4882</v>
      </c>
      <c r="G534" s="6" t="s">
        <v>2611</v>
      </c>
      <c r="H534" s="6">
        <v>2</v>
      </c>
      <c r="I534" s="18">
        <v>64</v>
      </c>
      <c r="J534" s="19">
        <v>46079.6543759259</v>
      </c>
      <c r="K534" s="6" t="s">
        <v>4880</v>
      </c>
      <c r="L534" t="str">
        <f t="shared" si="8"/>
        <v>LUMINARIA LED SOB LINEAR 36W BIV 6.5K|46080</v>
      </c>
    </row>
    <row r="535" ht="13.5" customHeight="1" spans="1:12">
      <c r="A535" s="17">
        <v>46079.5701041667</v>
      </c>
      <c r="B535" s="6" t="s">
        <v>4876</v>
      </c>
      <c r="C535" s="6" t="s">
        <v>5254</v>
      </c>
      <c r="D535" s="6" t="s">
        <v>4971</v>
      </c>
      <c r="E535" s="6" t="s">
        <v>26</v>
      </c>
      <c r="F535" s="6" t="s">
        <v>4882</v>
      </c>
      <c r="G535" s="6" t="s">
        <v>3722</v>
      </c>
      <c r="H535" s="6">
        <v>1</v>
      </c>
      <c r="I535" s="18">
        <v>24.24</v>
      </c>
      <c r="J535" s="19">
        <v>46079.5710290162</v>
      </c>
      <c r="K535" s="6" t="s">
        <v>4880</v>
      </c>
      <c r="L535" t="str">
        <f t="shared" si="8"/>
        <v>COLA CONTATOR 200G|46080</v>
      </c>
    </row>
    <row r="536" ht="13.5" customHeight="1" spans="1:12">
      <c r="A536" s="17">
        <v>46079.5716087963</v>
      </c>
      <c r="B536" s="6" t="s">
        <v>4876</v>
      </c>
      <c r="C536" s="6" t="s">
        <v>5255</v>
      </c>
      <c r="D536" s="6" t="s">
        <v>4954</v>
      </c>
      <c r="E536" s="6" t="s">
        <v>26</v>
      </c>
      <c r="F536" s="6" t="s">
        <v>4882</v>
      </c>
      <c r="G536" s="6" t="s">
        <v>191</v>
      </c>
      <c r="H536" s="6">
        <v>4</v>
      </c>
      <c r="I536" s="18">
        <v>676</v>
      </c>
      <c r="J536" s="19">
        <v>46079.5738730324</v>
      </c>
      <c r="K536" s="6" t="s">
        <v>4880</v>
      </c>
      <c r="L536" t="str">
        <f t="shared" si="8"/>
        <v>ROLAMENTO - 45M |46080</v>
      </c>
    </row>
    <row r="537" ht="13.5" customHeight="1" spans="1:12">
      <c r="A537" s="17">
        <v>46079.5716087963</v>
      </c>
      <c r="B537" s="6" t="s">
        <v>4876</v>
      </c>
      <c r="C537" s="6" t="s">
        <v>5255</v>
      </c>
      <c r="D537" s="6" t="s">
        <v>4954</v>
      </c>
      <c r="E537" s="6" t="s">
        <v>26</v>
      </c>
      <c r="F537" s="6" t="s">
        <v>4882</v>
      </c>
      <c r="G537" s="6" t="s">
        <v>1754</v>
      </c>
      <c r="H537" s="6">
        <v>10</v>
      </c>
      <c r="I537" s="18">
        <v>110</v>
      </c>
      <c r="J537" s="19">
        <v>46079.5738706829</v>
      </c>
      <c r="K537" s="6" t="s">
        <v>4880</v>
      </c>
      <c r="L537" t="str">
        <f t="shared" si="8"/>
        <v>RELE AUX 12V 0102 - 4 SAIDAS|46080</v>
      </c>
    </row>
    <row r="538" ht="13.5" customHeight="1" spans="1:12">
      <c r="A538" s="17">
        <v>46079.5740509259</v>
      </c>
      <c r="B538" s="6" t="s">
        <v>4876</v>
      </c>
      <c r="C538" s="6" t="s">
        <v>5256</v>
      </c>
      <c r="D538" s="6" t="s">
        <v>4919</v>
      </c>
      <c r="E538" s="6" t="s">
        <v>26</v>
      </c>
      <c r="F538" s="6" t="s">
        <v>4882</v>
      </c>
      <c r="G538" s="6" t="s">
        <v>960</v>
      </c>
      <c r="H538" s="6">
        <v>1</v>
      </c>
      <c r="I538" s="18">
        <v>429.9</v>
      </c>
      <c r="J538" s="19">
        <v>46079.5758761574</v>
      </c>
      <c r="K538" s="6" t="s">
        <v>4880</v>
      </c>
      <c r="L538" t="str">
        <f t="shared" si="8"/>
        <v>VERNIZ OSMOTOL DECK SEMI BRILHO IPE 3,6L MONTANA |46080</v>
      </c>
    </row>
    <row r="539" ht="13.5" customHeight="1" spans="1:12">
      <c r="A539" s="17">
        <v>46079.6550694444</v>
      </c>
      <c r="B539" s="6" t="s">
        <v>4876</v>
      </c>
      <c r="C539" s="6" t="s">
        <v>5257</v>
      </c>
      <c r="D539" s="6" t="s">
        <v>5258</v>
      </c>
      <c r="E539" s="6" t="s">
        <v>26</v>
      </c>
      <c r="F539" s="6" t="s">
        <v>4882</v>
      </c>
      <c r="G539" s="6" t="s">
        <v>1204</v>
      </c>
      <c r="H539" s="6">
        <v>1</v>
      </c>
      <c r="I539" s="18">
        <v>150</v>
      </c>
      <c r="J539" s="19">
        <v>46079.6565450232</v>
      </c>
      <c r="K539" s="6" t="s">
        <v>4880</v>
      </c>
      <c r="L539" t="str">
        <f t="shared" si="8"/>
        <v>TERMOSTATO 20X120 FOX|46080</v>
      </c>
    </row>
    <row r="540" ht="13.5" customHeight="1" spans="1:12">
      <c r="A540" s="17">
        <v>46080.3966319444</v>
      </c>
      <c r="B540" s="6" t="s">
        <v>4876</v>
      </c>
      <c r="C540" s="6" t="s">
        <v>5259</v>
      </c>
      <c r="D540" s="6" t="s">
        <v>4884</v>
      </c>
      <c r="E540" s="6" t="s">
        <v>26</v>
      </c>
      <c r="F540" s="6" t="s">
        <v>4882</v>
      </c>
      <c r="G540" s="6" t="s">
        <v>1750</v>
      </c>
      <c r="H540" s="6">
        <v>3</v>
      </c>
      <c r="I540" s="18">
        <v>477.45</v>
      </c>
      <c r="J540" s="19">
        <v>46083.3981489583</v>
      </c>
      <c r="K540" s="6" t="s">
        <v>4880</v>
      </c>
      <c r="L540" t="str">
        <f t="shared" si="8"/>
        <v>RELE FALTA DE FASE JPND 220V|46080</v>
      </c>
    </row>
    <row r="541" ht="13.5" customHeight="1" spans="1:12">
      <c r="A541" s="17">
        <v>46080.3966319444</v>
      </c>
      <c r="B541" s="6" t="s">
        <v>4876</v>
      </c>
      <c r="C541" s="6" t="s">
        <v>5259</v>
      </c>
      <c r="D541" s="6" t="s">
        <v>4884</v>
      </c>
      <c r="E541" s="6" t="s">
        <v>26</v>
      </c>
      <c r="F541" s="6" t="s">
        <v>4882</v>
      </c>
      <c r="G541" s="6" t="s">
        <v>1749</v>
      </c>
      <c r="H541" s="6">
        <v>1</v>
      </c>
      <c r="I541" s="18">
        <v>238.1</v>
      </c>
      <c r="J541" s="19">
        <v>46083.398146794</v>
      </c>
      <c r="K541" s="6" t="s">
        <v>4880</v>
      </c>
      <c r="L541" t="str">
        <f t="shared" si="8"/>
        <v>RELE FALTA SEQ FASE RMW17 220-240V|46080</v>
      </c>
    </row>
    <row r="542" ht="13.5" customHeight="1" spans="1:12">
      <c r="A542" s="17">
        <v>46083.6068055556</v>
      </c>
      <c r="B542" s="6" t="s">
        <v>4876</v>
      </c>
      <c r="C542" s="6" t="s">
        <v>5260</v>
      </c>
      <c r="D542" s="6" t="s">
        <v>110</v>
      </c>
      <c r="E542" s="6" t="s">
        <v>26</v>
      </c>
      <c r="F542" s="6" t="s">
        <v>4882</v>
      </c>
      <c r="G542" s="6" t="s">
        <v>154</v>
      </c>
      <c r="H542" s="6">
        <v>6</v>
      </c>
      <c r="I542" s="18">
        <v>168</v>
      </c>
      <c r="J542" s="19">
        <v>46083.608075</v>
      </c>
      <c r="K542" s="6" t="s">
        <v>4880</v>
      </c>
      <c r="L542" t="str">
        <f t="shared" si="8"/>
        <v>MACANETA INTERNA ESQUERDA ACCELO / 3233 - A |46084</v>
      </c>
    </row>
    <row r="543" ht="13.5" customHeight="1" spans="1:12">
      <c r="A543" s="17">
        <v>46083.6095138889</v>
      </c>
      <c r="B543" s="6" t="s">
        <v>4876</v>
      </c>
      <c r="C543" s="6" t="s">
        <v>5261</v>
      </c>
      <c r="D543" s="6" t="s">
        <v>4919</v>
      </c>
      <c r="E543" s="6" t="s">
        <v>26</v>
      </c>
      <c r="F543" s="6" t="s">
        <v>4882</v>
      </c>
      <c r="G543" s="6" t="s">
        <v>537</v>
      </c>
      <c r="H543" s="6">
        <v>10</v>
      </c>
      <c r="I543" s="18">
        <v>79.1</v>
      </c>
      <c r="J543" s="19">
        <v>46083.6105263889</v>
      </c>
      <c r="K543" s="6" t="s">
        <v>4880</v>
      </c>
      <c r="L543" t="str">
        <f t="shared" si="8"/>
        <v>FITA CREPE AUTOMOTIVO VERDE 18X50|46084</v>
      </c>
    </row>
    <row r="544" ht="13.5" customHeight="1" spans="1:12">
      <c r="A544" s="17">
        <v>46083.61125</v>
      </c>
      <c r="B544" s="6" t="s">
        <v>4876</v>
      </c>
      <c r="C544" s="6" t="s">
        <v>5262</v>
      </c>
      <c r="D544" s="6" t="s">
        <v>4954</v>
      </c>
      <c r="E544" s="6" t="s">
        <v>26</v>
      </c>
      <c r="F544" s="6" t="s">
        <v>4882</v>
      </c>
      <c r="G544" s="6" t="s">
        <v>291</v>
      </c>
      <c r="H544" s="6">
        <v>1</v>
      </c>
      <c r="I544" s="18">
        <v>234</v>
      </c>
      <c r="J544" s="19">
        <v>46083.6140064815</v>
      </c>
      <c r="K544" s="6" t="s">
        <v>4880</v>
      </c>
      <c r="L544" t="str">
        <f t="shared" si="8"/>
        <v>FILTRO DE AR -1938/ SCANIA /0790|46084</v>
      </c>
    </row>
    <row r="545" ht="13.5" customHeight="1" spans="1:12">
      <c r="A545" s="17">
        <v>46083.61125</v>
      </c>
      <c r="B545" s="6" t="s">
        <v>4876</v>
      </c>
      <c r="C545" s="6" t="s">
        <v>5262</v>
      </c>
      <c r="D545" s="6" t="s">
        <v>4954</v>
      </c>
      <c r="E545" s="6" t="s">
        <v>26</v>
      </c>
      <c r="F545" s="6" t="s">
        <v>4882</v>
      </c>
      <c r="G545" s="6" t="s">
        <v>292</v>
      </c>
      <c r="H545" s="6">
        <v>1</v>
      </c>
      <c r="I545" s="18">
        <v>135</v>
      </c>
      <c r="J545" s="19">
        <v>46083.6140045139</v>
      </c>
      <c r="K545" s="6" t="s">
        <v>4880</v>
      </c>
      <c r="L545" t="str">
        <f t="shared" si="8"/>
        <v>FILTRO DIESEL  -MWM 4.12 /AGRALE /1451|46084</v>
      </c>
    </row>
    <row r="546" ht="13.5" customHeight="1" spans="1:12">
      <c r="A546" s="17">
        <v>46083.7104976852</v>
      </c>
      <c r="B546" s="6" t="s">
        <v>4876</v>
      </c>
      <c r="C546" s="6" t="s">
        <v>5263</v>
      </c>
      <c r="D546" s="6" t="s">
        <v>5177</v>
      </c>
      <c r="E546" s="6" t="s">
        <v>26</v>
      </c>
      <c r="F546" s="6" t="s">
        <v>4882</v>
      </c>
      <c r="G546" s="6" t="s">
        <v>364</v>
      </c>
      <c r="H546" s="6">
        <v>1</v>
      </c>
      <c r="I546" s="18">
        <v>243.51</v>
      </c>
      <c r="J546" s="19">
        <v>46083.7175773495</v>
      </c>
      <c r="K546" s="6" t="s">
        <v>4880</v>
      </c>
      <c r="L546" t="str">
        <f t="shared" si="8"/>
        <v>FAROLMILHA VW DELIVERY EXPRESS - ESQUERDO|46084</v>
      </c>
    </row>
    <row r="547" ht="13.5" customHeight="1" spans="1:12">
      <c r="A547" s="17">
        <v>46083.7104976852</v>
      </c>
      <c r="B547" s="6" t="s">
        <v>4876</v>
      </c>
      <c r="C547" s="6" t="s">
        <v>5263</v>
      </c>
      <c r="D547" s="6" t="s">
        <v>5177</v>
      </c>
      <c r="E547" s="6" t="s">
        <v>26</v>
      </c>
      <c r="F547" s="6" t="s">
        <v>4882</v>
      </c>
      <c r="G547" s="6" t="s">
        <v>306</v>
      </c>
      <c r="H547" s="6">
        <v>1</v>
      </c>
      <c r="I547" s="18">
        <v>243.52</v>
      </c>
      <c r="J547" s="19">
        <v>46083.7175715278</v>
      </c>
      <c r="K547" s="6" t="s">
        <v>4880</v>
      </c>
      <c r="L547" t="str">
        <f t="shared" si="8"/>
        <v>FAROL MILHA VW DELIVERY EXPRESS -DIREITO|46084</v>
      </c>
    </row>
    <row r="548" ht="13.5" customHeight="1" spans="1:12">
      <c r="A548" s="17">
        <v>46083.7225231482</v>
      </c>
      <c r="B548" s="6" t="s">
        <v>4876</v>
      </c>
      <c r="C548" s="6" t="s">
        <v>5264</v>
      </c>
      <c r="D548" s="6" t="s">
        <v>5065</v>
      </c>
      <c r="E548" s="6" t="s">
        <v>26</v>
      </c>
      <c r="F548" s="6" t="s">
        <v>4882</v>
      </c>
      <c r="G548" s="6" t="s">
        <v>2353</v>
      </c>
      <c r="H548" s="6">
        <v>2</v>
      </c>
      <c r="I548" s="18">
        <v>110</v>
      </c>
      <c r="J548" s="19">
        <v>46083.7237013079</v>
      </c>
      <c r="K548" s="6" t="s">
        <v>4880</v>
      </c>
      <c r="L548" t="str">
        <f t="shared" si="8"/>
        <v>OLEO 2T |46084</v>
      </c>
    </row>
    <row r="549" ht="13.5" customHeight="1" spans="1:12">
      <c r="A549" s="17">
        <v>46084.3542824074</v>
      </c>
      <c r="B549" s="6" t="s">
        <v>4876</v>
      </c>
      <c r="C549" s="6" t="s">
        <v>5265</v>
      </c>
      <c r="D549" s="6" t="s">
        <v>4894</v>
      </c>
      <c r="E549" s="6" t="s">
        <v>26</v>
      </c>
      <c r="F549" s="6" t="s">
        <v>4882</v>
      </c>
      <c r="G549" s="6" t="s">
        <v>4439</v>
      </c>
      <c r="H549" s="6">
        <v>6</v>
      </c>
      <c r="I549" s="18">
        <v>22.62</v>
      </c>
      <c r="J549" s="19">
        <v>46085.3550131597</v>
      </c>
      <c r="K549" s="6" t="s">
        <v>4880</v>
      </c>
      <c r="L549" t="str">
        <f t="shared" si="8"/>
        <v>BATERIA ENERGIZER CR2032 3V|46084</v>
      </c>
    </row>
    <row r="550" ht="13.5" customHeight="1" spans="1:12">
      <c r="A550" s="17">
        <v>46084.5253009259</v>
      </c>
      <c r="B550" s="6" t="s">
        <v>4876</v>
      </c>
      <c r="C550" s="6" t="s">
        <v>5266</v>
      </c>
      <c r="D550" s="6" t="s">
        <v>5129</v>
      </c>
      <c r="E550" s="6" t="s">
        <v>26</v>
      </c>
      <c r="F550" s="6" t="s">
        <v>4882</v>
      </c>
      <c r="G550" s="6" t="s">
        <v>2117</v>
      </c>
      <c r="H550" s="6">
        <v>10</v>
      </c>
      <c r="I550" s="18">
        <v>70</v>
      </c>
      <c r="J550" s="19">
        <v>46084.5282521181</v>
      </c>
      <c r="K550" s="6" t="s">
        <v>4880</v>
      </c>
      <c r="L550" t="str">
        <f t="shared" si="8"/>
        <v>PARAFUSO SEXT 14X65 8.8|46085</v>
      </c>
    </row>
    <row r="551" ht="13.5" customHeight="1" spans="1:12">
      <c r="A551" s="17">
        <v>46084.5253009259</v>
      </c>
      <c r="B551" s="6" t="s">
        <v>4876</v>
      </c>
      <c r="C551" s="6" t="s">
        <v>5266</v>
      </c>
      <c r="D551" s="6" t="s">
        <v>5129</v>
      </c>
      <c r="E551" s="6" t="s">
        <v>26</v>
      </c>
      <c r="F551" s="6" t="s">
        <v>4882</v>
      </c>
      <c r="G551" s="6" t="s">
        <v>1949</v>
      </c>
      <c r="H551" s="6">
        <v>10</v>
      </c>
      <c r="I551" s="18">
        <v>27.8</v>
      </c>
      <c r="J551" s="19">
        <v>46084.5282519329</v>
      </c>
      <c r="K551" s="6" t="s">
        <v>4880</v>
      </c>
      <c r="L551" t="str">
        <f t="shared" si="8"/>
        <v>PORCA 14MM|46085</v>
      </c>
    </row>
    <row r="552" ht="13.5" customHeight="1" spans="1:12">
      <c r="A552" s="17">
        <v>46084.5253009259</v>
      </c>
      <c r="B552" s="6" t="s">
        <v>4876</v>
      </c>
      <c r="C552" s="6" t="s">
        <v>5266</v>
      </c>
      <c r="D552" s="6" t="s">
        <v>5129</v>
      </c>
      <c r="E552" s="6" t="s">
        <v>26</v>
      </c>
      <c r="F552" s="6" t="s">
        <v>4882</v>
      </c>
      <c r="G552" s="6" t="s">
        <v>4554</v>
      </c>
      <c r="H552" s="6">
        <v>10</v>
      </c>
      <c r="I552" s="18">
        <v>11.4</v>
      </c>
      <c r="J552" s="19">
        <v>46084.5282510417</v>
      </c>
      <c r="K552" s="6" t="s">
        <v>4880</v>
      </c>
      <c r="L552" t="str">
        <f t="shared" si="8"/>
        <v>ARRUELA LISA - 14MM |46085</v>
      </c>
    </row>
    <row r="553" ht="13.5" customHeight="1" spans="1:12">
      <c r="A553" s="17">
        <v>46084.6016319445</v>
      </c>
      <c r="B553" s="6" t="s">
        <v>4876</v>
      </c>
      <c r="C553" s="6" t="s">
        <v>5267</v>
      </c>
      <c r="D553" s="6" t="s">
        <v>5268</v>
      </c>
      <c r="E553" s="6" t="s">
        <v>414</v>
      </c>
      <c r="F553" s="6" t="s">
        <v>4879</v>
      </c>
      <c r="G553" s="6" t="s">
        <v>3643</v>
      </c>
      <c r="H553" s="6">
        <v>4</v>
      </c>
      <c r="I553" s="18">
        <v>280</v>
      </c>
      <c r="J553" s="19">
        <v>46084.6025556366</v>
      </c>
      <c r="K553" s="6" t="s">
        <v>4880</v>
      </c>
      <c r="L553" t="str">
        <f t="shared" si="8"/>
        <v>CONJUNTO COMPLETO DE ESCOVAS 4PÇS|46085</v>
      </c>
    </row>
    <row r="554" ht="13.5" customHeight="1" spans="1:12">
      <c r="A554" s="17">
        <v>46084.6033449074</v>
      </c>
      <c r="B554" s="6" t="s">
        <v>4876</v>
      </c>
      <c r="C554" s="6" t="s">
        <v>5269</v>
      </c>
      <c r="D554" s="6" t="s">
        <v>4986</v>
      </c>
      <c r="E554" s="6" t="s">
        <v>26</v>
      </c>
      <c r="F554" s="6" t="s">
        <v>4882</v>
      </c>
      <c r="G554" s="6" t="s">
        <v>4316</v>
      </c>
      <c r="H554" s="6">
        <v>10</v>
      </c>
      <c r="I554" s="18">
        <v>899</v>
      </c>
      <c r="J554" s="19">
        <v>46084.605234375</v>
      </c>
      <c r="K554" s="6" t="s">
        <v>4880</v>
      </c>
      <c r="L554" t="str">
        <f t="shared" si="8"/>
        <v>BOTA DE COURO N/45|46085</v>
      </c>
    </row>
    <row r="555" ht="13.5" customHeight="1" spans="1:12">
      <c r="A555" s="17">
        <v>46084.6055671296</v>
      </c>
      <c r="B555" s="6" t="s">
        <v>4876</v>
      </c>
      <c r="C555" s="6" t="s">
        <v>5270</v>
      </c>
      <c r="D555" s="6" t="s">
        <v>5271</v>
      </c>
      <c r="E555" s="6" t="s">
        <v>26</v>
      </c>
      <c r="F555" s="6" t="s">
        <v>4882</v>
      </c>
      <c r="G555" s="6" t="s">
        <v>823</v>
      </c>
      <c r="H555" s="6">
        <v>2</v>
      </c>
      <c r="I555" s="18">
        <v>66</v>
      </c>
      <c r="J555" s="19">
        <v>46084.6078449884</v>
      </c>
      <c r="K555" s="6" t="s">
        <v>4880</v>
      </c>
      <c r="L555" t="str">
        <f t="shared" si="8"/>
        <v>OLEO MOBIL 4T 20W50 SUPERMOTO |46085</v>
      </c>
    </row>
    <row r="556" ht="13.5" customHeight="1" spans="1:12">
      <c r="A556" s="17">
        <v>46084.7011921296</v>
      </c>
      <c r="B556" s="6" t="s">
        <v>4876</v>
      </c>
      <c r="C556" s="6" t="s">
        <v>5272</v>
      </c>
      <c r="D556" s="6" t="s">
        <v>110</v>
      </c>
      <c r="E556" s="6" t="s">
        <v>26</v>
      </c>
      <c r="F556" s="6" t="s">
        <v>4882</v>
      </c>
      <c r="G556" s="6" t="s">
        <v>2151</v>
      </c>
      <c r="H556" s="6">
        <v>20</v>
      </c>
      <c r="I556" s="18">
        <v>440</v>
      </c>
      <c r="J556" s="19">
        <v>46084.7024169792</v>
      </c>
      <c r="K556" s="6" t="s">
        <v>4880</v>
      </c>
      <c r="L556" t="str">
        <f t="shared" si="8"/>
        <v>PARAFUSO ESTOJO |46085</v>
      </c>
    </row>
    <row r="557" ht="13.5" customHeight="1" spans="1:12">
      <c r="A557" s="17">
        <v>46085.3631944444</v>
      </c>
      <c r="B557" s="6" t="s">
        <v>4876</v>
      </c>
      <c r="C557" s="6" t="s">
        <v>5273</v>
      </c>
      <c r="D557" s="6" t="s">
        <v>4894</v>
      </c>
      <c r="E557" s="6" t="s">
        <v>26</v>
      </c>
      <c r="F557" s="6" t="s">
        <v>4882</v>
      </c>
      <c r="G557" s="6" t="s">
        <v>3778</v>
      </c>
      <c r="H557" s="6">
        <v>1</v>
      </c>
      <c r="I557" s="18">
        <v>33.09</v>
      </c>
      <c r="J557" s="19">
        <v>46086.3651516204</v>
      </c>
      <c r="K557" s="6" t="s">
        <v>4880</v>
      </c>
      <c r="L557" t="str">
        <f t="shared" si="8"/>
        <v>CILINDRO STAM 401 BR 31129|46085</v>
      </c>
    </row>
    <row r="558" ht="13.5" customHeight="1" spans="1:12">
      <c r="A558" s="17">
        <v>46085.3736111111</v>
      </c>
      <c r="B558" s="6" t="s">
        <v>4876</v>
      </c>
      <c r="C558" s="6" t="s">
        <v>5274</v>
      </c>
      <c r="D558" s="6" t="s">
        <v>5275</v>
      </c>
      <c r="E558" s="6" t="s">
        <v>26</v>
      </c>
      <c r="F558" s="6" t="s">
        <v>4882</v>
      </c>
      <c r="G558" s="6" t="s">
        <v>2067</v>
      </c>
      <c r="H558" s="6">
        <v>1</v>
      </c>
      <c r="I558" s="18">
        <v>29.99</v>
      </c>
      <c r="J558" s="19">
        <v>46086.3777826042</v>
      </c>
      <c r="K558" s="6" t="s">
        <v>4880</v>
      </c>
      <c r="L558" t="str">
        <f t="shared" si="8"/>
        <v>PEN DRIVER 8GB|46085</v>
      </c>
    </row>
    <row r="559" ht="13.5" customHeight="1" spans="1:12">
      <c r="A559" s="17">
        <v>46085.3777777778</v>
      </c>
      <c r="B559" s="6" t="s">
        <v>4876</v>
      </c>
      <c r="C559" s="6" t="s">
        <v>5276</v>
      </c>
      <c r="D559" s="6" t="s">
        <v>5277</v>
      </c>
      <c r="E559" s="6" t="s">
        <v>26</v>
      </c>
      <c r="F559" s="6" t="s">
        <v>4882</v>
      </c>
      <c r="G559" s="6" t="s">
        <v>1327</v>
      </c>
      <c r="H559" s="6">
        <v>3</v>
      </c>
      <c r="I559" s="18">
        <v>45</v>
      </c>
      <c r="J559" s="19">
        <v>46086.3795570602</v>
      </c>
      <c r="K559" s="6" t="s">
        <v>4880</v>
      </c>
      <c r="L559" t="str">
        <f t="shared" si="8"/>
        <v>SUPORTE P/ TV FIXO UNIVERSAL|46085</v>
      </c>
    </row>
    <row r="560" ht="13.5" customHeight="1" spans="1:12">
      <c r="A560" s="17">
        <v>46085.4340277778</v>
      </c>
      <c r="B560" s="6" t="s">
        <v>4876</v>
      </c>
      <c r="C560" s="6" t="s">
        <v>5278</v>
      </c>
      <c r="D560" s="6" t="s">
        <v>4979</v>
      </c>
      <c r="E560" s="6" t="s">
        <v>35</v>
      </c>
      <c r="F560" s="6" t="s">
        <v>4879</v>
      </c>
      <c r="G560" s="6" t="s">
        <v>304</v>
      </c>
      <c r="H560" s="6">
        <v>2</v>
      </c>
      <c r="I560" s="18">
        <v>56</v>
      </c>
      <c r="J560" s="19">
        <v>46087.4502435995</v>
      </c>
      <c r="K560" s="6" t="s">
        <v>4880</v>
      </c>
      <c r="L560" t="str">
        <f t="shared" si="8"/>
        <v>PARAFUSO ALLEN M14X2X45 A9799901000|46085</v>
      </c>
    </row>
    <row r="561" ht="13.5" customHeight="1" spans="1:12">
      <c r="A561" s="17">
        <v>46085.4340277778</v>
      </c>
      <c r="B561" s="6" t="s">
        <v>4876</v>
      </c>
      <c r="C561" s="6" t="s">
        <v>5278</v>
      </c>
      <c r="D561" s="6" t="s">
        <v>4979</v>
      </c>
      <c r="E561" s="6" t="s">
        <v>35</v>
      </c>
      <c r="F561" s="6" t="s">
        <v>4879</v>
      </c>
      <c r="G561" s="6" t="s">
        <v>302</v>
      </c>
      <c r="H561" s="6">
        <v>1</v>
      </c>
      <c r="I561" s="18">
        <v>530</v>
      </c>
      <c r="J561" s="19">
        <v>46087.4502432523</v>
      </c>
      <c r="K561" s="6" t="s">
        <v>4880</v>
      </c>
      <c r="L561" t="str">
        <f t="shared" si="8"/>
        <v>SUPORTE DE APOIO DO COXIM A 9792610440|46085</v>
      </c>
    </row>
    <row r="562" ht="13.5" customHeight="1" spans="1:12">
      <c r="A562" s="17">
        <v>46085.4340277778</v>
      </c>
      <c r="B562" s="6" t="s">
        <v>4876</v>
      </c>
      <c r="C562" s="6" t="s">
        <v>5278</v>
      </c>
      <c r="D562" s="6" t="s">
        <v>4979</v>
      </c>
      <c r="E562" s="6" t="s">
        <v>35</v>
      </c>
      <c r="F562" s="6" t="s">
        <v>4879</v>
      </c>
      <c r="G562" s="6" t="s">
        <v>271</v>
      </c>
      <c r="H562" s="6">
        <v>2</v>
      </c>
      <c r="I562" s="18">
        <v>430</v>
      </c>
      <c r="J562" s="19">
        <v>46087.4502428588</v>
      </c>
      <c r="K562" s="6" t="s">
        <v>4880</v>
      </c>
      <c r="L562" t="str">
        <f t="shared" si="8"/>
        <v>COPO DO FILTRO DE COMBUSTIVEL-RACOR A3760927104|46085</v>
      </c>
    </row>
    <row r="563" ht="13.5" customHeight="1" spans="1:12">
      <c r="A563" s="17">
        <v>46085.4340277778</v>
      </c>
      <c r="B563" s="6" t="s">
        <v>4876</v>
      </c>
      <c r="C563" s="6" t="s">
        <v>5278</v>
      </c>
      <c r="D563" s="6" t="s">
        <v>4979</v>
      </c>
      <c r="E563" s="6" t="s">
        <v>35</v>
      </c>
      <c r="F563" s="6" t="s">
        <v>4879</v>
      </c>
      <c r="G563" s="6" t="s">
        <v>211</v>
      </c>
      <c r="H563" s="6">
        <v>6</v>
      </c>
      <c r="I563" s="18">
        <v>825.3</v>
      </c>
      <c r="J563" s="19">
        <v>46087.4502423264</v>
      </c>
      <c r="K563" s="6" t="s">
        <v>4880</v>
      </c>
      <c r="L563" t="str">
        <f t="shared" si="8"/>
        <v>FILTRO DE AR MERCEDE BENZ A3740940104|46085</v>
      </c>
    </row>
    <row r="564" ht="13.5" customHeight="1" spans="1:12">
      <c r="A564" s="17">
        <v>46085.4340277778</v>
      </c>
      <c r="B564" s="6" t="s">
        <v>4876</v>
      </c>
      <c r="C564" s="6" t="s">
        <v>5278</v>
      </c>
      <c r="D564" s="6" t="s">
        <v>4979</v>
      </c>
      <c r="E564" s="6" t="s">
        <v>35</v>
      </c>
      <c r="F564" s="6" t="s">
        <v>4879</v>
      </c>
      <c r="G564" s="6" t="s">
        <v>208</v>
      </c>
      <c r="H564" s="6">
        <v>10</v>
      </c>
      <c r="I564" s="18">
        <v>998</v>
      </c>
      <c r="J564" s="19">
        <v>46087.4502416319</v>
      </c>
      <c r="K564" s="6" t="s">
        <v>4880</v>
      </c>
      <c r="L564" t="str">
        <f t="shared" si="8"/>
        <v>FILTRO DIESEL MERCEDES 901551 (MB 815/1016) MARCA MERCEDES BENZ|46085</v>
      </c>
    </row>
    <row r="565" ht="13.5" customHeight="1" spans="1:12">
      <c r="A565" s="17">
        <v>46085.4340277778</v>
      </c>
      <c r="B565" s="6" t="s">
        <v>4876</v>
      </c>
      <c r="C565" s="6" t="s">
        <v>5278</v>
      </c>
      <c r="D565" s="6" t="s">
        <v>4979</v>
      </c>
      <c r="E565" s="6" t="s">
        <v>35</v>
      </c>
      <c r="F565" s="6" t="s">
        <v>4879</v>
      </c>
      <c r="G565" s="6" t="s">
        <v>209</v>
      </c>
      <c r="H565" s="6">
        <v>10</v>
      </c>
      <c r="I565" s="18">
        <v>778</v>
      </c>
      <c r="J565" s="19">
        <v>46087.4502403588</v>
      </c>
      <c r="K565" s="6" t="s">
        <v>4880</v>
      </c>
      <c r="L565" t="str">
        <f t="shared" si="8"/>
        <v>FILTRO DE OLEO MERCEDES BENZ A9041800109|46085</v>
      </c>
    </row>
    <row r="566" ht="13.5" customHeight="1" spans="1:12">
      <c r="A566" s="17">
        <v>46085.4340277778</v>
      </c>
      <c r="B566" s="6" t="s">
        <v>4876</v>
      </c>
      <c r="C566" s="6" t="s">
        <v>5278</v>
      </c>
      <c r="D566" s="6" t="s">
        <v>4979</v>
      </c>
      <c r="E566" s="6" t="s">
        <v>35</v>
      </c>
      <c r="F566" s="6" t="s">
        <v>4879</v>
      </c>
      <c r="G566" s="6" t="s">
        <v>237</v>
      </c>
      <c r="H566" s="6">
        <v>10</v>
      </c>
      <c r="I566" s="18">
        <v>1611</v>
      </c>
      <c r="J566" s="19">
        <v>46087.4502392708</v>
      </c>
      <c r="K566" s="6" t="s">
        <v>4880</v>
      </c>
      <c r="L566" t="str">
        <f t="shared" si="8"/>
        <v>FILTRO SEPARADOR DE AGUA 9794770015|46085</v>
      </c>
    </row>
    <row r="567" ht="13.5" customHeight="1" spans="1:12">
      <c r="A567" s="17">
        <v>46085.4340277778</v>
      </c>
      <c r="B567" s="6" t="s">
        <v>4876</v>
      </c>
      <c r="C567" s="6" t="s">
        <v>5278</v>
      </c>
      <c r="D567" s="6" t="s">
        <v>4979</v>
      </c>
      <c r="E567" s="6" t="s">
        <v>35</v>
      </c>
      <c r="F567" s="6" t="s">
        <v>4879</v>
      </c>
      <c r="G567" s="6" t="s">
        <v>303</v>
      </c>
      <c r="H567" s="6">
        <v>2</v>
      </c>
      <c r="I567" s="18">
        <v>739.88</v>
      </c>
      <c r="J567" s="19">
        <v>46087.4502388889</v>
      </c>
      <c r="K567" s="6" t="s">
        <v>4880</v>
      </c>
      <c r="L567" t="str">
        <f t="shared" si="8"/>
        <v>LU CONSOLE A 97924200002|46085</v>
      </c>
    </row>
    <row r="568" ht="13.5" customHeight="1" spans="1:12">
      <c r="A568" s="17">
        <v>46085.4340277778</v>
      </c>
      <c r="B568" s="6" t="s">
        <v>4876</v>
      </c>
      <c r="C568" s="6" t="s">
        <v>5278</v>
      </c>
      <c r="D568" s="6" t="s">
        <v>4979</v>
      </c>
      <c r="E568" s="6" t="s">
        <v>35</v>
      </c>
      <c r="F568" s="6" t="s">
        <v>4879</v>
      </c>
      <c r="G568" s="6" t="s">
        <v>3541</v>
      </c>
      <c r="H568" s="6">
        <v>1</v>
      </c>
      <c r="I568" s="18">
        <v>319.64</v>
      </c>
      <c r="J568" s="19">
        <v>46087.4502387384</v>
      </c>
      <c r="K568" s="6" t="s">
        <v>4880</v>
      </c>
      <c r="L568" t="str">
        <f t="shared" si="8"/>
        <v>COXIM TRASEIRO DO MOTOR A 9792420013|46085</v>
      </c>
    </row>
    <row r="569" ht="13.5" customHeight="1" spans="1:12">
      <c r="A569" s="17">
        <v>46085.4340277778</v>
      </c>
      <c r="B569" s="6" t="s">
        <v>4876</v>
      </c>
      <c r="C569" s="6" t="s">
        <v>5278</v>
      </c>
      <c r="D569" s="6" t="s">
        <v>4979</v>
      </c>
      <c r="E569" s="6" t="s">
        <v>35</v>
      </c>
      <c r="F569" s="6" t="s">
        <v>4879</v>
      </c>
      <c r="G569" s="6" t="s">
        <v>301</v>
      </c>
      <c r="H569" s="6">
        <v>1</v>
      </c>
      <c r="I569" s="18">
        <v>4260</v>
      </c>
      <c r="J569" s="19">
        <v>46087.4502383449</v>
      </c>
      <c r="K569" s="6" t="s">
        <v>4880</v>
      </c>
      <c r="L569" t="str">
        <f t="shared" si="8"/>
        <v>TAMPA TRASEIRA DA CAIXA DE MUDANÇA A 9792610005|46085</v>
      </c>
    </row>
    <row r="570" ht="13.5" customHeight="1" spans="1:12">
      <c r="A570" s="17">
        <v>46085.5306365741</v>
      </c>
      <c r="B570" s="6" t="s">
        <v>4876</v>
      </c>
      <c r="C570" s="6" t="s">
        <v>5279</v>
      </c>
      <c r="D570" s="6" t="s">
        <v>110</v>
      </c>
      <c r="E570" s="6" t="s">
        <v>26</v>
      </c>
      <c r="F570" s="6" t="s">
        <v>4882</v>
      </c>
      <c r="G570" s="6" t="s">
        <v>4565</v>
      </c>
      <c r="H570" s="6">
        <v>20</v>
      </c>
      <c r="I570" s="18">
        <v>10</v>
      </c>
      <c r="J570" s="19">
        <v>46085.5337991551</v>
      </c>
      <c r="K570" s="6" t="s">
        <v>4880</v>
      </c>
      <c r="L570" t="str">
        <f t="shared" si="8"/>
        <v>ARRUELA ALUMINIO 16MM|46086</v>
      </c>
    </row>
    <row r="571" ht="13.5" customHeight="1" spans="1:12">
      <c r="A571" s="17">
        <v>46085.5306365741</v>
      </c>
      <c r="B571" s="6" t="s">
        <v>4876</v>
      </c>
      <c r="C571" s="6" t="s">
        <v>5279</v>
      </c>
      <c r="D571" s="6" t="s">
        <v>110</v>
      </c>
      <c r="E571" s="6" t="s">
        <v>26</v>
      </c>
      <c r="F571" s="6" t="s">
        <v>4882</v>
      </c>
      <c r="G571" s="6" t="s">
        <v>254</v>
      </c>
      <c r="H571" s="6">
        <v>3</v>
      </c>
      <c r="I571" s="18">
        <v>195</v>
      </c>
      <c r="J571" s="19">
        <v>46085.5337984144</v>
      </c>
      <c r="K571" s="6" t="s">
        <v>4880</v>
      </c>
      <c r="L571" t="str">
        <f t="shared" si="8"/>
        <v>MANGUEIRA DO INTERCOOLER 70x70x220|46086</v>
      </c>
    </row>
    <row r="572" ht="13.5" customHeight="1" spans="1:12">
      <c r="A572" s="17">
        <v>46085.5339930556</v>
      </c>
      <c r="B572" s="6" t="s">
        <v>4876</v>
      </c>
      <c r="C572" s="6" t="s">
        <v>5280</v>
      </c>
      <c r="D572" s="6" t="s">
        <v>4971</v>
      </c>
      <c r="E572" s="6" t="s">
        <v>26</v>
      </c>
      <c r="F572" s="6" t="s">
        <v>4882</v>
      </c>
      <c r="G572" s="6" t="s">
        <v>3063</v>
      </c>
      <c r="H572" s="6">
        <v>1</v>
      </c>
      <c r="I572" s="18">
        <v>330.47</v>
      </c>
      <c r="J572" s="19">
        <v>46085.5359257292</v>
      </c>
      <c r="K572" s="6" t="s">
        <v>4880</v>
      </c>
      <c r="L572" t="str">
        <f t="shared" si="8"/>
        <v>FIO CABO FLEX 750V 2,50MM PRETO|46086</v>
      </c>
    </row>
    <row r="573" ht="13.5" customHeight="1" spans="1:12">
      <c r="A573" s="17">
        <v>46085.5339930556</v>
      </c>
      <c r="B573" s="6" t="s">
        <v>4876</v>
      </c>
      <c r="C573" s="6" t="s">
        <v>5280</v>
      </c>
      <c r="D573" s="6" t="s">
        <v>4971</v>
      </c>
      <c r="E573" s="6" t="s">
        <v>26</v>
      </c>
      <c r="F573" s="6" t="s">
        <v>4882</v>
      </c>
      <c r="G573" s="6" t="s">
        <v>4125</v>
      </c>
      <c r="H573" s="6">
        <v>1</v>
      </c>
      <c r="I573" s="18">
        <v>330.47</v>
      </c>
      <c r="J573" s="19">
        <v>46085.535925382</v>
      </c>
      <c r="K573" s="6" t="s">
        <v>4880</v>
      </c>
      <c r="L573" t="str">
        <f t="shared" si="8"/>
        <v>CABO FLEX 750V 2,50MM AZUL PÇ |46086</v>
      </c>
    </row>
    <row r="574" ht="13.5" customHeight="1" spans="1:12">
      <c r="A574" s="17">
        <v>46085.5339930556</v>
      </c>
      <c r="B574" s="6" t="s">
        <v>4876</v>
      </c>
      <c r="C574" s="6" t="s">
        <v>5280</v>
      </c>
      <c r="D574" s="6" t="s">
        <v>4971</v>
      </c>
      <c r="E574" s="6" t="s">
        <v>26</v>
      </c>
      <c r="F574" s="6" t="s">
        <v>4882</v>
      </c>
      <c r="G574" s="6" t="s">
        <v>4126</v>
      </c>
      <c r="H574" s="6">
        <v>100</v>
      </c>
      <c r="I574" s="18">
        <v>965</v>
      </c>
      <c r="J574" s="19">
        <v>46085.535925</v>
      </c>
      <c r="K574" s="6" t="s">
        <v>4880</v>
      </c>
      <c r="L574" t="str">
        <f t="shared" si="8"/>
        <v>CABO FLEX 6.00 MM 750V AZUL|46086</v>
      </c>
    </row>
    <row r="575" ht="13.5" customHeight="1" spans="1:12">
      <c r="A575" s="17">
        <v>46085.5363194444</v>
      </c>
      <c r="B575" s="6" t="s">
        <v>4876</v>
      </c>
      <c r="C575" s="6" t="s">
        <v>5281</v>
      </c>
      <c r="D575" s="6" t="s">
        <v>5065</v>
      </c>
      <c r="E575" s="6" t="s">
        <v>26</v>
      </c>
      <c r="F575" s="6" t="s">
        <v>4882</v>
      </c>
      <c r="G575" s="6" t="s">
        <v>266</v>
      </c>
      <c r="H575" s="6">
        <v>3</v>
      </c>
      <c r="I575" s="18">
        <v>99.99</v>
      </c>
      <c r="J575" s="19">
        <v>46085.5369717245</v>
      </c>
      <c r="K575" s="6" t="s">
        <v>4880</v>
      </c>
      <c r="L575" t="str">
        <f t="shared" si="8"/>
        <v>LAMINA 2 PONTAS 350MM FURO 20MM AÇO (ROÇADEIRA)|46086</v>
      </c>
    </row>
    <row r="576" ht="13.5" customHeight="1" spans="1:12">
      <c r="A576" s="17">
        <v>46085.5372800926</v>
      </c>
      <c r="B576" s="6" t="s">
        <v>4876</v>
      </c>
      <c r="C576" s="6" t="s">
        <v>5282</v>
      </c>
      <c r="D576" s="6" t="s">
        <v>5283</v>
      </c>
      <c r="E576" s="6" t="s">
        <v>26</v>
      </c>
      <c r="F576" s="6" t="s">
        <v>4882</v>
      </c>
      <c r="G576" s="6" t="s">
        <v>4265</v>
      </c>
      <c r="H576" s="6">
        <v>26.92</v>
      </c>
      <c r="I576" s="18">
        <v>1884.4</v>
      </c>
      <c r="J576" s="19">
        <v>46085.5405819097</v>
      </c>
      <c r="K576" s="6" t="s">
        <v>4880</v>
      </c>
      <c r="L576" t="str">
        <f t="shared" si="8"/>
        <v>BRITA CORRIDA|46086</v>
      </c>
    </row>
    <row r="577" ht="13.5" customHeight="1" spans="1:12">
      <c r="A577" s="17">
        <v>46085.5409143519</v>
      </c>
      <c r="B577" s="6" t="s">
        <v>4876</v>
      </c>
      <c r="C577" s="6" t="s">
        <v>5284</v>
      </c>
      <c r="D577" s="6" t="s">
        <v>5283</v>
      </c>
      <c r="E577" s="6" t="s">
        <v>26</v>
      </c>
      <c r="F577" s="6" t="s">
        <v>4882</v>
      </c>
      <c r="G577" s="6" t="s">
        <v>4265</v>
      </c>
      <c r="H577" s="6">
        <v>26.46</v>
      </c>
      <c r="I577" s="18">
        <v>1852.2</v>
      </c>
      <c r="J577" s="19">
        <v>46085.5418560532</v>
      </c>
      <c r="K577" s="6" t="s">
        <v>4880</v>
      </c>
      <c r="L577" t="str">
        <f t="shared" si="8"/>
        <v>BRITA CORRIDA|46086</v>
      </c>
    </row>
    <row r="578" ht="13.5" customHeight="1" spans="1:12">
      <c r="A578" s="17">
        <v>46085.6987384259</v>
      </c>
      <c r="B578" s="6" t="s">
        <v>4876</v>
      </c>
      <c r="C578" s="6" t="s">
        <v>5285</v>
      </c>
      <c r="D578" s="6" t="s">
        <v>110</v>
      </c>
      <c r="E578" s="6" t="s">
        <v>26</v>
      </c>
      <c r="F578" s="6" t="s">
        <v>4882</v>
      </c>
      <c r="G578" s="6" t="s">
        <v>296</v>
      </c>
      <c r="H578" s="6">
        <v>2</v>
      </c>
      <c r="I578" s="18">
        <v>180</v>
      </c>
      <c r="J578" s="19">
        <v>46085.699768669</v>
      </c>
      <c r="K578" s="6" t="s">
        <v>4880</v>
      </c>
      <c r="L578" t="str">
        <f t="shared" ref="L578:L641" si="9">IF(G578="","",G578&amp;"|"&amp;TEXT(A578,"0"))</f>
        <v>CORREIA 6PK 2325|46086</v>
      </c>
    </row>
    <row r="579" ht="13.5" customHeight="1" spans="1:12">
      <c r="A579" s="17">
        <v>46085.7002199074</v>
      </c>
      <c r="B579" s="6" t="s">
        <v>4876</v>
      </c>
      <c r="C579" s="6" t="s">
        <v>5286</v>
      </c>
      <c r="D579" s="6" t="s">
        <v>5236</v>
      </c>
      <c r="E579" s="6" t="s">
        <v>390</v>
      </c>
      <c r="F579" s="6" t="s">
        <v>4879</v>
      </c>
      <c r="G579" s="6" t="s">
        <v>3499</v>
      </c>
      <c r="H579" s="6">
        <v>1800</v>
      </c>
      <c r="I579" s="18">
        <v>6678</v>
      </c>
      <c r="J579" s="19">
        <v>46085.7017414352</v>
      </c>
      <c r="K579" s="6" t="s">
        <v>4880</v>
      </c>
      <c r="L579" t="str">
        <f t="shared" si="9"/>
        <v>CX CV 15KG FUNDO|46086</v>
      </c>
    </row>
    <row r="580" ht="13.5" customHeight="1" spans="1:12">
      <c r="A580" s="17">
        <v>46085.7020717593</v>
      </c>
      <c r="B580" s="6" t="s">
        <v>4876</v>
      </c>
      <c r="C580" s="6" t="s">
        <v>5287</v>
      </c>
      <c r="D580" s="6" t="s">
        <v>5236</v>
      </c>
      <c r="E580" s="6" t="s">
        <v>390</v>
      </c>
      <c r="F580" s="6" t="s">
        <v>4879</v>
      </c>
      <c r="G580" s="6" t="s">
        <v>3498</v>
      </c>
      <c r="H580" s="6">
        <v>1850</v>
      </c>
      <c r="I580" s="18">
        <v>6604.5</v>
      </c>
      <c r="J580" s="19">
        <v>46085.7095710648</v>
      </c>
      <c r="K580" s="6" t="s">
        <v>4880</v>
      </c>
      <c r="L580" t="str">
        <f t="shared" si="9"/>
        <v>CX CV 15KG TAMPA|46086</v>
      </c>
    </row>
    <row r="581" ht="13.5" customHeight="1" spans="1:12">
      <c r="A581" s="17">
        <v>46086.45</v>
      </c>
      <c r="B581" s="6" t="s">
        <v>4876</v>
      </c>
      <c r="C581" s="6" t="s">
        <v>5288</v>
      </c>
      <c r="D581" s="6" t="s">
        <v>5132</v>
      </c>
      <c r="E581" s="6" t="s">
        <v>26</v>
      </c>
      <c r="F581" s="6" t="s">
        <v>4882</v>
      </c>
      <c r="G581" s="6" t="s">
        <v>297</v>
      </c>
      <c r="H581" s="6">
        <v>1</v>
      </c>
      <c r="I581" s="18">
        <v>1700</v>
      </c>
      <c r="J581" s="19">
        <v>46087.4517880787</v>
      </c>
      <c r="K581" s="6" t="s">
        <v>4880</v>
      </c>
      <c r="L581" t="str">
        <f t="shared" si="9"/>
        <v>COMPRESSOR CM VW CONTELLATION POLIA 8PK (ONE)|46086</v>
      </c>
    </row>
    <row r="582" ht="13.5" customHeight="1" spans="1:12">
      <c r="A582" s="17">
        <v>46086.4548611111</v>
      </c>
      <c r="B582" s="6" t="s">
        <v>4876</v>
      </c>
      <c r="C582" s="6" t="s">
        <v>5289</v>
      </c>
      <c r="D582" s="6" t="s">
        <v>4903</v>
      </c>
      <c r="E582" s="6" t="s">
        <v>26</v>
      </c>
      <c r="F582" s="6" t="s">
        <v>4882</v>
      </c>
      <c r="G582" s="6" t="s">
        <v>413</v>
      </c>
      <c r="H582" s="6">
        <v>25</v>
      </c>
      <c r="I582" s="18">
        <v>164.75</v>
      </c>
      <c r="J582" s="19">
        <v>46087.4566128819</v>
      </c>
      <c r="K582" s="6" t="s">
        <v>4880</v>
      </c>
      <c r="L582" t="str">
        <f t="shared" si="9"/>
        <v>GASOLINA COMUM 01|46086</v>
      </c>
    </row>
    <row r="583" ht="13.5" customHeight="1" spans="1:12">
      <c r="A583" s="17">
        <v>46086.7057291667</v>
      </c>
      <c r="B583" s="6" t="s">
        <v>4876</v>
      </c>
      <c r="C583" s="6" t="s">
        <v>5290</v>
      </c>
      <c r="D583" s="6" t="s">
        <v>110</v>
      </c>
      <c r="E583" s="6" t="s">
        <v>26</v>
      </c>
      <c r="F583" s="6" t="s">
        <v>4882</v>
      </c>
      <c r="G583" s="6" t="s">
        <v>172</v>
      </c>
      <c r="H583" s="6">
        <v>10</v>
      </c>
      <c r="I583" s="18">
        <v>380</v>
      </c>
      <c r="J583" s="19">
        <v>46086.7079565162</v>
      </c>
      <c r="K583" s="6" t="s">
        <v>4880</v>
      </c>
      <c r="L583" t="str">
        <f t="shared" si="9"/>
        <v>SIRENE DE RÉ |46087</v>
      </c>
    </row>
    <row r="584" ht="13.5" customHeight="1" spans="1:12">
      <c r="A584" s="17">
        <v>46086.7057291667</v>
      </c>
      <c r="B584" s="6" t="s">
        <v>4876</v>
      </c>
      <c r="C584" s="6" t="s">
        <v>5290</v>
      </c>
      <c r="D584" s="6" t="s">
        <v>110</v>
      </c>
      <c r="E584" s="6" t="s">
        <v>26</v>
      </c>
      <c r="F584" s="6" t="s">
        <v>4882</v>
      </c>
      <c r="G584" s="6" t="s">
        <v>300</v>
      </c>
      <c r="H584" s="6">
        <v>10</v>
      </c>
      <c r="I584" s="18">
        <v>550</v>
      </c>
      <c r="J584" s="19">
        <v>46086.7079552431</v>
      </c>
      <c r="K584" s="6" t="s">
        <v>4880</v>
      </c>
      <c r="L584" t="str">
        <f t="shared" si="9"/>
        <v>LENTE LANT TRASEIRA VOLVO PL07290009|46087</v>
      </c>
    </row>
    <row r="585" ht="13.5" customHeight="1" spans="1:12">
      <c r="A585" s="17">
        <v>46086.7076388889</v>
      </c>
      <c r="B585" s="6" t="s">
        <v>4876</v>
      </c>
      <c r="C585" s="6" t="s">
        <v>5291</v>
      </c>
      <c r="D585" s="6" t="s">
        <v>5109</v>
      </c>
      <c r="E585" s="6" t="s">
        <v>26</v>
      </c>
      <c r="F585" s="6" t="s">
        <v>4882</v>
      </c>
      <c r="G585" s="6" t="s">
        <v>850</v>
      </c>
      <c r="H585" s="6">
        <v>3</v>
      </c>
      <c r="I585" s="18">
        <v>447</v>
      </c>
      <c r="J585" s="19">
        <v>46086.7096174421</v>
      </c>
      <c r="K585" s="6" t="s">
        <v>4880</v>
      </c>
      <c r="L585" t="str">
        <f t="shared" si="9"/>
        <v>REFLETOR LED TR 200W 6500K PRETO|46087</v>
      </c>
    </row>
    <row r="586" ht="13.5" customHeight="1" spans="1:12">
      <c r="A586" s="17">
        <v>46086.7098148148</v>
      </c>
      <c r="B586" s="6" t="s">
        <v>4876</v>
      </c>
      <c r="C586" s="6" t="s">
        <v>5292</v>
      </c>
      <c r="D586" s="6" t="s">
        <v>4971</v>
      </c>
      <c r="E586" s="6" t="s">
        <v>26</v>
      </c>
      <c r="F586" s="6" t="s">
        <v>4882</v>
      </c>
      <c r="G586" s="6" t="s">
        <v>849</v>
      </c>
      <c r="H586" s="6">
        <v>3</v>
      </c>
      <c r="I586" s="18">
        <v>151.41</v>
      </c>
      <c r="J586" s="19">
        <v>46086.7105579051</v>
      </c>
      <c r="K586" s="6" t="s">
        <v>4880</v>
      </c>
      <c r="L586" t="str">
        <f t="shared" si="9"/>
        <v>REFLETOR LED TR SLIM 50W 6500K PRETO|46087</v>
      </c>
    </row>
    <row r="587" ht="13.5" customHeight="1" spans="1:12">
      <c r="A587" s="17">
        <v>46087.3930555556</v>
      </c>
      <c r="B587" s="6" t="s">
        <v>4876</v>
      </c>
      <c r="C587" s="6" t="s">
        <v>5293</v>
      </c>
      <c r="D587" s="6" t="s">
        <v>4894</v>
      </c>
      <c r="E587" s="6" t="s">
        <v>26</v>
      </c>
      <c r="F587" s="6" t="s">
        <v>4882</v>
      </c>
      <c r="G587" s="6" t="s">
        <v>1915</v>
      </c>
      <c r="H587" s="6">
        <v>5</v>
      </c>
      <c r="I587" s="18">
        <v>7.95</v>
      </c>
      <c r="J587" s="19">
        <v>46090.4044453704</v>
      </c>
      <c r="K587" s="6" t="s">
        <v>4880</v>
      </c>
      <c r="L587" t="str">
        <f t="shared" si="9"/>
        <v>PORCA SEXT MA INOX 08X1,25 C/02|46087</v>
      </c>
    </row>
    <row r="588" ht="13.5" customHeight="1" spans="1:12">
      <c r="A588" s="17">
        <v>46087.3930555556</v>
      </c>
      <c r="B588" s="6" t="s">
        <v>4876</v>
      </c>
      <c r="C588" s="6" t="s">
        <v>5293</v>
      </c>
      <c r="D588" s="6" t="s">
        <v>4894</v>
      </c>
      <c r="E588" s="6" t="s">
        <v>26</v>
      </c>
      <c r="F588" s="6" t="s">
        <v>4882</v>
      </c>
      <c r="G588" s="6" t="s">
        <v>2173</v>
      </c>
      <c r="H588" s="6">
        <v>5</v>
      </c>
      <c r="I588" s="18">
        <v>16.2</v>
      </c>
      <c r="J588" s="19">
        <v>46090.4044448264</v>
      </c>
      <c r="K588" s="6" t="s">
        <v>4880</v>
      </c>
      <c r="L588" t="str">
        <f t="shared" si="9"/>
        <v>PARAFUSO ALLEN INOX 8 X 16 |46087</v>
      </c>
    </row>
    <row r="589" ht="13.5" customHeight="1" spans="1:12">
      <c r="A589" s="17">
        <v>46087.4048611111</v>
      </c>
      <c r="B589" s="6" t="s">
        <v>4876</v>
      </c>
      <c r="C589" s="6" t="s">
        <v>5294</v>
      </c>
      <c r="D589" s="6" t="s">
        <v>4884</v>
      </c>
      <c r="E589" s="6" t="s">
        <v>26</v>
      </c>
      <c r="F589" s="6" t="s">
        <v>4882</v>
      </c>
      <c r="G589" s="6" t="s">
        <v>3243</v>
      </c>
      <c r="H589" s="6">
        <v>6</v>
      </c>
      <c r="I589" s="18">
        <v>203.34</v>
      </c>
      <c r="J589" s="19">
        <v>46090.4106514699</v>
      </c>
      <c r="K589" s="6" t="s">
        <v>4880</v>
      </c>
      <c r="L589" t="str">
        <f t="shared" si="9"/>
        <v>ESPUMA EXPANSIVA 500ML UNIPEGA|46087</v>
      </c>
    </row>
    <row r="590" ht="13.5" customHeight="1" spans="1:12">
      <c r="A590" s="17">
        <v>46087.4048611111</v>
      </c>
      <c r="B590" s="6" t="s">
        <v>4876</v>
      </c>
      <c r="C590" s="6" t="s">
        <v>5294</v>
      </c>
      <c r="D590" s="6" t="s">
        <v>4884</v>
      </c>
      <c r="E590" s="6" t="s">
        <v>26</v>
      </c>
      <c r="F590" s="6" t="s">
        <v>4882</v>
      </c>
      <c r="G590" s="6" t="s">
        <v>4681</v>
      </c>
      <c r="H590" s="6">
        <v>1</v>
      </c>
      <c r="I590" s="18">
        <v>6.8</v>
      </c>
      <c r="J590" s="19">
        <v>46090.4106509259</v>
      </c>
      <c r="K590" s="6" t="s">
        <v>4880</v>
      </c>
      <c r="L590" t="str">
        <f t="shared" si="9"/>
        <v>ADAPTADOR P/TORNEIRA 1/2 E 3/4|46087</v>
      </c>
    </row>
    <row r="591" ht="13.5" customHeight="1" spans="1:12">
      <c r="A591" s="17">
        <v>46087.4048611111</v>
      </c>
      <c r="B591" s="6" t="s">
        <v>4876</v>
      </c>
      <c r="C591" s="6" t="s">
        <v>5294</v>
      </c>
      <c r="D591" s="6" t="s">
        <v>4884</v>
      </c>
      <c r="E591" s="6" t="s">
        <v>26</v>
      </c>
      <c r="F591" s="6" t="s">
        <v>4882</v>
      </c>
      <c r="G591" s="6" t="s">
        <v>849</v>
      </c>
      <c r="H591" s="6">
        <v>10</v>
      </c>
      <c r="I591" s="18">
        <v>542</v>
      </c>
      <c r="J591" s="19">
        <v>46090.410650544</v>
      </c>
      <c r="K591" s="6" t="s">
        <v>4880</v>
      </c>
      <c r="L591" t="str">
        <f t="shared" si="9"/>
        <v>REFLETOR LED TR SLIM 50W 6500K PRETO|46087</v>
      </c>
    </row>
    <row r="592" ht="13.5" customHeight="1" spans="1:12">
      <c r="A592" s="17">
        <v>46087.4048611111</v>
      </c>
      <c r="B592" s="6" t="s">
        <v>4876</v>
      </c>
      <c r="C592" s="6" t="s">
        <v>5294</v>
      </c>
      <c r="D592" s="6" t="s">
        <v>4884</v>
      </c>
      <c r="E592" s="6" t="s">
        <v>26</v>
      </c>
      <c r="F592" s="6" t="s">
        <v>4882</v>
      </c>
      <c r="G592" s="6" t="s">
        <v>850</v>
      </c>
      <c r="H592" s="6">
        <v>10</v>
      </c>
      <c r="I592" s="18">
        <v>1973.5</v>
      </c>
      <c r="J592" s="19">
        <v>46090.4106498032</v>
      </c>
      <c r="K592" s="6" t="s">
        <v>4880</v>
      </c>
      <c r="L592" t="str">
        <f t="shared" si="9"/>
        <v>REFLETOR LED TR 200W 6500K PRETO|46087</v>
      </c>
    </row>
    <row r="593" ht="13.5" customHeight="1" spans="1:12">
      <c r="A593" s="17">
        <v>46087.4048611111</v>
      </c>
      <c r="B593" s="6" t="s">
        <v>4876</v>
      </c>
      <c r="C593" s="6" t="s">
        <v>5294</v>
      </c>
      <c r="D593" s="6" t="s">
        <v>4884</v>
      </c>
      <c r="E593" s="6" t="s">
        <v>26</v>
      </c>
      <c r="F593" s="6" t="s">
        <v>4882</v>
      </c>
      <c r="G593" s="6" t="s">
        <v>3406</v>
      </c>
      <c r="H593" s="6">
        <v>30</v>
      </c>
      <c r="I593" s="18">
        <v>332.1</v>
      </c>
      <c r="J593" s="19">
        <v>46090.4106491088</v>
      </c>
      <c r="K593" s="6" t="s">
        <v>4880</v>
      </c>
      <c r="L593" t="str">
        <f t="shared" si="9"/>
        <v>DURIN MANGUEIRA JARDIM SILIC PREMIUM|46087</v>
      </c>
    </row>
    <row r="594" ht="13.5" customHeight="1" spans="1:12">
      <c r="A594" s="17">
        <v>46087.4743055556</v>
      </c>
      <c r="B594" s="6" t="s">
        <v>4876</v>
      </c>
      <c r="C594" s="6" t="s">
        <v>5295</v>
      </c>
      <c r="D594" s="6" t="s">
        <v>5296</v>
      </c>
      <c r="E594" s="6" t="s">
        <v>26</v>
      </c>
      <c r="F594" s="6" t="s">
        <v>4882</v>
      </c>
      <c r="G594" s="6" t="s">
        <v>1168</v>
      </c>
      <c r="H594" s="6">
        <v>5</v>
      </c>
      <c r="I594" s="18">
        <v>1210</v>
      </c>
      <c r="J594" s="19">
        <v>46093.4797554051</v>
      </c>
      <c r="K594" s="6" t="s">
        <v>4880</v>
      </c>
      <c r="L594" t="str">
        <f t="shared" si="9"/>
        <v>TINTA VINCIPOXI ALUMINIO MASTIC|46087</v>
      </c>
    </row>
    <row r="595" ht="13.5" customHeight="1" spans="1:12">
      <c r="A595" s="17">
        <v>46087.4743055556</v>
      </c>
      <c r="B595" s="6" t="s">
        <v>4876</v>
      </c>
      <c r="C595" s="6" t="s">
        <v>5295</v>
      </c>
      <c r="D595" s="6" t="s">
        <v>5296</v>
      </c>
      <c r="E595" s="6" t="s">
        <v>26</v>
      </c>
      <c r="F595" s="6" t="s">
        <v>4882</v>
      </c>
      <c r="G595" s="6" t="s">
        <v>1169</v>
      </c>
      <c r="H595" s="6">
        <v>10</v>
      </c>
      <c r="I595" s="18">
        <v>2100</v>
      </c>
      <c r="J595" s="19">
        <v>46093.4797552083</v>
      </c>
      <c r="K595" s="6" t="s">
        <v>4880</v>
      </c>
      <c r="L595" t="str">
        <f t="shared" si="9"/>
        <v>TINTA VINCIPOLY ACRÍLICA VERMELHA|46087</v>
      </c>
    </row>
    <row r="596" ht="13.5" customHeight="1" spans="1:12">
      <c r="A596" s="17">
        <v>46087.4743055556</v>
      </c>
      <c r="B596" s="6" t="s">
        <v>4876</v>
      </c>
      <c r="C596" s="6" t="s">
        <v>5295</v>
      </c>
      <c r="D596" s="6" t="s">
        <v>5296</v>
      </c>
      <c r="E596" s="6" t="s">
        <v>26</v>
      </c>
      <c r="F596" s="6" t="s">
        <v>4882</v>
      </c>
      <c r="G596" s="6" t="s">
        <v>1372</v>
      </c>
      <c r="H596" s="6">
        <v>1</v>
      </c>
      <c r="I596" s="18">
        <v>177</v>
      </c>
      <c r="J596" s="19">
        <v>46093.4797550579</v>
      </c>
      <c r="K596" s="6" t="s">
        <v>4880</v>
      </c>
      <c r="L596" t="str">
        <f t="shared" si="9"/>
        <v>SOLVENTE VINCISOLV P/EPOXI 5L (ONU 1263)|46087</v>
      </c>
    </row>
    <row r="597" ht="13.5" customHeight="1" spans="1:12">
      <c r="A597" s="17">
        <v>46087.4743055556</v>
      </c>
      <c r="B597" s="6" t="s">
        <v>4876</v>
      </c>
      <c r="C597" s="6" t="s">
        <v>5295</v>
      </c>
      <c r="D597" s="6" t="s">
        <v>5296</v>
      </c>
      <c r="E597" s="6" t="s">
        <v>26</v>
      </c>
      <c r="F597" s="6" t="s">
        <v>4882</v>
      </c>
      <c r="G597" s="6" t="s">
        <v>1370</v>
      </c>
      <c r="H597" s="6">
        <v>1</v>
      </c>
      <c r="I597" s="18">
        <v>190</v>
      </c>
      <c r="J597" s="19">
        <v>46093.4797546644</v>
      </c>
      <c r="K597" s="6" t="s">
        <v>4880</v>
      </c>
      <c r="L597" t="str">
        <f t="shared" si="9"/>
        <v>SOLVENTE VINCISOLV P/PU 5L (ONU 1263)|46087</v>
      </c>
    </row>
    <row r="598" ht="13.5" customHeight="1" spans="1:12">
      <c r="A598" s="17">
        <v>46087.4743055556</v>
      </c>
      <c r="B598" s="6" t="s">
        <v>4876</v>
      </c>
      <c r="C598" s="6" t="s">
        <v>5295</v>
      </c>
      <c r="D598" s="6" t="s">
        <v>5296</v>
      </c>
      <c r="E598" s="6" t="s">
        <v>26</v>
      </c>
      <c r="F598" s="6" t="s">
        <v>4882</v>
      </c>
      <c r="G598" s="6" t="s">
        <v>1167</v>
      </c>
      <c r="H598" s="6">
        <v>5</v>
      </c>
      <c r="I598" s="18">
        <v>1210</v>
      </c>
      <c r="J598" s="19">
        <v>46093.4797545139</v>
      </c>
      <c r="K598" s="6" t="s">
        <v>4880</v>
      </c>
      <c r="L598" t="str">
        <f t="shared" si="9"/>
        <v>TINTA VINCIPOXI COMPONENTE B (ONU 1263)|46087</v>
      </c>
    </row>
    <row r="599" ht="13.5" customHeight="1" spans="1:12">
      <c r="A599" s="17">
        <v>46087.4743055556</v>
      </c>
      <c r="B599" s="6" t="s">
        <v>4876</v>
      </c>
      <c r="C599" s="6" t="s">
        <v>5295</v>
      </c>
      <c r="D599" s="6" t="s">
        <v>5296</v>
      </c>
      <c r="E599" s="6" t="s">
        <v>26</v>
      </c>
      <c r="F599" s="6" t="s">
        <v>4882</v>
      </c>
      <c r="G599" s="6" t="s">
        <v>3898</v>
      </c>
      <c r="H599" s="6">
        <v>10</v>
      </c>
      <c r="I599" s="18">
        <v>1190</v>
      </c>
      <c r="J599" s="19">
        <v>46093.4797537847</v>
      </c>
      <c r="K599" s="6" t="s">
        <v>4880</v>
      </c>
      <c r="L599" t="str">
        <f t="shared" si="9"/>
        <v>CATALISADOR PARA PU ACRÍLICO (ONU 1263)|46087</v>
      </c>
    </row>
    <row r="600" ht="13.5" customHeight="1" spans="1:12">
      <c r="A600" s="17">
        <v>46087.6201388889</v>
      </c>
      <c r="B600" s="6" t="s">
        <v>4876</v>
      </c>
      <c r="C600" s="6" t="s">
        <v>5297</v>
      </c>
      <c r="D600" s="6" t="s">
        <v>5177</v>
      </c>
      <c r="E600" s="6" t="s">
        <v>26</v>
      </c>
      <c r="F600" s="6" t="s">
        <v>4882</v>
      </c>
      <c r="G600" s="6" t="s">
        <v>364</v>
      </c>
      <c r="H600" s="6">
        <v>2</v>
      </c>
      <c r="I600" s="18">
        <v>487.02</v>
      </c>
      <c r="J600" s="19">
        <v>46090.6233690972</v>
      </c>
      <c r="K600" s="6" t="s">
        <v>4880</v>
      </c>
      <c r="L600" t="str">
        <f t="shared" si="9"/>
        <v>FAROLMILHA VW DELIVERY EXPRESS - ESQUERDO|46088</v>
      </c>
    </row>
    <row r="601" ht="13.5" customHeight="1" spans="1:12">
      <c r="A601" s="17">
        <v>46087.6201388889</v>
      </c>
      <c r="B601" s="6" t="s">
        <v>4876</v>
      </c>
      <c r="C601" s="6" t="s">
        <v>5297</v>
      </c>
      <c r="D601" s="6" t="s">
        <v>5177</v>
      </c>
      <c r="E601" s="6" t="s">
        <v>26</v>
      </c>
      <c r="F601" s="6" t="s">
        <v>4882</v>
      </c>
      <c r="G601" s="6" t="s">
        <v>306</v>
      </c>
      <c r="H601" s="6">
        <v>2</v>
      </c>
      <c r="I601" s="18">
        <v>487.04</v>
      </c>
      <c r="J601" s="19">
        <v>46090.6233687153</v>
      </c>
      <c r="K601" s="6" t="s">
        <v>4880</v>
      </c>
      <c r="L601" t="str">
        <f t="shared" si="9"/>
        <v>FAROL MILHA VW DELIVERY EXPRESS -DIREITO|46088</v>
      </c>
    </row>
    <row r="602" ht="13.5" customHeight="1" spans="1:12">
      <c r="A602" s="17">
        <v>46087.6375115741</v>
      </c>
      <c r="B602" s="6" t="s">
        <v>4876</v>
      </c>
      <c r="C602" s="6" t="s">
        <v>5298</v>
      </c>
      <c r="D602" s="6" t="s">
        <v>4954</v>
      </c>
      <c r="E602" s="6" t="s">
        <v>26</v>
      </c>
      <c r="F602" s="6" t="s">
        <v>4882</v>
      </c>
      <c r="G602" s="6" t="s">
        <v>444</v>
      </c>
      <c r="H602" s="6">
        <v>7</v>
      </c>
      <c r="I602" s="18">
        <v>203</v>
      </c>
      <c r="J602" s="19">
        <v>46087.6386418634</v>
      </c>
      <c r="K602" s="6" t="s">
        <v>4880</v>
      </c>
      <c r="L602" t="str">
        <f t="shared" si="9"/>
        <v>DIAFRAGMA BINS 7 TIPO 24|46088</v>
      </c>
    </row>
    <row r="603" ht="13.5" customHeight="1" spans="1:12">
      <c r="A603" s="17">
        <v>46087.6389467593</v>
      </c>
      <c r="B603" s="6" t="s">
        <v>4876</v>
      </c>
      <c r="C603" s="6" t="s">
        <v>5299</v>
      </c>
      <c r="D603" s="6" t="s">
        <v>5132</v>
      </c>
      <c r="E603" s="6" t="s">
        <v>26</v>
      </c>
      <c r="F603" s="6" t="s">
        <v>4882</v>
      </c>
      <c r="G603" s="6" t="s">
        <v>295</v>
      </c>
      <c r="H603" s="6">
        <v>2</v>
      </c>
      <c r="I603" s="18">
        <v>780</v>
      </c>
      <c r="J603" s="19">
        <v>46087.6397232639</v>
      </c>
      <c r="K603" s="6" t="s">
        <v>4880</v>
      </c>
      <c r="L603" t="str">
        <f t="shared" si="9"/>
        <v>ELETRO VENT UNIV 11P 24V SOPRANTE |46088</v>
      </c>
    </row>
    <row r="604" ht="13.5" customHeight="1" spans="1:12">
      <c r="A604" s="17">
        <v>46090.5263888889</v>
      </c>
      <c r="B604" s="6" t="s">
        <v>4876</v>
      </c>
      <c r="C604" s="6" t="s">
        <v>5300</v>
      </c>
      <c r="D604" s="6" t="s">
        <v>104</v>
      </c>
      <c r="E604" s="6" t="s">
        <v>51</v>
      </c>
      <c r="F604" s="6" t="s">
        <v>4879</v>
      </c>
      <c r="G604" s="6" t="s">
        <v>4333</v>
      </c>
      <c r="H604" s="6">
        <v>53</v>
      </c>
      <c r="I604" s="18">
        <v>360.4</v>
      </c>
      <c r="J604" s="19">
        <v>46093.531640081</v>
      </c>
      <c r="K604" s="6" t="s">
        <v>4880</v>
      </c>
      <c r="L604" t="str">
        <f t="shared" si="9"/>
        <v>BORDADO|46091</v>
      </c>
    </row>
    <row r="605" ht="13.5" customHeight="1" spans="1:12">
      <c r="A605" s="17">
        <v>46090.5263888889</v>
      </c>
      <c r="B605" s="6" t="s">
        <v>4876</v>
      </c>
      <c r="C605" s="6" t="s">
        <v>5300</v>
      </c>
      <c r="D605" s="6" t="s">
        <v>104</v>
      </c>
      <c r="E605" s="6" t="s">
        <v>51</v>
      </c>
      <c r="F605" s="6" t="s">
        <v>4879</v>
      </c>
      <c r="G605" s="6" t="s">
        <v>2355</v>
      </c>
      <c r="H605" s="6">
        <v>53</v>
      </c>
      <c r="I605" s="18">
        <v>312.7</v>
      </c>
      <c r="J605" s="19">
        <v>46093.5316397338</v>
      </c>
      <c r="K605" s="6" t="s">
        <v>4880</v>
      </c>
      <c r="L605" t="str">
        <f t="shared" si="9"/>
        <v>NUMEROS BORDADOS|46091</v>
      </c>
    </row>
    <row r="606" ht="13.5" customHeight="1" spans="1:12">
      <c r="A606" s="17">
        <v>46090.5263888889</v>
      </c>
      <c r="B606" s="6" t="s">
        <v>4876</v>
      </c>
      <c r="C606" s="6" t="s">
        <v>5300</v>
      </c>
      <c r="D606" s="6" t="s">
        <v>104</v>
      </c>
      <c r="E606" s="6" t="s">
        <v>51</v>
      </c>
      <c r="F606" s="6" t="s">
        <v>4879</v>
      </c>
      <c r="G606" s="6" t="s">
        <v>2840</v>
      </c>
      <c r="H606" s="6">
        <v>4</v>
      </c>
      <c r="I606" s="18">
        <v>355.6</v>
      </c>
      <c r="J606" s="19">
        <v>46093.5316395486</v>
      </c>
      <c r="K606" s="6" t="s">
        <v>4880</v>
      </c>
      <c r="L606" t="str">
        <f t="shared" si="9"/>
        <v>JAPONA TERMICA NYLON AZUL EGG|46091</v>
      </c>
    </row>
    <row r="607" ht="13.5" customHeight="1" spans="1:12">
      <c r="A607" s="17">
        <v>46090.5263888889</v>
      </c>
      <c r="B607" s="6" t="s">
        <v>4876</v>
      </c>
      <c r="C607" s="6" t="s">
        <v>5300</v>
      </c>
      <c r="D607" s="6" t="s">
        <v>104</v>
      </c>
      <c r="E607" s="6" t="s">
        <v>51</v>
      </c>
      <c r="F607" s="6" t="s">
        <v>4879</v>
      </c>
      <c r="G607" s="6" t="s">
        <v>828</v>
      </c>
      <c r="H607" s="6">
        <v>15</v>
      </c>
      <c r="I607" s="18">
        <v>1333.5</v>
      </c>
      <c r="J607" s="19">
        <v>46093.5316393519</v>
      </c>
      <c r="K607" s="6" t="s">
        <v>4880</v>
      </c>
      <c r="L607" t="str">
        <f t="shared" si="9"/>
        <v>JAPONA TERMICA NYLON AZUL (GG)|46091</v>
      </c>
    </row>
    <row r="608" ht="13.5" customHeight="1" spans="1:12">
      <c r="A608" s="17">
        <v>46090.5263888889</v>
      </c>
      <c r="B608" s="6" t="s">
        <v>4876</v>
      </c>
      <c r="C608" s="6" t="s">
        <v>5300</v>
      </c>
      <c r="D608" s="6" t="s">
        <v>104</v>
      </c>
      <c r="E608" s="6" t="s">
        <v>51</v>
      </c>
      <c r="F608" s="6" t="s">
        <v>4879</v>
      </c>
      <c r="G608" s="6" t="s">
        <v>2839</v>
      </c>
      <c r="H608" s="6">
        <v>15</v>
      </c>
      <c r="I608" s="18">
        <v>1333.5</v>
      </c>
      <c r="J608" s="19">
        <v>46093.5316392014</v>
      </c>
      <c r="K608" s="6" t="s">
        <v>4880</v>
      </c>
      <c r="L608" t="str">
        <f t="shared" si="9"/>
        <v>JAPONA TERMICA NYLON AZUL G|46091</v>
      </c>
    </row>
    <row r="609" ht="13.5" customHeight="1" spans="1:12">
      <c r="A609" s="17">
        <v>46090.5263888889</v>
      </c>
      <c r="B609" s="6" t="s">
        <v>4876</v>
      </c>
      <c r="C609" s="6" t="s">
        <v>5300</v>
      </c>
      <c r="D609" s="6" t="s">
        <v>104</v>
      </c>
      <c r="E609" s="6" t="s">
        <v>51</v>
      </c>
      <c r="F609" s="6" t="s">
        <v>4879</v>
      </c>
      <c r="G609" s="6" t="s">
        <v>2845</v>
      </c>
      <c r="H609" s="6">
        <v>15</v>
      </c>
      <c r="I609" s="18">
        <v>1333.5</v>
      </c>
      <c r="J609" s="19">
        <v>46093.5316388079</v>
      </c>
      <c r="K609" s="6" t="s">
        <v>4880</v>
      </c>
      <c r="L609" t="str">
        <f t="shared" si="9"/>
        <v>JAPONA TERMICA NYLON AZUL (M)|46091</v>
      </c>
    </row>
    <row r="610" ht="13.5" customHeight="1" spans="1:12">
      <c r="A610" s="17">
        <v>46090.5263888889</v>
      </c>
      <c r="B610" s="6" t="s">
        <v>4876</v>
      </c>
      <c r="C610" s="6" t="s">
        <v>5300</v>
      </c>
      <c r="D610" s="6" t="s">
        <v>104</v>
      </c>
      <c r="E610" s="6" t="s">
        <v>51</v>
      </c>
      <c r="F610" s="6" t="s">
        <v>4879</v>
      </c>
      <c r="G610" s="6" t="s">
        <v>2844</v>
      </c>
      <c r="H610" s="6">
        <v>4</v>
      </c>
      <c r="I610" s="18">
        <v>355.6</v>
      </c>
      <c r="J610" s="19">
        <v>46093.5316381134</v>
      </c>
      <c r="K610" s="6" t="s">
        <v>4880</v>
      </c>
      <c r="L610" t="str">
        <f t="shared" si="9"/>
        <v>JAPONA TERMICA NYLON AZUL (P)|46091</v>
      </c>
    </row>
    <row r="611" ht="13.5" customHeight="1" spans="1:12">
      <c r="A611" s="17">
        <v>46090.6089814815</v>
      </c>
      <c r="B611" s="6" t="s">
        <v>4876</v>
      </c>
      <c r="C611" s="6" t="s">
        <v>5301</v>
      </c>
      <c r="D611" s="6" t="s">
        <v>4971</v>
      </c>
      <c r="E611" s="6" t="s">
        <v>26</v>
      </c>
      <c r="F611" s="6" t="s">
        <v>4882</v>
      </c>
      <c r="G611" s="6" t="s">
        <v>2489</v>
      </c>
      <c r="H611" s="6">
        <v>1</v>
      </c>
      <c r="I611" s="18">
        <v>54</v>
      </c>
      <c r="J611" s="19">
        <v>46090.6127621528</v>
      </c>
      <c r="K611" s="6" t="s">
        <v>4880</v>
      </c>
      <c r="L611" t="str">
        <f t="shared" si="9"/>
        <v>MARRETA OITAVADA 1000GR|46091</v>
      </c>
    </row>
    <row r="612" ht="13.5" customHeight="1" spans="1:12">
      <c r="A612" s="17">
        <v>46090.6089814815</v>
      </c>
      <c r="B612" s="6" t="s">
        <v>4876</v>
      </c>
      <c r="C612" s="6" t="s">
        <v>5301</v>
      </c>
      <c r="D612" s="6" t="s">
        <v>4971</v>
      </c>
      <c r="E612" s="6" t="s">
        <v>26</v>
      </c>
      <c r="F612" s="6" t="s">
        <v>4882</v>
      </c>
      <c r="G612" s="6" t="s">
        <v>702</v>
      </c>
      <c r="H612" s="6">
        <v>6</v>
      </c>
      <c r="I612" s="18">
        <v>232.56</v>
      </c>
      <c r="J612" s="19">
        <v>46090.6127614583</v>
      </c>
      <c r="K612" s="6" t="s">
        <v>4880</v>
      </c>
      <c r="L612" t="str">
        <f t="shared" si="9"/>
        <v>CAPA DE CHUVA PVC FORRADA (G)|46091</v>
      </c>
    </row>
    <row r="613" ht="13.5" customHeight="1" spans="1:12">
      <c r="A613" s="17">
        <v>46090.6089814815</v>
      </c>
      <c r="B613" s="6" t="s">
        <v>4876</v>
      </c>
      <c r="C613" s="6" t="s">
        <v>5301</v>
      </c>
      <c r="D613" s="6" t="s">
        <v>4971</v>
      </c>
      <c r="E613" s="6" t="s">
        <v>26</v>
      </c>
      <c r="F613" s="6" t="s">
        <v>4882</v>
      </c>
      <c r="G613" s="6" t="s">
        <v>583</v>
      </c>
      <c r="H613" s="6">
        <v>5</v>
      </c>
      <c r="I613" s="18">
        <v>211.2</v>
      </c>
      <c r="J613" s="19">
        <v>46090.6127607292</v>
      </c>
      <c r="K613" s="6" t="s">
        <v>4880</v>
      </c>
      <c r="L613" t="str">
        <f t="shared" si="9"/>
        <v>FITA ISOLANTE|46091</v>
      </c>
    </row>
    <row r="614" ht="13.5" customHeight="1" spans="1:12">
      <c r="A614" s="17">
        <v>46090.6130208333</v>
      </c>
      <c r="B614" s="6" t="s">
        <v>4876</v>
      </c>
      <c r="C614" s="6" t="s">
        <v>5302</v>
      </c>
      <c r="D614" s="6" t="s">
        <v>4971</v>
      </c>
      <c r="E614" s="6" t="s">
        <v>26</v>
      </c>
      <c r="F614" s="6" t="s">
        <v>4882</v>
      </c>
      <c r="G614" s="6" t="s">
        <v>583</v>
      </c>
      <c r="H614" s="6">
        <v>5</v>
      </c>
      <c r="I614" s="18">
        <v>58.25</v>
      </c>
      <c r="J614" s="19">
        <v>46090.6137342593</v>
      </c>
      <c r="K614" s="6" t="s">
        <v>4880</v>
      </c>
      <c r="L614" t="str">
        <f t="shared" si="9"/>
        <v>FITA ISOLANTE|46091</v>
      </c>
    </row>
    <row r="615" ht="13.5" customHeight="1" spans="1:12">
      <c r="A615" s="17">
        <v>46090.6141435185</v>
      </c>
      <c r="B615" s="6" t="s">
        <v>4876</v>
      </c>
      <c r="C615" s="6" t="s">
        <v>5303</v>
      </c>
      <c r="D615" s="6" t="s">
        <v>4935</v>
      </c>
      <c r="E615" s="6" t="s">
        <v>26</v>
      </c>
      <c r="F615" s="6" t="s">
        <v>4882</v>
      </c>
      <c r="G615" s="6" t="s">
        <v>599</v>
      </c>
      <c r="H615" s="6">
        <v>5</v>
      </c>
      <c r="I615" s="18">
        <v>595</v>
      </c>
      <c r="J615" s="19">
        <v>46090.6194209838</v>
      </c>
      <c r="K615" s="6" t="s">
        <v>4880</v>
      </c>
      <c r="L615" t="str">
        <f t="shared" si="9"/>
        <v>PISO PASTILHADO 50X50 MOEDA|46091</v>
      </c>
    </row>
    <row r="616" ht="13.5" customHeight="1" spans="1:12">
      <c r="A616" s="17">
        <v>46090.6141435185</v>
      </c>
      <c r="B616" s="6" t="s">
        <v>4876</v>
      </c>
      <c r="C616" s="6" t="s">
        <v>5303</v>
      </c>
      <c r="D616" s="6" t="s">
        <v>4935</v>
      </c>
      <c r="E616" s="6" t="s">
        <v>26</v>
      </c>
      <c r="F616" s="6" t="s">
        <v>4882</v>
      </c>
      <c r="G616" s="6" t="s">
        <v>701</v>
      </c>
      <c r="H616" s="6">
        <v>1</v>
      </c>
      <c r="I616" s="18">
        <v>39.61</v>
      </c>
      <c r="J616" s="19">
        <v>46090.6194206366</v>
      </c>
      <c r="K616" s="6" t="s">
        <v>4880</v>
      </c>
      <c r="L616" t="str">
        <f t="shared" si="9"/>
        <v>CAPA DE CHUVA EXG|46091</v>
      </c>
    </row>
    <row r="617" ht="13.5" customHeight="1" spans="1:12">
      <c r="A617" s="17">
        <v>46090.6141435185</v>
      </c>
      <c r="B617" s="6" t="s">
        <v>4876</v>
      </c>
      <c r="C617" s="6" t="s">
        <v>5303</v>
      </c>
      <c r="D617" s="6" t="s">
        <v>4935</v>
      </c>
      <c r="E617" s="6" t="s">
        <v>26</v>
      </c>
      <c r="F617" s="6" t="s">
        <v>4882</v>
      </c>
      <c r="G617" s="6" t="s">
        <v>702</v>
      </c>
      <c r="H617" s="6">
        <v>1</v>
      </c>
      <c r="I617" s="18">
        <v>38.61</v>
      </c>
      <c r="J617" s="19">
        <v>46090.6194204514</v>
      </c>
      <c r="K617" s="6" t="s">
        <v>4880</v>
      </c>
      <c r="L617" t="str">
        <f t="shared" si="9"/>
        <v>CAPA DE CHUVA PVC FORRADA (G)|46091</v>
      </c>
    </row>
    <row r="618" ht="13.5" customHeight="1" spans="1:12">
      <c r="A618" s="17">
        <v>46090.6196875</v>
      </c>
      <c r="B618" s="6" t="s">
        <v>4876</v>
      </c>
      <c r="C618" s="6" t="s">
        <v>5304</v>
      </c>
      <c r="D618" s="6" t="s">
        <v>4956</v>
      </c>
      <c r="E618" s="6" t="s">
        <v>26</v>
      </c>
      <c r="F618" s="6" t="s">
        <v>4882</v>
      </c>
      <c r="G618" s="6" t="s">
        <v>3347</v>
      </c>
      <c r="H618" s="6">
        <v>1</v>
      </c>
      <c r="I618" s="18">
        <v>45</v>
      </c>
      <c r="J618" s="19">
        <v>46090.6205397338</v>
      </c>
      <c r="K618" s="6" t="s">
        <v>4880</v>
      </c>
      <c r="L618" t="str">
        <f t="shared" si="9"/>
        <v>EMENDA PRENSADA EM MANGUEIRA DE LAVA JATO 1/2"|46091</v>
      </c>
    </row>
    <row r="619" ht="13.5" customHeight="1" spans="1:12">
      <c r="A619" s="17">
        <v>46091.3513888889</v>
      </c>
      <c r="B619" s="6" t="s">
        <v>4876</v>
      </c>
      <c r="C619" s="6" t="s">
        <v>5305</v>
      </c>
      <c r="D619" s="6" t="s">
        <v>4971</v>
      </c>
      <c r="E619" s="6" t="s">
        <v>26</v>
      </c>
      <c r="F619" s="6" t="s">
        <v>4882</v>
      </c>
      <c r="G619" s="6" t="s">
        <v>2426</v>
      </c>
      <c r="H619" s="6">
        <v>3</v>
      </c>
      <c r="I619" s="18">
        <v>151.41</v>
      </c>
      <c r="J619" s="19">
        <v>46092.3536518866</v>
      </c>
      <c r="K619" s="6" t="s">
        <v>4880</v>
      </c>
      <c r="L619" t="str">
        <f t="shared" si="9"/>
        <v>MINI DISJUNTOR 3P 25A MARCA ELGIN|46091</v>
      </c>
    </row>
    <row r="620" ht="13.5" customHeight="1" spans="1:12">
      <c r="A620" s="17">
        <v>46091.3590277778</v>
      </c>
      <c r="B620" s="6" t="s">
        <v>4876</v>
      </c>
      <c r="C620" s="6" t="s">
        <v>5306</v>
      </c>
      <c r="D620" s="6" t="s">
        <v>5307</v>
      </c>
      <c r="E620" s="6" t="s">
        <v>26</v>
      </c>
      <c r="F620" s="6" t="s">
        <v>4882</v>
      </c>
      <c r="G620" s="6" t="s">
        <v>334</v>
      </c>
      <c r="H620" s="6">
        <v>1</v>
      </c>
      <c r="I620" s="18">
        <v>40.02</v>
      </c>
      <c r="J620" s="19">
        <v>46104.3788587153</v>
      </c>
      <c r="K620" s="6" t="s">
        <v>4880</v>
      </c>
      <c r="L620" t="str">
        <f t="shared" si="9"/>
        <v>LANTERNA TETO VOLVO FH NH NI (LE)|46091</v>
      </c>
    </row>
    <row r="621" ht="13.5" customHeight="1" spans="1:12">
      <c r="A621" s="17">
        <v>46091.3590277778</v>
      </c>
      <c r="B621" s="6" t="s">
        <v>4876</v>
      </c>
      <c r="C621" s="6" t="s">
        <v>5306</v>
      </c>
      <c r="D621" s="6" t="s">
        <v>5307</v>
      </c>
      <c r="E621" s="6" t="s">
        <v>26</v>
      </c>
      <c r="F621" s="6" t="s">
        <v>4882</v>
      </c>
      <c r="G621" s="6" t="s">
        <v>2690</v>
      </c>
      <c r="H621" s="6">
        <v>3</v>
      </c>
      <c r="I621" s="18">
        <v>120.06</v>
      </c>
      <c r="J621" s="19">
        <v>46104.3788581829</v>
      </c>
      <c r="K621" s="6" t="s">
        <v>4880</v>
      </c>
      <c r="L621" t="str">
        <f t="shared" si="9"/>
        <v>LANTERNA TETO VOLVO FH NH NI (CENTRAL)|46091</v>
      </c>
    </row>
    <row r="622" ht="13.5" customHeight="1" spans="1:12">
      <c r="A622" s="17">
        <v>46091.3590277778</v>
      </c>
      <c r="B622" s="6" t="s">
        <v>4876</v>
      </c>
      <c r="C622" s="6" t="s">
        <v>5306</v>
      </c>
      <c r="D622" s="6" t="s">
        <v>5307</v>
      </c>
      <c r="E622" s="6" t="s">
        <v>26</v>
      </c>
      <c r="F622" s="6" t="s">
        <v>4882</v>
      </c>
      <c r="G622" s="6" t="s">
        <v>333</v>
      </c>
      <c r="H622" s="6">
        <v>1</v>
      </c>
      <c r="I622" s="18">
        <v>40.02</v>
      </c>
      <c r="J622" s="19">
        <v>46104.3788570949</v>
      </c>
      <c r="K622" s="6" t="s">
        <v>4880</v>
      </c>
      <c r="L622" t="str">
        <f t="shared" si="9"/>
        <v>LANTERNA TETO VOLVO FH NH NI (LD)|46091</v>
      </c>
    </row>
    <row r="623" ht="13.5" customHeight="1" spans="1:12">
      <c r="A623" s="17">
        <v>46091.5455208333</v>
      </c>
      <c r="B623" s="6" t="s">
        <v>4876</v>
      </c>
      <c r="C623" s="6" t="s">
        <v>5308</v>
      </c>
      <c r="D623" s="6" t="s">
        <v>110</v>
      </c>
      <c r="E623" s="6" t="s">
        <v>26</v>
      </c>
      <c r="F623" s="6" t="s">
        <v>4882</v>
      </c>
      <c r="G623" s="6" t="s">
        <v>3647</v>
      </c>
      <c r="H623" s="6">
        <v>6</v>
      </c>
      <c r="I623" s="18">
        <v>138</v>
      </c>
      <c r="J623" s="19">
        <v>46091.5470930556</v>
      </c>
      <c r="K623" s="6" t="s">
        <v>4880</v>
      </c>
      <c r="L623" t="str">
        <f t="shared" si="9"/>
        <v>CONEXOES GIRATORIA|46092</v>
      </c>
    </row>
    <row r="624" ht="13.5" customHeight="1" spans="1:12">
      <c r="A624" s="17">
        <v>46092.4666666667</v>
      </c>
      <c r="B624" s="6" t="s">
        <v>4876</v>
      </c>
      <c r="C624" s="6" t="s">
        <v>5309</v>
      </c>
      <c r="D624" s="6" t="s">
        <v>4919</v>
      </c>
      <c r="E624" s="6" t="s">
        <v>26</v>
      </c>
      <c r="F624" s="6" t="s">
        <v>4882</v>
      </c>
      <c r="G624" s="6" t="s">
        <v>2476</v>
      </c>
      <c r="H624" s="6">
        <v>2</v>
      </c>
      <c r="I624" s="18">
        <v>32.48</v>
      </c>
      <c r="J624" s="19">
        <v>46093.468471412</v>
      </c>
      <c r="K624" s="6" t="s">
        <v>4880</v>
      </c>
      <c r="L624" t="str">
        <f t="shared" si="9"/>
        <v>MASSA P/PEQUENOS REPAROS 180GR|46092</v>
      </c>
    </row>
    <row r="625" ht="13.5" customHeight="1" spans="1:12">
      <c r="A625" s="17">
        <v>46092.4680555556</v>
      </c>
      <c r="B625" s="6" t="s">
        <v>4876</v>
      </c>
      <c r="C625" s="6" t="s">
        <v>5310</v>
      </c>
      <c r="D625" s="6" t="s">
        <v>4905</v>
      </c>
      <c r="E625" s="6" t="s">
        <v>26</v>
      </c>
      <c r="F625" s="6" t="s">
        <v>4882</v>
      </c>
      <c r="G625" s="6" t="s">
        <v>3382</v>
      </c>
      <c r="H625" s="6">
        <v>5</v>
      </c>
      <c r="I625" s="18">
        <v>133.65</v>
      </c>
      <c r="J625" s="19">
        <v>46093.4700257755</v>
      </c>
      <c r="K625" s="6" t="s">
        <v>4880</v>
      </c>
      <c r="L625" t="str">
        <f t="shared" si="9"/>
        <v>ELETRODO 2,50MM E- 6013 GERDAU|46092</v>
      </c>
    </row>
    <row r="626" ht="13.5" customHeight="1" spans="1:12">
      <c r="A626" s="17">
        <v>46092.4708333333</v>
      </c>
      <c r="B626" s="6" t="s">
        <v>4876</v>
      </c>
      <c r="C626" s="6" t="s">
        <v>5311</v>
      </c>
      <c r="D626" s="6" t="s">
        <v>4894</v>
      </c>
      <c r="E626" s="6" t="s">
        <v>26</v>
      </c>
      <c r="F626" s="6" t="s">
        <v>4882</v>
      </c>
      <c r="G626" s="6" t="s">
        <v>2242</v>
      </c>
      <c r="H626" s="6">
        <v>10</v>
      </c>
      <c r="I626" s="18">
        <v>60.7</v>
      </c>
      <c r="J626" s="19">
        <v>46093.4720954514</v>
      </c>
      <c r="K626" s="6" t="s">
        <v>4880</v>
      </c>
      <c r="L626" t="str">
        <f t="shared" si="9"/>
        <v>P.SEXT.MB 14X50 8.8|46092</v>
      </c>
    </row>
    <row r="627" ht="13.5" customHeight="1" spans="1:12">
      <c r="A627" s="17">
        <v>46092.4708333333</v>
      </c>
      <c r="B627" s="6" t="s">
        <v>4876</v>
      </c>
      <c r="C627" s="6" t="s">
        <v>5311</v>
      </c>
      <c r="D627" s="6" t="s">
        <v>4894</v>
      </c>
      <c r="E627" s="6" t="s">
        <v>26</v>
      </c>
      <c r="F627" s="6" t="s">
        <v>4882</v>
      </c>
      <c r="G627" s="6" t="s">
        <v>1940</v>
      </c>
      <c r="H627" s="6">
        <v>10</v>
      </c>
      <c r="I627" s="18">
        <v>21.2</v>
      </c>
      <c r="J627" s="19">
        <v>46093.472094213</v>
      </c>
      <c r="K627" s="6" t="s">
        <v>4880</v>
      </c>
      <c r="L627" t="str">
        <f t="shared" si="9"/>
        <v>PORCA A.TRAVANTE MA 14|46092</v>
      </c>
    </row>
    <row r="628" ht="13.5" customHeight="1" spans="1:12">
      <c r="A628" s="17">
        <v>46092.5319444445</v>
      </c>
      <c r="B628" s="6" t="s">
        <v>4876</v>
      </c>
      <c r="C628" s="6" t="s">
        <v>5312</v>
      </c>
      <c r="D628" s="6" t="s">
        <v>4907</v>
      </c>
      <c r="E628" s="6" t="s">
        <v>182</v>
      </c>
      <c r="F628" s="6" t="s">
        <v>4879</v>
      </c>
      <c r="G628" s="6" t="s">
        <v>1884</v>
      </c>
      <c r="H628" s="6">
        <v>10</v>
      </c>
      <c r="I628" s="18">
        <v>174.9</v>
      </c>
      <c r="J628" s="19">
        <v>46093.5390871181</v>
      </c>
      <c r="K628" s="6" t="s">
        <v>4880</v>
      </c>
      <c r="L628" t="str">
        <f t="shared" si="9"/>
        <v>PRANCHETA ACRILICA CRISTAL|46093</v>
      </c>
    </row>
    <row r="629" ht="13.5" customHeight="1" spans="1:12">
      <c r="A629" s="17">
        <v>46092.5319444445</v>
      </c>
      <c r="B629" s="6" t="s">
        <v>4876</v>
      </c>
      <c r="C629" s="6" t="s">
        <v>5312</v>
      </c>
      <c r="D629" s="6" t="s">
        <v>4907</v>
      </c>
      <c r="E629" s="6" t="s">
        <v>38</v>
      </c>
      <c r="F629" s="6" t="s">
        <v>4879</v>
      </c>
      <c r="G629" s="6" t="s">
        <v>451</v>
      </c>
      <c r="H629" s="6">
        <v>30</v>
      </c>
      <c r="I629" s="18">
        <v>112.8</v>
      </c>
      <c r="J629" s="19">
        <v>46093.5390867708</v>
      </c>
      <c r="K629" s="6" t="s">
        <v>4880</v>
      </c>
      <c r="L629" t="str">
        <f t="shared" si="9"/>
        <v>PEDRA SANITARIA 25GR FLORAL|46093</v>
      </c>
    </row>
    <row r="630" ht="13.5" customHeight="1" spans="1:12">
      <c r="A630" s="17">
        <v>46092.5319444445</v>
      </c>
      <c r="B630" s="6" t="s">
        <v>4876</v>
      </c>
      <c r="C630" s="6" t="s">
        <v>5312</v>
      </c>
      <c r="D630" s="6" t="s">
        <v>4907</v>
      </c>
      <c r="E630" s="6" t="s">
        <v>38</v>
      </c>
      <c r="F630" s="6" t="s">
        <v>4879</v>
      </c>
      <c r="G630" s="6" t="s">
        <v>439</v>
      </c>
      <c r="H630" s="6">
        <v>50</v>
      </c>
      <c r="I630" s="18">
        <v>29.5</v>
      </c>
      <c r="J630" s="19">
        <v>46093.5390863773</v>
      </c>
      <c r="K630" s="6" t="s">
        <v>4880</v>
      </c>
      <c r="L630" t="str">
        <f t="shared" si="9"/>
        <v>ESPONJA MULTIUSO|46093</v>
      </c>
    </row>
    <row r="631" ht="13.5" customHeight="1" spans="1:12">
      <c r="A631" s="17">
        <v>46092.5319444445</v>
      </c>
      <c r="B631" s="6" t="s">
        <v>4876</v>
      </c>
      <c r="C631" s="6" t="s">
        <v>5312</v>
      </c>
      <c r="D631" s="6" t="s">
        <v>4907</v>
      </c>
      <c r="E631" s="6" t="s">
        <v>38</v>
      </c>
      <c r="F631" s="6" t="s">
        <v>4879</v>
      </c>
      <c r="G631" s="6" t="s">
        <v>685</v>
      </c>
      <c r="H631" s="6">
        <v>20</v>
      </c>
      <c r="I631" s="18">
        <v>219.6</v>
      </c>
      <c r="J631" s="19">
        <v>46093.5390856829</v>
      </c>
      <c r="K631" s="6" t="s">
        <v>4880</v>
      </c>
      <c r="L631" t="str">
        <f t="shared" si="9"/>
        <v>BOM AR TALCO 360ML|46093</v>
      </c>
    </row>
    <row r="632" ht="13.5" customHeight="1" spans="1:12">
      <c r="A632" s="17">
        <v>46092.5319444445</v>
      </c>
      <c r="B632" s="6" t="s">
        <v>4876</v>
      </c>
      <c r="C632" s="6" t="s">
        <v>5312</v>
      </c>
      <c r="D632" s="6" t="s">
        <v>4907</v>
      </c>
      <c r="E632" s="6" t="s">
        <v>182</v>
      </c>
      <c r="F632" s="6" t="s">
        <v>4879</v>
      </c>
      <c r="G632" s="6" t="s">
        <v>261</v>
      </c>
      <c r="H632" s="6">
        <v>10</v>
      </c>
      <c r="I632" s="18">
        <v>152</v>
      </c>
      <c r="J632" s="19">
        <v>46093.5390851505</v>
      </c>
      <c r="K632" s="6" t="s">
        <v>4880</v>
      </c>
      <c r="L632" t="str">
        <f t="shared" si="9"/>
        <v>INSETICIDA/SBP 360ML|46093</v>
      </c>
    </row>
    <row r="633" ht="13.5" customHeight="1" spans="1:12">
      <c r="A633" s="17">
        <v>46092.5319444445</v>
      </c>
      <c r="B633" s="6" t="s">
        <v>4876</v>
      </c>
      <c r="C633" s="6" t="s">
        <v>5312</v>
      </c>
      <c r="D633" s="6" t="s">
        <v>4907</v>
      </c>
      <c r="E633" s="6" t="s">
        <v>38</v>
      </c>
      <c r="F633" s="6" t="s">
        <v>4879</v>
      </c>
      <c r="G633" s="6" t="s">
        <v>262</v>
      </c>
      <c r="H633" s="6">
        <v>30</v>
      </c>
      <c r="I633" s="18">
        <v>80.1</v>
      </c>
      <c r="J633" s="19">
        <v>46093.5390845718</v>
      </c>
      <c r="K633" s="6" t="s">
        <v>4880</v>
      </c>
      <c r="L633" t="str">
        <f t="shared" si="9"/>
        <v>DETERGENTE LAVA LOUÇA 500ML|46093</v>
      </c>
    </row>
    <row r="634" ht="13.5" customHeight="1" spans="1:12">
      <c r="A634" s="17">
        <v>46092.5319444445</v>
      </c>
      <c r="B634" s="6" t="s">
        <v>4876</v>
      </c>
      <c r="C634" s="6" t="s">
        <v>5312</v>
      </c>
      <c r="D634" s="6" t="s">
        <v>4907</v>
      </c>
      <c r="E634" s="6" t="s">
        <v>38</v>
      </c>
      <c r="F634" s="6" t="s">
        <v>4879</v>
      </c>
      <c r="G634" s="6" t="s">
        <v>478</v>
      </c>
      <c r="H634" s="6">
        <v>4</v>
      </c>
      <c r="I634" s="18">
        <v>303.8</v>
      </c>
      <c r="J634" s="19">
        <v>46093.5390834838</v>
      </c>
      <c r="K634" s="6" t="s">
        <v>4880</v>
      </c>
      <c r="L634" t="str">
        <f t="shared" si="9"/>
        <v>PERFECS PANO PICOTADO ROLO AZ 0,28X300M |46093</v>
      </c>
    </row>
    <row r="635" ht="13.5" customHeight="1" spans="1:12">
      <c r="A635" s="17">
        <v>46092.5319444445</v>
      </c>
      <c r="B635" s="6" t="s">
        <v>4876</v>
      </c>
      <c r="C635" s="6" t="s">
        <v>5312</v>
      </c>
      <c r="D635" s="6" t="s">
        <v>4907</v>
      </c>
      <c r="E635" s="6" t="s">
        <v>38</v>
      </c>
      <c r="F635" s="6" t="s">
        <v>4879</v>
      </c>
      <c r="G635" s="6" t="s">
        <v>425</v>
      </c>
      <c r="H635" s="6">
        <v>81</v>
      </c>
      <c r="I635" s="18">
        <v>272.16</v>
      </c>
      <c r="J635" s="19">
        <v>46093.5390827894</v>
      </c>
      <c r="K635" s="6" t="s">
        <v>4880</v>
      </c>
      <c r="L635" t="str">
        <f t="shared" si="9"/>
        <v>PANO DE CHÃO ALVEJADO 100% ALGODÃO |46093</v>
      </c>
    </row>
    <row r="636" ht="13.5" customHeight="1" spans="1:12">
      <c r="A636" s="17">
        <v>46092.5319444445</v>
      </c>
      <c r="B636" s="6" t="s">
        <v>4876</v>
      </c>
      <c r="C636" s="6" t="s">
        <v>5312</v>
      </c>
      <c r="D636" s="6" t="s">
        <v>4907</v>
      </c>
      <c r="E636" s="6" t="s">
        <v>182</v>
      </c>
      <c r="F636" s="6" t="s">
        <v>4879</v>
      </c>
      <c r="G636" s="6" t="s">
        <v>431</v>
      </c>
      <c r="H636" s="6">
        <v>200</v>
      </c>
      <c r="I636" s="18">
        <v>4624</v>
      </c>
      <c r="J636" s="19">
        <v>46093.5390811343</v>
      </c>
      <c r="K636" s="6" t="s">
        <v>4880</v>
      </c>
      <c r="L636" t="str">
        <f t="shared" si="9"/>
        <v>PACOTE DE FOLHA A4 CHAMEX|46093</v>
      </c>
    </row>
    <row r="637" ht="13.5" customHeight="1" spans="1:12">
      <c r="A637" s="17">
        <v>46092.5388888889</v>
      </c>
      <c r="B637" s="6" t="s">
        <v>4876</v>
      </c>
      <c r="C637" s="6" t="s">
        <v>5313</v>
      </c>
      <c r="D637" s="6" t="s">
        <v>5314</v>
      </c>
      <c r="E637" s="6" t="s">
        <v>26</v>
      </c>
      <c r="F637" s="6" t="s">
        <v>4882</v>
      </c>
      <c r="G637" s="6" t="s">
        <v>1925</v>
      </c>
      <c r="H637" s="6">
        <v>10</v>
      </c>
      <c r="I637" s="18">
        <v>20</v>
      </c>
      <c r="J637" s="19">
        <v>46093.5408206829</v>
      </c>
      <c r="K637" s="6" t="s">
        <v>4880</v>
      </c>
      <c r="L637" t="str">
        <f t="shared" si="9"/>
        <v>PORCA RAPIDA PARALAMA BRASILIA|46093</v>
      </c>
    </row>
    <row r="638" ht="13.5" customHeight="1" spans="1:12">
      <c r="A638" s="17">
        <v>46092.5388888889</v>
      </c>
      <c r="B638" s="6" t="s">
        <v>4876</v>
      </c>
      <c r="C638" s="6" t="s">
        <v>5313</v>
      </c>
      <c r="D638" s="6" t="s">
        <v>5314</v>
      </c>
      <c r="E638" s="6" t="s">
        <v>26</v>
      </c>
      <c r="F638" s="6" t="s">
        <v>4882</v>
      </c>
      <c r="G638" s="6" t="s">
        <v>480</v>
      </c>
      <c r="H638" s="6">
        <v>10</v>
      </c>
      <c r="I638" s="18">
        <v>30</v>
      </c>
      <c r="J638" s="19">
        <v>46093.5408201389</v>
      </c>
      <c r="K638" s="6" t="s">
        <v>4880</v>
      </c>
      <c r="L638" t="str">
        <f t="shared" si="9"/>
        <v>PARAFUSO PARALAMA BRASILIA|46093</v>
      </c>
    </row>
    <row r="639" ht="13.5" customHeight="1" spans="1:12">
      <c r="A639" s="17">
        <v>46092.5605671296</v>
      </c>
      <c r="B639" s="6" t="s">
        <v>4876</v>
      </c>
      <c r="C639" s="6" t="s">
        <v>5315</v>
      </c>
      <c r="D639" s="6" t="s">
        <v>5175</v>
      </c>
      <c r="E639" s="6" t="s">
        <v>35</v>
      </c>
      <c r="F639" s="6" t="s">
        <v>4879</v>
      </c>
      <c r="G639" s="6" t="s">
        <v>310</v>
      </c>
      <c r="H639" s="6">
        <v>1</v>
      </c>
      <c r="I639" s="18">
        <v>1250</v>
      </c>
      <c r="J639" s="19">
        <v>46092.5681975347</v>
      </c>
      <c r="K639" s="6" t="s">
        <v>4880</v>
      </c>
      <c r="L639" t="str">
        <f t="shared" si="9"/>
        <v>CILINDRO 23B 721261|46093</v>
      </c>
    </row>
    <row r="640" ht="13.5" customHeight="1" spans="1:12">
      <c r="A640" s="17">
        <v>46092.5605671296</v>
      </c>
      <c r="B640" s="6" t="s">
        <v>4876</v>
      </c>
      <c r="C640" s="6" t="s">
        <v>5315</v>
      </c>
      <c r="D640" s="6" t="s">
        <v>5175</v>
      </c>
      <c r="E640" s="6" t="s">
        <v>35</v>
      </c>
      <c r="F640" s="6" t="s">
        <v>4879</v>
      </c>
      <c r="G640" s="6" t="s">
        <v>386</v>
      </c>
      <c r="H640" s="6">
        <v>2</v>
      </c>
      <c r="I640" s="18">
        <v>920</v>
      </c>
      <c r="J640" s="19">
        <v>46092.5681971875</v>
      </c>
      <c r="K640" s="6" t="s">
        <v>4880</v>
      </c>
      <c r="L640" t="str">
        <f t="shared" si="9"/>
        <v>COBERTURA LD 23B853118|46093</v>
      </c>
    </row>
    <row r="641" ht="13.5" customHeight="1" spans="1:12">
      <c r="A641" s="17">
        <v>46092.5605671296</v>
      </c>
      <c r="B641" s="6" t="s">
        <v>4876</v>
      </c>
      <c r="C641" s="6" t="s">
        <v>5315</v>
      </c>
      <c r="D641" s="6" t="s">
        <v>5175</v>
      </c>
      <c r="E641" s="6" t="s">
        <v>35</v>
      </c>
      <c r="F641" s="6" t="s">
        <v>4879</v>
      </c>
      <c r="G641" s="6" t="s">
        <v>3733</v>
      </c>
      <c r="H641" s="6">
        <v>2</v>
      </c>
      <c r="I641" s="18">
        <v>920</v>
      </c>
      <c r="J641" s="19">
        <v>46092.5681969907</v>
      </c>
      <c r="K641" s="6" t="s">
        <v>4880</v>
      </c>
      <c r="L641" t="str">
        <f t="shared" si="9"/>
        <v>COBERTURA LE 23B 853117|46093</v>
      </c>
    </row>
    <row r="642" ht="13.5" customHeight="1" spans="1:12">
      <c r="A642" s="17">
        <v>46092.5605671296</v>
      </c>
      <c r="B642" s="6" t="s">
        <v>4876</v>
      </c>
      <c r="C642" s="6" t="s">
        <v>5315</v>
      </c>
      <c r="D642" s="6" t="s">
        <v>5175</v>
      </c>
      <c r="E642" s="6" t="s">
        <v>35</v>
      </c>
      <c r="F642" s="6" t="s">
        <v>4879</v>
      </c>
      <c r="G642" s="6" t="s">
        <v>200</v>
      </c>
      <c r="H642" s="6">
        <v>6</v>
      </c>
      <c r="I642" s="18">
        <v>690</v>
      </c>
      <c r="J642" s="19">
        <v>46092.568196794</v>
      </c>
      <c r="K642" s="6" t="s">
        <v>4880</v>
      </c>
      <c r="L642" t="str">
        <f t="shared" ref="L642:L705" si="10">IF(G642="","",G642&amp;"|"&amp;TEXT(A642,"0"))</f>
        <v>COXIM 23B/899541/A|46093</v>
      </c>
    </row>
    <row r="643" ht="13.5" customHeight="1" spans="1:12">
      <c r="A643" s="17">
        <v>46092.5605671296</v>
      </c>
      <c r="B643" s="6" t="s">
        <v>4876</v>
      </c>
      <c r="C643" s="6" t="s">
        <v>5315</v>
      </c>
      <c r="D643" s="6" t="s">
        <v>5175</v>
      </c>
      <c r="E643" s="6" t="s">
        <v>35</v>
      </c>
      <c r="F643" s="6" t="s">
        <v>4879</v>
      </c>
      <c r="G643" s="6" t="s">
        <v>199</v>
      </c>
      <c r="H643" s="6">
        <v>6</v>
      </c>
      <c r="I643" s="18">
        <v>258</v>
      </c>
      <c r="J643" s="19">
        <v>46092.5681960995</v>
      </c>
      <c r="K643" s="6" t="s">
        <v>4880</v>
      </c>
      <c r="L643" t="str">
        <f t="shared" si="10"/>
        <v>COXIM 23B/899542/A|46093</v>
      </c>
    </row>
    <row r="644" ht="13.5" customHeight="1" spans="1:12">
      <c r="A644" s="17">
        <v>46092.6507060185</v>
      </c>
      <c r="B644" s="6" t="s">
        <v>4876</v>
      </c>
      <c r="C644" s="6" t="s">
        <v>5316</v>
      </c>
      <c r="D644" s="6" t="s">
        <v>4903</v>
      </c>
      <c r="E644" s="6" t="s">
        <v>26</v>
      </c>
      <c r="F644" s="6" t="s">
        <v>4882</v>
      </c>
      <c r="G644" s="6" t="s">
        <v>413</v>
      </c>
      <c r="H644" s="6">
        <v>50</v>
      </c>
      <c r="I644" s="18">
        <v>334.5</v>
      </c>
      <c r="J644" s="19">
        <v>46092.6524746528</v>
      </c>
      <c r="K644" s="6" t="s">
        <v>4880</v>
      </c>
      <c r="L644" t="str">
        <f t="shared" si="10"/>
        <v>GASOLINA COMUM 01|46093</v>
      </c>
    </row>
    <row r="645" ht="13.5" customHeight="1" spans="1:12">
      <c r="A645" s="17">
        <v>46093.35625</v>
      </c>
      <c r="B645" s="6" t="s">
        <v>4876</v>
      </c>
      <c r="C645" s="6" t="s">
        <v>5317</v>
      </c>
      <c r="D645" s="6" t="s">
        <v>5044</v>
      </c>
      <c r="E645" s="6" t="s">
        <v>182</v>
      </c>
      <c r="F645" s="6" t="s">
        <v>4879</v>
      </c>
      <c r="G645" s="6" t="s">
        <v>533</v>
      </c>
      <c r="H645" s="6">
        <v>10</v>
      </c>
      <c r="I645" s="18">
        <v>551</v>
      </c>
      <c r="J645" s="19">
        <v>46094.3641600695</v>
      </c>
      <c r="K645" s="6" t="s">
        <v>4880</v>
      </c>
      <c r="L645" t="str">
        <f t="shared" si="10"/>
        <v>SACOLA VERDE REFORÇADA 50x60 5 KG|46093</v>
      </c>
    </row>
    <row r="646" ht="13.5" customHeight="1" spans="1:12">
      <c r="A646" s="17">
        <v>46093.35625</v>
      </c>
      <c r="B646" s="6" t="s">
        <v>4876</v>
      </c>
      <c r="C646" s="6" t="s">
        <v>5317</v>
      </c>
      <c r="D646" s="6" t="s">
        <v>5044</v>
      </c>
      <c r="E646" s="6" t="s">
        <v>38</v>
      </c>
      <c r="F646" s="6" t="s">
        <v>4879</v>
      </c>
      <c r="G646" s="6" t="s">
        <v>450</v>
      </c>
      <c r="H646" s="6">
        <v>10</v>
      </c>
      <c r="I646" s="18">
        <v>817</v>
      </c>
      <c r="J646" s="19">
        <v>46094.3641589931</v>
      </c>
      <c r="K646" s="6" t="s">
        <v>4880</v>
      </c>
      <c r="L646" t="str">
        <f t="shared" si="10"/>
        <v>SACO DE LIXO 200L 5 KG	|46093</v>
      </c>
    </row>
    <row r="647" ht="13.5" customHeight="1" spans="1:12">
      <c r="A647" s="17">
        <v>46093.35625</v>
      </c>
      <c r="B647" s="6" t="s">
        <v>4876</v>
      </c>
      <c r="C647" s="6" t="s">
        <v>5317</v>
      </c>
      <c r="D647" s="6" t="s">
        <v>5044</v>
      </c>
      <c r="E647" s="6" t="s">
        <v>38</v>
      </c>
      <c r="F647" s="6" t="s">
        <v>4879</v>
      </c>
      <c r="G647" s="6" t="s">
        <v>441</v>
      </c>
      <c r="H647" s="6">
        <v>5</v>
      </c>
      <c r="I647" s="18">
        <v>261.25</v>
      </c>
      <c r="J647" s="19">
        <v>46094.3641584491</v>
      </c>
      <c r="K647" s="6" t="s">
        <v>4880</v>
      </c>
      <c r="L647" t="str">
        <f t="shared" si="10"/>
        <v>SACO DE LIXO 100L 5 KG|46093</v>
      </c>
    </row>
    <row r="648" ht="13.5" customHeight="1" spans="1:12">
      <c r="A648" s="17">
        <v>46093.35625</v>
      </c>
      <c r="B648" s="6" t="s">
        <v>4876</v>
      </c>
      <c r="C648" s="6" t="s">
        <v>5317</v>
      </c>
      <c r="D648" s="6" t="s">
        <v>5044</v>
      </c>
      <c r="E648" s="6" t="s">
        <v>38</v>
      </c>
      <c r="F648" s="6" t="s">
        <v>4879</v>
      </c>
      <c r="G648" s="6" t="s">
        <v>458</v>
      </c>
      <c r="H648" s="6">
        <v>5</v>
      </c>
      <c r="I648" s="18">
        <v>99.5</v>
      </c>
      <c r="J648" s="19">
        <v>46094.3641577199</v>
      </c>
      <c r="K648" s="6" t="s">
        <v>4880</v>
      </c>
      <c r="L648" t="str">
        <f t="shared" si="10"/>
        <v>SACO DE LIXO 60L LEVE C/100|46093</v>
      </c>
    </row>
    <row r="649" ht="13.5" customHeight="1" spans="1:12">
      <c r="A649" s="17">
        <v>46093.35625</v>
      </c>
      <c r="B649" s="6" t="s">
        <v>4876</v>
      </c>
      <c r="C649" s="6" t="s">
        <v>5317</v>
      </c>
      <c r="D649" s="6" t="s">
        <v>5044</v>
      </c>
      <c r="E649" s="6" t="s">
        <v>182</v>
      </c>
      <c r="F649" s="6" t="s">
        <v>4879</v>
      </c>
      <c r="G649" s="6" t="s">
        <v>259</v>
      </c>
      <c r="H649" s="6">
        <v>500</v>
      </c>
      <c r="I649" s="18">
        <v>570</v>
      </c>
      <c r="J649" s="19">
        <v>46094.3641568287</v>
      </c>
      <c r="K649" s="6" t="s">
        <v>4880</v>
      </c>
      <c r="L649" t="str">
        <f t="shared" si="10"/>
        <v>COPO COPOMAIS 50ML|46093</v>
      </c>
    </row>
    <row r="650" ht="13.5" customHeight="1" spans="1:12">
      <c r="A650" s="17">
        <v>46093.3645833333</v>
      </c>
      <c r="B650" s="6" t="s">
        <v>4876</v>
      </c>
      <c r="C650" s="6" t="s">
        <v>5318</v>
      </c>
      <c r="D650" s="6" t="s">
        <v>5063</v>
      </c>
      <c r="E650" s="6" t="s">
        <v>26</v>
      </c>
      <c r="F650" s="6" t="s">
        <v>4882</v>
      </c>
      <c r="G650" s="6" t="s">
        <v>3474</v>
      </c>
      <c r="H650" s="6">
        <v>2</v>
      </c>
      <c r="I650" s="18">
        <v>177.72</v>
      </c>
      <c r="J650" s="19">
        <v>46094.3654929398</v>
      </c>
      <c r="K650" s="6" t="s">
        <v>4880</v>
      </c>
      <c r="L650" t="str">
        <f t="shared" si="10"/>
        <v>DETERFRESH C 5L|46093</v>
      </c>
    </row>
    <row r="651" ht="13.5" customHeight="1" spans="1:12">
      <c r="A651" s="17">
        <v>46093.3652777778</v>
      </c>
      <c r="B651" s="6" t="s">
        <v>4876</v>
      </c>
      <c r="C651" s="6" t="s">
        <v>5319</v>
      </c>
      <c r="D651" s="6" t="s">
        <v>4894</v>
      </c>
      <c r="E651" s="6" t="s">
        <v>26</v>
      </c>
      <c r="F651" s="6" t="s">
        <v>4882</v>
      </c>
      <c r="G651" s="6" t="s">
        <v>4531</v>
      </c>
      <c r="H651" s="6">
        <v>5</v>
      </c>
      <c r="I651" s="18">
        <v>16.85</v>
      </c>
      <c r="J651" s="19">
        <v>46094.367456794</v>
      </c>
      <c r="K651" s="6" t="s">
        <v>4880</v>
      </c>
      <c r="L651" t="str">
        <f t="shared" si="10"/>
        <v>ARRUELA LISA ZINCADA MM 10MM C/10 PÇS|46093</v>
      </c>
    </row>
    <row r="652" ht="13.5" customHeight="1" spans="1:12">
      <c r="A652" s="17">
        <v>46093.3673611111</v>
      </c>
      <c r="B652" s="6" t="s">
        <v>4876</v>
      </c>
      <c r="C652" s="6" t="s">
        <v>5320</v>
      </c>
      <c r="D652" s="6" t="s">
        <v>5102</v>
      </c>
      <c r="E652" s="6" t="s">
        <v>26</v>
      </c>
      <c r="F652" s="6" t="s">
        <v>4882</v>
      </c>
      <c r="G652" s="6" t="s">
        <v>4080</v>
      </c>
      <c r="H652" s="6">
        <v>1</v>
      </c>
      <c r="I652" s="18">
        <v>69.9</v>
      </c>
      <c r="J652" s="19">
        <v>46094.3688247338</v>
      </c>
      <c r="K652" s="6" t="s">
        <v>4880</v>
      </c>
      <c r="L652" t="str">
        <f t="shared" si="10"/>
        <v>CAIXAS ORGANIZADORA|46093</v>
      </c>
    </row>
    <row r="653" ht="13.5" customHeight="1" spans="1:12">
      <c r="A653" s="17">
        <v>46093.36875</v>
      </c>
      <c r="B653" s="6" t="s">
        <v>4876</v>
      </c>
      <c r="C653" s="6" t="s">
        <v>5321</v>
      </c>
      <c r="D653" s="6" t="s">
        <v>4916</v>
      </c>
      <c r="E653" s="6" t="s">
        <v>26</v>
      </c>
      <c r="F653" s="6" t="s">
        <v>4882</v>
      </c>
      <c r="G653" s="6" t="s">
        <v>721</v>
      </c>
      <c r="H653" s="6">
        <v>3</v>
      </c>
      <c r="I653" s="18">
        <v>1662</v>
      </c>
      <c r="J653" s="19">
        <v>46100.3711078357</v>
      </c>
      <c r="K653" s="6" t="s">
        <v>4880</v>
      </c>
      <c r="L653" t="str">
        <f t="shared" si="10"/>
        <v>NOBREAK ATTIV 600VA 220V |46093</v>
      </c>
    </row>
    <row r="654" ht="13.5" customHeight="1" spans="1:12">
      <c r="A654" s="17">
        <v>46093.36875</v>
      </c>
      <c r="B654" s="6" t="s">
        <v>4876</v>
      </c>
      <c r="C654" s="6" t="s">
        <v>5321</v>
      </c>
      <c r="D654" s="6" t="s">
        <v>4916</v>
      </c>
      <c r="E654" s="6" t="s">
        <v>26</v>
      </c>
      <c r="F654" s="6" t="s">
        <v>4882</v>
      </c>
      <c r="G654" s="6" t="s">
        <v>4421</v>
      </c>
      <c r="H654" s="6">
        <v>4</v>
      </c>
      <c r="I654" s="18">
        <v>563.6</v>
      </c>
      <c r="J654" s="19">
        <v>46100.3711072569</v>
      </c>
      <c r="K654" s="6" t="s">
        <v>4880</v>
      </c>
      <c r="L654" t="str">
        <f t="shared" si="10"/>
        <v>BATERIA VRLA 12V 7AH XB 1270 |46093</v>
      </c>
    </row>
    <row r="655" ht="13.5" customHeight="1" spans="1:12">
      <c r="A655" s="17">
        <v>46093.4641666667</v>
      </c>
      <c r="B655" s="6" t="s">
        <v>4876</v>
      </c>
      <c r="C655" s="6" t="s">
        <v>5322</v>
      </c>
      <c r="D655" s="6" t="s">
        <v>5065</v>
      </c>
      <c r="E655" s="6" t="s">
        <v>26</v>
      </c>
      <c r="F655" s="6" t="s">
        <v>4882</v>
      </c>
      <c r="G655" s="6" t="s">
        <v>267</v>
      </c>
      <c r="H655" s="6">
        <v>6</v>
      </c>
      <c r="I655" s="18">
        <v>360</v>
      </c>
      <c r="J655" s="19">
        <v>46093.4650650116</v>
      </c>
      <c r="K655" s="6" t="s">
        <v>4880</v>
      </c>
      <c r="L655" t="str">
        <f t="shared" si="10"/>
        <v>OLEO LUBRIFICANTE 2T 500ML 8017H MARCA STIHLL|46093</v>
      </c>
    </row>
    <row r="656" ht="13.5" customHeight="1" spans="1:12">
      <c r="A656" s="17">
        <v>46093.4641666667</v>
      </c>
      <c r="B656" s="6" t="s">
        <v>4876</v>
      </c>
      <c r="C656" s="6" t="s">
        <v>5322</v>
      </c>
      <c r="D656" s="6" t="s">
        <v>5065</v>
      </c>
      <c r="E656" s="6" t="s">
        <v>26</v>
      </c>
      <c r="F656" s="6" t="s">
        <v>4882</v>
      </c>
      <c r="G656" s="6" t="s">
        <v>266</v>
      </c>
      <c r="H656" s="6">
        <v>4</v>
      </c>
      <c r="I656" s="18">
        <v>140</v>
      </c>
      <c r="J656" s="19">
        <v>46093.4650639236</v>
      </c>
      <c r="K656" s="6" t="s">
        <v>4880</v>
      </c>
      <c r="L656" t="str">
        <f t="shared" si="10"/>
        <v>LAMINA 2 PONTAS 350MM FURO 20MM AÇO (ROÇADEIRA)|46093</v>
      </c>
    </row>
    <row r="657" ht="13.5" customHeight="1" spans="1:12">
      <c r="A657" s="17">
        <v>46093.4652546296</v>
      </c>
      <c r="B657" s="6" t="s">
        <v>4876</v>
      </c>
      <c r="C657" s="6" t="s">
        <v>5323</v>
      </c>
      <c r="D657" s="6" t="s">
        <v>5224</v>
      </c>
      <c r="E657" s="6" t="s">
        <v>26</v>
      </c>
      <c r="F657" s="6" t="s">
        <v>4882</v>
      </c>
      <c r="G657" s="6" t="s">
        <v>635</v>
      </c>
      <c r="H657" s="6">
        <v>25</v>
      </c>
      <c r="I657" s="18">
        <v>136</v>
      </c>
      <c r="J657" s="19">
        <v>46093.466290625</v>
      </c>
      <c r="K657" s="6" t="s">
        <v>4880</v>
      </c>
      <c r="L657" t="str">
        <f t="shared" si="10"/>
        <v>RAÇÃO P/ PEIXE (LAGUNA)|46093</v>
      </c>
    </row>
    <row r="658" ht="13.5" customHeight="1" spans="1:12">
      <c r="A658" s="17">
        <v>46093.5711458333</v>
      </c>
      <c r="B658" s="6" t="s">
        <v>4876</v>
      </c>
      <c r="C658" s="6" t="s">
        <v>5324</v>
      </c>
      <c r="D658" s="6" t="s">
        <v>4935</v>
      </c>
      <c r="E658" s="6" t="s">
        <v>26</v>
      </c>
      <c r="F658" s="6" t="s">
        <v>4882</v>
      </c>
      <c r="G658" s="6" t="s">
        <v>3293</v>
      </c>
      <c r="H658" s="6">
        <v>2</v>
      </c>
      <c r="I658" s="18">
        <v>444.46</v>
      </c>
      <c r="J658" s="19">
        <v>46093.5737006134</v>
      </c>
      <c r="K658" s="6" t="s">
        <v>4880</v>
      </c>
      <c r="L658" t="str">
        <f t="shared" si="10"/>
        <v>ESGUICHO LAVAGEM DE AUTO 1/2 |46094</v>
      </c>
    </row>
    <row r="659" ht="13.5" customHeight="1" spans="1:12">
      <c r="A659" s="17">
        <v>46093.5711458333</v>
      </c>
      <c r="B659" s="6" t="s">
        <v>4876</v>
      </c>
      <c r="C659" s="6" t="s">
        <v>5324</v>
      </c>
      <c r="D659" s="6" t="s">
        <v>4935</v>
      </c>
      <c r="E659" s="6" t="s">
        <v>26</v>
      </c>
      <c r="F659" s="6" t="s">
        <v>4882</v>
      </c>
      <c r="G659" s="6" t="s">
        <v>569</v>
      </c>
      <c r="H659" s="6">
        <v>10</v>
      </c>
      <c r="I659" s="18">
        <v>16</v>
      </c>
      <c r="J659" s="19">
        <v>46093.573700081</v>
      </c>
      <c r="K659" s="6" t="s">
        <v>4880</v>
      </c>
      <c r="L659" t="str">
        <f t="shared" si="10"/>
        <v>ABRACADEIRA|46094</v>
      </c>
    </row>
    <row r="660" ht="13.5" customHeight="1" spans="1:12">
      <c r="A660" s="17">
        <v>46093.5763425926</v>
      </c>
      <c r="B660" s="6" t="s">
        <v>4876</v>
      </c>
      <c r="C660" s="6" t="s">
        <v>5325</v>
      </c>
      <c r="D660" s="6" t="s">
        <v>4905</v>
      </c>
      <c r="E660" s="6" t="s">
        <v>26</v>
      </c>
      <c r="F660" s="6" t="s">
        <v>4882</v>
      </c>
      <c r="G660" s="6" t="s">
        <v>3952</v>
      </c>
      <c r="H660" s="6">
        <v>6</v>
      </c>
      <c r="I660" s="18">
        <v>2424</v>
      </c>
      <c r="J660" s="19">
        <v>46093.5775403125</v>
      </c>
      <c r="K660" s="6" t="s">
        <v>4880</v>
      </c>
      <c r="L660" t="str">
        <f t="shared" si="10"/>
        <v>CANTONEIRA 3X1/4 ASTM A-36|46094</v>
      </c>
    </row>
    <row r="661" ht="13.5" customHeight="1" spans="1:12">
      <c r="A661" s="17">
        <v>46093.6966319445</v>
      </c>
      <c r="B661" s="6" t="s">
        <v>4876</v>
      </c>
      <c r="C661" s="6" t="s">
        <v>5326</v>
      </c>
      <c r="D661" s="6" t="s">
        <v>4971</v>
      </c>
      <c r="E661" s="6" t="s">
        <v>26</v>
      </c>
      <c r="F661" s="6" t="s">
        <v>4882</v>
      </c>
      <c r="G661" s="6" t="s">
        <v>3418</v>
      </c>
      <c r="H661" s="6">
        <v>2</v>
      </c>
      <c r="I661" s="18">
        <v>96.24</v>
      </c>
      <c r="J661" s="19">
        <v>46093.6979107986</v>
      </c>
      <c r="K661" s="6" t="s">
        <v>4880</v>
      </c>
      <c r="L661" t="str">
        <f t="shared" si="10"/>
        <v>DISJUNTOR SCH.K32A3C16 K32A 3P 16A C|46094</v>
      </c>
    </row>
    <row r="662" ht="13.5" customHeight="1" spans="1:12">
      <c r="A662" s="17">
        <v>46093.6996875</v>
      </c>
      <c r="B662" s="6" t="s">
        <v>4876</v>
      </c>
      <c r="C662" s="6" t="s">
        <v>5327</v>
      </c>
      <c r="D662" s="6" t="s">
        <v>4954</v>
      </c>
      <c r="E662" s="6" t="s">
        <v>26</v>
      </c>
      <c r="F662" s="6" t="s">
        <v>4882</v>
      </c>
      <c r="G662" s="6" t="s">
        <v>309</v>
      </c>
      <c r="H662" s="6">
        <v>4</v>
      </c>
      <c r="I662" s="18">
        <v>1496</v>
      </c>
      <c r="J662" s="19">
        <v>46093.7041846065</v>
      </c>
      <c r="K662" s="6" t="s">
        <v>4880</v>
      </c>
      <c r="L662" t="str">
        <f t="shared" si="10"/>
        <v>VALVULA RELE DE FREIO 710 /1620 M22X1,5 WABCO|46094</v>
      </c>
    </row>
    <row r="663" ht="13.5" customHeight="1" spans="1:12">
      <c r="A663" s="17">
        <v>46093.6996875</v>
      </c>
      <c r="B663" s="6" t="s">
        <v>4876</v>
      </c>
      <c r="C663" s="6" t="s">
        <v>5327</v>
      </c>
      <c r="D663" s="6" t="s">
        <v>4954</v>
      </c>
      <c r="E663" s="6" t="s">
        <v>26</v>
      </c>
      <c r="F663" s="6" t="s">
        <v>4882</v>
      </c>
      <c r="G663" s="6" t="s">
        <v>2874</v>
      </c>
      <c r="H663" s="6">
        <v>2</v>
      </c>
      <c r="I663" s="18">
        <v>278</v>
      </c>
      <c r="J663" s="19">
        <v>46093.7041842245</v>
      </c>
      <c r="K663" s="6" t="s">
        <v>4880</v>
      </c>
      <c r="L663" t="str">
        <f t="shared" si="10"/>
        <v>INTERRUPTOR DA RE ACCELO 915C|46094</v>
      </c>
    </row>
    <row r="664" ht="13.5" customHeight="1" spans="1:12">
      <c r="A664" s="17">
        <v>46094.4347222222</v>
      </c>
      <c r="B664" s="6" t="s">
        <v>4876</v>
      </c>
      <c r="C664" s="6" t="s">
        <v>5328</v>
      </c>
      <c r="D664" s="6" t="s">
        <v>4971</v>
      </c>
      <c r="E664" s="6" t="s">
        <v>26</v>
      </c>
      <c r="F664" s="6" t="s">
        <v>4882</v>
      </c>
      <c r="G664" s="6" t="s">
        <v>4483</v>
      </c>
      <c r="H664" s="6">
        <v>1</v>
      </c>
      <c r="I664" s="18">
        <v>14.99</v>
      </c>
      <c r="J664" s="19">
        <v>46097.4424170139</v>
      </c>
      <c r="K664" s="6" t="s">
        <v>4880</v>
      </c>
      <c r="L664" t="str">
        <f t="shared" si="10"/>
        <v>BALDE PLASTICO P/CONCRETO 12L|46094</v>
      </c>
    </row>
    <row r="665" ht="13.5" customHeight="1" spans="1:12">
      <c r="A665" s="17">
        <v>46094.4347222222</v>
      </c>
      <c r="B665" s="6" t="s">
        <v>4876</v>
      </c>
      <c r="C665" s="6" t="s">
        <v>5328</v>
      </c>
      <c r="D665" s="6" t="s">
        <v>4971</v>
      </c>
      <c r="E665" s="6" t="s">
        <v>26</v>
      </c>
      <c r="F665" s="6" t="s">
        <v>4882</v>
      </c>
      <c r="G665" s="6" t="s">
        <v>4484</v>
      </c>
      <c r="H665" s="6">
        <v>1</v>
      </c>
      <c r="I665" s="18">
        <v>12.24</v>
      </c>
      <c r="J665" s="19">
        <v>46097.4424166667</v>
      </c>
      <c r="K665" s="6" t="s">
        <v>4880</v>
      </c>
      <c r="L665" t="str">
        <f t="shared" si="10"/>
        <v>BALDE PLASTICO P/CONCRETO 10L|46094</v>
      </c>
    </row>
    <row r="666" ht="13.5" customHeight="1" spans="1:12">
      <c r="A666" s="17">
        <v>46094.46875</v>
      </c>
      <c r="B666" s="6" t="s">
        <v>4876</v>
      </c>
      <c r="C666" s="6" t="s">
        <v>5329</v>
      </c>
      <c r="D666" s="6" t="s">
        <v>5175</v>
      </c>
      <c r="E666" s="6" t="s">
        <v>35</v>
      </c>
      <c r="F666" s="6" t="s">
        <v>4879</v>
      </c>
      <c r="G666" s="6" t="s">
        <v>224</v>
      </c>
      <c r="H666" s="6">
        <v>4</v>
      </c>
      <c r="I666" s="18">
        <v>3240</v>
      </c>
      <c r="J666" s="19">
        <v>46097.4705749653</v>
      </c>
      <c r="K666" s="6" t="s">
        <v>4880</v>
      </c>
      <c r="L666" t="str">
        <f t="shared" si="10"/>
        <v>ALAVANCA DE ENGATE 23B 311540|46094</v>
      </c>
    </row>
    <row r="667" ht="13.5" customHeight="1" spans="1:12">
      <c r="A667" s="17">
        <v>46094.4923611111</v>
      </c>
      <c r="B667" s="6" t="s">
        <v>4876</v>
      </c>
      <c r="C667" s="6" t="s">
        <v>5330</v>
      </c>
      <c r="D667" s="6" t="s">
        <v>4926</v>
      </c>
      <c r="E667" s="6" t="s">
        <v>26</v>
      </c>
      <c r="F667" s="6" t="s">
        <v>4882</v>
      </c>
      <c r="G667" s="6" t="s">
        <v>674</v>
      </c>
      <c r="H667" s="6">
        <v>1</v>
      </c>
      <c r="I667" s="18">
        <v>399</v>
      </c>
      <c r="J667" s="19">
        <v>46100.4951011574</v>
      </c>
      <c r="K667" s="6" t="s">
        <v>4880</v>
      </c>
      <c r="L667" t="str">
        <f t="shared" si="10"/>
        <v>FITA DBA 9MM ROLOS COM 4.000MTS|46094</v>
      </c>
    </row>
    <row r="668" ht="13.5" customHeight="1" spans="1:12">
      <c r="A668" s="17">
        <v>46094.5439236111</v>
      </c>
      <c r="B668" s="6" t="s">
        <v>4876</v>
      </c>
      <c r="C668" s="6" t="s">
        <v>5331</v>
      </c>
      <c r="D668" s="6" t="s">
        <v>4954</v>
      </c>
      <c r="E668" s="6" t="s">
        <v>26</v>
      </c>
      <c r="F668" s="6" t="s">
        <v>4882</v>
      </c>
      <c r="G668" s="6" t="s">
        <v>3648</v>
      </c>
      <c r="H668" s="6">
        <v>10</v>
      </c>
      <c r="I668" s="18">
        <v>108</v>
      </c>
      <c r="J668" s="19">
        <v>46094.5456244213</v>
      </c>
      <c r="K668" s="6" t="s">
        <v>4880</v>
      </c>
      <c r="L668" t="str">
        <f t="shared" si="10"/>
        <v>CONEXAO VALVULA. DESCARGA CUICA 16X22MM|46095</v>
      </c>
    </row>
    <row r="669" ht="13.5" customHeight="1" spans="1:12">
      <c r="A669" s="17">
        <v>46094.546099537</v>
      </c>
      <c r="B669" s="6" t="s">
        <v>4876</v>
      </c>
      <c r="C669" s="6" t="s">
        <v>5332</v>
      </c>
      <c r="D669" s="6" t="s">
        <v>5333</v>
      </c>
      <c r="E669" s="6" t="s">
        <v>26</v>
      </c>
      <c r="F669" s="6" t="s">
        <v>4882</v>
      </c>
      <c r="G669" s="6" t="s">
        <v>4278</v>
      </c>
      <c r="H669" s="6">
        <v>1</v>
      </c>
      <c r="I669" s="18">
        <v>149.9</v>
      </c>
      <c r="J669" s="19">
        <v>46094.5481727662</v>
      </c>
      <c r="K669" s="6" t="s">
        <v>4880</v>
      </c>
      <c r="L669" t="str">
        <f t="shared" si="10"/>
        <v>BOTIJAO TERMICO GARRAFAO 9L GRANDE INVICTA COR - AZUL |46095</v>
      </c>
    </row>
    <row r="670" ht="13.5" customHeight="1" spans="1:12">
      <c r="A670" s="17">
        <v>46094.5597222222</v>
      </c>
      <c r="B670" s="6" t="s">
        <v>4876</v>
      </c>
      <c r="C670" s="6" t="s">
        <v>5155</v>
      </c>
      <c r="D670" s="6" t="s">
        <v>4894</v>
      </c>
      <c r="E670" s="6" t="s">
        <v>26</v>
      </c>
      <c r="F670" s="6" t="s">
        <v>4882</v>
      </c>
      <c r="G670" s="6" t="s">
        <v>3267</v>
      </c>
      <c r="H670" s="6">
        <v>6</v>
      </c>
      <c r="I670" s="18">
        <v>89.34</v>
      </c>
      <c r="J670" s="19">
        <v>46097.5793170949</v>
      </c>
      <c r="K670" s="6" t="s">
        <v>4880</v>
      </c>
      <c r="L670" t="str">
        <f t="shared" si="10"/>
        <v>ESPATULA ATLAS 175/10|46095</v>
      </c>
    </row>
    <row r="671" ht="13.5" customHeight="1" spans="1:12">
      <c r="A671" s="17">
        <v>46094.5597222222</v>
      </c>
      <c r="B671" s="6" t="s">
        <v>4876</v>
      </c>
      <c r="C671" s="6" t="s">
        <v>5155</v>
      </c>
      <c r="D671" s="6" t="s">
        <v>4894</v>
      </c>
      <c r="E671" s="6" t="s">
        <v>26</v>
      </c>
      <c r="F671" s="6" t="s">
        <v>4882</v>
      </c>
      <c r="G671" s="6" t="s">
        <v>4513</v>
      </c>
      <c r="H671" s="6">
        <v>6</v>
      </c>
      <c r="I671" s="18">
        <v>72.9</v>
      </c>
      <c r="J671" s="19">
        <v>46097.5793162037</v>
      </c>
      <c r="K671" s="6" t="s">
        <v>4880</v>
      </c>
      <c r="L671" t="str">
        <f t="shared" si="10"/>
        <v>ATLAS ESPATULA AÇO - 175/8|46095</v>
      </c>
    </row>
    <row r="672" ht="13.5" customHeight="1" spans="1:12">
      <c r="A672" s="17">
        <v>46094.5597222222</v>
      </c>
      <c r="B672" s="6" t="s">
        <v>4876</v>
      </c>
      <c r="C672" s="6" t="s">
        <v>5155</v>
      </c>
      <c r="D672" s="6" t="s">
        <v>4894</v>
      </c>
      <c r="E672" s="6" t="s">
        <v>26</v>
      </c>
      <c r="F672" s="6" t="s">
        <v>4882</v>
      </c>
      <c r="G672" s="6" t="s">
        <v>1216</v>
      </c>
      <c r="H672" s="6">
        <v>1</v>
      </c>
      <c r="I672" s="18">
        <v>5.29</v>
      </c>
      <c r="J672" s="19">
        <v>46097.5793158218</v>
      </c>
      <c r="K672" s="6" t="s">
        <v>4880</v>
      </c>
      <c r="L672" t="str">
        <f t="shared" si="10"/>
        <v>TERMINAL GARFO 1,5 X 2,5 MM |46095</v>
      </c>
    </row>
    <row r="673" ht="13.5" customHeight="1" spans="1:12">
      <c r="A673" s="17">
        <v>46094.5597222222</v>
      </c>
      <c r="B673" s="6" t="s">
        <v>4876</v>
      </c>
      <c r="C673" s="6" t="s">
        <v>5155</v>
      </c>
      <c r="D673" s="6" t="s">
        <v>4894</v>
      </c>
      <c r="E673" s="6" t="s">
        <v>26</v>
      </c>
      <c r="F673" s="6" t="s">
        <v>4882</v>
      </c>
      <c r="G673" s="6" t="s">
        <v>1219</v>
      </c>
      <c r="H673" s="6">
        <v>5</v>
      </c>
      <c r="I673" s="18">
        <v>45.85</v>
      </c>
      <c r="J673" s="19">
        <v>46097.579315081</v>
      </c>
      <c r="K673" s="6" t="s">
        <v>4880</v>
      </c>
      <c r="L673" t="str">
        <f t="shared" si="10"/>
        <v>TERMINAL FEMEA 4-6MM|46095</v>
      </c>
    </row>
    <row r="674" ht="13.5" customHeight="1" spans="1:12">
      <c r="A674" s="17">
        <v>46094.5597222222</v>
      </c>
      <c r="B674" s="6" t="s">
        <v>4876</v>
      </c>
      <c r="C674" s="6" t="s">
        <v>5155</v>
      </c>
      <c r="D674" s="6" t="s">
        <v>4894</v>
      </c>
      <c r="E674" s="6" t="s">
        <v>26</v>
      </c>
      <c r="F674" s="6" t="s">
        <v>4882</v>
      </c>
      <c r="G674" s="6" t="s">
        <v>1948</v>
      </c>
      <c r="H674" s="6">
        <v>10</v>
      </c>
      <c r="I674" s="18">
        <v>21.2</v>
      </c>
      <c r="J674" s="19">
        <v>46097.5793149306</v>
      </c>
      <c r="K674" s="6" t="s">
        <v>4880</v>
      </c>
      <c r="L674" t="str">
        <f t="shared" si="10"/>
        <v>PORCA 14MM AUTO TRAVANTE|46095</v>
      </c>
    </row>
    <row r="675" ht="13.5" customHeight="1" spans="1:12">
      <c r="A675" s="17">
        <v>46094.5597222222</v>
      </c>
      <c r="B675" s="6" t="s">
        <v>4876</v>
      </c>
      <c r="C675" s="6" t="s">
        <v>5155</v>
      </c>
      <c r="D675" s="6" t="s">
        <v>4894</v>
      </c>
      <c r="E675" s="6" t="s">
        <v>26</v>
      </c>
      <c r="F675" s="6" t="s">
        <v>4882</v>
      </c>
      <c r="G675" s="6" t="s">
        <v>2250</v>
      </c>
      <c r="H675" s="6">
        <v>10</v>
      </c>
      <c r="I675" s="18">
        <v>61.2</v>
      </c>
      <c r="J675" s="19">
        <v>46097.5793147338</v>
      </c>
      <c r="K675" s="6" t="s">
        <v>4880</v>
      </c>
      <c r="L675" t="str">
        <f t="shared" si="10"/>
        <v>P.SEXT. MA 14X60 8.8|46095</v>
      </c>
    </row>
    <row r="676" ht="13.5" customHeight="1" spans="1:12">
      <c r="A676" s="17">
        <v>46094.5597222222</v>
      </c>
      <c r="B676" s="6" t="s">
        <v>4876</v>
      </c>
      <c r="C676" s="6" t="s">
        <v>5155</v>
      </c>
      <c r="D676" s="6" t="s">
        <v>4894</v>
      </c>
      <c r="E676" s="6" t="s">
        <v>26</v>
      </c>
      <c r="F676" s="6" t="s">
        <v>4882</v>
      </c>
      <c r="G676" s="6" t="s">
        <v>1900</v>
      </c>
      <c r="H676" s="6">
        <v>10</v>
      </c>
      <c r="I676" s="18">
        <v>18.1</v>
      </c>
      <c r="J676" s="19">
        <v>46097.5793145486</v>
      </c>
      <c r="K676" s="6" t="s">
        <v>4880</v>
      </c>
      <c r="L676" t="str">
        <f t="shared" si="10"/>
        <v>PORCA TRAVANTE UNC 1/2 ZB|46095</v>
      </c>
    </row>
    <row r="677" ht="13.5" customHeight="1" spans="1:12">
      <c r="A677" s="17">
        <v>46094.5597222222</v>
      </c>
      <c r="B677" s="6" t="s">
        <v>4876</v>
      </c>
      <c r="C677" s="6" t="s">
        <v>5155</v>
      </c>
      <c r="D677" s="6" t="s">
        <v>4894</v>
      </c>
      <c r="E677" s="6" t="s">
        <v>26</v>
      </c>
      <c r="F677" s="6" t="s">
        <v>4882</v>
      </c>
      <c r="G677" s="6" t="s">
        <v>2248</v>
      </c>
      <c r="H677" s="6">
        <v>10</v>
      </c>
      <c r="I677" s="18">
        <v>53.6</v>
      </c>
      <c r="J677" s="19">
        <v>46097.5793138542</v>
      </c>
      <c r="K677" s="6" t="s">
        <v>4880</v>
      </c>
      <c r="L677" t="str">
        <f t="shared" si="10"/>
        <v>P.SEXT.G-5 UNC 3/4 X 4|46095</v>
      </c>
    </row>
    <row r="678" ht="13.5" customHeight="1" spans="1:12">
      <c r="A678" s="17">
        <v>46094.5597222222</v>
      </c>
      <c r="B678" s="6" t="s">
        <v>4876</v>
      </c>
      <c r="C678" s="6" t="s">
        <v>5155</v>
      </c>
      <c r="D678" s="6" t="s">
        <v>4894</v>
      </c>
      <c r="E678" s="6" t="s">
        <v>26</v>
      </c>
      <c r="F678" s="6" t="s">
        <v>4882</v>
      </c>
      <c r="G678" s="6" t="s">
        <v>1936</v>
      </c>
      <c r="H678" s="6">
        <v>10</v>
      </c>
      <c r="I678" s="18">
        <v>18.8</v>
      </c>
      <c r="J678" s="19">
        <v>46097.5793136574</v>
      </c>
      <c r="K678" s="6" t="s">
        <v>4880</v>
      </c>
      <c r="L678" t="str">
        <f t="shared" si="10"/>
        <v>PORCA AUTO TRAVANTE 12|46095</v>
      </c>
    </row>
    <row r="679" ht="13.5" customHeight="1" spans="1:12">
      <c r="A679" s="17">
        <v>46094.5597222222</v>
      </c>
      <c r="B679" s="6" t="s">
        <v>4876</v>
      </c>
      <c r="C679" s="6" t="s">
        <v>5155</v>
      </c>
      <c r="D679" s="6" t="s">
        <v>4894</v>
      </c>
      <c r="E679" s="6" t="s">
        <v>26</v>
      </c>
      <c r="F679" s="6" t="s">
        <v>4882</v>
      </c>
      <c r="G679" s="6" t="s">
        <v>2256</v>
      </c>
      <c r="H679" s="6">
        <v>10</v>
      </c>
      <c r="I679" s="18">
        <v>49.9</v>
      </c>
      <c r="J679" s="19">
        <v>46097.5793129282</v>
      </c>
      <c r="K679" s="6" t="s">
        <v>4880</v>
      </c>
      <c r="L679" t="str">
        <f t="shared" si="10"/>
        <v>P.SEXT INOX 08X80|46095</v>
      </c>
    </row>
    <row r="680" ht="13.5" customHeight="1" spans="1:12">
      <c r="A680" s="17">
        <v>46094.5597222222</v>
      </c>
      <c r="B680" s="6" t="s">
        <v>4876</v>
      </c>
      <c r="C680" s="6" t="s">
        <v>5155</v>
      </c>
      <c r="D680" s="6" t="s">
        <v>4894</v>
      </c>
      <c r="E680" s="6" t="s">
        <v>26</v>
      </c>
      <c r="F680" s="6" t="s">
        <v>4882</v>
      </c>
      <c r="G680" s="6" t="s">
        <v>601</v>
      </c>
      <c r="H680" s="6">
        <v>4</v>
      </c>
      <c r="I680" s="18">
        <v>117</v>
      </c>
      <c r="J680" s="19">
        <v>46097.5793121875</v>
      </c>
      <c r="K680" s="6" t="s">
        <v>4880</v>
      </c>
      <c r="L680" t="str">
        <f t="shared" si="10"/>
        <v>TRAVA ROSCA VERMELHO (FH440)|46095</v>
      </c>
    </row>
    <row r="681" ht="13.5" customHeight="1" spans="1:12">
      <c r="A681" s="17">
        <v>46095.3875</v>
      </c>
      <c r="B681" s="6" t="s">
        <v>4876</v>
      </c>
      <c r="C681" s="6" t="s">
        <v>5334</v>
      </c>
      <c r="D681" s="6" t="s">
        <v>5335</v>
      </c>
      <c r="E681" s="6" t="s">
        <v>26</v>
      </c>
      <c r="F681" s="6" t="s">
        <v>4882</v>
      </c>
      <c r="G681" s="6" t="s">
        <v>703</v>
      </c>
      <c r="H681" s="6">
        <v>2</v>
      </c>
      <c r="I681" s="18">
        <v>226</v>
      </c>
      <c r="J681" s="19">
        <v>46104.389865081</v>
      </c>
      <c r="K681" s="6" t="s">
        <v>4880</v>
      </c>
      <c r="L681" t="str">
        <f t="shared" si="10"/>
        <v>SPRAY AUTOMOTIVO AMARELO CATERPILAR BRILHANTE RUST OLEUM|46095</v>
      </c>
    </row>
    <row r="682" ht="13.5" customHeight="1" spans="1:12">
      <c r="A682" s="17">
        <v>46095.4225810185</v>
      </c>
      <c r="B682" s="6" t="s">
        <v>4876</v>
      </c>
      <c r="C682" s="6" t="s">
        <v>5336</v>
      </c>
      <c r="D682" s="6" t="s">
        <v>5337</v>
      </c>
      <c r="E682" s="6" t="s">
        <v>26</v>
      </c>
      <c r="F682" s="6" t="s">
        <v>4882</v>
      </c>
      <c r="G682" s="6" t="s">
        <v>706</v>
      </c>
      <c r="H682" s="6">
        <v>1</v>
      </c>
      <c r="I682" s="18">
        <v>190.71</v>
      </c>
      <c r="J682" s="19">
        <v>46076.4256434375</v>
      </c>
      <c r="K682" s="6" t="s">
        <v>4880</v>
      </c>
      <c r="L682" t="str">
        <f t="shared" si="10"/>
        <v>SUPORTE APLICADOR FIME STRETCH |46095</v>
      </c>
    </row>
    <row r="683" ht="13.5" customHeight="1" spans="1:12">
      <c r="A683" s="17">
        <v>46097.4961574074</v>
      </c>
      <c r="B683" s="6" t="s">
        <v>4876</v>
      </c>
      <c r="C683" s="6" t="s">
        <v>5338</v>
      </c>
      <c r="D683" s="6" t="s">
        <v>4971</v>
      </c>
      <c r="E683" s="6" t="s">
        <v>26</v>
      </c>
      <c r="F683" s="6" t="s">
        <v>4882</v>
      </c>
      <c r="G683" s="6" t="s">
        <v>1014</v>
      </c>
      <c r="H683" s="6">
        <v>2</v>
      </c>
      <c r="I683" s="18">
        <v>37.42</v>
      </c>
      <c r="J683" s="19">
        <v>46097.4970912384</v>
      </c>
      <c r="K683" s="6" t="s">
        <v>4880</v>
      </c>
      <c r="L683" t="str">
        <f t="shared" si="10"/>
        <v>VALVULA P/TANQUE.S/LAD.S/UNHO BRANCO VT|46097</v>
      </c>
    </row>
    <row r="684" ht="13.5" customHeight="1" spans="1:12">
      <c r="A684" s="17">
        <v>46097.4972222222</v>
      </c>
      <c r="B684" s="6" t="s">
        <v>4876</v>
      </c>
      <c r="C684" s="6" t="s">
        <v>5339</v>
      </c>
      <c r="D684" s="6" t="s">
        <v>110</v>
      </c>
      <c r="E684" s="6" t="s">
        <v>26</v>
      </c>
      <c r="F684" s="6" t="s">
        <v>4882</v>
      </c>
      <c r="G684" s="6" t="s">
        <v>1269</v>
      </c>
      <c r="H684" s="6">
        <v>2</v>
      </c>
      <c r="I684" s="18">
        <v>116</v>
      </c>
      <c r="J684" s="19">
        <v>46097.4983407755</v>
      </c>
      <c r="K684" s="6" t="s">
        <v>4880</v>
      </c>
      <c r="L684" t="str">
        <f t="shared" si="10"/>
        <v>TAMPA TANQUE C/ ROSCA INTERNA |46097</v>
      </c>
    </row>
    <row r="685" ht="13.5" customHeight="1" spans="1:12">
      <c r="A685" s="17">
        <v>46097.4972222222</v>
      </c>
      <c r="B685" s="6" t="s">
        <v>4876</v>
      </c>
      <c r="C685" s="6" t="s">
        <v>5339</v>
      </c>
      <c r="D685" s="6" t="s">
        <v>110</v>
      </c>
      <c r="E685" s="6" t="s">
        <v>26</v>
      </c>
      <c r="F685" s="6" t="s">
        <v>4882</v>
      </c>
      <c r="G685" s="6" t="s">
        <v>4075</v>
      </c>
      <c r="H685" s="6">
        <v>1</v>
      </c>
      <c r="I685" s="18">
        <v>85</v>
      </c>
      <c r="J685" s="19">
        <v>46097.4983405903</v>
      </c>
      <c r="K685" s="6" t="s">
        <v>4880</v>
      </c>
      <c r="L685" t="str">
        <f t="shared" si="10"/>
        <v>CALIBRADOR RF INFLADOR ANALOGICO|46097</v>
      </c>
    </row>
    <row r="686" ht="13.5" customHeight="1" spans="1:12">
      <c r="A686" s="17">
        <v>46097.5048148148</v>
      </c>
      <c r="B686" s="6" t="s">
        <v>4876</v>
      </c>
      <c r="C686" s="6" t="s">
        <v>5340</v>
      </c>
      <c r="D686" s="6" t="s">
        <v>5132</v>
      </c>
      <c r="E686" s="6" t="s">
        <v>26</v>
      </c>
      <c r="F686" s="6" t="s">
        <v>4882</v>
      </c>
      <c r="G686" s="6" t="s">
        <v>2741</v>
      </c>
      <c r="H686" s="6">
        <v>3</v>
      </c>
      <c r="I686" s="18">
        <v>75</v>
      </c>
      <c r="J686" s="19">
        <v>46097.5053284722</v>
      </c>
      <c r="K686" s="6" t="s">
        <v>4880</v>
      </c>
      <c r="L686" t="str">
        <f t="shared" si="10"/>
        <v>KIT REPARO P/MANGUEIRAS MANIFOLD|46098</v>
      </c>
    </row>
    <row r="687" ht="13.5" customHeight="1" spans="1:12">
      <c r="A687" s="17">
        <v>46097.5796180556</v>
      </c>
      <c r="B687" s="6" t="s">
        <v>4876</v>
      </c>
      <c r="C687" s="6" t="s">
        <v>5155</v>
      </c>
      <c r="D687" s="6" t="s">
        <v>4894</v>
      </c>
      <c r="E687" s="6" t="s">
        <v>26</v>
      </c>
      <c r="F687" s="6" t="s">
        <v>4882</v>
      </c>
      <c r="G687" s="6" t="s">
        <v>1131</v>
      </c>
      <c r="H687" s="6">
        <v>1</v>
      </c>
      <c r="I687" s="18">
        <v>115.18</v>
      </c>
      <c r="J687" s="19">
        <v>46097.588265706</v>
      </c>
      <c r="K687" s="6" t="s">
        <v>4880</v>
      </c>
      <c r="L687" t="str">
        <f t="shared" si="10"/>
        <v>TORNEIRA JARDIM C/BICO 1131 C31 1/4 VOLTA 1/2|46098</v>
      </c>
    </row>
    <row r="688" ht="13.5" customHeight="1" spans="1:12">
      <c r="A688" s="17">
        <v>46097.5796180556</v>
      </c>
      <c r="B688" s="6" t="s">
        <v>4876</v>
      </c>
      <c r="C688" s="6" t="s">
        <v>5155</v>
      </c>
      <c r="D688" s="6" t="s">
        <v>4894</v>
      </c>
      <c r="E688" s="6" t="s">
        <v>26</v>
      </c>
      <c r="F688" s="6" t="s">
        <v>4882</v>
      </c>
      <c r="G688" s="6" t="s">
        <v>570</v>
      </c>
      <c r="H688" s="6">
        <v>10</v>
      </c>
      <c r="I688" s="18">
        <v>16.3</v>
      </c>
      <c r="J688" s="19">
        <v>46097.5882655093</v>
      </c>
      <c r="K688" s="6" t="s">
        <v>4880</v>
      </c>
      <c r="L688" t="str">
        <f t="shared" si="10"/>
        <v>ABRACADEIRA  INA13 X 19 FG 9M |46098</v>
      </c>
    </row>
    <row r="689" ht="13.5" customHeight="1" spans="1:12">
      <c r="A689" s="17">
        <v>46097.5796180556</v>
      </c>
      <c r="B689" s="6" t="s">
        <v>4876</v>
      </c>
      <c r="C689" s="6" t="s">
        <v>5155</v>
      </c>
      <c r="D689" s="6" t="s">
        <v>4894</v>
      </c>
      <c r="E689" s="6" t="s">
        <v>26</v>
      </c>
      <c r="F689" s="6" t="s">
        <v>4882</v>
      </c>
      <c r="G689" s="6" t="s">
        <v>4756</v>
      </c>
      <c r="H689" s="6">
        <v>10</v>
      </c>
      <c r="I689" s="18">
        <v>16.3</v>
      </c>
      <c r="J689" s="19">
        <v>46097.5882653588</v>
      </c>
      <c r="K689" s="6" t="s">
        <v>4880</v>
      </c>
      <c r="L689" t="str">
        <f t="shared" si="10"/>
        <v>ABRAÇADEIRA DE METAL 10X13 FG 9MM|46098</v>
      </c>
    </row>
    <row r="690" ht="13.5" customHeight="1" spans="1:12">
      <c r="A690" s="17">
        <v>46097.5796180556</v>
      </c>
      <c r="B690" s="6" t="s">
        <v>4876</v>
      </c>
      <c r="C690" s="6" t="s">
        <v>5155</v>
      </c>
      <c r="D690" s="6" t="s">
        <v>4894</v>
      </c>
      <c r="E690" s="6" t="s">
        <v>26</v>
      </c>
      <c r="F690" s="6" t="s">
        <v>4882</v>
      </c>
      <c r="G690" s="6" t="s">
        <v>1134</v>
      </c>
      <c r="H690" s="6">
        <v>1</v>
      </c>
      <c r="I690" s="18">
        <v>83.49</v>
      </c>
      <c r="J690" s="19">
        <v>46097.588265162</v>
      </c>
      <c r="K690" s="6" t="s">
        <v>4880</v>
      </c>
      <c r="L690" t="str">
        <f t="shared" si="10"/>
        <v>TORNEIRA INJET AUTOMATICA 1197 CR 234|46098</v>
      </c>
    </row>
    <row r="691" ht="13.5" customHeight="1" spans="1:12">
      <c r="A691" s="17">
        <v>46098.3618055556</v>
      </c>
      <c r="B691" s="6" t="s">
        <v>4876</v>
      </c>
      <c r="C691" s="6" t="s">
        <v>5341</v>
      </c>
      <c r="D691" s="6" t="s">
        <v>5342</v>
      </c>
      <c r="E691" s="6" t="s">
        <v>26</v>
      </c>
      <c r="F691" s="6" t="s">
        <v>4882</v>
      </c>
      <c r="G691" s="6" t="s">
        <v>157</v>
      </c>
      <c r="H691" s="6">
        <v>5</v>
      </c>
      <c r="I691" s="18">
        <v>686.5</v>
      </c>
      <c r="J691" s="19">
        <v>46099.3636112616</v>
      </c>
      <c r="K691" s="6" t="s">
        <v>4880</v>
      </c>
      <c r="L691" t="str">
        <f t="shared" si="10"/>
        <v>FILTRO DE COMBUSTIVEL 23B 127177|46098</v>
      </c>
    </row>
    <row r="692" ht="13.5" customHeight="1" spans="1:12">
      <c r="A692" s="17">
        <v>46098.4554050926</v>
      </c>
      <c r="B692" s="6" t="s">
        <v>4876</v>
      </c>
      <c r="C692" s="6" t="s">
        <v>5343</v>
      </c>
      <c r="D692" s="6" t="s">
        <v>4894</v>
      </c>
      <c r="E692" s="6" t="s">
        <v>26</v>
      </c>
      <c r="F692" s="6" t="s">
        <v>4882</v>
      </c>
      <c r="G692" s="6" t="s">
        <v>40</v>
      </c>
      <c r="H692" s="6">
        <v>20</v>
      </c>
      <c r="I692" s="18">
        <v>3241.6</v>
      </c>
      <c r="J692" s="19">
        <v>46098.4564508912</v>
      </c>
      <c r="K692" s="6" t="s">
        <v>4880</v>
      </c>
      <c r="L692" t="str">
        <f t="shared" si="10"/>
        <v>RODA COLSON PNEUMATICA 350-4 R.7|46098</v>
      </c>
    </row>
    <row r="693" ht="13.5" customHeight="1" spans="1:12">
      <c r="A693" s="17">
        <v>46098.4567361111</v>
      </c>
      <c r="B693" s="6" t="s">
        <v>4876</v>
      </c>
      <c r="C693" s="6" t="s">
        <v>5344</v>
      </c>
      <c r="D693" s="6" t="s">
        <v>4954</v>
      </c>
      <c r="E693" s="6" t="s">
        <v>26</v>
      </c>
      <c r="F693" s="6" t="s">
        <v>4882</v>
      </c>
      <c r="G693" s="6" t="s">
        <v>196</v>
      </c>
      <c r="H693" s="6">
        <v>12</v>
      </c>
      <c r="I693" s="18">
        <v>552</v>
      </c>
      <c r="J693" s="19">
        <v>46098.4573414699</v>
      </c>
      <c r="K693" s="6" t="s">
        <v>4880</v>
      </c>
      <c r="L693" t="str">
        <f t="shared" si="10"/>
        <v>ANTI-FERRUGEM WD-40 300ML|46098</v>
      </c>
    </row>
    <row r="694" ht="13.5" customHeight="1" spans="1:12">
      <c r="A694" s="17">
        <v>46098.6534722222</v>
      </c>
      <c r="B694" s="6" t="s">
        <v>4876</v>
      </c>
      <c r="C694" s="6" t="s">
        <v>5345</v>
      </c>
      <c r="D694" s="6" t="s">
        <v>4898</v>
      </c>
      <c r="E694" s="6" t="s">
        <v>51</v>
      </c>
      <c r="F694" s="6" t="s">
        <v>4879</v>
      </c>
      <c r="G694" s="6" t="s">
        <v>499</v>
      </c>
      <c r="H694" s="6">
        <v>240</v>
      </c>
      <c r="I694" s="18">
        <v>17923.2</v>
      </c>
      <c r="J694" s="19">
        <v>46099.6582918982</v>
      </c>
      <c r="K694" s="6" t="s">
        <v>4880</v>
      </c>
      <c r="L694" t="str">
        <f t="shared" si="10"/>
        <v>STRETCH MANUAL 500MM X 25 MICRA X 3|46099</v>
      </c>
    </row>
    <row r="695" ht="13.5" customHeight="1" spans="1:12">
      <c r="A695" s="17">
        <v>46099.3715277778</v>
      </c>
      <c r="B695" s="6" t="s">
        <v>4876</v>
      </c>
      <c r="C695" s="6" t="s">
        <v>5346</v>
      </c>
      <c r="D695" s="6" t="s">
        <v>4884</v>
      </c>
      <c r="E695" s="6" t="s">
        <v>26</v>
      </c>
      <c r="F695" s="6" t="s">
        <v>4882</v>
      </c>
      <c r="G695" s="6" t="s">
        <v>1130</v>
      </c>
      <c r="H695" s="6">
        <v>1</v>
      </c>
      <c r="I695" s="18">
        <v>189.3</v>
      </c>
      <c r="J695" s="19">
        <v>46100.372202662</v>
      </c>
      <c r="K695" s="6" t="s">
        <v>4880</v>
      </c>
      <c r="L695" t="str">
        <f t="shared" si="10"/>
        <v>TORNEIRA LAVATORIO MESA AUTO 1/2|46099</v>
      </c>
    </row>
    <row r="696" ht="13.5" customHeight="1" spans="1:12">
      <c r="A696" s="17">
        <v>46099.3736111111</v>
      </c>
      <c r="B696" s="6" t="s">
        <v>4876</v>
      </c>
      <c r="C696" s="6" t="s">
        <v>5347</v>
      </c>
      <c r="D696" s="6" t="s">
        <v>4919</v>
      </c>
      <c r="E696" s="6" t="s">
        <v>26</v>
      </c>
      <c r="F696" s="6" t="s">
        <v>4882</v>
      </c>
      <c r="G696" s="6" t="s">
        <v>3442</v>
      </c>
      <c r="H696" s="6">
        <v>10</v>
      </c>
      <c r="I696" s="18">
        <v>148.2</v>
      </c>
      <c r="J696" s="19">
        <v>46100.3752390857</v>
      </c>
      <c r="K696" s="6" t="s">
        <v>4880</v>
      </c>
      <c r="L696" t="str">
        <f t="shared" si="10"/>
        <v>DISCO FLAP 4 1/2X60 CORTAG|46099</v>
      </c>
    </row>
    <row r="697" ht="13.5" customHeight="1" spans="1:12">
      <c r="A697" s="17">
        <v>46099.3736111111</v>
      </c>
      <c r="B697" s="6" t="s">
        <v>4876</v>
      </c>
      <c r="C697" s="6" t="s">
        <v>5347</v>
      </c>
      <c r="D697" s="6" t="s">
        <v>4919</v>
      </c>
      <c r="E697" s="6" t="s">
        <v>26</v>
      </c>
      <c r="F697" s="6" t="s">
        <v>4882</v>
      </c>
      <c r="G697" s="6" t="s">
        <v>3439</v>
      </c>
      <c r="H697" s="6">
        <v>4</v>
      </c>
      <c r="I697" s="18">
        <v>54.44</v>
      </c>
      <c r="J697" s="19">
        <v>46100.3752295139</v>
      </c>
      <c r="K697" s="6" t="s">
        <v>4880</v>
      </c>
      <c r="L697" t="str">
        <f t="shared" si="10"/>
        <v>DISCO FLAP G40 115MM ATLAS|46099</v>
      </c>
    </row>
    <row r="698" ht="13.5" customHeight="1" spans="1:12">
      <c r="A698" s="17">
        <v>46099.5105439815</v>
      </c>
      <c r="B698" s="6" t="s">
        <v>4876</v>
      </c>
      <c r="C698" s="6" t="s">
        <v>5348</v>
      </c>
      <c r="D698" s="6" t="s">
        <v>4954</v>
      </c>
      <c r="E698" s="6" t="s">
        <v>26</v>
      </c>
      <c r="F698" s="6" t="s">
        <v>4882</v>
      </c>
      <c r="G698" s="6" t="s">
        <v>317</v>
      </c>
      <c r="H698" s="6">
        <v>2</v>
      </c>
      <c r="I698" s="18">
        <v>792</v>
      </c>
      <c r="J698" s="19">
        <v>46099.5134613773</v>
      </c>
      <c r="K698" s="6" t="s">
        <v>4880</v>
      </c>
      <c r="L698" t="str">
        <f t="shared" si="10"/>
        <v>BOMBA D´ÀGUA VW DELIVERY 9.160 |46100</v>
      </c>
    </row>
    <row r="699" ht="13.5" customHeight="1" spans="1:12">
      <c r="A699" s="17">
        <v>46099.5105439815</v>
      </c>
      <c r="B699" s="6" t="s">
        <v>4876</v>
      </c>
      <c r="C699" s="6" t="s">
        <v>5348</v>
      </c>
      <c r="D699" s="6" t="s">
        <v>4954</v>
      </c>
      <c r="E699" s="6" t="s">
        <v>26</v>
      </c>
      <c r="F699" s="6" t="s">
        <v>4882</v>
      </c>
      <c r="G699" s="6" t="s">
        <v>397</v>
      </c>
      <c r="H699" s="6">
        <v>4</v>
      </c>
      <c r="I699" s="18">
        <v>64</v>
      </c>
      <c r="J699" s="19">
        <v>46099.5134610301</v>
      </c>
      <c r="K699" s="6" t="s">
        <v>4880</v>
      </c>
      <c r="L699" t="str">
        <f t="shared" si="10"/>
        <v>JUNTA TAMPA RADIADOR MB OLEO 904 /3028 JL48237|46100</v>
      </c>
    </row>
    <row r="700" ht="13.5" customHeight="1" spans="1:12">
      <c r="A700" s="17">
        <v>46099.5105439815</v>
      </c>
      <c r="B700" s="6" t="s">
        <v>4876</v>
      </c>
      <c r="C700" s="6" t="s">
        <v>5348</v>
      </c>
      <c r="D700" s="6" t="s">
        <v>4954</v>
      </c>
      <c r="E700" s="6" t="s">
        <v>26</v>
      </c>
      <c r="F700" s="6" t="s">
        <v>4882</v>
      </c>
      <c r="G700" s="6" t="s">
        <v>241</v>
      </c>
      <c r="H700" s="6">
        <v>2</v>
      </c>
      <c r="I700" s="18">
        <v>278</v>
      </c>
      <c r="J700" s="19">
        <v>46099.5134594097</v>
      </c>
      <c r="K700" s="6" t="s">
        <v>4880</v>
      </c>
      <c r="L700" t="str">
        <f t="shared" si="10"/>
        <v>SENSOR PRESSÃO OLEO - 904/906 (ACCELO 1016)|46100</v>
      </c>
    </row>
    <row r="701" ht="13.5" customHeight="1" spans="1:12">
      <c r="A701" s="17">
        <v>46099.5189236111</v>
      </c>
      <c r="B701" s="6" t="s">
        <v>4876</v>
      </c>
      <c r="C701" s="6" t="s">
        <v>5349</v>
      </c>
      <c r="D701" s="6" t="s">
        <v>5350</v>
      </c>
      <c r="E701" s="6" t="s">
        <v>26</v>
      </c>
      <c r="F701" s="6" t="s">
        <v>4882</v>
      </c>
      <c r="G701" s="6" t="s">
        <v>321</v>
      </c>
      <c r="H701" s="6">
        <v>1</v>
      </c>
      <c r="I701" s="18">
        <v>320</v>
      </c>
      <c r="J701" s="19">
        <v>46099.5211849537</v>
      </c>
      <c r="K701" s="6" t="s">
        <v>4880</v>
      </c>
      <c r="L701" t="str">
        <f t="shared" si="10"/>
        <v>RETENTOR PINHÃO 7.7 126.2 |46100</v>
      </c>
    </row>
    <row r="702" ht="13.5" customHeight="1" spans="1:12">
      <c r="A702" s="17">
        <v>46099.5226388889</v>
      </c>
      <c r="B702" s="6" t="s">
        <v>4876</v>
      </c>
      <c r="C702" s="6" t="s">
        <v>5351</v>
      </c>
      <c r="D702" s="6" t="s">
        <v>4935</v>
      </c>
      <c r="E702" s="6" t="s">
        <v>26</v>
      </c>
      <c r="F702" s="6" t="s">
        <v>4882</v>
      </c>
      <c r="G702" s="6" t="s">
        <v>1522</v>
      </c>
      <c r="H702" s="6">
        <v>1</v>
      </c>
      <c r="I702" s="18">
        <v>96.56</v>
      </c>
      <c r="J702" s="19">
        <v>46099.5234315972</v>
      </c>
      <c r="K702" s="6" t="s">
        <v>4880</v>
      </c>
      <c r="L702" t="str">
        <f t="shared" si="10"/>
        <v>SAPATO SOFTWORKS BRANCO N 40|46100</v>
      </c>
    </row>
    <row r="703" ht="13.5" customHeight="1" spans="1:12">
      <c r="A703" s="17">
        <v>46099.5326388889</v>
      </c>
      <c r="B703" s="6" t="s">
        <v>4876</v>
      </c>
      <c r="C703" s="6" t="s">
        <v>5352</v>
      </c>
      <c r="D703" s="6" t="s">
        <v>5353</v>
      </c>
      <c r="E703" s="6" t="s">
        <v>26</v>
      </c>
      <c r="F703" s="6" t="s">
        <v>4882</v>
      </c>
      <c r="G703" s="6" t="s">
        <v>692</v>
      </c>
      <c r="H703" s="6">
        <v>4</v>
      </c>
      <c r="I703" s="18">
        <v>506.32</v>
      </c>
      <c r="J703" s="19">
        <v>46104.5334403125</v>
      </c>
      <c r="K703" s="6" t="s">
        <v>4880</v>
      </c>
      <c r="L703" t="str">
        <f t="shared" si="10"/>
        <v>LUVA SKI PROFISSIONAL NEVE SNOW|46100</v>
      </c>
    </row>
    <row r="704" ht="13.5" customHeight="1" spans="1:12">
      <c r="A704" s="17">
        <v>46099.5333333333</v>
      </c>
      <c r="B704" s="6" t="s">
        <v>4876</v>
      </c>
      <c r="C704" s="6" t="s">
        <v>5354</v>
      </c>
      <c r="D704" s="6" t="s">
        <v>5355</v>
      </c>
      <c r="E704" s="6" t="s">
        <v>26</v>
      </c>
      <c r="F704" s="6" t="s">
        <v>4882</v>
      </c>
      <c r="G704" s="6" t="s">
        <v>1953</v>
      </c>
      <c r="H704" s="6">
        <v>1</v>
      </c>
      <c r="I704" s="18">
        <v>100</v>
      </c>
      <c r="J704" s="19">
        <v>46104.5548728009</v>
      </c>
      <c r="K704" s="6" t="s">
        <v>4880</v>
      </c>
      <c r="L704" t="str">
        <f t="shared" si="10"/>
        <v>PONTEIRA PEDAL DA EMBREAGEM 8002102062005|46100</v>
      </c>
    </row>
    <row r="705" ht="13.5" customHeight="1" spans="1:12">
      <c r="A705" s="17">
        <v>46099.5333333333</v>
      </c>
      <c r="B705" s="6" t="s">
        <v>4876</v>
      </c>
      <c r="C705" s="6" t="s">
        <v>5354</v>
      </c>
      <c r="D705" s="6" t="s">
        <v>5355</v>
      </c>
      <c r="E705" s="6" t="s">
        <v>26</v>
      </c>
      <c r="F705" s="6" t="s">
        <v>4882</v>
      </c>
      <c r="G705" s="6" t="s">
        <v>1076</v>
      </c>
      <c r="H705" s="6">
        <v>1</v>
      </c>
      <c r="I705" s="18">
        <v>197.96</v>
      </c>
      <c r="J705" s="19">
        <v>46104.554872419</v>
      </c>
      <c r="K705" s="6" t="s">
        <v>4880</v>
      </c>
      <c r="L705" t="str">
        <f t="shared" si="10"/>
        <v>TUBO GUIA DA EMBREAGEM 4100 8005102028009|46100</v>
      </c>
    </row>
    <row r="706" ht="13.5" customHeight="1" spans="1:12">
      <c r="A706" s="17">
        <v>46099.5333333333</v>
      </c>
      <c r="B706" s="6" t="s">
        <v>4876</v>
      </c>
      <c r="C706" s="6" t="s">
        <v>5354</v>
      </c>
      <c r="D706" s="6" t="s">
        <v>5355</v>
      </c>
      <c r="E706" s="6" t="s">
        <v>26</v>
      </c>
      <c r="F706" s="6" t="s">
        <v>4882</v>
      </c>
      <c r="G706" s="6" t="s">
        <v>3401</v>
      </c>
      <c r="H706" s="6">
        <v>1</v>
      </c>
      <c r="I706" s="18">
        <v>120</v>
      </c>
      <c r="J706" s="19">
        <v>46104.5548722569</v>
      </c>
      <c r="K706" s="6" t="s">
        <v>4880</v>
      </c>
      <c r="L706" t="str">
        <f t="shared" ref="L706:L769" si="11">IF(G706="","",G706&amp;"|"&amp;TEXT(A706,"0"))</f>
        <v>EIXO GARFO DA EMBREAGEM ANTIGO 4100 8002102047006|46100</v>
      </c>
    </row>
    <row r="707" ht="13.5" customHeight="1" spans="1:12">
      <c r="A707" s="17">
        <v>46099.5333333333</v>
      </c>
      <c r="B707" s="6" t="s">
        <v>4876</v>
      </c>
      <c r="C707" s="6" t="s">
        <v>5354</v>
      </c>
      <c r="D707" s="6" t="s">
        <v>5355</v>
      </c>
      <c r="E707" s="6" t="s">
        <v>26</v>
      </c>
      <c r="F707" s="6" t="s">
        <v>4882</v>
      </c>
      <c r="G707" s="6" t="s">
        <v>4175</v>
      </c>
      <c r="H707" s="6">
        <v>2</v>
      </c>
      <c r="I707" s="18">
        <v>120</v>
      </c>
      <c r="J707" s="19">
        <v>46104.5548720718</v>
      </c>
      <c r="K707" s="6" t="s">
        <v>4880</v>
      </c>
      <c r="L707" t="str">
        <f t="shared" si="11"/>
        <v>BUCHADA EMBREAGEM 4100 8002102050000|46100</v>
      </c>
    </row>
    <row r="708" ht="13.5" customHeight="1" spans="1:12">
      <c r="A708" s="17">
        <v>46099.5333333333</v>
      </c>
      <c r="B708" s="6" t="s">
        <v>4876</v>
      </c>
      <c r="C708" s="6" t="s">
        <v>5354</v>
      </c>
      <c r="D708" s="6" t="s">
        <v>5355</v>
      </c>
      <c r="E708" s="6" t="s">
        <v>26</v>
      </c>
      <c r="F708" s="6" t="s">
        <v>4882</v>
      </c>
      <c r="G708" s="6" t="s">
        <v>2966</v>
      </c>
      <c r="H708" s="6">
        <v>1</v>
      </c>
      <c r="I708" s="18">
        <v>140</v>
      </c>
      <c r="J708" s="19">
        <v>46104.5548717245</v>
      </c>
      <c r="K708" s="6" t="s">
        <v>4880</v>
      </c>
      <c r="L708" t="str">
        <f t="shared" si="11"/>
        <v>GARFO DA EMBREAGEM 4100 7106003050000|46100</v>
      </c>
    </row>
    <row r="709" ht="13.5" customHeight="1" spans="1:12">
      <c r="A709" s="17">
        <v>46099.5495601852</v>
      </c>
      <c r="B709" s="6" t="s">
        <v>4876</v>
      </c>
      <c r="C709" s="6" t="s">
        <v>5155</v>
      </c>
      <c r="D709" s="6" t="s">
        <v>4894</v>
      </c>
      <c r="E709" s="6" t="s">
        <v>26</v>
      </c>
      <c r="F709" s="6" t="s">
        <v>4882</v>
      </c>
      <c r="G709" s="6" t="s">
        <v>4257</v>
      </c>
      <c r="H709" s="6">
        <v>2</v>
      </c>
      <c r="I709" s="18">
        <v>79.5</v>
      </c>
      <c r="J709" s="19">
        <v>46099.5570281597</v>
      </c>
      <c r="K709" s="6" t="s">
        <v>4880</v>
      </c>
      <c r="L709" t="str">
        <f t="shared" si="11"/>
        <v>BROCA AÇO RAPIDO 01,00MM|46100</v>
      </c>
    </row>
    <row r="710" ht="13.5" customHeight="1" spans="1:12">
      <c r="A710" s="17">
        <v>46099.5495601852</v>
      </c>
      <c r="B710" s="6" t="s">
        <v>4876</v>
      </c>
      <c r="C710" s="6" t="s">
        <v>5155</v>
      </c>
      <c r="D710" s="6" t="s">
        <v>4894</v>
      </c>
      <c r="E710" s="6" t="s">
        <v>26</v>
      </c>
      <c r="F710" s="6" t="s">
        <v>4882</v>
      </c>
      <c r="G710" s="6" t="s">
        <v>4217</v>
      </c>
      <c r="H710" s="6">
        <v>2</v>
      </c>
      <c r="I710" s="18">
        <v>72.18</v>
      </c>
      <c r="J710" s="19">
        <v>46099.5570279745</v>
      </c>
      <c r="K710" s="6" t="s">
        <v>4880</v>
      </c>
      <c r="L710" t="str">
        <f t="shared" si="11"/>
        <v>BROCA PARA CONCRETO 8X120MM|46100</v>
      </c>
    </row>
    <row r="711" ht="13.5" customHeight="1" spans="1:12">
      <c r="A711" s="17">
        <v>46099.5495601852</v>
      </c>
      <c r="B711" s="6" t="s">
        <v>4876</v>
      </c>
      <c r="C711" s="6" t="s">
        <v>5155</v>
      </c>
      <c r="D711" s="6" t="s">
        <v>4894</v>
      </c>
      <c r="E711" s="6" t="s">
        <v>26</v>
      </c>
      <c r="F711" s="6" t="s">
        <v>4882</v>
      </c>
      <c r="G711" s="6" t="s">
        <v>4255</v>
      </c>
      <c r="H711" s="6">
        <v>2</v>
      </c>
      <c r="I711" s="18">
        <v>43.58</v>
      </c>
      <c r="J711" s="19">
        <v>46099.5570274306</v>
      </c>
      <c r="K711" s="6" t="s">
        <v>4880</v>
      </c>
      <c r="L711" t="str">
        <f t="shared" si="11"/>
        <v>BROCA AÇO RAPIDO 10.0MM|46100</v>
      </c>
    </row>
    <row r="712" ht="13.5" customHeight="1" spans="1:12">
      <c r="A712" s="17">
        <v>46099.5586458333</v>
      </c>
      <c r="B712" s="6" t="s">
        <v>4876</v>
      </c>
      <c r="C712" s="6" t="s">
        <v>5356</v>
      </c>
      <c r="D712" s="6" t="s">
        <v>110</v>
      </c>
      <c r="E712" s="6" t="s">
        <v>26</v>
      </c>
      <c r="F712" s="6" t="s">
        <v>4882</v>
      </c>
      <c r="G712" s="6" t="s">
        <v>1640</v>
      </c>
      <c r="H712" s="6">
        <v>2</v>
      </c>
      <c r="I712" s="18">
        <v>44</v>
      </c>
      <c r="J712" s="19">
        <v>46099.5600687153</v>
      </c>
      <c r="K712" s="6" t="s">
        <v>4880</v>
      </c>
      <c r="L712" t="str">
        <f t="shared" si="11"/>
        <v>ROLAMENTO 6301 SCUD |46100</v>
      </c>
    </row>
    <row r="713" ht="13.5" customHeight="1" spans="1:12">
      <c r="A713" s="17">
        <v>46099.5605671296</v>
      </c>
      <c r="B713" s="6" t="s">
        <v>4876</v>
      </c>
      <c r="C713" s="6" t="s">
        <v>5357</v>
      </c>
      <c r="D713" s="6" t="s">
        <v>5358</v>
      </c>
      <c r="E713" s="6" t="s">
        <v>26</v>
      </c>
      <c r="F713" s="6" t="s">
        <v>4882</v>
      </c>
      <c r="G713" s="6" t="s">
        <v>3615</v>
      </c>
      <c r="H713" s="6">
        <v>1</v>
      </c>
      <c r="I713" s="18">
        <v>10</v>
      </c>
      <c r="J713" s="19">
        <v>46099.5612520486</v>
      </c>
      <c r="K713" s="6" t="s">
        <v>4880</v>
      </c>
      <c r="L713" t="str">
        <f t="shared" si="11"/>
        <v>COPIAS DE CHAVE |46100</v>
      </c>
    </row>
    <row r="714" ht="13.5" customHeight="1" spans="1:12">
      <c r="A714" s="17">
        <v>46099.5987152778</v>
      </c>
      <c r="B714" s="6" t="s">
        <v>4876</v>
      </c>
      <c r="C714" s="6" t="s">
        <v>5359</v>
      </c>
      <c r="D714" s="6" t="s">
        <v>4879</v>
      </c>
      <c r="E714" s="6" t="s">
        <v>26</v>
      </c>
      <c r="F714" s="6" t="s">
        <v>4882</v>
      </c>
      <c r="G714" s="6" t="s">
        <v>319</v>
      </c>
      <c r="H714" s="6">
        <v>4</v>
      </c>
      <c r="I714" s="18">
        <v>1454.6</v>
      </c>
      <c r="J714" s="19">
        <v>46099.5995898148</v>
      </c>
      <c r="K714" s="6" t="s">
        <v>4880</v>
      </c>
      <c r="L714" t="str">
        <f t="shared" si="11"/>
        <v>AMORTECEDOR DIANTEIRO VOLVO VM 260|46100</v>
      </c>
    </row>
    <row r="715" ht="13.5" customHeight="1" spans="1:12">
      <c r="A715" s="17">
        <v>46099.6033333333</v>
      </c>
      <c r="B715" s="6" t="s">
        <v>4876</v>
      </c>
      <c r="C715" s="6" t="s">
        <v>5360</v>
      </c>
      <c r="D715" s="6" t="s">
        <v>5361</v>
      </c>
      <c r="E715" s="6" t="s">
        <v>51</v>
      </c>
      <c r="F715" s="6" t="s">
        <v>4879</v>
      </c>
      <c r="G715" s="6" t="s">
        <v>3718</v>
      </c>
      <c r="H715" s="6">
        <v>2</v>
      </c>
      <c r="I715" s="18">
        <v>1248</v>
      </c>
      <c r="J715" s="19">
        <v>46099.6058483449</v>
      </c>
      <c r="K715" s="6" t="s">
        <v>4880</v>
      </c>
      <c r="L715" t="str">
        <f t="shared" si="11"/>
        <v>COLETO DE DADOS CN80 KIT C/ 5 CANETAS|46100</v>
      </c>
    </row>
    <row r="716" ht="13.5" customHeight="1" spans="1:12">
      <c r="A716" s="17">
        <v>46100.4604166667</v>
      </c>
      <c r="B716" s="6" t="s">
        <v>4876</v>
      </c>
      <c r="C716" s="6" t="s">
        <v>5362</v>
      </c>
      <c r="D716" s="6" t="s">
        <v>5342</v>
      </c>
      <c r="E716" s="6" t="s">
        <v>26</v>
      </c>
      <c r="F716" s="6" t="s">
        <v>4882</v>
      </c>
      <c r="G716" s="6" t="s">
        <v>324</v>
      </c>
      <c r="H716" s="6">
        <v>2</v>
      </c>
      <c r="I716" s="18">
        <v>1858.9</v>
      </c>
      <c r="J716" s="19">
        <v>46101.4625462153</v>
      </c>
      <c r="K716" s="6" t="s">
        <v>4880</v>
      </c>
      <c r="L716" t="str">
        <f t="shared" si="11"/>
        <v>VALVULA MANETE DE FREIO VW 23B607403|46100</v>
      </c>
    </row>
    <row r="717" ht="13.5" customHeight="1" spans="1:12">
      <c r="A717" s="17">
        <v>46100.6814814815</v>
      </c>
      <c r="B717" s="6" t="s">
        <v>4876</v>
      </c>
      <c r="C717" s="6" t="s">
        <v>5363</v>
      </c>
      <c r="D717" s="6" t="s">
        <v>5109</v>
      </c>
      <c r="E717" s="6" t="s">
        <v>26</v>
      </c>
      <c r="F717" s="6" t="s">
        <v>4882</v>
      </c>
      <c r="G717" s="6" t="s">
        <v>318</v>
      </c>
      <c r="H717" s="6">
        <v>8</v>
      </c>
      <c r="I717" s="18">
        <v>132</v>
      </c>
      <c r="J717" s="19">
        <v>46100.6824606829</v>
      </c>
      <c r="K717" s="6" t="s">
        <v>4880</v>
      </c>
      <c r="L717" t="str">
        <f t="shared" si="11"/>
        <v>JNG BOTAO LA39J11BG VD PUL|46101</v>
      </c>
    </row>
    <row r="718" ht="13.5" customHeight="1" spans="1:12">
      <c r="A718" s="17">
        <v>46100.6826388889</v>
      </c>
      <c r="B718" s="6" t="s">
        <v>4876</v>
      </c>
      <c r="C718" s="6" t="s">
        <v>5364</v>
      </c>
      <c r="D718" s="6" t="s">
        <v>5104</v>
      </c>
      <c r="E718" s="6" t="s">
        <v>26</v>
      </c>
      <c r="F718" s="6" t="s">
        <v>4882</v>
      </c>
      <c r="G718" s="6" t="s">
        <v>989</v>
      </c>
      <c r="H718" s="6">
        <v>4</v>
      </c>
      <c r="I718" s="18">
        <v>131.2</v>
      </c>
      <c r="J718" s="19">
        <v>46100.6854433218</v>
      </c>
      <c r="K718" s="6" t="s">
        <v>4880</v>
      </c>
      <c r="L718" t="str">
        <f t="shared" si="11"/>
        <v>VASSOURA DE PIAÇAVA |46101</v>
      </c>
    </row>
    <row r="719" ht="13.5" customHeight="1" spans="1:12">
      <c r="A719" s="17">
        <v>46101.4726736111</v>
      </c>
      <c r="B719" s="6" t="s">
        <v>4876</v>
      </c>
      <c r="C719" s="6" t="s">
        <v>5365</v>
      </c>
      <c r="D719" s="6" t="s">
        <v>5366</v>
      </c>
      <c r="E719" s="6" t="s">
        <v>26</v>
      </c>
      <c r="F719" s="6" t="s">
        <v>4882</v>
      </c>
      <c r="G719" s="6" t="s">
        <v>413</v>
      </c>
      <c r="H719" s="6">
        <v>25</v>
      </c>
      <c r="I719" s="18">
        <v>177.25</v>
      </c>
      <c r="J719" s="19">
        <v>46101.4999083681</v>
      </c>
      <c r="K719" s="6" t="s">
        <v>4880</v>
      </c>
      <c r="L719" t="str">
        <f t="shared" si="11"/>
        <v>GASOLINA COMUM 01|46101</v>
      </c>
    </row>
    <row r="720" ht="13.5" customHeight="1" spans="1:12">
      <c r="A720" s="17">
        <v>46101.5003240741</v>
      </c>
      <c r="B720" s="6" t="s">
        <v>4876</v>
      </c>
      <c r="C720" s="6" t="s">
        <v>5367</v>
      </c>
      <c r="D720" s="6" t="s">
        <v>4954</v>
      </c>
      <c r="E720" s="6" t="s">
        <v>26</v>
      </c>
      <c r="F720" s="6" t="s">
        <v>4882</v>
      </c>
      <c r="G720" s="6" t="s">
        <v>326</v>
      </c>
      <c r="H720" s="6">
        <v>2</v>
      </c>
      <c r="I720" s="18">
        <v>143.8</v>
      </c>
      <c r="J720" s="19">
        <v>46101.5043568287</v>
      </c>
      <c r="K720" s="6" t="s">
        <v>4880</v>
      </c>
      <c r="L720" t="str">
        <f t="shared" si="11"/>
        <v>SENSOR DE EMBREAGEM VW (321)|46102</v>
      </c>
    </row>
    <row r="721" ht="13.5" customHeight="1" spans="1:12">
      <c r="A721" s="17">
        <v>46101.5003240741</v>
      </c>
      <c r="B721" s="6" t="s">
        <v>4876</v>
      </c>
      <c r="C721" s="6" t="s">
        <v>5367</v>
      </c>
      <c r="D721" s="6" t="s">
        <v>4954</v>
      </c>
      <c r="E721" s="6" t="s">
        <v>26</v>
      </c>
      <c r="F721" s="6" t="s">
        <v>4882</v>
      </c>
      <c r="G721" s="6" t="s">
        <v>327</v>
      </c>
      <c r="H721" s="6">
        <v>1</v>
      </c>
      <c r="I721" s="18">
        <v>229</v>
      </c>
      <c r="J721" s="19">
        <v>46101.5043564815</v>
      </c>
      <c r="K721" s="6" t="s">
        <v>4880</v>
      </c>
      <c r="L721" t="str">
        <f t="shared" si="11"/>
        <v>SENSOR DE TEMPERATURA - VW 9.170/11.180 (5095)|46102</v>
      </c>
    </row>
    <row r="722" ht="13.5" customHeight="1" spans="1:12">
      <c r="A722" s="17">
        <v>46101.5047685185</v>
      </c>
      <c r="B722" s="6" t="s">
        <v>4876</v>
      </c>
      <c r="C722" s="6" t="s">
        <v>5368</v>
      </c>
      <c r="D722" s="6" t="s">
        <v>5369</v>
      </c>
      <c r="E722" s="6" t="s">
        <v>26</v>
      </c>
      <c r="F722" s="6" t="s">
        <v>4882</v>
      </c>
      <c r="G722" s="6" t="s">
        <v>1177</v>
      </c>
      <c r="H722" s="6">
        <v>2</v>
      </c>
      <c r="I722" s="18">
        <v>60</v>
      </c>
      <c r="J722" s="19">
        <v>46101.5054371181</v>
      </c>
      <c r="K722" s="6" t="s">
        <v>4880</v>
      </c>
      <c r="L722" t="str">
        <f t="shared" si="11"/>
        <v>TINTA COMPATIVEL EPSON PRETO|46102</v>
      </c>
    </row>
    <row r="723" ht="13.5" customHeight="1" spans="1:12">
      <c r="A723" s="17">
        <v>46101.5902777778</v>
      </c>
      <c r="B723" s="6" t="s">
        <v>4876</v>
      </c>
      <c r="C723" s="6" t="s">
        <v>5370</v>
      </c>
      <c r="D723" s="6" t="s">
        <v>5371</v>
      </c>
      <c r="E723" s="6" t="s">
        <v>26</v>
      </c>
      <c r="F723" s="6" t="s">
        <v>4882</v>
      </c>
      <c r="G723" s="6" t="s">
        <v>4082</v>
      </c>
      <c r="H723" s="6">
        <v>1</v>
      </c>
      <c r="I723" s="18">
        <v>2188</v>
      </c>
      <c r="J723" s="19">
        <v>46105.5925902431</v>
      </c>
      <c r="K723" s="6" t="s">
        <v>4880</v>
      </c>
      <c r="L723" t="str">
        <f t="shared" si="11"/>
        <v>CAIXA MANCAL ACCELO |46102</v>
      </c>
    </row>
    <row r="724" ht="13.5" customHeight="1" spans="1:12">
      <c r="A724" s="17">
        <v>46104.5284722222</v>
      </c>
      <c r="B724" s="6" t="s">
        <v>4876</v>
      </c>
      <c r="C724" s="6" t="s">
        <v>5372</v>
      </c>
      <c r="D724" s="6" t="s">
        <v>5373</v>
      </c>
      <c r="E724" s="6" t="s">
        <v>26</v>
      </c>
      <c r="F724" s="6" t="s">
        <v>4882</v>
      </c>
      <c r="G724" s="6" t="s">
        <v>2756</v>
      </c>
      <c r="H724" s="6">
        <v>1</v>
      </c>
      <c r="I724" s="18">
        <v>1600</v>
      </c>
      <c r="J724" s="19">
        <v>46111.5307640394</v>
      </c>
      <c r="K724" s="6" t="s">
        <v>4880</v>
      </c>
      <c r="L724" t="str">
        <f t="shared" si="11"/>
        <v>KIT EMBREAGEM TRATOR AGRALE 4100-MODERNO|46105</v>
      </c>
    </row>
    <row r="725" ht="13.5" customHeight="1" spans="1:12">
      <c r="A725" s="17">
        <v>46104.5548842593</v>
      </c>
      <c r="B725" s="6" t="s">
        <v>4876</v>
      </c>
      <c r="C725" s="6" t="s">
        <v>5374</v>
      </c>
      <c r="D725" s="6" t="s">
        <v>4919</v>
      </c>
      <c r="E725" s="6" t="s">
        <v>26</v>
      </c>
      <c r="F725" s="6" t="s">
        <v>4882</v>
      </c>
      <c r="G725" s="6" t="s">
        <v>1102</v>
      </c>
      <c r="H725" s="6">
        <v>3</v>
      </c>
      <c r="I725" s="18">
        <v>32.19</v>
      </c>
      <c r="J725" s="19">
        <v>46104.5571570602</v>
      </c>
      <c r="K725" s="6" t="s">
        <v>4880</v>
      </c>
      <c r="L725" t="str">
        <f t="shared" si="11"/>
        <v>TRINCHA 2 1/2'' 395/6|46105</v>
      </c>
    </row>
    <row r="726" ht="13.5" customHeight="1" spans="1:12">
      <c r="A726" s="17">
        <v>46104.5548842593</v>
      </c>
      <c r="B726" s="6" t="s">
        <v>4876</v>
      </c>
      <c r="C726" s="6" t="s">
        <v>5374</v>
      </c>
      <c r="D726" s="6" t="s">
        <v>4919</v>
      </c>
      <c r="E726" s="6" t="s">
        <v>26</v>
      </c>
      <c r="F726" s="6" t="s">
        <v>4882</v>
      </c>
      <c r="G726" s="6" t="s">
        <v>1104</v>
      </c>
      <c r="H726" s="6">
        <v>6</v>
      </c>
      <c r="I726" s="18">
        <v>45</v>
      </c>
      <c r="J726" s="19">
        <v>46104.557156713</v>
      </c>
      <c r="K726" s="6" t="s">
        <v>4880</v>
      </c>
      <c r="L726" t="str">
        <f t="shared" si="11"/>
        <v>TRINCHA 1.1/2'' 395/4|46105</v>
      </c>
    </row>
    <row r="727" ht="13.5" customHeight="1" spans="1:12">
      <c r="A727" s="17">
        <v>46104.5548842593</v>
      </c>
      <c r="B727" s="6" t="s">
        <v>4876</v>
      </c>
      <c r="C727" s="6" t="s">
        <v>5374</v>
      </c>
      <c r="D727" s="6" t="s">
        <v>4919</v>
      </c>
      <c r="E727" s="6" t="s">
        <v>26</v>
      </c>
      <c r="F727" s="6" t="s">
        <v>4882</v>
      </c>
      <c r="G727" s="6" t="s">
        <v>1105</v>
      </c>
      <c r="H727" s="6">
        <v>6</v>
      </c>
      <c r="I727" s="18">
        <v>47.94</v>
      </c>
      <c r="J727" s="19">
        <v>46104.5571559838</v>
      </c>
      <c r="K727" s="6" t="s">
        <v>4880</v>
      </c>
      <c r="L727" t="str">
        <f t="shared" si="11"/>
        <v>TRINCHA 1'' 395/3|46105</v>
      </c>
    </row>
    <row r="728" ht="13.5" customHeight="1" spans="1:12">
      <c r="A728" s="17">
        <v>46104.5575925926</v>
      </c>
      <c r="B728" s="6" t="s">
        <v>4876</v>
      </c>
      <c r="C728" s="6" t="s">
        <v>5375</v>
      </c>
      <c r="D728" s="6" t="s">
        <v>5376</v>
      </c>
      <c r="E728" s="6" t="s">
        <v>26</v>
      </c>
      <c r="F728" s="6" t="s">
        <v>4882</v>
      </c>
      <c r="G728" s="6" t="s">
        <v>2009</v>
      </c>
      <c r="H728" s="6">
        <v>1</v>
      </c>
      <c r="I728" s="18">
        <v>265</v>
      </c>
      <c r="J728" s="19">
        <v>46104.5633001505</v>
      </c>
      <c r="K728" s="6" t="s">
        <v>4880</v>
      </c>
      <c r="L728" t="str">
        <f t="shared" si="11"/>
        <v>PLAINA MANUAL PROFISSIONAL|46105</v>
      </c>
    </row>
    <row r="729" ht="13.5" customHeight="1" spans="1:12">
      <c r="A729" s="17">
        <v>46104.5575925926</v>
      </c>
      <c r="B729" s="6" t="s">
        <v>4876</v>
      </c>
      <c r="C729" s="6" t="s">
        <v>5375</v>
      </c>
      <c r="D729" s="6" t="s">
        <v>5376</v>
      </c>
      <c r="E729" s="6" t="s">
        <v>26</v>
      </c>
      <c r="F729" s="6" t="s">
        <v>4882</v>
      </c>
      <c r="G729" s="6" t="s">
        <v>4076</v>
      </c>
      <c r="H729" s="6">
        <v>1</v>
      </c>
      <c r="I729" s="18">
        <v>29.9</v>
      </c>
      <c r="J729" s="19">
        <v>46104.5632997685</v>
      </c>
      <c r="K729" s="6" t="s">
        <v>4880</v>
      </c>
      <c r="L729" t="str">
        <f t="shared" si="11"/>
        <v>CALIBRADOR BICO DUPLO LONGO 1295 TSL|46105</v>
      </c>
    </row>
    <row r="730" ht="13.5" customHeight="1" spans="1:12">
      <c r="A730" s="17">
        <v>46104.5992476852</v>
      </c>
      <c r="B730" s="6" t="s">
        <v>4876</v>
      </c>
      <c r="C730" s="6" t="s">
        <v>5377</v>
      </c>
      <c r="D730" s="6" t="s">
        <v>5378</v>
      </c>
      <c r="E730" s="6" t="s">
        <v>26</v>
      </c>
      <c r="F730" s="6" t="s">
        <v>4882</v>
      </c>
      <c r="G730" s="6" t="s">
        <v>4521</v>
      </c>
      <c r="H730" s="6">
        <v>2</v>
      </c>
      <c r="I730" s="18">
        <v>15.98</v>
      </c>
      <c r="J730" s="19">
        <v>46104.6083934838</v>
      </c>
      <c r="K730" s="6" t="s">
        <v>4880</v>
      </c>
      <c r="L730" t="str">
        <f t="shared" si="11"/>
        <v>ATADURA 15CM|46105</v>
      </c>
    </row>
    <row r="731" ht="13.5" customHeight="1" spans="1:12">
      <c r="A731" s="17">
        <v>46104.5992476852</v>
      </c>
      <c r="B731" s="6" t="s">
        <v>4876</v>
      </c>
      <c r="C731" s="6" t="s">
        <v>5377</v>
      </c>
      <c r="D731" s="6" t="s">
        <v>5378</v>
      </c>
      <c r="E731" s="6" t="s">
        <v>26</v>
      </c>
      <c r="F731" s="6" t="s">
        <v>4882</v>
      </c>
      <c r="G731" s="6" t="s">
        <v>4520</v>
      </c>
      <c r="H731" s="6">
        <v>2</v>
      </c>
      <c r="I731" s="18">
        <v>11</v>
      </c>
      <c r="J731" s="19">
        <v>46104.6083931366</v>
      </c>
      <c r="K731" s="6" t="s">
        <v>4880</v>
      </c>
      <c r="L731" t="str">
        <f t="shared" si="11"/>
        <v>ATADURA BEM BASICO 20CM|46105</v>
      </c>
    </row>
    <row r="732" ht="13.5" customHeight="1" spans="1:12">
      <c r="A732" s="17">
        <v>46104.5992476852</v>
      </c>
      <c r="B732" s="6" t="s">
        <v>4876</v>
      </c>
      <c r="C732" s="6" t="s">
        <v>5377</v>
      </c>
      <c r="D732" s="6" t="s">
        <v>5378</v>
      </c>
      <c r="E732" s="6" t="s">
        <v>26</v>
      </c>
      <c r="F732" s="6" t="s">
        <v>4882</v>
      </c>
      <c r="G732" s="6" t="s">
        <v>1356</v>
      </c>
      <c r="H732" s="6">
        <v>1</v>
      </c>
      <c r="I732" s="18">
        <v>9.99</v>
      </c>
      <c r="J732" s="19">
        <v>46104.6083929398</v>
      </c>
      <c r="K732" s="6" t="s">
        <v>4880</v>
      </c>
      <c r="L732" t="str">
        <f t="shared" si="11"/>
        <v>SORO FISIOLOGICO|46105</v>
      </c>
    </row>
    <row r="733" ht="13.5" customHeight="1" spans="1:12">
      <c r="A733" s="17">
        <v>46104.5992476852</v>
      </c>
      <c r="B733" s="6" t="s">
        <v>4876</v>
      </c>
      <c r="C733" s="6" t="s">
        <v>5377</v>
      </c>
      <c r="D733" s="6" t="s">
        <v>5378</v>
      </c>
      <c r="E733" s="6" t="s">
        <v>26</v>
      </c>
      <c r="F733" s="6" t="s">
        <v>4882</v>
      </c>
      <c r="G733" s="6" t="s">
        <v>619</v>
      </c>
      <c r="H733" s="6">
        <v>3</v>
      </c>
      <c r="I733" s="18">
        <v>113.94</v>
      </c>
      <c r="J733" s="19">
        <v>46104.6083925926</v>
      </c>
      <c r="K733" s="6" t="s">
        <v>4880</v>
      </c>
      <c r="L733" t="str">
        <f t="shared" si="11"/>
        <v>TORSILAX CAIXA|46105</v>
      </c>
    </row>
    <row r="734" ht="13.5" customHeight="1" spans="1:12">
      <c r="A734" s="17">
        <v>46104.5992476852</v>
      </c>
      <c r="B734" s="6" t="s">
        <v>4876</v>
      </c>
      <c r="C734" s="6" t="s">
        <v>5377</v>
      </c>
      <c r="D734" s="6" t="s">
        <v>5378</v>
      </c>
      <c r="E734" s="6" t="s">
        <v>26</v>
      </c>
      <c r="F734" s="6" t="s">
        <v>4882</v>
      </c>
      <c r="G734" s="6" t="s">
        <v>620</v>
      </c>
      <c r="H734" s="6">
        <v>11</v>
      </c>
      <c r="I734" s="18">
        <v>323.95</v>
      </c>
      <c r="J734" s="19">
        <v>46104.6083922107</v>
      </c>
      <c r="K734" s="6" t="s">
        <v>4880</v>
      </c>
      <c r="L734" t="str">
        <f t="shared" si="11"/>
        <v>DIPIRONA SODICA 1G C/10|46105</v>
      </c>
    </row>
    <row r="735" ht="13.5" customHeight="1" spans="1:12">
      <c r="A735" s="17">
        <v>46104.5992476852</v>
      </c>
      <c r="B735" s="6" t="s">
        <v>4876</v>
      </c>
      <c r="C735" s="6" t="s">
        <v>5377</v>
      </c>
      <c r="D735" s="6" t="s">
        <v>5378</v>
      </c>
      <c r="E735" s="6" t="s">
        <v>26</v>
      </c>
      <c r="F735" s="6" t="s">
        <v>4882</v>
      </c>
      <c r="G735" s="6" t="s">
        <v>3271</v>
      </c>
      <c r="H735" s="6">
        <v>1</v>
      </c>
      <c r="I735" s="18">
        <v>14.99</v>
      </c>
      <c r="J735" s="19">
        <v>46104.6083918634</v>
      </c>
      <c r="K735" s="6" t="s">
        <v>4880</v>
      </c>
      <c r="L735" t="str">
        <f t="shared" si="11"/>
        <v>ESPARADRAPO 25x3|46105</v>
      </c>
    </row>
    <row r="736" ht="13.5" customHeight="1" spans="1:12">
      <c r="A736" s="17">
        <v>46104.5992476852</v>
      </c>
      <c r="B736" s="6" t="s">
        <v>4876</v>
      </c>
      <c r="C736" s="6" t="s">
        <v>5377</v>
      </c>
      <c r="D736" s="6" t="s">
        <v>5378</v>
      </c>
      <c r="E736" s="6" t="s">
        <v>26</v>
      </c>
      <c r="F736" s="6" t="s">
        <v>4882</v>
      </c>
      <c r="G736" s="6" t="s">
        <v>3272</v>
      </c>
      <c r="H736" s="6">
        <v>1</v>
      </c>
      <c r="I736" s="18">
        <v>5.99</v>
      </c>
      <c r="J736" s="19">
        <v>46104.6083915162</v>
      </c>
      <c r="K736" s="6" t="s">
        <v>4880</v>
      </c>
      <c r="L736" t="str">
        <f t="shared" si="11"/>
        <v>ESPARADRAPO 12x45|46105</v>
      </c>
    </row>
    <row r="737" ht="13.5" customHeight="1" spans="1:12">
      <c r="A737" s="17">
        <v>46104.5992476852</v>
      </c>
      <c r="B737" s="6" t="s">
        <v>4876</v>
      </c>
      <c r="C737" s="6" t="s">
        <v>5377</v>
      </c>
      <c r="D737" s="6" t="s">
        <v>5378</v>
      </c>
      <c r="E737" s="6" t="s">
        <v>26</v>
      </c>
      <c r="F737" s="6" t="s">
        <v>4882</v>
      </c>
      <c r="G737" s="6" t="s">
        <v>618</v>
      </c>
      <c r="H737" s="6">
        <v>2</v>
      </c>
      <c r="I737" s="18">
        <v>62.64</v>
      </c>
      <c r="J737" s="19">
        <v>46104.6083907755</v>
      </c>
      <c r="K737" s="6" t="s">
        <v>4880</v>
      </c>
      <c r="L737" t="str">
        <f t="shared" si="11"/>
        <v>DORFLEX CAIXA|46105</v>
      </c>
    </row>
    <row r="738" ht="13.5" customHeight="1" spans="1:12">
      <c r="A738" s="17">
        <v>46104.5992476852</v>
      </c>
      <c r="B738" s="6" t="s">
        <v>4876</v>
      </c>
      <c r="C738" s="6" t="s">
        <v>5377</v>
      </c>
      <c r="D738" s="6" t="s">
        <v>5378</v>
      </c>
      <c r="E738" s="6" t="s">
        <v>26</v>
      </c>
      <c r="F738" s="6" t="s">
        <v>4882</v>
      </c>
      <c r="G738" s="6" t="s">
        <v>4477</v>
      </c>
      <c r="H738" s="6">
        <v>2</v>
      </c>
      <c r="I738" s="18">
        <v>32.38</v>
      </c>
      <c r="J738" s="19">
        <v>46104.6083898495</v>
      </c>
      <c r="K738" s="6" t="s">
        <v>4880</v>
      </c>
      <c r="L738" t="str">
        <f t="shared" si="11"/>
        <v>BAND AID TRANSPARENTE C/40|46105</v>
      </c>
    </row>
    <row r="739" ht="13.5" customHeight="1" spans="1:12">
      <c r="A739" s="17">
        <v>46104.5992476852</v>
      </c>
      <c r="B739" s="6" t="s">
        <v>4876</v>
      </c>
      <c r="C739" s="6" t="s">
        <v>5377</v>
      </c>
      <c r="D739" s="6" t="s">
        <v>5378</v>
      </c>
      <c r="E739" s="6" t="s">
        <v>26</v>
      </c>
      <c r="F739" s="6" t="s">
        <v>4882</v>
      </c>
      <c r="G739" s="6" t="s">
        <v>4661</v>
      </c>
      <c r="H739" s="6">
        <v>1</v>
      </c>
      <c r="I739" s="18">
        <v>7.99</v>
      </c>
      <c r="J739" s="19">
        <v>46104.6083895023</v>
      </c>
      <c r="K739" s="6" t="s">
        <v>4880</v>
      </c>
      <c r="L739" t="str">
        <f t="shared" si="11"/>
        <v>ALGODAO APOLO 50G|46105</v>
      </c>
    </row>
    <row r="740" ht="13.5" customHeight="1" spans="1:12">
      <c r="A740" s="17">
        <v>46104.6801851852</v>
      </c>
      <c r="B740" s="6" t="s">
        <v>4876</v>
      </c>
      <c r="C740" s="6" t="s">
        <v>5379</v>
      </c>
      <c r="D740" s="6" t="s">
        <v>5118</v>
      </c>
      <c r="E740" s="6" t="s">
        <v>26</v>
      </c>
      <c r="F740" s="6" t="s">
        <v>4882</v>
      </c>
      <c r="G740" s="6" t="s">
        <v>2560</v>
      </c>
      <c r="H740" s="6">
        <v>1</v>
      </c>
      <c r="I740" s="18">
        <v>124.5</v>
      </c>
      <c r="J740" s="19">
        <v>46104.6828254977</v>
      </c>
      <c r="K740" s="6" t="s">
        <v>4880</v>
      </c>
      <c r="L740" t="str">
        <f t="shared" si="11"/>
        <v>MANCHAO RC 10|46105</v>
      </c>
    </row>
    <row r="741" ht="13.5" customHeight="1" spans="1:12">
      <c r="A741" s="17">
        <v>46104.6831365741</v>
      </c>
      <c r="B741" s="6" t="s">
        <v>4876</v>
      </c>
      <c r="C741" s="6" t="s">
        <v>5380</v>
      </c>
      <c r="D741" s="6" t="s">
        <v>4954</v>
      </c>
      <c r="E741" s="6" t="s">
        <v>26</v>
      </c>
      <c r="F741" s="6" t="s">
        <v>4882</v>
      </c>
      <c r="G741" s="6" t="s">
        <v>2346</v>
      </c>
      <c r="H741" s="6">
        <v>1</v>
      </c>
      <c r="I741" s="18">
        <v>492</v>
      </c>
      <c r="J741" s="19">
        <v>46104.6858466088</v>
      </c>
      <c r="K741" s="6" t="s">
        <v>4880</v>
      </c>
      <c r="L741" t="str">
        <f t="shared" si="11"/>
        <v>OLEO MOBIL DELVAC POWER 20LT|46105</v>
      </c>
    </row>
    <row r="742" ht="13.5" customHeight="1" spans="1:12">
      <c r="A742" s="17">
        <v>46104.6860416667</v>
      </c>
      <c r="B742" s="6" t="s">
        <v>4876</v>
      </c>
      <c r="C742" s="6" t="s">
        <v>5381</v>
      </c>
      <c r="D742" s="6" t="s">
        <v>4954</v>
      </c>
      <c r="E742" s="6" t="s">
        <v>26</v>
      </c>
      <c r="F742" s="6" t="s">
        <v>4882</v>
      </c>
      <c r="G742" s="6" t="s">
        <v>2155</v>
      </c>
      <c r="H742" s="6">
        <v>20</v>
      </c>
      <c r="I742" s="18">
        <v>78</v>
      </c>
      <c r="J742" s="19">
        <v>46104.6867107986</v>
      </c>
      <c r="K742" s="6" t="s">
        <v>4880</v>
      </c>
      <c r="L742" t="str">
        <f t="shared" si="11"/>
        <v>PARAFUSO CRUZETA 10 X 20MM |46105</v>
      </c>
    </row>
    <row r="743" ht="13.5" customHeight="1" spans="1:12">
      <c r="A743" s="17">
        <v>46105.5243055556</v>
      </c>
      <c r="B743" s="6" t="s">
        <v>4876</v>
      </c>
      <c r="C743" s="6" t="s">
        <v>5382</v>
      </c>
      <c r="D743" s="6" t="s">
        <v>5079</v>
      </c>
      <c r="E743" s="6" t="s">
        <v>35</v>
      </c>
      <c r="F743" s="6" t="s">
        <v>4879</v>
      </c>
      <c r="G743" s="6" t="s">
        <v>251</v>
      </c>
      <c r="H743" s="6">
        <v>1</v>
      </c>
      <c r="I743" s="18">
        <v>500.86</v>
      </c>
      <c r="J743" s="19">
        <v>46111.5262929398</v>
      </c>
      <c r="K743" s="6" t="s">
        <v>4880</v>
      </c>
      <c r="L743" t="str">
        <f t="shared" si="11"/>
        <v>MANGUIERA SEM GTIN VO20574584|46106</v>
      </c>
    </row>
    <row r="744" ht="13.5" customHeight="1" spans="1:12">
      <c r="A744" s="17">
        <v>46105.5930555556</v>
      </c>
      <c r="B744" s="6" t="s">
        <v>4876</v>
      </c>
      <c r="C744" s="6" t="s">
        <v>5383</v>
      </c>
      <c r="D744" s="6" t="s">
        <v>5384</v>
      </c>
      <c r="E744" s="6" t="s">
        <v>26</v>
      </c>
      <c r="F744" s="6" t="s">
        <v>4882</v>
      </c>
      <c r="G744" s="6" t="s">
        <v>4631</v>
      </c>
      <c r="H744" s="6">
        <v>2</v>
      </c>
      <c r="I744" s="18">
        <v>89.8</v>
      </c>
      <c r="J744" s="19">
        <v>46105.5957434375</v>
      </c>
      <c r="K744" s="6" t="s">
        <v>4880</v>
      </c>
      <c r="L744" t="str">
        <f t="shared" si="11"/>
        <v>AMORTECEDOR MALA AM-0951 PALIO|46106</v>
      </c>
    </row>
    <row r="745" ht="13.5" customHeight="1" spans="1:12">
      <c r="A745" s="17">
        <v>46105.6576388889</v>
      </c>
      <c r="B745" s="6" t="s">
        <v>4876</v>
      </c>
      <c r="C745" s="6" t="s">
        <v>5385</v>
      </c>
      <c r="D745" s="6" t="s">
        <v>5386</v>
      </c>
      <c r="E745" s="6" t="s">
        <v>182</v>
      </c>
      <c r="F745" s="6" t="s">
        <v>4879</v>
      </c>
      <c r="G745" s="6" t="s">
        <v>1731</v>
      </c>
      <c r="H745" s="6">
        <v>6</v>
      </c>
      <c r="I745" s="18">
        <v>618</v>
      </c>
      <c r="J745" s="19">
        <v>46111.6636806366</v>
      </c>
      <c r="K745" s="6" t="s">
        <v>4880</v>
      </c>
      <c r="L745" t="str">
        <f t="shared" si="11"/>
        <v>RES.ROSCA 1 1/4 U2 8.2X140MM 1000W 220V |46106</v>
      </c>
    </row>
    <row r="746" ht="13.5" customHeight="1" spans="1:12">
      <c r="A746" s="17">
        <v>46105.6701388889</v>
      </c>
      <c r="B746" s="6" t="s">
        <v>4876</v>
      </c>
      <c r="C746" s="6" t="s">
        <v>5387</v>
      </c>
      <c r="D746" s="6" t="s">
        <v>4971</v>
      </c>
      <c r="E746" s="6" t="s">
        <v>26</v>
      </c>
      <c r="F746" s="6" t="s">
        <v>4882</v>
      </c>
      <c r="G746" s="6" t="s">
        <v>1100</v>
      </c>
      <c r="H746" s="6">
        <v>5</v>
      </c>
      <c r="I746" s="18">
        <v>43.55</v>
      </c>
      <c r="J746" s="19">
        <v>46105.6710293634</v>
      </c>
      <c r="K746" s="6" t="s">
        <v>4880</v>
      </c>
      <c r="L746" t="str">
        <f t="shared" si="11"/>
        <v>TRINCHA 2" - 395/5|46106</v>
      </c>
    </row>
    <row r="747" ht="13.5" customHeight="1" spans="1:12">
      <c r="A747" s="17">
        <v>46105.6723263889</v>
      </c>
      <c r="B747" s="6" t="s">
        <v>4876</v>
      </c>
      <c r="C747" s="6" t="s">
        <v>5388</v>
      </c>
      <c r="D747" s="6" t="s">
        <v>4935</v>
      </c>
      <c r="E747" s="6" t="s">
        <v>26</v>
      </c>
      <c r="F747" s="6" t="s">
        <v>4882</v>
      </c>
      <c r="G747" s="6" t="s">
        <v>1523</v>
      </c>
      <c r="H747" s="6">
        <v>1</v>
      </c>
      <c r="I747" s="18">
        <v>96.56</v>
      </c>
      <c r="J747" s="19">
        <v>46105.6734809838</v>
      </c>
      <c r="K747" s="6" t="s">
        <v>4880</v>
      </c>
      <c r="L747" t="str">
        <f t="shared" si="11"/>
        <v>SAPATO SOFT WORK 37 BRANCO|46106</v>
      </c>
    </row>
    <row r="748" ht="13.5" customHeight="1" spans="1:12">
      <c r="A748" s="17">
        <v>46105.6738194445</v>
      </c>
      <c r="B748" s="6" t="s">
        <v>4876</v>
      </c>
      <c r="C748" s="6" t="s">
        <v>5155</v>
      </c>
      <c r="D748" s="6" t="s">
        <v>4894</v>
      </c>
      <c r="E748" s="6" t="s">
        <v>26</v>
      </c>
      <c r="F748" s="6" t="s">
        <v>4882</v>
      </c>
      <c r="G748" s="6" t="s">
        <v>2889</v>
      </c>
      <c r="H748" s="6">
        <v>1</v>
      </c>
      <c r="I748" s="18">
        <v>24.4</v>
      </c>
      <c r="J748" s="19">
        <v>46105.6785555208</v>
      </c>
      <c r="K748" s="6" t="s">
        <v>4880</v>
      </c>
      <c r="L748" t="str">
        <f t="shared" si="11"/>
        <v>IBERE MASSA PLASTICA 400G |46106</v>
      </c>
    </row>
    <row r="749" ht="13.5" customHeight="1" spans="1:12">
      <c r="A749" s="17">
        <v>46105.6738194445</v>
      </c>
      <c r="B749" s="6" t="s">
        <v>4876</v>
      </c>
      <c r="C749" s="6" t="s">
        <v>5155</v>
      </c>
      <c r="D749" s="6" t="s">
        <v>4894</v>
      </c>
      <c r="E749" s="6" t="s">
        <v>26</v>
      </c>
      <c r="F749" s="6" t="s">
        <v>4882</v>
      </c>
      <c r="G749" s="6" t="s">
        <v>2135</v>
      </c>
      <c r="H749" s="6">
        <v>3</v>
      </c>
      <c r="I749" s="18">
        <v>16.86</v>
      </c>
      <c r="J749" s="19">
        <v>46105.6785544329</v>
      </c>
      <c r="K749" s="6" t="s">
        <v>4880</v>
      </c>
      <c r="L749" t="str">
        <f t="shared" si="11"/>
        <v>PARAFUSO MDF 5,0X40 100 PÇS |46106</v>
      </c>
    </row>
    <row r="750" ht="13.5" customHeight="1" spans="1:12">
      <c r="A750" s="17">
        <v>46105.6738194445</v>
      </c>
      <c r="B750" s="6" t="s">
        <v>4876</v>
      </c>
      <c r="C750" s="6" t="s">
        <v>5155</v>
      </c>
      <c r="D750" s="6" t="s">
        <v>4894</v>
      </c>
      <c r="E750" s="6" t="s">
        <v>26</v>
      </c>
      <c r="F750" s="6" t="s">
        <v>4882</v>
      </c>
      <c r="G750" s="6" t="s">
        <v>2119</v>
      </c>
      <c r="H750" s="6">
        <v>2</v>
      </c>
      <c r="I750" s="18">
        <v>7.84</v>
      </c>
      <c r="J750" s="19">
        <v>46105.6785539005</v>
      </c>
      <c r="K750" s="6" t="s">
        <v>4880</v>
      </c>
      <c r="L750" t="str">
        <f t="shared" si="11"/>
        <v>PARAFUSO SEXT .MA 06X30 8.8|46106</v>
      </c>
    </row>
    <row r="751" ht="13.5" customHeight="1" spans="1:12">
      <c r="A751" s="17">
        <v>46106.425</v>
      </c>
      <c r="B751" s="6" t="s">
        <v>4876</v>
      </c>
      <c r="C751" s="6" t="s">
        <v>5389</v>
      </c>
      <c r="D751" s="6" t="s">
        <v>5046</v>
      </c>
      <c r="E751" s="6" t="s">
        <v>38</v>
      </c>
      <c r="F751" s="6" t="s">
        <v>4879</v>
      </c>
      <c r="G751" s="6" t="s">
        <v>37</v>
      </c>
      <c r="H751" s="6">
        <v>80</v>
      </c>
      <c r="I751" s="18">
        <v>898.4</v>
      </c>
      <c r="J751" s="19">
        <v>46107.4267768519</v>
      </c>
      <c r="K751" s="6" t="s">
        <v>4880</v>
      </c>
      <c r="L751" t="str">
        <f t="shared" si="11"/>
        <v>PAPEL HIGIENICO ROLAO 8X300|46106</v>
      </c>
    </row>
    <row r="752" ht="13.5" customHeight="1" spans="1:12">
      <c r="A752" s="17">
        <v>46106.425</v>
      </c>
      <c r="B752" s="6" t="s">
        <v>4876</v>
      </c>
      <c r="C752" s="6" t="s">
        <v>5389</v>
      </c>
      <c r="D752" s="6" t="s">
        <v>5046</v>
      </c>
      <c r="E752" s="6" t="s">
        <v>38</v>
      </c>
      <c r="F752" s="6" t="s">
        <v>4879</v>
      </c>
      <c r="G752" s="6" t="s">
        <v>260</v>
      </c>
      <c r="H752" s="6">
        <v>60</v>
      </c>
      <c r="I752" s="18">
        <v>1492.2</v>
      </c>
      <c r="J752" s="19">
        <v>46107.4267745023</v>
      </c>
      <c r="K752" s="6" t="s">
        <v>4880</v>
      </c>
      <c r="L752" t="str">
        <f t="shared" si="11"/>
        <v>PAPEL TOALHA BOBINA 6X20X200|46106</v>
      </c>
    </row>
    <row r="753" ht="13.5" customHeight="1" spans="1:12">
      <c r="A753" s="17">
        <v>46106.5625</v>
      </c>
      <c r="B753" s="6" t="s">
        <v>4876</v>
      </c>
      <c r="C753" s="6" t="s">
        <v>5390</v>
      </c>
      <c r="D753" s="6" t="s">
        <v>110</v>
      </c>
      <c r="E753" s="6" t="s">
        <v>26</v>
      </c>
      <c r="F753" s="6" t="s">
        <v>4882</v>
      </c>
      <c r="G753" s="6" t="s">
        <v>375</v>
      </c>
      <c r="H753" s="6">
        <v>5</v>
      </c>
      <c r="I753" s="18">
        <v>395</v>
      </c>
      <c r="J753" s="19">
        <v>46107.5645352662</v>
      </c>
      <c r="K753" s="6" t="s">
        <v>4880</v>
      </c>
      <c r="L753" t="str">
        <f t="shared" si="11"/>
        <v>CAPA DE VOLANTE ACCELO|46107</v>
      </c>
    </row>
    <row r="754" ht="13.5" customHeight="1" spans="1:12">
      <c r="A754" s="17">
        <v>46106.5625</v>
      </c>
      <c r="B754" s="6" t="s">
        <v>4876</v>
      </c>
      <c r="C754" s="6" t="s">
        <v>5390</v>
      </c>
      <c r="D754" s="6" t="s">
        <v>110</v>
      </c>
      <c r="E754" s="6" t="s">
        <v>26</v>
      </c>
      <c r="F754" s="6" t="s">
        <v>4882</v>
      </c>
      <c r="G754" s="6" t="s">
        <v>3936</v>
      </c>
      <c r="H754" s="6">
        <v>20</v>
      </c>
      <c r="I754" s="18">
        <v>120</v>
      </c>
      <c r="J754" s="19">
        <v>46107.564534919</v>
      </c>
      <c r="K754" s="6" t="s">
        <v>4880</v>
      </c>
      <c r="L754" t="str">
        <f t="shared" si="11"/>
        <v>CAPA PORCA CROMADA 27 BELGA |46107</v>
      </c>
    </row>
    <row r="755" ht="13.5" customHeight="1" spans="1:12">
      <c r="A755" s="17">
        <v>46106.6605787037</v>
      </c>
      <c r="B755" s="6" t="s">
        <v>4876</v>
      </c>
      <c r="C755" s="6" t="s">
        <v>5391</v>
      </c>
      <c r="D755" s="6" t="s">
        <v>5392</v>
      </c>
      <c r="E755" s="6" t="s">
        <v>26</v>
      </c>
      <c r="F755" s="6" t="s">
        <v>4882</v>
      </c>
      <c r="G755" s="6" t="s">
        <v>3728</v>
      </c>
      <c r="H755" s="6">
        <v>1</v>
      </c>
      <c r="I755" s="18">
        <v>47</v>
      </c>
      <c r="J755" s="19">
        <v>46106.6622459144</v>
      </c>
      <c r="K755" s="6" t="s">
        <v>4880</v>
      </c>
      <c r="L755" t="str">
        <f t="shared" si="11"/>
        <v>COIFA CAMBIO C/ ROL PALIO/UNO 96/ I MARCA PARALELA (PALIO)|46107</v>
      </c>
    </row>
    <row r="756" ht="13.5" customHeight="1" spans="1:12">
      <c r="A756" s="17">
        <v>46107.3416666667</v>
      </c>
      <c r="B756" s="6" t="s">
        <v>4876</v>
      </c>
      <c r="C756" s="6" t="s">
        <v>5393</v>
      </c>
      <c r="D756" s="6" t="s">
        <v>5394</v>
      </c>
      <c r="E756" s="6" t="s">
        <v>26</v>
      </c>
      <c r="F756" s="6" t="s">
        <v>4882</v>
      </c>
      <c r="G756" s="6" t="s">
        <v>1627</v>
      </c>
      <c r="H756" s="6">
        <v>2</v>
      </c>
      <c r="I756" s="18">
        <v>80</v>
      </c>
      <c r="J756" s="19">
        <v>46108.345450463</v>
      </c>
      <c r="K756" s="6" t="s">
        <v>4880</v>
      </c>
      <c r="L756" t="str">
        <f t="shared" si="11"/>
        <v>ROLAMENTO HK2016|46107</v>
      </c>
    </row>
    <row r="757" ht="13.5" customHeight="1" spans="1:12">
      <c r="A757" s="17">
        <v>46107.3451388889</v>
      </c>
      <c r="B757" s="6" t="s">
        <v>4876</v>
      </c>
      <c r="C757" s="6" t="s">
        <v>5395</v>
      </c>
      <c r="D757" s="6" t="s">
        <v>4894</v>
      </c>
      <c r="E757" s="6" t="s">
        <v>26</v>
      </c>
      <c r="F757" s="6" t="s">
        <v>4882</v>
      </c>
      <c r="G757" s="6" t="s">
        <v>4109</v>
      </c>
      <c r="H757" s="6">
        <v>1</v>
      </c>
      <c r="I757" s="18">
        <v>4.38</v>
      </c>
      <c r="J757" s="19">
        <v>46108.3491044792</v>
      </c>
      <c r="K757" s="6" t="s">
        <v>4880</v>
      </c>
      <c r="L757" t="str">
        <f t="shared" si="11"/>
        <v>CABO VARAL AÇO 10MTS|46107</v>
      </c>
    </row>
    <row r="758" ht="13.5" customHeight="1" spans="1:12">
      <c r="A758" s="17">
        <v>46107.3451388889</v>
      </c>
      <c r="B758" s="6" t="s">
        <v>4876</v>
      </c>
      <c r="C758" s="6" t="s">
        <v>5395</v>
      </c>
      <c r="D758" s="6" t="s">
        <v>4894</v>
      </c>
      <c r="E758" s="6" t="s">
        <v>26</v>
      </c>
      <c r="F758" s="6" t="s">
        <v>4882</v>
      </c>
      <c r="G758" s="6" t="s">
        <v>4213</v>
      </c>
      <c r="H758" s="6">
        <v>2</v>
      </c>
      <c r="I758" s="18">
        <v>17.66</v>
      </c>
      <c r="J758" s="19">
        <v>46108.3491043171</v>
      </c>
      <c r="K758" s="6" t="s">
        <v>4880</v>
      </c>
      <c r="L758" t="str">
        <f t="shared" si="11"/>
        <v>BROCA VIDEA CONCRETO 10MM|46107</v>
      </c>
    </row>
    <row r="759" ht="13.5" customHeight="1" spans="1:12">
      <c r="A759" s="17">
        <v>46107.3451388889</v>
      </c>
      <c r="B759" s="6" t="s">
        <v>4876</v>
      </c>
      <c r="C759" s="6" t="s">
        <v>5395</v>
      </c>
      <c r="D759" s="6" t="s">
        <v>4894</v>
      </c>
      <c r="E759" s="6" t="s">
        <v>26</v>
      </c>
      <c r="F759" s="6" t="s">
        <v>4882</v>
      </c>
      <c r="G759" s="6" t="s">
        <v>4217</v>
      </c>
      <c r="H759" s="6">
        <v>2</v>
      </c>
      <c r="I759" s="18">
        <v>12.62</v>
      </c>
      <c r="J759" s="19">
        <v>46108.3491039352</v>
      </c>
      <c r="K759" s="6" t="s">
        <v>4880</v>
      </c>
      <c r="L759" t="str">
        <f t="shared" si="11"/>
        <v>BROCA PARA CONCRETO 8X120MM|46107</v>
      </c>
    </row>
    <row r="760" ht="13.5" customHeight="1" spans="1:12">
      <c r="A760" s="17">
        <v>46107.3451388889</v>
      </c>
      <c r="B760" s="6" t="s">
        <v>4876</v>
      </c>
      <c r="C760" s="6" t="s">
        <v>5395</v>
      </c>
      <c r="D760" s="6" t="s">
        <v>4894</v>
      </c>
      <c r="E760" s="6" t="s">
        <v>26</v>
      </c>
      <c r="F760" s="6" t="s">
        <v>4882</v>
      </c>
      <c r="G760" s="6" t="s">
        <v>4219</v>
      </c>
      <c r="H760" s="6">
        <v>2</v>
      </c>
      <c r="I760" s="18">
        <v>8.18</v>
      </c>
      <c r="J760" s="19">
        <v>46108.3491033912</v>
      </c>
      <c r="K760" s="6" t="s">
        <v>4880</v>
      </c>
      <c r="L760" t="str">
        <f t="shared" si="11"/>
        <v>BROCA PARA CONCRETO 6.0X100MM|46107</v>
      </c>
    </row>
    <row r="761" ht="13.5" customHeight="1" spans="1:12">
      <c r="A761" s="17">
        <v>46107.35625</v>
      </c>
      <c r="B761" s="6" t="s">
        <v>4876</v>
      </c>
      <c r="C761" s="6" t="s">
        <v>5396</v>
      </c>
      <c r="D761" s="6" t="s">
        <v>5118</v>
      </c>
      <c r="E761" s="6" t="s">
        <v>26</v>
      </c>
      <c r="F761" s="6" t="s">
        <v>4882</v>
      </c>
      <c r="G761" s="6" t="s">
        <v>1773</v>
      </c>
      <c r="H761" s="6">
        <v>1</v>
      </c>
      <c r="I761" s="18">
        <v>88.9</v>
      </c>
      <c r="J761" s="19">
        <v>46108.3571237616</v>
      </c>
      <c r="K761" s="6" t="s">
        <v>4880</v>
      </c>
      <c r="L761" t="str">
        <f t="shared" si="11"/>
        <v>REFIL RUZISEAL 100MM S/CX|46107</v>
      </c>
    </row>
    <row r="762" ht="13.5" customHeight="1" spans="1:12">
      <c r="A762" s="17">
        <v>46107.3569444444</v>
      </c>
      <c r="B762" s="6" t="s">
        <v>4876</v>
      </c>
      <c r="C762" s="6" t="s">
        <v>5397</v>
      </c>
      <c r="D762" s="6" t="s">
        <v>4954</v>
      </c>
      <c r="E762" s="6" t="s">
        <v>26</v>
      </c>
      <c r="F762" s="6" t="s">
        <v>4882</v>
      </c>
      <c r="G762" s="6" t="s">
        <v>29</v>
      </c>
      <c r="H762" s="6">
        <v>3</v>
      </c>
      <c r="I762" s="18">
        <v>1047</v>
      </c>
      <c r="J762" s="19">
        <v>46108.3580622685</v>
      </c>
      <c r="K762" s="6" t="s">
        <v>4880</v>
      </c>
      <c r="L762" t="str">
        <f t="shared" si="11"/>
        <v>RESERVATORIO DE ÁGUA ACCELO TANQUE EXPANSÃO PARALELA|46107</v>
      </c>
    </row>
    <row r="763" ht="13.5" customHeight="1" spans="1:12">
      <c r="A763" s="17">
        <v>46107.3618055556</v>
      </c>
      <c r="B763" s="6" t="s">
        <v>4876</v>
      </c>
      <c r="C763" s="6" t="s">
        <v>5398</v>
      </c>
      <c r="D763" s="6" t="s">
        <v>4894</v>
      </c>
      <c r="E763" s="6" t="s">
        <v>26</v>
      </c>
      <c r="F763" s="6" t="s">
        <v>4882</v>
      </c>
      <c r="G763" s="6" t="s">
        <v>2267</v>
      </c>
      <c r="H763" s="6">
        <v>30</v>
      </c>
      <c r="I763" s="18">
        <v>7.5</v>
      </c>
      <c r="J763" s="19">
        <v>46108.4106354977</v>
      </c>
      <c r="K763" s="6" t="s">
        <v>4880</v>
      </c>
      <c r="L763" t="str">
        <f t="shared" si="11"/>
        <v>P.MDF 4,5X50|46107</v>
      </c>
    </row>
    <row r="764" ht="13.5" customHeight="1" spans="1:12">
      <c r="A764" s="17">
        <v>46107.3618055556</v>
      </c>
      <c r="B764" s="6" t="s">
        <v>4876</v>
      </c>
      <c r="C764" s="6" t="s">
        <v>5398</v>
      </c>
      <c r="D764" s="6" t="s">
        <v>4894</v>
      </c>
      <c r="E764" s="6" t="s">
        <v>26</v>
      </c>
      <c r="F764" s="6" t="s">
        <v>4882</v>
      </c>
      <c r="G764" s="6" t="s">
        <v>2265</v>
      </c>
      <c r="H764" s="6">
        <v>30</v>
      </c>
      <c r="I764" s="18">
        <v>12.6</v>
      </c>
      <c r="J764" s="19">
        <v>46108.4106354977</v>
      </c>
      <c r="K764" s="6" t="s">
        <v>4880</v>
      </c>
      <c r="L764" t="str">
        <f t="shared" si="11"/>
        <v>P.MDF 4,5X70|46107</v>
      </c>
    </row>
    <row r="765" ht="13.5" customHeight="1" spans="1:12">
      <c r="A765" s="17">
        <v>46107.3618055556</v>
      </c>
      <c r="B765" s="6" t="s">
        <v>4876</v>
      </c>
      <c r="C765" s="6" t="s">
        <v>5398</v>
      </c>
      <c r="D765" s="6" t="s">
        <v>4894</v>
      </c>
      <c r="E765" s="6" t="s">
        <v>26</v>
      </c>
      <c r="F765" s="6" t="s">
        <v>4882</v>
      </c>
      <c r="G765" s="6" t="s">
        <v>2264</v>
      </c>
      <c r="H765" s="6">
        <v>30</v>
      </c>
      <c r="I765" s="18">
        <v>13.2</v>
      </c>
      <c r="J765" s="19">
        <v>46108.4106353009</v>
      </c>
      <c r="K765" s="6" t="s">
        <v>4880</v>
      </c>
      <c r="L765" t="str">
        <f t="shared" si="11"/>
        <v>P.MDF 5,0X70|46107</v>
      </c>
    </row>
    <row r="766" ht="13.5" customHeight="1" spans="1:12">
      <c r="A766" s="17">
        <v>46107.3618055556</v>
      </c>
      <c r="B766" s="6" t="s">
        <v>4876</v>
      </c>
      <c r="C766" s="6" t="s">
        <v>5398</v>
      </c>
      <c r="D766" s="6" t="s">
        <v>4894</v>
      </c>
      <c r="E766" s="6" t="s">
        <v>26</v>
      </c>
      <c r="F766" s="6" t="s">
        <v>4882</v>
      </c>
      <c r="G766" s="6" t="s">
        <v>2263</v>
      </c>
      <c r="H766" s="6">
        <v>30</v>
      </c>
      <c r="I766" s="18">
        <v>20.4</v>
      </c>
      <c r="J766" s="19">
        <v>46108.4106351042</v>
      </c>
      <c r="K766" s="6" t="s">
        <v>4880</v>
      </c>
      <c r="L766" t="str">
        <f t="shared" si="11"/>
        <v>P.MDF 6,0X70|46107</v>
      </c>
    </row>
    <row r="767" ht="13.5" customHeight="1" spans="1:12">
      <c r="A767" s="17">
        <v>46107.3618055556</v>
      </c>
      <c r="B767" s="6" t="s">
        <v>4876</v>
      </c>
      <c r="C767" s="6" t="s">
        <v>5398</v>
      </c>
      <c r="D767" s="6" t="s">
        <v>4894</v>
      </c>
      <c r="E767" s="6" t="s">
        <v>26</v>
      </c>
      <c r="F767" s="6" t="s">
        <v>4882</v>
      </c>
      <c r="G767" s="6" t="s">
        <v>2284</v>
      </c>
      <c r="H767" s="6">
        <v>30</v>
      </c>
      <c r="I767" s="18">
        <v>30.9</v>
      </c>
      <c r="J767" s="19">
        <v>46108.4106345718</v>
      </c>
      <c r="K767" s="6" t="s">
        <v>4880</v>
      </c>
      <c r="L767" t="str">
        <f t="shared" si="11"/>
        <v>P.AA.CH.FG 13/4X14|46107</v>
      </c>
    </row>
    <row r="768" ht="13.5" customHeight="1" spans="1:12">
      <c r="A768" s="17">
        <v>46107.3618055556</v>
      </c>
      <c r="B768" s="6" t="s">
        <v>4876</v>
      </c>
      <c r="C768" s="6" t="s">
        <v>5398</v>
      </c>
      <c r="D768" s="6" t="s">
        <v>4894</v>
      </c>
      <c r="E768" s="6" t="s">
        <v>26</v>
      </c>
      <c r="F768" s="6" t="s">
        <v>4882</v>
      </c>
      <c r="G768" s="6" t="s">
        <v>2281</v>
      </c>
      <c r="H768" s="6">
        <v>30</v>
      </c>
      <c r="I768" s="18">
        <v>28.8</v>
      </c>
      <c r="J768" s="19">
        <v>46108.4106340278</v>
      </c>
      <c r="K768" s="6" t="s">
        <v>4880</v>
      </c>
      <c r="L768" t="str">
        <f t="shared" si="11"/>
        <v>P.AA.CH.FG 2X14|46107</v>
      </c>
    </row>
    <row r="769" ht="13.5" customHeight="1" spans="1:12">
      <c r="A769" s="17">
        <v>46107.3618055556</v>
      </c>
      <c r="B769" s="6" t="s">
        <v>4876</v>
      </c>
      <c r="C769" s="6" t="s">
        <v>5398</v>
      </c>
      <c r="D769" s="6" t="s">
        <v>4894</v>
      </c>
      <c r="E769" s="6" t="s">
        <v>26</v>
      </c>
      <c r="F769" s="6" t="s">
        <v>4882</v>
      </c>
      <c r="G769" s="6" t="s">
        <v>2282</v>
      </c>
      <c r="H769" s="6">
        <v>30</v>
      </c>
      <c r="I769" s="18">
        <v>24.3</v>
      </c>
      <c r="J769" s="19">
        <v>46108.4106338773</v>
      </c>
      <c r="K769" s="6" t="s">
        <v>4880</v>
      </c>
      <c r="L769" t="str">
        <f t="shared" si="11"/>
        <v>P.AA.CH.FG 2X12|46107</v>
      </c>
    </row>
    <row r="770" ht="13.5" customHeight="1" spans="1:12">
      <c r="A770" s="17">
        <v>46107.3618055556</v>
      </c>
      <c r="B770" s="6" t="s">
        <v>4876</v>
      </c>
      <c r="C770" s="6" t="s">
        <v>5398</v>
      </c>
      <c r="D770" s="6" t="s">
        <v>4894</v>
      </c>
      <c r="E770" s="6" t="s">
        <v>26</v>
      </c>
      <c r="F770" s="6" t="s">
        <v>4882</v>
      </c>
      <c r="G770" s="6" t="s">
        <v>2286</v>
      </c>
      <c r="H770" s="6">
        <v>30</v>
      </c>
      <c r="I770" s="18">
        <v>10.2</v>
      </c>
      <c r="J770" s="19">
        <v>46108.4106334838</v>
      </c>
      <c r="K770" s="6" t="s">
        <v>4880</v>
      </c>
      <c r="L770" t="str">
        <f t="shared" ref="L770:L833" si="12">IF(G770="","",G770&amp;"|"&amp;TEXT(A770,"0"))</f>
        <v>P.AA.CH.FG 1 3/4X10(4,8X45)|46107</v>
      </c>
    </row>
    <row r="771" ht="13.5" customHeight="1" spans="1:12">
      <c r="A771" s="17">
        <v>46107.3618055556</v>
      </c>
      <c r="B771" s="6" t="s">
        <v>4876</v>
      </c>
      <c r="C771" s="6" t="s">
        <v>5398</v>
      </c>
      <c r="D771" s="6" t="s">
        <v>4894</v>
      </c>
      <c r="E771" s="6" t="s">
        <v>26</v>
      </c>
      <c r="F771" s="6" t="s">
        <v>4882</v>
      </c>
      <c r="G771" s="6" t="s">
        <v>2287</v>
      </c>
      <c r="H771" s="6">
        <v>30</v>
      </c>
      <c r="I771" s="18">
        <v>7.2</v>
      </c>
      <c r="J771" s="19">
        <v>46108.4106331366</v>
      </c>
      <c r="K771" s="6" t="s">
        <v>4880</v>
      </c>
      <c r="L771" t="str">
        <f t="shared" si="12"/>
        <v>P.AA.CH.FG 1 1/2X8|46107</v>
      </c>
    </row>
    <row r="772" ht="13.5" customHeight="1" spans="1:12">
      <c r="A772" s="17">
        <v>46107.3618055556</v>
      </c>
      <c r="B772" s="6" t="s">
        <v>4876</v>
      </c>
      <c r="C772" s="6" t="s">
        <v>5398</v>
      </c>
      <c r="D772" s="6" t="s">
        <v>4894</v>
      </c>
      <c r="E772" s="6" t="s">
        <v>26</v>
      </c>
      <c r="F772" s="6" t="s">
        <v>4882</v>
      </c>
      <c r="G772" s="6" t="s">
        <v>4207</v>
      </c>
      <c r="H772" s="6">
        <v>50</v>
      </c>
      <c r="I772" s="18">
        <v>12</v>
      </c>
      <c r="J772" s="19">
        <v>46108.4106327546</v>
      </c>
      <c r="K772" s="6" t="s">
        <v>4880</v>
      </c>
      <c r="L772" t="str">
        <f t="shared" si="12"/>
        <v>BUCHA 10 U-BS SC|46107</v>
      </c>
    </row>
    <row r="773" ht="13.5" customHeight="1" spans="1:12">
      <c r="A773" s="17">
        <v>46107.3618055556</v>
      </c>
      <c r="B773" s="6" t="s">
        <v>4876</v>
      </c>
      <c r="C773" s="6" t="s">
        <v>5398</v>
      </c>
      <c r="D773" s="6" t="s">
        <v>4894</v>
      </c>
      <c r="E773" s="6" t="s">
        <v>26</v>
      </c>
      <c r="F773" s="6" t="s">
        <v>4882</v>
      </c>
      <c r="G773" s="6" t="s">
        <v>4209</v>
      </c>
      <c r="H773" s="6">
        <v>50</v>
      </c>
      <c r="I773" s="18">
        <v>10</v>
      </c>
      <c r="J773" s="19">
        <v>46108.4106324074</v>
      </c>
      <c r="K773" s="6" t="s">
        <v>4880</v>
      </c>
      <c r="L773" t="str">
        <f t="shared" si="12"/>
        <v>BUCHA 08 U-BS|46107</v>
      </c>
    </row>
    <row r="774" ht="13.5" customHeight="1" spans="1:12">
      <c r="A774" s="17">
        <v>46107.5386226852</v>
      </c>
      <c r="B774" s="6" t="s">
        <v>4876</v>
      </c>
      <c r="C774" s="6" t="s">
        <v>5399</v>
      </c>
      <c r="D774" s="6" t="s">
        <v>4901</v>
      </c>
      <c r="E774" s="6" t="s">
        <v>26</v>
      </c>
      <c r="F774" s="6" t="s">
        <v>4882</v>
      </c>
      <c r="G774" s="6" t="s">
        <v>2904</v>
      </c>
      <c r="H774" s="6">
        <v>2</v>
      </c>
      <c r="I774" s="18">
        <v>840</v>
      </c>
      <c r="J774" s="19">
        <v>46107.5391475694</v>
      </c>
      <c r="K774" s="6" t="s">
        <v>4880</v>
      </c>
      <c r="L774" t="str">
        <f t="shared" si="12"/>
        <v>GÁS BOTIJÃO P 45|46108</v>
      </c>
    </row>
    <row r="775" ht="13.5" customHeight="1" spans="1:12">
      <c r="A775" s="17">
        <v>46107.5397222222</v>
      </c>
      <c r="B775" s="6" t="s">
        <v>4876</v>
      </c>
      <c r="C775" s="6" t="s">
        <v>5400</v>
      </c>
      <c r="D775" s="6" t="s">
        <v>5129</v>
      </c>
      <c r="E775" s="6" t="s">
        <v>26</v>
      </c>
      <c r="F775" s="6" t="s">
        <v>4882</v>
      </c>
      <c r="G775" s="6" t="s">
        <v>687</v>
      </c>
      <c r="H775" s="6">
        <v>1</v>
      </c>
      <c r="I775" s="18">
        <v>89</v>
      </c>
      <c r="J775" s="19">
        <v>46107.5404420139</v>
      </c>
      <c r="K775" s="6" t="s">
        <v>4880</v>
      </c>
      <c r="L775" t="str">
        <f t="shared" si="12"/>
        <v>FERRO DE SOLDA 100W 127V|46108</v>
      </c>
    </row>
    <row r="776" ht="13.5" customHeight="1" spans="1:12">
      <c r="A776" s="17">
        <v>46107.5602546296</v>
      </c>
      <c r="B776" s="6" t="s">
        <v>4876</v>
      </c>
      <c r="C776" s="6" t="s">
        <v>5401</v>
      </c>
      <c r="D776" s="6" t="s">
        <v>4954</v>
      </c>
      <c r="E776" s="6" t="s">
        <v>26</v>
      </c>
      <c r="F776" s="6" t="s">
        <v>4882</v>
      </c>
      <c r="G776" s="6" t="s">
        <v>196</v>
      </c>
      <c r="H776" s="6">
        <v>12</v>
      </c>
      <c r="I776" s="18">
        <v>552</v>
      </c>
      <c r="J776" s="19">
        <v>46107.5617275463</v>
      </c>
      <c r="K776" s="6" t="s">
        <v>4880</v>
      </c>
      <c r="L776" t="str">
        <f t="shared" si="12"/>
        <v>ANTI-FERRUGEM WD-40 300ML|46108</v>
      </c>
    </row>
    <row r="777" ht="13.5" customHeight="1" spans="1:12">
      <c r="A777" s="17">
        <v>46107.5602546296</v>
      </c>
      <c r="B777" s="6" t="s">
        <v>4876</v>
      </c>
      <c r="C777" s="6" t="s">
        <v>5401</v>
      </c>
      <c r="D777" s="6" t="s">
        <v>4954</v>
      </c>
      <c r="E777" s="6" t="s">
        <v>26</v>
      </c>
      <c r="F777" s="6" t="s">
        <v>4882</v>
      </c>
      <c r="G777" s="6" t="s">
        <v>317</v>
      </c>
      <c r="H777" s="6">
        <v>1</v>
      </c>
      <c r="I777" s="18">
        <v>396</v>
      </c>
      <c r="J777" s="19">
        <v>46107.5617270023</v>
      </c>
      <c r="K777" s="6" t="s">
        <v>4880</v>
      </c>
      <c r="L777" t="str">
        <f t="shared" si="12"/>
        <v>BOMBA D´ÀGUA VW DELIVERY 9.160 |46108</v>
      </c>
    </row>
    <row r="778" ht="13.5" customHeight="1" spans="1:12">
      <c r="A778" s="17">
        <v>46108.4112731482</v>
      </c>
      <c r="B778" s="6" t="s">
        <v>4876</v>
      </c>
      <c r="C778" s="6" t="s">
        <v>5402</v>
      </c>
      <c r="D778" s="6" t="s">
        <v>5003</v>
      </c>
      <c r="E778" s="6" t="s">
        <v>26</v>
      </c>
      <c r="F778" s="6" t="s">
        <v>4882</v>
      </c>
      <c r="G778" s="6" t="s">
        <v>413</v>
      </c>
      <c r="H778" s="6">
        <v>50</v>
      </c>
      <c r="I778" s="18">
        <v>349.5</v>
      </c>
      <c r="J778" s="19">
        <v>46108.4120367708</v>
      </c>
      <c r="K778" s="6" t="s">
        <v>4880</v>
      </c>
      <c r="L778" t="str">
        <f t="shared" si="12"/>
        <v>GASOLINA COMUM 01|46108</v>
      </c>
    </row>
    <row r="779" ht="13.5" customHeight="1" spans="1:12">
      <c r="A779" s="17">
        <v>46108.5263888889</v>
      </c>
      <c r="B779" s="6" t="s">
        <v>4876</v>
      </c>
      <c r="C779" s="6" t="s">
        <v>5403</v>
      </c>
      <c r="D779" s="6" t="s">
        <v>5404</v>
      </c>
      <c r="E779" s="6" t="s">
        <v>26</v>
      </c>
      <c r="F779" s="6" t="s">
        <v>4882</v>
      </c>
      <c r="G779" s="6" t="s">
        <v>658</v>
      </c>
      <c r="H779" s="6">
        <v>2</v>
      </c>
      <c r="I779" s="18">
        <v>1282.34</v>
      </c>
      <c r="J779" s="19">
        <v>46111.5284066782</v>
      </c>
      <c r="K779" s="6" t="s">
        <v>4880</v>
      </c>
      <c r="L779" t="str">
        <f t="shared" si="12"/>
        <v>CELULAR SANSUNG GALAXY A07 128GB|46109</v>
      </c>
    </row>
    <row r="780" ht="13.5" customHeight="1" spans="1:12">
      <c r="A780" s="17">
        <v>46108.5423611111</v>
      </c>
      <c r="B780" s="6" t="s">
        <v>4876</v>
      </c>
      <c r="C780" s="6" t="s">
        <v>5405</v>
      </c>
      <c r="D780" s="6" t="s">
        <v>5061</v>
      </c>
      <c r="E780" s="6" t="s">
        <v>38</v>
      </c>
      <c r="F780" s="6" t="s">
        <v>4879</v>
      </c>
      <c r="G780" s="6" t="s">
        <v>2676</v>
      </c>
      <c r="H780" s="6">
        <v>2</v>
      </c>
      <c r="I780" s="18">
        <v>851.18</v>
      </c>
      <c r="J780" s="19">
        <v>46120.5474229514</v>
      </c>
      <c r="K780" s="6" t="s">
        <v>4880</v>
      </c>
      <c r="L780" t="str">
        <f t="shared" si="12"/>
        <v>LAV PASTA UMECTANTE 20KG START|46109</v>
      </c>
    </row>
    <row r="781" ht="13.5" customHeight="1" spans="1:12">
      <c r="A781" s="17">
        <v>46108.5423611111</v>
      </c>
      <c r="B781" s="6" t="s">
        <v>4876</v>
      </c>
      <c r="C781" s="6" t="s">
        <v>5405</v>
      </c>
      <c r="D781" s="6" t="s">
        <v>5061</v>
      </c>
      <c r="E781" s="6" t="s">
        <v>38</v>
      </c>
      <c r="F781" s="6" t="s">
        <v>4879</v>
      </c>
      <c r="G781" s="6" t="s">
        <v>2677</v>
      </c>
      <c r="H781" s="6">
        <v>2</v>
      </c>
      <c r="I781" s="18">
        <v>1091.46</v>
      </c>
      <c r="J781" s="19">
        <v>46120.5474226042</v>
      </c>
      <c r="K781" s="6" t="s">
        <v>4880</v>
      </c>
      <c r="L781" t="str">
        <f t="shared" si="12"/>
        <v>LAV DETERGENTE EM PO 20KG BALDE|46109</v>
      </c>
    </row>
    <row r="782" ht="13.5" customHeight="1" spans="1:12">
      <c r="A782" s="17">
        <v>46108.5423611111</v>
      </c>
      <c r="B782" s="6" t="s">
        <v>4876</v>
      </c>
      <c r="C782" s="6" t="s">
        <v>5405</v>
      </c>
      <c r="D782" s="6" t="s">
        <v>5061</v>
      </c>
      <c r="E782" s="6" t="s">
        <v>38</v>
      </c>
      <c r="F782" s="6" t="s">
        <v>4879</v>
      </c>
      <c r="G782" s="6" t="s">
        <v>2679</v>
      </c>
      <c r="H782" s="6">
        <v>2</v>
      </c>
      <c r="I782" s="18">
        <v>1060</v>
      </c>
      <c r="J782" s="19">
        <v>46120.5474215278</v>
      </c>
      <c r="K782" s="6" t="s">
        <v>4880</v>
      </c>
      <c r="L782" t="str">
        <f t="shared" si="12"/>
        <v>LAV ALVEJANTE CLORADO EM PO 20KG BALDE|46109</v>
      </c>
    </row>
    <row r="783" ht="13.5" customHeight="1" spans="1:12">
      <c r="A783" s="17">
        <v>46108.5424074074</v>
      </c>
      <c r="B783" s="6" t="s">
        <v>4876</v>
      </c>
      <c r="C783" s="6" t="s">
        <v>5406</v>
      </c>
      <c r="D783" s="6" t="s">
        <v>4919</v>
      </c>
      <c r="E783" s="6" t="s">
        <v>26</v>
      </c>
      <c r="F783" s="6" t="s">
        <v>4882</v>
      </c>
      <c r="G783" s="6" t="s">
        <v>2219</v>
      </c>
      <c r="H783" s="6">
        <v>4</v>
      </c>
      <c r="I783" s="18">
        <v>20.8</v>
      </c>
      <c r="J783" s="19">
        <v>46108.5492030903</v>
      </c>
      <c r="K783" s="6" t="s">
        <v>4880</v>
      </c>
      <c r="L783" t="str">
        <f t="shared" si="12"/>
        <v>PANO PEGA PO|46109</v>
      </c>
    </row>
    <row r="784" ht="13.5" customHeight="1" spans="1:12">
      <c r="A784" s="17">
        <v>46108.5424074074</v>
      </c>
      <c r="B784" s="6" t="s">
        <v>4876</v>
      </c>
      <c r="C784" s="6" t="s">
        <v>5406</v>
      </c>
      <c r="D784" s="6" t="s">
        <v>4919</v>
      </c>
      <c r="E784" s="6" t="s">
        <v>26</v>
      </c>
      <c r="F784" s="6" t="s">
        <v>4882</v>
      </c>
      <c r="G784" s="6" t="s">
        <v>3435</v>
      </c>
      <c r="H784" s="6">
        <v>135</v>
      </c>
      <c r="I784" s="18">
        <v>814.05</v>
      </c>
      <c r="J784" s="19">
        <v>46108.5492026968</v>
      </c>
      <c r="K784" s="6" t="s">
        <v>4880</v>
      </c>
      <c r="L784" t="str">
        <f t="shared" si="12"/>
        <v>DISCO HOOKIT 400|46109</v>
      </c>
    </row>
    <row r="785" ht="13.5" customHeight="1" spans="1:12">
      <c r="A785" s="17">
        <v>46108.5424074074</v>
      </c>
      <c r="B785" s="6" t="s">
        <v>4876</v>
      </c>
      <c r="C785" s="6" t="s">
        <v>5406</v>
      </c>
      <c r="D785" s="6" t="s">
        <v>4919</v>
      </c>
      <c r="E785" s="6" t="s">
        <v>26</v>
      </c>
      <c r="F785" s="6" t="s">
        <v>4882</v>
      </c>
      <c r="G785" s="6" t="s">
        <v>3437</v>
      </c>
      <c r="H785" s="6">
        <v>90</v>
      </c>
      <c r="I785" s="18">
        <v>817.2</v>
      </c>
      <c r="J785" s="19">
        <v>46108.5492021644</v>
      </c>
      <c r="K785" s="6" t="s">
        <v>4880</v>
      </c>
      <c r="L785" t="str">
        <f t="shared" si="12"/>
        <v>DISCO HOOKIT 1200|46109</v>
      </c>
    </row>
    <row r="786" ht="13.5" customHeight="1" spans="1:12">
      <c r="A786" s="17">
        <v>46108.549525463</v>
      </c>
      <c r="B786" s="6" t="s">
        <v>4876</v>
      </c>
      <c r="C786" s="6" t="s">
        <v>5407</v>
      </c>
      <c r="D786" s="6" t="s">
        <v>5063</v>
      </c>
      <c r="E786" s="6" t="s">
        <v>26</v>
      </c>
      <c r="F786" s="6" t="s">
        <v>4882</v>
      </c>
      <c r="G786" s="6" t="s">
        <v>3474</v>
      </c>
      <c r="H786" s="6">
        <v>2</v>
      </c>
      <c r="I786" s="18">
        <v>177.72</v>
      </c>
      <c r="J786" s="19">
        <v>46108.5504076042</v>
      </c>
      <c r="K786" s="6" t="s">
        <v>4880</v>
      </c>
      <c r="L786" t="str">
        <f t="shared" si="12"/>
        <v>DETERFRESH C 5L|46109</v>
      </c>
    </row>
    <row r="787" ht="13.5" customHeight="1" spans="1:12">
      <c r="A787" s="17">
        <v>46108.6208333333</v>
      </c>
      <c r="B787" s="6" t="s">
        <v>4876</v>
      </c>
      <c r="C787" s="6" t="s">
        <v>5408</v>
      </c>
      <c r="D787" s="6" t="s">
        <v>5409</v>
      </c>
      <c r="E787" s="6" t="s">
        <v>26</v>
      </c>
      <c r="F787" s="6" t="s">
        <v>4882</v>
      </c>
      <c r="G787" s="6" t="s">
        <v>33</v>
      </c>
      <c r="H787" s="6">
        <v>2</v>
      </c>
      <c r="I787" s="18">
        <v>707.8</v>
      </c>
      <c r="J787" s="19">
        <v>46111.6239558218</v>
      </c>
      <c r="K787" s="6" t="s">
        <v>4880</v>
      </c>
      <c r="L787" t="str">
        <f t="shared" si="12"/>
        <v>OLEO 175PZ DANFOS 160PZ|46109</v>
      </c>
    </row>
    <row r="788" ht="13.5" customHeight="1" spans="1:12">
      <c r="A788" s="17">
        <v>46108.6638888889</v>
      </c>
      <c r="B788" s="6" t="s">
        <v>4876</v>
      </c>
      <c r="C788" s="6" t="s">
        <v>5410</v>
      </c>
      <c r="D788" s="6" t="s">
        <v>5411</v>
      </c>
      <c r="E788" s="6" t="s">
        <v>35</v>
      </c>
      <c r="F788" s="6" t="s">
        <v>4879</v>
      </c>
      <c r="G788" s="6" t="s">
        <v>393</v>
      </c>
      <c r="H788" s="6">
        <v>200</v>
      </c>
      <c r="I788" s="18">
        <v>3534</v>
      </c>
      <c r="J788" s="19">
        <v>46111.6646358796</v>
      </c>
      <c r="K788" s="6" t="s">
        <v>4880</v>
      </c>
      <c r="L788" t="str">
        <f t="shared" si="12"/>
        <v>OLEO M-DELVAC MODERN 15W40 SD V3 MARCA M-DELVAC|46109</v>
      </c>
    </row>
    <row r="789" ht="13.5" customHeight="1" spans="1:12">
      <c r="A789" s="17">
        <v>46111.3541666667</v>
      </c>
      <c r="B789" s="6" t="s">
        <v>4876</v>
      </c>
      <c r="C789" s="6" t="s">
        <v>5412</v>
      </c>
      <c r="D789" s="6" t="s">
        <v>5118</v>
      </c>
      <c r="E789" s="6" t="s">
        <v>26</v>
      </c>
      <c r="F789" s="6" t="s">
        <v>4882</v>
      </c>
      <c r="G789" s="6" t="s">
        <v>2559</v>
      </c>
      <c r="H789" s="6">
        <v>1</v>
      </c>
      <c r="I789" s="18">
        <v>97.5</v>
      </c>
      <c r="J789" s="19">
        <v>46112.3873468403</v>
      </c>
      <c r="K789" s="6" t="s">
        <v>4880</v>
      </c>
      <c r="L789" t="str">
        <f t="shared" si="12"/>
        <v>MANCHÃO/REMENDO RAC14 FRIO|46111</v>
      </c>
    </row>
    <row r="790" ht="13.5" customHeight="1" spans="1:12">
      <c r="A790" s="17">
        <v>46111.3708333333</v>
      </c>
      <c r="B790" s="6" t="s">
        <v>4876</v>
      </c>
      <c r="C790" s="6" t="s">
        <v>5413</v>
      </c>
      <c r="D790" s="6" t="s">
        <v>5227</v>
      </c>
      <c r="E790" s="6" t="s">
        <v>26</v>
      </c>
      <c r="F790" s="6" t="s">
        <v>4882</v>
      </c>
      <c r="G790" s="6" t="s">
        <v>3019</v>
      </c>
      <c r="H790" s="6">
        <v>1</v>
      </c>
      <c r="I790" s="18">
        <v>612.87</v>
      </c>
      <c r="J790" s="19">
        <v>46113.3744295949</v>
      </c>
      <c r="K790" s="6" t="s">
        <v>4880</v>
      </c>
      <c r="L790" t="str">
        <f t="shared" si="12"/>
        <v>FOGÃO ESMALTEC IDEAL SUPER 4B F4IAP BIVOLT PRETO|46111</v>
      </c>
    </row>
    <row r="791" ht="13.5" customHeight="1" spans="1:12">
      <c r="A791" s="17">
        <v>46111.3875</v>
      </c>
      <c r="B791" s="6" t="s">
        <v>4876</v>
      </c>
      <c r="C791" s="6" t="s">
        <v>5414</v>
      </c>
      <c r="D791" s="6" t="s">
        <v>4894</v>
      </c>
      <c r="E791" s="6" t="s">
        <v>26</v>
      </c>
      <c r="F791" s="6" t="s">
        <v>4882</v>
      </c>
      <c r="G791" s="6" t="s">
        <v>2162</v>
      </c>
      <c r="H791" s="6">
        <v>100</v>
      </c>
      <c r="I791" s="18">
        <v>28</v>
      </c>
      <c r="J791" s="19">
        <v>46112.3913074884</v>
      </c>
      <c r="K791" s="6" t="s">
        <v>4880</v>
      </c>
      <c r="L791" t="str">
        <f t="shared" si="12"/>
        <v>PARAFUSO AUTOBROCANTE SEXT 12X7/8|46111</v>
      </c>
    </row>
    <row r="792" ht="13.5" customHeight="1" spans="1:12">
      <c r="A792" s="17">
        <v>46111.3875</v>
      </c>
      <c r="B792" s="6" t="s">
        <v>4876</v>
      </c>
      <c r="C792" s="6" t="s">
        <v>5414</v>
      </c>
      <c r="D792" s="6" t="s">
        <v>4894</v>
      </c>
      <c r="E792" s="6" t="s">
        <v>26</v>
      </c>
      <c r="F792" s="6" t="s">
        <v>4882</v>
      </c>
      <c r="G792" s="6" t="s">
        <v>2163</v>
      </c>
      <c r="H792" s="6">
        <v>1</v>
      </c>
      <c r="I792" s="18">
        <v>43</v>
      </c>
      <c r="J792" s="19">
        <v>46112.3913071412</v>
      </c>
      <c r="K792" s="6" t="s">
        <v>4880</v>
      </c>
      <c r="L792" t="str">
        <f t="shared" si="12"/>
        <v>PARAFUSO AUTOBROCANTE SEXT 12X1 1/2|46111</v>
      </c>
    </row>
    <row r="793" ht="13.5" customHeight="1" spans="1:12">
      <c r="A793" s="17">
        <v>46111.3875</v>
      </c>
      <c r="B793" s="6" t="s">
        <v>4876</v>
      </c>
      <c r="C793" s="6" t="s">
        <v>5414</v>
      </c>
      <c r="D793" s="6" t="s">
        <v>4894</v>
      </c>
      <c r="E793" s="6" t="s">
        <v>26</v>
      </c>
      <c r="F793" s="6" t="s">
        <v>4882</v>
      </c>
      <c r="G793" s="6" t="s">
        <v>2169</v>
      </c>
      <c r="H793" s="6">
        <v>1</v>
      </c>
      <c r="I793" s="18">
        <v>41</v>
      </c>
      <c r="J793" s="19">
        <v>46112.391306794</v>
      </c>
      <c r="K793" s="6" t="s">
        <v>4880</v>
      </c>
      <c r="L793" t="str">
        <f t="shared" si="12"/>
        <v>PARAFUSO AUTO BROCANTE 12X1 ZB 100 PÇS|46111</v>
      </c>
    </row>
    <row r="794" ht="13.5" customHeight="1" spans="1:12">
      <c r="A794" s="17">
        <v>46111.3875</v>
      </c>
      <c r="B794" s="6" t="s">
        <v>4876</v>
      </c>
      <c r="C794" s="6" t="s">
        <v>5414</v>
      </c>
      <c r="D794" s="6" t="s">
        <v>4894</v>
      </c>
      <c r="E794" s="6" t="s">
        <v>26</v>
      </c>
      <c r="F794" s="6" t="s">
        <v>4882</v>
      </c>
      <c r="G794" s="6" t="s">
        <v>4415</v>
      </c>
      <c r="H794" s="6">
        <v>3</v>
      </c>
      <c r="I794" s="18">
        <v>30.9</v>
      </c>
      <c r="J794" s="19">
        <v>46112.3913060532</v>
      </c>
      <c r="K794" s="6" t="s">
        <v>4880</v>
      </c>
      <c r="L794" t="str">
        <f t="shared" si="12"/>
        <v>BENJAMIM MG 03 SAIDAS|46111</v>
      </c>
    </row>
    <row r="795" ht="13.5" customHeight="1" spans="1:12">
      <c r="A795" s="17">
        <v>46111.3875</v>
      </c>
      <c r="B795" s="6" t="s">
        <v>4876</v>
      </c>
      <c r="C795" s="6" t="s">
        <v>5414</v>
      </c>
      <c r="D795" s="6" t="s">
        <v>4894</v>
      </c>
      <c r="E795" s="6" t="s">
        <v>26</v>
      </c>
      <c r="F795" s="6" t="s">
        <v>4882</v>
      </c>
      <c r="G795" s="6" t="s">
        <v>4691</v>
      </c>
      <c r="H795" s="6">
        <v>5</v>
      </c>
      <c r="I795" s="18">
        <v>35</v>
      </c>
      <c r="J795" s="19">
        <v>46112.3913049769</v>
      </c>
      <c r="K795" s="6" t="s">
        <v>4880</v>
      </c>
      <c r="L795" t="str">
        <f t="shared" si="12"/>
        <v>ADAPTADOR BOB ESPONJA|46111</v>
      </c>
    </row>
    <row r="796" ht="13.5" customHeight="1" spans="1:12">
      <c r="A796" s="17">
        <v>46111.7941435185</v>
      </c>
      <c r="B796" s="6" t="s">
        <v>4876</v>
      </c>
      <c r="C796" s="6" t="s">
        <v>5415</v>
      </c>
      <c r="D796" s="6" t="s">
        <v>5416</v>
      </c>
      <c r="E796" s="6" t="s">
        <v>35</v>
      </c>
      <c r="F796" s="6" t="s">
        <v>4879</v>
      </c>
      <c r="G796" s="6" t="s">
        <v>919</v>
      </c>
      <c r="H796" s="6">
        <v>2</v>
      </c>
      <c r="I796" s="18">
        <v>1798</v>
      </c>
      <c r="J796" s="19">
        <v>46111.7956361458</v>
      </c>
      <c r="K796" s="6" t="s">
        <v>4880</v>
      </c>
      <c r="L796" t="str">
        <f t="shared" si="12"/>
        <v>ÓLEO SAE 15W 40 20L|46112</v>
      </c>
    </row>
    <row r="797" ht="13.5" customHeight="1" spans="1:12">
      <c r="A797" s="17">
        <v>46111.796087963</v>
      </c>
      <c r="B797" s="6" t="s">
        <v>4876</v>
      </c>
      <c r="C797" s="6" t="s">
        <v>5417</v>
      </c>
      <c r="D797" s="6" t="s">
        <v>5132</v>
      </c>
      <c r="E797" s="6" t="s">
        <v>26</v>
      </c>
      <c r="F797" s="6" t="s">
        <v>4882</v>
      </c>
      <c r="G797" s="6" t="s">
        <v>202</v>
      </c>
      <c r="H797" s="6">
        <v>3</v>
      </c>
      <c r="I797" s="18">
        <v>990</v>
      </c>
      <c r="J797" s="19">
        <v>46111.7975008102</v>
      </c>
      <c r="K797" s="6" t="s">
        <v>4880</v>
      </c>
      <c r="L797" t="str">
        <f t="shared" si="12"/>
        <v>ELETRO VENT UNIV 10P 24V SOPRANTE 750018|46112</v>
      </c>
    </row>
    <row r="798" ht="13.5" customHeight="1" spans="1:12">
      <c r="A798" s="17">
        <v>46111.8004398148</v>
      </c>
      <c r="B798" s="6" t="s">
        <v>4876</v>
      </c>
      <c r="C798" s="6" t="s">
        <v>5418</v>
      </c>
      <c r="D798" s="6" t="s">
        <v>5132</v>
      </c>
      <c r="E798" s="6" t="s">
        <v>26</v>
      </c>
      <c r="F798" s="6" t="s">
        <v>4882</v>
      </c>
      <c r="G798" s="6" t="s">
        <v>202</v>
      </c>
      <c r="H798" s="6">
        <v>3</v>
      </c>
      <c r="I798" s="18">
        <v>990</v>
      </c>
      <c r="J798" s="19">
        <v>46111.801490706</v>
      </c>
      <c r="K798" s="6" t="s">
        <v>4880</v>
      </c>
      <c r="L798" t="str">
        <f t="shared" si="12"/>
        <v>ELETRO VENT UNIV 10P 24V SOPRANTE 750018|46112</v>
      </c>
    </row>
    <row r="799" ht="13.5" customHeight="1" spans="1:12">
      <c r="A799" s="17">
        <v>46111.8004398148</v>
      </c>
      <c r="B799" s="6" t="s">
        <v>4876</v>
      </c>
      <c r="C799" s="6" t="s">
        <v>5418</v>
      </c>
      <c r="D799" s="6" t="s">
        <v>5132</v>
      </c>
      <c r="E799" s="6" t="s">
        <v>26</v>
      </c>
      <c r="F799" s="6" t="s">
        <v>4882</v>
      </c>
      <c r="G799" s="6" t="s">
        <v>201</v>
      </c>
      <c r="H799" s="6">
        <v>1</v>
      </c>
      <c r="I799" s="18">
        <v>160</v>
      </c>
      <c r="J799" s="19">
        <v>46111.8014903125</v>
      </c>
      <c r="K799" s="6" t="s">
        <v>4880</v>
      </c>
      <c r="L799" t="str">
        <f t="shared" si="12"/>
        <v>FILTRO DML 164 DANFOS |46112</v>
      </c>
    </row>
    <row r="800" ht="13.5" customHeight="1" spans="1:12">
      <c r="A800" s="17">
        <v>46112.3472222222</v>
      </c>
      <c r="B800" s="6" t="s">
        <v>4876</v>
      </c>
      <c r="C800" s="6" t="s">
        <v>5419</v>
      </c>
      <c r="D800" s="6" t="s">
        <v>5018</v>
      </c>
      <c r="E800" s="6" t="s">
        <v>26</v>
      </c>
      <c r="F800" s="6" t="s">
        <v>4882</v>
      </c>
      <c r="G800" s="6" t="s">
        <v>3246</v>
      </c>
      <c r="H800" s="6">
        <v>1</v>
      </c>
      <c r="I800" s="18">
        <v>15</v>
      </c>
      <c r="J800" s="19">
        <v>46113.3649554745</v>
      </c>
      <c r="K800" s="6" t="s">
        <v>4880</v>
      </c>
      <c r="L800" t="str">
        <f t="shared" si="12"/>
        <v>ESPIGÃO C/CANAL MANG 1/2 X ROSCA MACHO 1/2|46112</v>
      </c>
    </row>
    <row r="801" ht="13.5" customHeight="1" spans="1:12">
      <c r="A801" s="17">
        <v>46112.3555555556</v>
      </c>
      <c r="B801" s="6" t="s">
        <v>4876</v>
      </c>
      <c r="C801" s="6" t="s">
        <v>5420</v>
      </c>
      <c r="D801" s="6" t="s">
        <v>4979</v>
      </c>
      <c r="E801" s="6" t="s">
        <v>35</v>
      </c>
      <c r="F801" s="6" t="s">
        <v>4879</v>
      </c>
      <c r="G801" s="6" t="s">
        <v>338</v>
      </c>
      <c r="H801" s="6">
        <v>1</v>
      </c>
      <c r="I801" s="18">
        <v>180</v>
      </c>
      <c r="J801" s="19">
        <v>46118.3584197107</v>
      </c>
      <c r="K801" s="6" t="s">
        <v>4880</v>
      </c>
      <c r="L801" t="str">
        <f t="shared" si="12"/>
        <v>FRISO DEPROTEÇAO A91069001009K83|46112</v>
      </c>
    </row>
    <row r="802" ht="13.5" customHeight="1" spans="1:12">
      <c r="A802" s="17">
        <v>46112.3555555556</v>
      </c>
      <c r="B802" s="6" t="s">
        <v>4876</v>
      </c>
      <c r="C802" s="6" t="s">
        <v>5420</v>
      </c>
      <c r="D802" s="6" t="s">
        <v>4979</v>
      </c>
      <c r="E802" s="6" t="s">
        <v>35</v>
      </c>
      <c r="F802" s="6" t="s">
        <v>4879</v>
      </c>
      <c r="G802" s="6" t="s">
        <v>342</v>
      </c>
      <c r="H802" s="6">
        <v>1</v>
      </c>
      <c r="I802" s="18">
        <v>180</v>
      </c>
      <c r="J802" s="19">
        <v>46118.3584195602</v>
      </c>
      <c r="K802" s="6" t="s">
        <v>4880</v>
      </c>
      <c r="L802" t="str">
        <f t="shared" si="12"/>
        <v>FRISO DE PROTEÇAO A9106900000 9K83|46112</v>
      </c>
    </row>
    <row r="803" ht="13.5" customHeight="1" spans="1:12">
      <c r="A803" s="17">
        <v>46112.3590277778</v>
      </c>
      <c r="B803" s="6" t="s">
        <v>4876</v>
      </c>
      <c r="C803" s="6" t="s">
        <v>5421</v>
      </c>
      <c r="D803" s="6" t="s">
        <v>4979</v>
      </c>
      <c r="E803" s="6" t="s">
        <v>35</v>
      </c>
      <c r="F803" s="6" t="s">
        <v>4879</v>
      </c>
      <c r="G803" s="6" t="s">
        <v>1026</v>
      </c>
      <c r="H803" s="6">
        <v>1</v>
      </c>
      <c r="I803" s="18">
        <v>4800</v>
      </c>
      <c r="J803" s="19">
        <v>46118.3748544329</v>
      </c>
      <c r="K803" s="6" t="s">
        <v>4880</v>
      </c>
      <c r="L803" t="str">
        <f t="shared" si="12"/>
        <v>VALVULA A 6110780149|46112</v>
      </c>
    </row>
    <row r="804" ht="13.5" customHeight="1" spans="1:12">
      <c r="A804" s="17">
        <v>46112.8728935185</v>
      </c>
      <c r="B804" s="6" t="s">
        <v>4876</v>
      </c>
      <c r="C804" s="6" t="s">
        <v>5422</v>
      </c>
      <c r="D804" s="6" t="s">
        <v>5180</v>
      </c>
      <c r="E804" s="6" t="s">
        <v>26</v>
      </c>
      <c r="F804" s="6" t="s">
        <v>4882</v>
      </c>
      <c r="G804" s="6" t="s">
        <v>1282</v>
      </c>
      <c r="H804" s="6">
        <v>2</v>
      </c>
      <c r="I804" s="18">
        <v>118</v>
      </c>
      <c r="J804" s="19">
        <v>46112.8773277778</v>
      </c>
      <c r="K804" s="6" t="s">
        <v>4880</v>
      </c>
      <c r="L804" t="str">
        <f t="shared" si="12"/>
        <v>tampa de plastico do botao|46113</v>
      </c>
    </row>
    <row r="805" ht="13.5" customHeight="1" spans="1:12">
      <c r="A805" s="17">
        <v>46112.8795717593</v>
      </c>
      <c r="B805" s="6" t="s">
        <v>4876</v>
      </c>
      <c r="C805" s="6" t="s">
        <v>5423</v>
      </c>
      <c r="D805" s="6" t="s">
        <v>4884</v>
      </c>
      <c r="E805" s="6" t="s">
        <v>26</v>
      </c>
      <c r="F805" s="6" t="s">
        <v>4882</v>
      </c>
      <c r="G805" s="6" t="s">
        <v>1778</v>
      </c>
      <c r="H805" s="6">
        <v>2</v>
      </c>
      <c r="I805" s="18">
        <v>176.8</v>
      </c>
      <c r="J805" s="19">
        <v>46112.8955387384</v>
      </c>
      <c r="K805" s="6" t="s">
        <v>4880</v>
      </c>
      <c r="L805" t="str">
        <f t="shared" si="12"/>
        <v>REFIL GÁS P/MAÇARICO 400G ANDFER|46113</v>
      </c>
    </row>
    <row r="806" ht="13.5" customHeight="1" spans="1:12">
      <c r="A806" s="17">
        <v>46112.8795717593</v>
      </c>
      <c r="B806" s="6" t="s">
        <v>4876</v>
      </c>
      <c r="C806" s="6" t="s">
        <v>5423</v>
      </c>
      <c r="D806" s="6" t="s">
        <v>4884</v>
      </c>
      <c r="E806" s="6" t="s">
        <v>26</v>
      </c>
      <c r="F806" s="6" t="s">
        <v>4882</v>
      </c>
      <c r="G806" s="6" t="s">
        <v>1220</v>
      </c>
      <c r="H806" s="6">
        <v>1</v>
      </c>
      <c r="I806" s="18">
        <v>8.35</v>
      </c>
      <c r="J806" s="19">
        <v>46112.8955383449</v>
      </c>
      <c r="K806" s="6" t="s">
        <v>4880</v>
      </c>
      <c r="L806" t="str">
        <f t="shared" si="12"/>
        <v>TERMINAL FEMEA 1,5 X 2,5 MM|46113</v>
      </c>
    </row>
    <row r="807" ht="13.5" customHeight="1" spans="1:12">
      <c r="A807" s="17">
        <v>46112.8795717593</v>
      </c>
      <c r="B807" s="6" t="s">
        <v>4876</v>
      </c>
      <c r="C807" s="6" t="s">
        <v>5423</v>
      </c>
      <c r="D807" s="6" t="s">
        <v>4884</v>
      </c>
      <c r="E807" s="6" t="s">
        <v>26</v>
      </c>
      <c r="F807" s="6" t="s">
        <v>4882</v>
      </c>
      <c r="G807" s="6" t="s">
        <v>1214</v>
      </c>
      <c r="H807" s="6">
        <v>1</v>
      </c>
      <c r="I807" s="18">
        <v>2.5</v>
      </c>
      <c r="J807" s="19">
        <v>46112.8955381945</v>
      </c>
      <c r="K807" s="6" t="s">
        <v>4880</v>
      </c>
      <c r="L807" t="str">
        <f t="shared" si="12"/>
        <v>TERMINAL ILHOS 0,75MM CZ C/10|46113</v>
      </c>
    </row>
    <row r="808" ht="13.5" customHeight="1" spans="1:12">
      <c r="A808" s="17">
        <v>46112.8795717593</v>
      </c>
      <c r="B808" s="6" t="s">
        <v>4876</v>
      </c>
      <c r="C808" s="6" t="s">
        <v>5423</v>
      </c>
      <c r="D808" s="6" t="s">
        <v>4884</v>
      </c>
      <c r="E808" s="6" t="s">
        <v>26</v>
      </c>
      <c r="F808" s="6" t="s">
        <v>4882</v>
      </c>
      <c r="G808" s="6" t="s">
        <v>1235</v>
      </c>
      <c r="H808" s="6">
        <v>1</v>
      </c>
      <c r="I808" s="18">
        <v>2.5</v>
      </c>
      <c r="J808" s="19">
        <v>46112.8955370718</v>
      </c>
      <c r="K808" s="6" t="s">
        <v>4880</v>
      </c>
      <c r="L808" t="str">
        <f t="shared" si="12"/>
        <v>TERMINAL 1878 ISOD MACHO 0,5 A 1,5MM|46113</v>
      </c>
    </row>
    <row r="809" ht="13.5" customHeight="1" spans="1:12">
      <c r="A809" s="17">
        <v>46112.8795717593</v>
      </c>
      <c r="B809" s="6" t="s">
        <v>4876</v>
      </c>
      <c r="C809" s="6" t="s">
        <v>5423</v>
      </c>
      <c r="D809" s="6" t="s">
        <v>4884</v>
      </c>
      <c r="E809" s="6" t="s">
        <v>26</v>
      </c>
      <c r="F809" s="6" t="s">
        <v>4882</v>
      </c>
      <c r="G809" s="6" t="s">
        <v>1996</v>
      </c>
      <c r="H809" s="6">
        <v>6</v>
      </c>
      <c r="I809" s="18">
        <v>64.98</v>
      </c>
      <c r="J809" s="19">
        <v>46112.8955367245</v>
      </c>
      <c r="K809" s="6" t="s">
        <v>4880</v>
      </c>
      <c r="L809" t="str">
        <f t="shared" si="12"/>
        <v>PLUG 3P MACHO 10A|46113</v>
      </c>
    </row>
    <row r="810" ht="13.5" customHeight="1" spans="1:12">
      <c r="A810" s="17">
        <v>46112.8795717593</v>
      </c>
      <c r="B810" s="6" t="s">
        <v>4876</v>
      </c>
      <c r="C810" s="6" t="s">
        <v>5423</v>
      </c>
      <c r="D810" s="6" t="s">
        <v>4884</v>
      </c>
      <c r="E810" s="6" t="s">
        <v>26</v>
      </c>
      <c r="F810" s="6" t="s">
        <v>4882</v>
      </c>
      <c r="G810" s="6" t="s">
        <v>4842</v>
      </c>
      <c r="H810" s="6">
        <v>3</v>
      </c>
      <c r="I810" s="18">
        <v>39</v>
      </c>
      <c r="J810" s="19">
        <v>46112.8955358449</v>
      </c>
      <c r="K810" s="6" t="s">
        <v>4880</v>
      </c>
      <c r="L810" t="str">
        <f t="shared" si="12"/>
        <v>1 TOMADA 2P+T 10A VERM S/PL|46113</v>
      </c>
    </row>
    <row r="811" ht="13.5" customHeight="1" spans="1:12">
      <c r="A811" s="17">
        <v>46113.5354976852</v>
      </c>
      <c r="B811" s="6" t="s">
        <v>4876</v>
      </c>
      <c r="C811" s="6" t="s">
        <v>5424</v>
      </c>
      <c r="D811" s="6" t="s">
        <v>4919</v>
      </c>
      <c r="E811" s="6" t="s">
        <v>26</v>
      </c>
      <c r="F811" s="6" t="s">
        <v>4882</v>
      </c>
      <c r="G811" s="6" t="s">
        <v>607</v>
      </c>
      <c r="H811" s="6">
        <v>6</v>
      </c>
      <c r="I811" s="18">
        <v>98.52</v>
      </c>
      <c r="J811" s="19">
        <v>46113.5363746528</v>
      </c>
      <c r="K811" s="6" t="s">
        <v>4880</v>
      </c>
      <c r="L811" t="str">
        <f t="shared" si="12"/>
        <v>FIBRA ABRASIVA (P/FERRUGEM)|46114</v>
      </c>
    </row>
    <row r="812" ht="13.5" customHeight="1" spans="1:12">
      <c r="A812" s="17">
        <v>46113.5366087963</v>
      </c>
      <c r="B812" s="6" t="s">
        <v>4876</v>
      </c>
      <c r="C812" s="6" t="s">
        <v>5425</v>
      </c>
      <c r="D812" s="6" t="s">
        <v>5127</v>
      </c>
      <c r="E812" s="6" t="s">
        <v>26</v>
      </c>
      <c r="F812" s="6" t="s">
        <v>4882</v>
      </c>
      <c r="G812" s="6" t="s">
        <v>1359</v>
      </c>
      <c r="H812" s="6">
        <v>1</v>
      </c>
      <c r="I812" s="18">
        <v>17.9</v>
      </c>
      <c r="J812" s="19">
        <v>46113.5382205208</v>
      </c>
      <c r="K812" s="6" t="s">
        <v>4880</v>
      </c>
      <c r="L812" t="str">
        <f t="shared" si="12"/>
        <v>SOQUETE SEXTAVADO 1/2 SATA 21MM|46114</v>
      </c>
    </row>
    <row r="813" ht="13.5" customHeight="1" spans="1:12">
      <c r="A813" s="17">
        <v>46113.5385185185</v>
      </c>
      <c r="B813" s="6" t="s">
        <v>4876</v>
      </c>
      <c r="C813" s="6" t="s">
        <v>5426</v>
      </c>
      <c r="D813" s="6" t="s">
        <v>4971</v>
      </c>
      <c r="E813" s="6" t="s">
        <v>26</v>
      </c>
      <c r="F813" s="6" t="s">
        <v>4882</v>
      </c>
      <c r="G813" s="6" t="s">
        <v>470</v>
      </c>
      <c r="H813" s="6">
        <v>10</v>
      </c>
      <c r="I813" s="18">
        <v>187.1</v>
      </c>
      <c r="J813" s="19">
        <v>46113.5406113426</v>
      </c>
      <c r="K813" s="6" t="s">
        <v>4880</v>
      </c>
      <c r="L813" t="str">
        <f t="shared" si="12"/>
        <v>FITA ISOLANTE 19x20M TIGRE|46114</v>
      </c>
    </row>
    <row r="814" ht="13.5" customHeight="1" spans="1:12">
      <c r="A814" s="17">
        <v>46113.5412615741</v>
      </c>
      <c r="B814" s="6" t="s">
        <v>4876</v>
      </c>
      <c r="C814" s="6" t="s">
        <v>5427</v>
      </c>
      <c r="D814" s="6" t="s">
        <v>4935</v>
      </c>
      <c r="E814" s="6" t="s">
        <v>26</v>
      </c>
      <c r="F814" s="6" t="s">
        <v>4882</v>
      </c>
      <c r="G814" s="6" t="s">
        <v>892</v>
      </c>
      <c r="H814" s="6">
        <v>1</v>
      </c>
      <c r="I814" s="18">
        <v>52.05</v>
      </c>
      <c r="J814" s="19">
        <v>46113.5427634607</v>
      </c>
      <c r="K814" s="6" t="s">
        <v>4880</v>
      </c>
      <c r="L814" t="str">
        <f t="shared" si="12"/>
        <v>BOTA DE PVC BRANCA N/44,45|46114</v>
      </c>
    </row>
    <row r="815" ht="13.5" customHeight="1" spans="1:12">
      <c r="A815" s="17">
        <v>46114.3520833333</v>
      </c>
      <c r="B815" s="6" t="s">
        <v>4876</v>
      </c>
      <c r="C815" s="6" t="s">
        <v>5428</v>
      </c>
      <c r="D815" s="6" t="s">
        <v>5161</v>
      </c>
      <c r="E815" s="6" t="s">
        <v>26</v>
      </c>
      <c r="F815" s="6" t="s">
        <v>4882</v>
      </c>
      <c r="G815" s="6" t="s">
        <v>289</v>
      </c>
      <c r="H815" s="6">
        <v>2</v>
      </c>
      <c r="I815" s="18">
        <v>1600</v>
      </c>
      <c r="J815" s="19">
        <v>46118.3537824884</v>
      </c>
      <c r="K815" s="6" t="s">
        <v>4880</v>
      </c>
      <c r="L815" t="str">
        <f t="shared" si="12"/>
        <v>BATERIA ZETTA Z 100E|46114</v>
      </c>
    </row>
    <row r="816" ht="13.5" customHeight="1" spans="1:12">
      <c r="A816" s="17">
        <v>46114.3534722222</v>
      </c>
      <c r="B816" s="6" t="s">
        <v>4876</v>
      </c>
      <c r="C816" s="6" t="s">
        <v>5429</v>
      </c>
      <c r="D816" s="6" t="s">
        <v>5132</v>
      </c>
      <c r="E816" s="6" t="s">
        <v>26</v>
      </c>
      <c r="F816" s="6" t="s">
        <v>4882</v>
      </c>
      <c r="G816" s="6" t="s">
        <v>330</v>
      </c>
      <c r="H816" s="6">
        <v>1</v>
      </c>
      <c r="I816" s="18">
        <v>650</v>
      </c>
      <c r="J816" s="19">
        <v>46118.3555901968</v>
      </c>
      <c r="K816" s="6" t="s">
        <v>4880</v>
      </c>
      <c r="L816" t="str">
        <f t="shared" si="12"/>
        <v>COND.CAMINHÃO VOLVO FH/NH 98|46114</v>
      </c>
    </row>
    <row r="817" ht="13.5" customHeight="1" spans="1:12">
      <c r="A817" s="17">
        <v>46114.5298611111</v>
      </c>
      <c r="B817" s="6" t="s">
        <v>4876</v>
      </c>
      <c r="C817" s="6" t="s">
        <v>5430</v>
      </c>
      <c r="D817" s="6" t="s">
        <v>5227</v>
      </c>
      <c r="E817" s="6" t="s">
        <v>26</v>
      </c>
      <c r="F817" s="6" t="s">
        <v>4882</v>
      </c>
      <c r="G817" s="6" t="s">
        <v>658</v>
      </c>
      <c r="H817" s="6">
        <v>2</v>
      </c>
      <c r="I817" s="18">
        <v>1398.6</v>
      </c>
      <c r="J817" s="19">
        <v>46119.5310643866</v>
      </c>
      <c r="K817" s="6" t="s">
        <v>4880</v>
      </c>
      <c r="L817" t="str">
        <f t="shared" si="12"/>
        <v>CELULAR SANSUNG GALAXY A07 128GB|46115</v>
      </c>
    </row>
    <row r="818" ht="13.5" customHeight="1" spans="1:12">
      <c r="A818" s="17">
        <v>46114.5604282407</v>
      </c>
      <c r="B818" s="6" t="s">
        <v>4876</v>
      </c>
      <c r="C818" s="6" t="s">
        <v>5431</v>
      </c>
      <c r="D818" s="6" t="s">
        <v>4971</v>
      </c>
      <c r="E818" s="6" t="s">
        <v>26</v>
      </c>
      <c r="F818" s="6" t="s">
        <v>4882</v>
      </c>
      <c r="G818" s="6" t="s">
        <v>1135</v>
      </c>
      <c r="H818" s="6">
        <v>2</v>
      </c>
      <c r="I818" s="18">
        <v>65.64</v>
      </c>
      <c r="J818" s="19">
        <v>46114.5629934375</v>
      </c>
      <c r="K818" s="6" t="s">
        <v>4880</v>
      </c>
      <c r="L818" t="str">
        <f t="shared" si="12"/>
        <v>TORNEIRA BOIA PRESSAO 1/4 |46115</v>
      </c>
    </row>
    <row r="819" ht="13.5" customHeight="1" spans="1:12">
      <c r="A819" s="17">
        <v>46114.6600578704</v>
      </c>
      <c r="B819" s="6" t="s">
        <v>4876</v>
      </c>
      <c r="C819" s="6" t="s">
        <v>5432</v>
      </c>
      <c r="D819" s="6" t="s">
        <v>5065</v>
      </c>
      <c r="E819" s="6" t="s">
        <v>26</v>
      </c>
      <c r="F819" s="6" t="s">
        <v>4882</v>
      </c>
      <c r="G819" s="6" t="s">
        <v>2353</v>
      </c>
      <c r="H819" s="6">
        <v>2</v>
      </c>
      <c r="I819" s="18">
        <v>120</v>
      </c>
      <c r="J819" s="19">
        <v>46114.6617951389</v>
      </c>
      <c r="K819" s="6" t="s">
        <v>4880</v>
      </c>
      <c r="L819" t="str">
        <f t="shared" si="12"/>
        <v>OLEO 2T |46115</v>
      </c>
    </row>
    <row r="820" ht="13.5" customHeight="1" spans="1:12">
      <c r="A820" s="17">
        <v>46114.6600578704</v>
      </c>
      <c r="B820" s="6" t="s">
        <v>4876</v>
      </c>
      <c r="C820" s="6" t="s">
        <v>5432</v>
      </c>
      <c r="D820" s="6" t="s">
        <v>5065</v>
      </c>
      <c r="E820" s="6" t="s">
        <v>26</v>
      </c>
      <c r="F820" s="6" t="s">
        <v>4882</v>
      </c>
      <c r="G820" s="6" t="s">
        <v>3614</v>
      </c>
      <c r="H820" s="6">
        <v>4</v>
      </c>
      <c r="I820" s="18">
        <v>88</v>
      </c>
      <c r="J820" s="19">
        <v>46114.661794213</v>
      </c>
      <c r="K820" s="6" t="s">
        <v>4880</v>
      </c>
      <c r="L820" t="str">
        <f t="shared" si="12"/>
        <v>COPO DE PROTECAO STIHL|46115</v>
      </c>
    </row>
    <row r="821" ht="13.5" customHeight="1" spans="1:12">
      <c r="A821" s="17">
        <v>46117.5256944444</v>
      </c>
      <c r="B821" s="6" t="s">
        <v>4876</v>
      </c>
      <c r="C821" s="6" t="s">
        <v>5433</v>
      </c>
      <c r="D821" s="6" t="s">
        <v>5434</v>
      </c>
      <c r="E821" s="6" t="s">
        <v>26</v>
      </c>
      <c r="F821" s="6" t="s">
        <v>4882</v>
      </c>
      <c r="G821" s="6" t="s">
        <v>4071</v>
      </c>
      <c r="H821" s="6">
        <v>1</v>
      </c>
      <c r="I821" s="18">
        <v>55.99</v>
      </c>
      <c r="J821" s="19">
        <v>46121.5296861921</v>
      </c>
      <c r="K821" s="6" t="s">
        <v>4880</v>
      </c>
      <c r="L821" t="str">
        <f t="shared" si="12"/>
        <v>CALOTA FERRO BRANCA CENTRO RODA KOMBI|46118</v>
      </c>
    </row>
    <row r="822" ht="13.5" customHeight="1" spans="1:12">
      <c r="A822" s="17">
        <v>46118.5770833333</v>
      </c>
      <c r="B822" s="6" t="s">
        <v>4876</v>
      </c>
      <c r="C822" s="6" t="s">
        <v>5435</v>
      </c>
      <c r="D822" s="6" t="s">
        <v>4979</v>
      </c>
      <c r="E822" s="6" t="s">
        <v>35</v>
      </c>
      <c r="F822" s="6" t="s">
        <v>4879</v>
      </c>
      <c r="G822" s="6" t="s">
        <v>350</v>
      </c>
      <c r="H822" s="6">
        <v>1</v>
      </c>
      <c r="I822" s="18">
        <v>440</v>
      </c>
      <c r="J822" s="19">
        <v>46120.5788585648</v>
      </c>
      <c r="K822" s="6" t="s">
        <v>4880</v>
      </c>
      <c r="L822" t="str">
        <f t="shared" si="12"/>
        <v>ENCANAMENTO ADITIVO ARLA 32 REYTORNO PLAST A 6954762501|46119</v>
      </c>
    </row>
    <row r="823" ht="13.5" customHeight="1" spans="1:12">
      <c r="A823" s="17">
        <v>46118.6266087963</v>
      </c>
      <c r="B823" s="6" t="s">
        <v>4876</v>
      </c>
      <c r="C823" s="6" t="s">
        <v>5436</v>
      </c>
      <c r="D823" s="6" t="s">
        <v>4954</v>
      </c>
      <c r="E823" s="6" t="s">
        <v>26</v>
      </c>
      <c r="F823" s="6" t="s">
        <v>4882</v>
      </c>
      <c r="G823" s="6" t="s">
        <v>159</v>
      </c>
      <c r="H823" s="6">
        <v>7</v>
      </c>
      <c r="I823" s="18">
        <v>224</v>
      </c>
      <c r="J823" s="19">
        <v>46118.6273771181</v>
      </c>
      <c r="K823" s="6" t="s">
        <v>4880</v>
      </c>
      <c r="L823" t="str">
        <f t="shared" si="12"/>
        <v>RELE AUXILIAR DNI 8215 UNIVERSAL|46119</v>
      </c>
    </row>
    <row r="824" ht="13.5" customHeight="1" spans="1:12">
      <c r="A824" s="17">
        <v>46118.627650463</v>
      </c>
      <c r="B824" s="6" t="s">
        <v>4876</v>
      </c>
      <c r="C824" s="6" t="s">
        <v>5437</v>
      </c>
      <c r="D824" s="6" t="s">
        <v>4971</v>
      </c>
      <c r="E824" s="6" t="s">
        <v>26</v>
      </c>
      <c r="F824" s="6" t="s">
        <v>4882</v>
      </c>
      <c r="G824" s="6" t="s">
        <v>463</v>
      </c>
      <c r="H824" s="6">
        <v>6</v>
      </c>
      <c r="I824" s="18">
        <v>1248.72</v>
      </c>
      <c r="J824" s="19">
        <v>46118.6285545139</v>
      </c>
      <c r="K824" s="6" t="s">
        <v>4880</v>
      </c>
      <c r="L824" t="str">
        <f t="shared" si="12"/>
        <v>TASCH REFLETOR LED TR 200W 6500K PRETO |46119</v>
      </c>
    </row>
    <row r="825" ht="13.5" customHeight="1" spans="1:12">
      <c r="A825" s="17">
        <v>46118.6288194444</v>
      </c>
      <c r="B825" s="6" t="s">
        <v>4876</v>
      </c>
      <c r="C825" s="6" t="s">
        <v>5438</v>
      </c>
      <c r="D825" s="6" t="s">
        <v>4905</v>
      </c>
      <c r="E825" s="6" t="s">
        <v>26</v>
      </c>
      <c r="F825" s="6" t="s">
        <v>4882</v>
      </c>
      <c r="G825" s="6" t="s">
        <v>581</v>
      </c>
      <c r="H825" s="6">
        <v>1</v>
      </c>
      <c r="I825" s="18">
        <v>89.93</v>
      </c>
      <c r="J825" s="19">
        <v>46118.6297079861</v>
      </c>
      <c r="K825" s="6" t="s">
        <v>4880</v>
      </c>
      <c r="L825" t="str">
        <f t="shared" si="12"/>
        <v>CHAPA U ENCAIXE 68X30X200|46119</v>
      </c>
    </row>
    <row r="826" ht="13.5" customHeight="1" spans="1:12">
      <c r="A826" s="17">
        <v>46118.7167708333</v>
      </c>
      <c r="B826" s="6" t="s">
        <v>4876</v>
      </c>
      <c r="C826" s="6" t="s">
        <v>5439</v>
      </c>
      <c r="D826" s="6" t="s">
        <v>110</v>
      </c>
      <c r="E826" s="6" t="s">
        <v>26</v>
      </c>
      <c r="F826" s="6" t="s">
        <v>4882</v>
      </c>
      <c r="G826" s="6" t="s">
        <v>354</v>
      </c>
      <c r="H826" s="6">
        <v>2</v>
      </c>
      <c r="I826" s="18">
        <v>2640</v>
      </c>
      <c r="J826" s="19">
        <v>46118.7341608796</v>
      </c>
      <c r="K826" s="6" t="s">
        <v>4880</v>
      </c>
      <c r="L826" t="str">
        <f t="shared" si="12"/>
        <v>FAROL PRINCIPAL (LE)VW 23B941033A|46119</v>
      </c>
    </row>
    <row r="827" ht="13.5" customHeight="1" spans="1:12">
      <c r="A827" s="17">
        <v>46118.7167708333</v>
      </c>
      <c r="B827" s="6" t="s">
        <v>4876</v>
      </c>
      <c r="C827" s="6" t="s">
        <v>5439</v>
      </c>
      <c r="D827" s="6" t="s">
        <v>110</v>
      </c>
      <c r="E827" s="6" t="s">
        <v>26</v>
      </c>
      <c r="F827" s="6" t="s">
        <v>4882</v>
      </c>
      <c r="G827" s="6" t="s">
        <v>353</v>
      </c>
      <c r="H827" s="6">
        <v>2</v>
      </c>
      <c r="I827" s="18">
        <v>2640</v>
      </c>
      <c r="J827" s="19">
        <v>46118.7341599884</v>
      </c>
      <c r="K827" s="6" t="s">
        <v>4880</v>
      </c>
      <c r="L827" t="str">
        <f t="shared" si="12"/>
        <v>FAROL PRINCIPAL (LD) VW 23B941034A|46119</v>
      </c>
    </row>
    <row r="828" ht="13.5" customHeight="1" spans="1:12">
      <c r="A828" s="17">
        <v>46118.7167708333</v>
      </c>
      <c r="B828" s="6" t="s">
        <v>4876</v>
      </c>
      <c r="C828" s="6" t="s">
        <v>5439</v>
      </c>
      <c r="D828" s="6" t="s">
        <v>110</v>
      </c>
      <c r="E828" s="6" t="s">
        <v>26</v>
      </c>
      <c r="F828" s="6" t="s">
        <v>4882</v>
      </c>
      <c r="G828" s="6" t="s">
        <v>358</v>
      </c>
      <c r="H828" s="6">
        <v>2</v>
      </c>
      <c r="I828" s="18">
        <v>795</v>
      </c>
      <c r="J828" s="19">
        <v>46118.734159456</v>
      </c>
      <c r="K828" s="6" t="s">
        <v>4880</v>
      </c>
      <c r="L828" t="str">
        <f t="shared" si="12"/>
        <v>FAROL ACCELO (LE)|46119</v>
      </c>
    </row>
    <row r="829" ht="13.5" customHeight="1" spans="1:12">
      <c r="A829" s="17">
        <v>46118.7167708333</v>
      </c>
      <c r="B829" s="6" t="s">
        <v>4876</v>
      </c>
      <c r="C829" s="6" t="s">
        <v>5439</v>
      </c>
      <c r="D829" s="6" t="s">
        <v>110</v>
      </c>
      <c r="E829" s="6" t="s">
        <v>26</v>
      </c>
      <c r="F829" s="6" t="s">
        <v>4882</v>
      </c>
      <c r="G829" s="6" t="s">
        <v>178</v>
      </c>
      <c r="H829" s="6">
        <v>2</v>
      </c>
      <c r="I829" s="18">
        <v>795</v>
      </c>
      <c r="J829" s="19">
        <v>46118.7341579861</v>
      </c>
      <c r="K829" s="6" t="s">
        <v>4880</v>
      </c>
      <c r="L829" t="str">
        <f t="shared" si="12"/>
        <v>FAROL ACCELO (LD)|46119</v>
      </c>
    </row>
    <row r="830" ht="13.5" customHeight="1" spans="1:12">
      <c r="A830" s="17">
        <v>46118.7167708333</v>
      </c>
      <c r="B830" s="6" t="s">
        <v>4876</v>
      </c>
      <c r="C830" s="6" t="s">
        <v>5439</v>
      </c>
      <c r="D830" s="6" t="s">
        <v>110</v>
      </c>
      <c r="E830" s="6" t="s">
        <v>26</v>
      </c>
      <c r="F830" s="6" t="s">
        <v>4882</v>
      </c>
      <c r="G830" s="6" t="s">
        <v>155</v>
      </c>
      <c r="H830" s="6">
        <v>10</v>
      </c>
      <c r="I830" s="18">
        <v>450</v>
      </c>
      <c r="J830" s="19">
        <v>46118.7341560185</v>
      </c>
      <c r="K830" s="6" t="s">
        <v>4880</v>
      </c>
      <c r="L830" t="str">
        <f t="shared" si="12"/>
        <v>PALHETA LIMPADOR (VW 11.180 DELIVERY) MARCA DYNA|46119</v>
      </c>
    </row>
    <row r="831" ht="13.5" customHeight="1" spans="1:12">
      <c r="A831" s="17">
        <v>46118.7167708333</v>
      </c>
      <c r="B831" s="6" t="s">
        <v>4876</v>
      </c>
      <c r="C831" s="6" t="s">
        <v>5439</v>
      </c>
      <c r="D831" s="6" t="s">
        <v>110</v>
      </c>
      <c r="E831" s="6" t="s">
        <v>26</v>
      </c>
      <c r="F831" s="6" t="s">
        <v>4882</v>
      </c>
      <c r="G831" s="6" t="s">
        <v>2713</v>
      </c>
      <c r="H831" s="6">
        <v>10</v>
      </c>
      <c r="I831" s="18">
        <v>80</v>
      </c>
      <c r="J831" s="19">
        <v>46118.7341550926</v>
      </c>
      <c r="K831" s="6" t="s">
        <v>4880</v>
      </c>
      <c r="L831" t="str">
        <f t="shared" si="12"/>
        <v>LAMPADA CAMARAO LED 12V/24V|46119</v>
      </c>
    </row>
    <row r="832" ht="13.5" customHeight="1" spans="1:12">
      <c r="A832" s="17">
        <v>46118.7167708333</v>
      </c>
      <c r="B832" s="6" t="s">
        <v>4876</v>
      </c>
      <c r="C832" s="6" t="s">
        <v>5439</v>
      </c>
      <c r="D832" s="6" t="s">
        <v>110</v>
      </c>
      <c r="E832" s="6" t="s">
        <v>26</v>
      </c>
      <c r="F832" s="6" t="s">
        <v>4882</v>
      </c>
      <c r="G832" s="6" t="s">
        <v>2720</v>
      </c>
      <c r="H832" s="6">
        <v>30</v>
      </c>
      <c r="I832" s="18">
        <v>114</v>
      </c>
      <c r="J832" s="19">
        <v>46118.7341542014</v>
      </c>
      <c r="K832" s="6" t="s">
        <v>4880</v>
      </c>
      <c r="L832" t="str">
        <f t="shared" si="12"/>
        <v>LAMPADA 67 - 24V |46119</v>
      </c>
    </row>
    <row r="833" ht="13.5" customHeight="1" spans="1:12">
      <c r="A833" s="17">
        <v>46118.7167708333</v>
      </c>
      <c r="B833" s="6" t="s">
        <v>4876</v>
      </c>
      <c r="C833" s="6" t="s">
        <v>5439</v>
      </c>
      <c r="D833" s="6" t="s">
        <v>110</v>
      </c>
      <c r="E833" s="6" t="s">
        <v>26</v>
      </c>
      <c r="F833" s="6" t="s">
        <v>4882</v>
      </c>
      <c r="G833" s="6" t="s">
        <v>25</v>
      </c>
      <c r="H833" s="6">
        <v>30</v>
      </c>
      <c r="I833" s="18">
        <v>960</v>
      </c>
      <c r="J833" s="19">
        <v>46118.7341533218</v>
      </c>
      <c r="K833" s="6" t="s">
        <v>4880</v>
      </c>
      <c r="L833" t="str">
        <f t="shared" si="12"/>
        <v>LAMPADA H4 24V PHILLIPS|46119</v>
      </c>
    </row>
    <row r="834" ht="13.5" customHeight="1" spans="1:12">
      <c r="A834" s="17">
        <v>46118.7167708333</v>
      </c>
      <c r="B834" s="6" t="s">
        <v>4876</v>
      </c>
      <c r="C834" s="6" t="s">
        <v>5439</v>
      </c>
      <c r="D834" s="6" t="s">
        <v>110</v>
      </c>
      <c r="E834" s="6" t="s">
        <v>26</v>
      </c>
      <c r="F834" s="6" t="s">
        <v>4882</v>
      </c>
      <c r="G834" s="6" t="s">
        <v>447</v>
      </c>
      <c r="H834" s="6">
        <v>30</v>
      </c>
      <c r="I834" s="18">
        <v>150</v>
      </c>
      <c r="J834" s="19">
        <v>46118.7341509607</v>
      </c>
      <c r="K834" s="6" t="s">
        <v>4880</v>
      </c>
      <c r="L834" t="str">
        <f t="shared" ref="L834:L897" si="13">IF(G834="","",G834&amp;"|"&amp;TEXT(A834,"0"))</f>
        <v>LAMPADA 1141 24V|46119</v>
      </c>
    </row>
    <row r="835" ht="13.5" customHeight="1" spans="1:12">
      <c r="A835" s="17">
        <v>46118.7167708333</v>
      </c>
      <c r="B835" s="6" t="s">
        <v>4876</v>
      </c>
      <c r="C835" s="6" t="s">
        <v>5439</v>
      </c>
      <c r="D835" s="6" t="s">
        <v>110</v>
      </c>
      <c r="E835" s="6" t="s">
        <v>26</v>
      </c>
      <c r="F835" s="6" t="s">
        <v>4882</v>
      </c>
      <c r="G835" s="6" t="s">
        <v>2719</v>
      </c>
      <c r="H835" s="6">
        <v>10</v>
      </c>
      <c r="I835" s="18">
        <v>80</v>
      </c>
      <c r="J835" s="19">
        <v>46118.7341502315</v>
      </c>
      <c r="K835" s="6" t="s">
        <v>4880</v>
      </c>
      <c r="L835" t="str">
        <f t="shared" si="13"/>
        <v>LAMPADA 67 LED 24V|46119</v>
      </c>
    </row>
    <row r="836" ht="13.5" customHeight="1" spans="1:12">
      <c r="A836" s="17">
        <v>46118.7167708333</v>
      </c>
      <c r="B836" s="6" t="s">
        <v>4876</v>
      </c>
      <c r="C836" s="6" t="s">
        <v>5439</v>
      </c>
      <c r="D836" s="6" t="s">
        <v>110</v>
      </c>
      <c r="E836" s="6" t="s">
        <v>26</v>
      </c>
      <c r="F836" s="6" t="s">
        <v>4882</v>
      </c>
      <c r="G836" s="6" t="s">
        <v>27</v>
      </c>
      <c r="H836" s="6">
        <v>30</v>
      </c>
      <c r="I836" s="18">
        <v>1770</v>
      </c>
      <c r="J836" s="19">
        <v>46118.7341493056</v>
      </c>
      <c r="K836" s="6" t="s">
        <v>4880</v>
      </c>
      <c r="L836" t="str">
        <f t="shared" si="13"/>
        <v>LAMPADA H7 24V PHILLIPS|46119</v>
      </c>
    </row>
    <row r="837" ht="13.5" customHeight="1" spans="1:12">
      <c r="A837" s="17">
        <v>46118.7173611111</v>
      </c>
      <c r="B837" s="6" t="s">
        <v>4876</v>
      </c>
      <c r="C837" s="6" t="s">
        <v>5439</v>
      </c>
      <c r="D837" s="6" t="s">
        <v>110</v>
      </c>
      <c r="E837" s="6" t="s">
        <v>26</v>
      </c>
      <c r="F837" s="6" t="s">
        <v>4882</v>
      </c>
      <c r="G837" s="6" t="s">
        <v>822</v>
      </c>
      <c r="H837" s="6">
        <v>4</v>
      </c>
      <c r="I837" s="18">
        <v>560</v>
      </c>
      <c r="J837" s="19">
        <v>46118.7341567477</v>
      </c>
      <c r="K837" s="6" t="s">
        <v>4880</v>
      </c>
      <c r="L837" t="str">
        <f t="shared" si="13"/>
        <v>LANTERNA TRZ C/CONECTOR - C/VIGIA|46119</v>
      </c>
    </row>
    <row r="838" ht="13.5" customHeight="1" spans="1:12">
      <c r="A838" s="17">
        <v>46119.523599537</v>
      </c>
      <c r="B838" s="6" t="s">
        <v>4876</v>
      </c>
      <c r="C838" s="6" t="s">
        <v>5440</v>
      </c>
      <c r="D838" s="6" t="s">
        <v>4954</v>
      </c>
      <c r="E838" s="6" t="s">
        <v>26</v>
      </c>
      <c r="F838" s="6" t="s">
        <v>4882</v>
      </c>
      <c r="G838" s="6" t="s">
        <v>2780</v>
      </c>
      <c r="H838" s="6">
        <v>12</v>
      </c>
      <c r="I838" s="18">
        <v>219.6</v>
      </c>
      <c r="J838" s="19">
        <v>46119.5261602199</v>
      </c>
      <c r="K838" s="6" t="s">
        <v>4880</v>
      </c>
      <c r="L838" t="str">
        <f t="shared" si="13"/>
        <v>JUNTA TAMPA DE VALVULA -MWM X10|46120</v>
      </c>
    </row>
    <row r="839" ht="13.5" customHeight="1" spans="1:12">
      <c r="A839" s="17">
        <v>46119.5264930556</v>
      </c>
      <c r="B839" s="6" t="s">
        <v>4876</v>
      </c>
      <c r="C839" s="6" t="s">
        <v>5441</v>
      </c>
      <c r="D839" s="6" t="s">
        <v>5102</v>
      </c>
      <c r="E839" s="6" t="s">
        <v>26</v>
      </c>
      <c r="F839" s="6" t="s">
        <v>4882</v>
      </c>
      <c r="G839" s="6" t="s">
        <v>2569</v>
      </c>
      <c r="H839" s="6">
        <v>1</v>
      </c>
      <c r="I839" s="18">
        <v>59.9</v>
      </c>
      <c r="J839" s="19">
        <v>46119.5274586458</v>
      </c>
      <c r="K839" s="6" t="s">
        <v>4880</v>
      </c>
      <c r="L839" t="str">
        <f t="shared" si="13"/>
        <v>MALETA PRIMEIROS SOCORROS (M)|46120</v>
      </c>
    </row>
    <row r="840" ht="13.5" customHeight="1" spans="1:12">
      <c r="A840" s="17">
        <v>46119.5279282407</v>
      </c>
      <c r="B840" s="6" t="s">
        <v>4876</v>
      </c>
      <c r="C840" s="6" t="s">
        <v>5442</v>
      </c>
      <c r="D840" s="6" t="s">
        <v>4982</v>
      </c>
      <c r="E840" s="6" t="s">
        <v>26</v>
      </c>
      <c r="F840" s="6" t="s">
        <v>4882</v>
      </c>
      <c r="G840" s="6" t="s">
        <v>760</v>
      </c>
      <c r="H840" s="6">
        <v>3</v>
      </c>
      <c r="I840" s="18">
        <v>165</v>
      </c>
      <c r="J840" s="19">
        <v>46119.529790706</v>
      </c>
      <c r="K840" s="6" t="s">
        <v>4880</v>
      </c>
      <c r="L840" t="str">
        <f t="shared" si="13"/>
        <v>CALCULADORA AL8089|46120</v>
      </c>
    </row>
    <row r="841" ht="13.5" customHeight="1" spans="1:12">
      <c r="A841" s="17">
        <v>46119.5279282407</v>
      </c>
      <c r="B841" s="6" t="s">
        <v>4876</v>
      </c>
      <c r="C841" s="6" t="s">
        <v>5442</v>
      </c>
      <c r="D841" s="6" t="s">
        <v>4982</v>
      </c>
      <c r="E841" s="6" t="s">
        <v>26</v>
      </c>
      <c r="F841" s="6" t="s">
        <v>4882</v>
      </c>
      <c r="G841" s="6" t="s">
        <v>826</v>
      </c>
      <c r="H841" s="6">
        <v>8</v>
      </c>
      <c r="I841" s="18">
        <v>80</v>
      </c>
      <c r="J841" s="19">
        <v>46119.5297903125</v>
      </c>
      <c r="K841" s="6" t="s">
        <v>4880</v>
      </c>
      <c r="L841" t="str">
        <f t="shared" si="13"/>
        <v>PORTA CADEADO 4 1/2|46120</v>
      </c>
    </row>
    <row r="842" ht="13.5" customHeight="1" spans="1:12">
      <c r="A842" s="17">
        <v>46119.5313541667</v>
      </c>
      <c r="B842" s="6" t="s">
        <v>4876</v>
      </c>
      <c r="C842" s="6" t="s">
        <v>5443</v>
      </c>
      <c r="D842" s="6" t="s">
        <v>5003</v>
      </c>
      <c r="E842" s="6" t="s">
        <v>26</v>
      </c>
      <c r="F842" s="6" t="s">
        <v>4882</v>
      </c>
      <c r="G842" s="6" t="s">
        <v>413</v>
      </c>
      <c r="H842" s="6">
        <v>50</v>
      </c>
      <c r="I842" s="18">
        <v>349.5</v>
      </c>
      <c r="J842" s="19">
        <v>46119.5321852662</v>
      </c>
      <c r="K842" s="6" t="s">
        <v>4880</v>
      </c>
      <c r="L842" t="str">
        <f t="shared" si="13"/>
        <v>GASOLINA COMUM 01|46120</v>
      </c>
    </row>
    <row r="843" ht="13.5" customHeight="1" spans="1:12">
      <c r="A843" s="17">
        <v>46119.5472222222</v>
      </c>
      <c r="B843" s="6" t="s">
        <v>4876</v>
      </c>
      <c r="C843" s="6" t="s">
        <v>5444</v>
      </c>
      <c r="D843" s="6" t="s">
        <v>5182</v>
      </c>
      <c r="E843" s="6" t="s">
        <v>414</v>
      </c>
      <c r="F843" s="6" t="s">
        <v>4879</v>
      </c>
      <c r="G843" s="6" t="s">
        <v>4475</v>
      </c>
      <c r="H843" s="6">
        <v>1</v>
      </c>
      <c r="I843" s="18">
        <v>762.99</v>
      </c>
      <c r="J843" s="19">
        <v>46129.5485214931</v>
      </c>
      <c r="K843" s="6" t="s">
        <v>4880</v>
      </c>
      <c r="L843" t="str">
        <f t="shared" si="13"/>
        <v>BANDEIRA OFICIAL DO BRASIL 3,15 X 4,50|46120</v>
      </c>
    </row>
    <row r="844" ht="13.5" customHeight="1" spans="1:12">
      <c r="A844" s="17">
        <v>46120.3576388889</v>
      </c>
      <c r="B844" s="6" t="s">
        <v>4876</v>
      </c>
      <c r="C844" s="6" t="s">
        <v>5445</v>
      </c>
      <c r="D844" s="6" t="s">
        <v>5378</v>
      </c>
      <c r="E844" s="6" t="s">
        <v>26</v>
      </c>
      <c r="F844" s="6" t="s">
        <v>4882</v>
      </c>
      <c r="G844" s="6" t="s">
        <v>4661</v>
      </c>
      <c r="H844" s="6">
        <v>1</v>
      </c>
      <c r="I844" s="18">
        <v>6.74</v>
      </c>
      <c r="J844" s="19">
        <v>46125.3660195949</v>
      </c>
      <c r="K844" s="6" t="s">
        <v>4880</v>
      </c>
      <c r="L844" t="str">
        <f t="shared" si="13"/>
        <v>ALGODAO APOLO 50G|46120</v>
      </c>
    </row>
    <row r="845" ht="13.5" customHeight="1" spans="1:12">
      <c r="A845" s="17">
        <v>46120.3576388889</v>
      </c>
      <c r="B845" s="6" t="s">
        <v>4876</v>
      </c>
      <c r="C845" s="6" t="s">
        <v>5445</v>
      </c>
      <c r="D845" s="6" t="s">
        <v>5378</v>
      </c>
      <c r="E845" s="6" t="s">
        <v>26</v>
      </c>
      <c r="F845" s="6" t="s">
        <v>4882</v>
      </c>
      <c r="G845" s="6" t="s">
        <v>3507</v>
      </c>
      <c r="H845" s="6">
        <v>1</v>
      </c>
      <c r="I845" s="18">
        <v>10.99</v>
      </c>
      <c r="J845" s="19">
        <v>46125.3660194097</v>
      </c>
      <c r="K845" s="6" t="s">
        <v>4880</v>
      </c>
      <c r="L845" t="str">
        <f t="shared" si="13"/>
        <v>CURAT BEM BASICO|46120</v>
      </c>
    </row>
    <row r="846" ht="13.5" customHeight="1" spans="1:12">
      <c r="A846" s="17">
        <v>46120.3576388889</v>
      </c>
      <c r="B846" s="6" t="s">
        <v>4876</v>
      </c>
      <c r="C846" s="6" t="s">
        <v>5445</v>
      </c>
      <c r="D846" s="6" t="s">
        <v>5378</v>
      </c>
      <c r="E846" s="6" t="s">
        <v>26</v>
      </c>
      <c r="F846" s="6" t="s">
        <v>4882</v>
      </c>
      <c r="G846" s="6" t="s">
        <v>4520</v>
      </c>
      <c r="H846" s="6">
        <v>1</v>
      </c>
      <c r="I846" s="18">
        <v>5.5</v>
      </c>
      <c r="J846" s="19">
        <v>46125.3660190625</v>
      </c>
      <c r="K846" s="6" t="s">
        <v>4880</v>
      </c>
      <c r="L846" t="str">
        <f t="shared" si="13"/>
        <v>ATADURA BEM BASICO 20CM|46120</v>
      </c>
    </row>
    <row r="847" ht="13.5" customHeight="1" spans="1:12">
      <c r="A847" s="17">
        <v>46120.3576388889</v>
      </c>
      <c r="B847" s="6" t="s">
        <v>4876</v>
      </c>
      <c r="C847" s="6" t="s">
        <v>5445</v>
      </c>
      <c r="D847" s="6" t="s">
        <v>5378</v>
      </c>
      <c r="E847" s="6" t="s">
        <v>26</v>
      </c>
      <c r="F847" s="6" t="s">
        <v>4882</v>
      </c>
      <c r="G847" s="6" t="s">
        <v>652</v>
      </c>
      <c r="H847" s="6">
        <v>1</v>
      </c>
      <c r="I847" s="18">
        <v>15.99</v>
      </c>
      <c r="J847" s="19">
        <v>46125.3660188657</v>
      </c>
      <c r="K847" s="6" t="s">
        <v>4880</v>
      </c>
      <c r="L847" t="str">
        <f t="shared" si="13"/>
        <v>TESOURA P/UNHA|46120</v>
      </c>
    </row>
    <row r="848" ht="13.5" customHeight="1" spans="1:12">
      <c r="A848" s="17">
        <v>46120.3576388889</v>
      </c>
      <c r="B848" s="6" t="s">
        <v>4876</v>
      </c>
      <c r="C848" s="6" t="s">
        <v>5445</v>
      </c>
      <c r="D848" s="6" t="s">
        <v>5378</v>
      </c>
      <c r="E848" s="6" t="s">
        <v>26</v>
      </c>
      <c r="F848" s="6" t="s">
        <v>4882</v>
      </c>
      <c r="G848" s="6" t="s">
        <v>4601</v>
      </c>
      <c r="H848" s="6">
        <v>1</v>
      </c>
      <c r="I848" s="18">
        <v>124.2</v>
      </c>
      <c r="J848" s="19">
        <v>46125.3660185185</v>
      </c>
      <c r="K848" s="6" t="s">
        <v>4880</v>
      </c>
      <c r="L848" t="str">
        <f t="shared" si="13"/>
        <v>APARELHO DE PRESSÃO DIGITAL PULSO CONTROL |46120</v>
      </c>
    </row>
    <row r="849" ht="13.5" customHeight="1" spans="1:12">
      <c r="A849" s="17">
        <v>46120.3576388889</v>
      </c>
      <c r="B849" s="6" t="s">
        <v>4876</v>
      </c>
      <c r="C849" s="6" t="s">
        <v>5445</v>
      </c>
      <c r="D849" s="6" t="s">
        <v>5378</v>
      </c>
      <c r="E849" s="6" t="s">
        <v>26</v>
      </c>
      <c r="F849" s="6" t="s">
        <v>4882</v>
      </c>
      <c r="G849" s="6" t="s">
        <v>3703</v>
      </c>
      <c r="H849" s="6">
        <v>2</v>
      </c>
      <c r="I849" s="18">
        <v>5.98</v>
      </c>
      <c r="J849" s="19">
        <v>46125.3660181366</v>
      </c>
      <c r="K849" s="6" t="s">
        <v>4880</v>
      </c>
      <c r="L849" t="str">
        <f t="shared" si="13"/>
        <v>COMPRESSA GAZE C/10|46120</v>
      </c>
    </row>
    <row r="850" ht="13.5" customHeight="1" spans="1:12">
      <c r="A850" s="17">
        <v>46120.3576388889</v>
      </c>
      <c r="B850" s="6" t="s">
        <v>4876</v>
      </c>
      <c r="C850" s="6" t="s">
        <v>5445</v>
      </c>
      <c r="D850" s="6" t="s">
        <v>5378</v>
      </c>
      <c r="E850" s="6" t="s">
        <v>26</v>
      </c>
      <c r="F850" s="6" t="s">
        <v>4882</v>
      </c>
      <c r="G850" s="6" t="s">
        <v>2746</v>
      </c>
      <c r="H850" s="6">
        <v>1</v>
      </c>
      <c r="I850" s="18">
        <v>3.99</v>
      </c>
      <c r="J850" s="19">
        <v>46125.3660177894</v>
      </c>
      <c r="K850" s="6" t="s">
        <v>4880</v>
      </c>
      <c r="L850" t="str">
        <f t="shared" si="13"/>
        <v>KIT PINÇA ENOX|46120</v>
      </c>
    </row>
    <row r="851" ht="13.5" customHeight="1" spans="1:12">
      <c r="A851" s="17">
        <v>46120.3576388889</v>
      </c>
      <c r="B851" s="6" t="s">
        <v>4876</v>
      </c>
      <c r="C851" s="6" t="s">
        <v>5445</v>
      </c>
      <c r="D851" s="6" t="s">
        <v>5378</v>
      </c>
      <c r="E851" s="6" t="s">
        <v>26</v>
      </c>
      <c r="F851" s="6" t="s">
        <v>4882</v>
      </c>
      <c r="G851" s="6" t="s">
        <v>1356</v>
      </c>
      <c r="H851" s="6">
        <v>1</v>
      </c>
      <c r="I851" s="18">
        <v>8.99</v>
      </c>
      <c r="J851" s="19">
        <v>46125.3660174421</v>
      </c>
      <c r="K851" s="6" t="s">
        <v>4880</v>
      </c>
      <c r="L851" t="str">
        <f t="shared" si="13"/>
        <v>SORO FISIOLOGICO|46120</v>
      </c>
    </row>
    <row r="852" ht="13.5" customHeight="1" spans="1:12">
      <c r="A852" s="17">
        <v>46120.3576388889</v>
      </c>
      <c r="B852" s="6" t="s">
        <v>4876</v>
      </c>
      <c r="C852" s="6" t="s">
        <v>5445</v>
      </c>
      <c r="D852" s="6" t="s">
        <v>5378</v>
      </c>
      <c r="E852" s="6" t="s">
        <v>26</v>
      </c>
      <c r="F852" s="6" t="s">
        <v>4882</v>
      </c>
      <c r="G852" s="6" t="s">
        <v>622</v>
      </c>
      <c r="H852" s="6">
        <v>1</v>
      </c>
      <c r="I852" s="18">
        <v>3.59</v>
      </c>
      <c r="J852" s="19">
        <v>46125.3660172454</v>
      </c>
      <c r="K852" s="6" t="s">
        <v>4880</v>
      </c>
      <c r="L852" t="str">
        <f t="shared" si="13"/>
        <v>ÁLCOOL 70% 50ML|46120</v>
      </c>
    </row>
    <row r="853" ht="13.5" customHeight="1" spans="1:12">
      <c r="A853" s="17">
        <v>46120.3576388889</v>
      </c>
      <c r="B853" s="6" t="s">
        <v>4876</v>
      </c>
      <c r="C853" s="6" t="s">
        <v>5445</v>
      </c>
      <c r="D853" s="6" t="s">
        <v>5378</v>
      </c>
      <c r="E853" s="6" t="s">
        <v>26</v>
      </c>
      <c r="F853" s="6" t="s">
        <v>4882</v>
      </c>
      <c r="G853" s="6" t="s">
        <v>927</v>
      </c>
      <c r="H853" s="6">
        <v>1</v>
      </c>
      <c r="I853" s="18">
        <v>3.59</v>
      </c>
      <c r="J853" s="19">
        <v>46125.3660168634</v>
      </c>
      <c r="K853" s="6" t="s">
        <v>4880</v>
      </c>
      <c r="L853" t="str">
        <f t="shared" si="13"/>
        <v>ÁGUA OXIGENADA 10V 100ML|46120</v>
      </c>
    </row>
    <row r="854" ht="13.5" customHeight="1" spans="1:12">
      <c r="A854" s="17">
        <v>46120.3576388889</v>
      </c>
      <c r="B854" s="6" t="s">
        <v>4876</v>
      </c>
      <c r="C854" s="6" t="s">
        <v>5445</v>
      </c>
      <c r="D854" s="6" t="s">
        <v>5378</v>
      </c>
      <c r="E854" s="6" t="s">
        <v>26</v>
      </c>
      <c r="F854" s="6" t="s">
        <v>4882</v>
      </c>
      <c r="G854" s="6" t="s">
        <v>2448</v>
      </c>
      <c r="H854" s="6">
        <v>1</v>
      </c>
      <c r="I854" s="18">
        <v>27.39</v>
      </c>
      <c r="J854" s="19">
        <v>46125.3660163194</v>
      </c>
      <c r="K854" s="6" t="s">
        <v>4880</v>
      </c>
      <c r="L854" t="str">
        <f t="shared" si="13"/>
        <v>MERTHIOLATE 30ML|46120</v>
      </c>
    </row>
    <row r="855" ht="13.5" customHeight="1" spans="1:12">
      <c r="A855" s="17">
        <v>46120.3576388889</v>
      </c>
      <c r="B855" s="6" t="s">
        <v>4876</v>
      </c>
      <c r="C855" s="6" t="s">
        <v>5445</v>
      </c>
      <c r="D855" s="6" t="s">
        <v>5378</v>
      </c>
      <c r="E855" s="6" t="s">
        <v>26</v>
      </c>
      <c r="F855" s="6" t="s">
        <v>4882</v>
      </c>
      <c r="G855" s="6" t="s">
        <v>3272</v>
      </c>
      <c r="H855" s="6">
        <v>1</v>
      </c>
      <c r="I855" s="18">
        <v>5.99</v>
      </c>
      <c r="J855" s="19">
        <v>46125.366015625</v>
      </c>
      <c r="K855" s="6" t="s">
        <v>4880</v>
      </c>
      <c r="L855" t="str">
        <f t="shared" si="13"/>
        <v>ESPARADRAPO 12x45|46120</v>
      </c>
    </row>
    <row r="856" ht="13.5" customHeight="1" spans="1:12">
      <c r="A856" s="17">
        <v>46120.5298611111</v>
      </c>
      <c r="B856" s="6" t="s">
        <v>4876</v>
      </c>
      <c r="C856" s="6" t="s">
        <v>5446</v>
      </c>
      <c r="D856" s="6" t="s">
        <v>4894</v>
      </c>
      <c r="E856" s="6" t="s">
        <v>26</v>
      </c>
      <c r="F856" s="6" t="s">
        <v>4882</v>
      </c>
      <c r="G856" s="6" t="s">
        <v>2706</v>
      </c>
      <c r="H856" s="6">
        <v>10</v>
      </c>
      <c r="I856" s="18">
        <v>73.5</v>
      </c>
      <c r="J856" s="19">
        <v>46121.5351843403</v>
      </c>
      <c r="K856" s="6" t="s">
        <v>4880</v>
      </c>
      <c r="L856" t="str">
        <f t="shared" si="13"/>
        <v>LAMPADA LE TKL 90 15W 6500K|46121</v>
      </c>
    </row>
    <row r="857" ht="13.5" customHeight="1" spans="1:12">
      <c r="A857" s="17">
        <v>46120.5298611111</v>
      </c>
      <c r="B857" s="6" t="s">
        <v>4876</v>
      </c>
      <c r="C857" s="6" t="s">
        <v>5446</v>
      </c>
      <c r="D857" s="6" t="s">
        <v>4894</v>
      </c>
      <c r="E857" s="6" t="s">
        <v>26</v>
      </c>
      <c r="F857" s="6" t="s">
        <v>4882</v>
      </c>
      <c r="G857" s="6" t="s">
        <v>2954</v>
      </c>
      <c r="H857" s="6">
        <v>2</v>
      </c>
      <c r="I857" s="18">
        <v>32.18</v>
      </c>
      <c r="J857" s="19">
        <v>46121.5351839931</v>
      </c>
      <c r="K857" s="6" t="s">
        <v>4880</v>
      </c>
      <c r="L857" t="str">
        <f t="shared" si="13"/>
        <v>GARRA JACARE PARA CABO DE BATERIA 500A|46121</v>
      </c>
    </row>
    <row r="858" ht="13.5" customHeight="1" spans="1:12">
      <c r="A858" s="17">
        <v>46120.5298611111</v>
      </c>
      <c r="B858" s="6" t="s">
        <v>4876</v>
      </c>
      <c r="C858" s="6" t="s">
        <v>5446</v>
      </c>
      <c r="D858" s="6" t="s">
        <v>4894</v>
      </c>
      <c r="E858" s="6" t="s">
        <v>26</v>
      </c>
      <c r="F858" s="6" t="s">
        <v>4882</v>
      </c>
      <c r="G858" s="6" t="s">
        <v>4743</v>
      </c>
      <c r="H858" s="6">
        <v>10</v>
      </c>
      <c r="I858" s="18">
        <v>47.9</v>
      </c>
      <c r="J858" s="19">
        <v>46121.5351836458</v>
      </c>
      <c r="K858" s="6" t="s">
        <v>4880</v>
      </c>
      <c r="L858" t="str">
        <f t="shared" si="13"/>
        <v>ABRAÇADEIRA METAL 25/38|46121</v>
      </c>
    </row>
    <row r="859" ht="13.5" customHeight="1" spans="1:12">
      <c r="A859" s="17">
        <v>46120.5298611111</v>
      </c>
      <c r="B859" s="6" t="s">
        <v>4876</v>
      </c>
      <c r="C859" s="6" t="s">
        <v>5446</v>
      </c>
      <c r="D859" s="6" t="s">
        <v>4894</v>
      </c>
      <c r="E859" s="6" t="s">
        <v>26</v>
      </c>
      <c r="F859" s="6" t="s">
        <v>4882</v>
      </c>
      <c r="G859" s="6" t="s">
        <v>4745</v>
      </c>
      <c r="H859" s="6">
        <v>10</v>
      </c>
      <c r="I859" s="18">
        <v>17</v>
      </c>
      <c r="J859" s="19">
        <v>46121.5351834491</v>
      </c>
      <c r="K859" s="6" t="s">
        <v>4880</v>
      </c>
      <c r="L859" t="str">
        <f t="shared" si="13"/>
        <v>ABRAÇADEIRA METAL 09/13|46121</v>
      </c>
    </row>
    <row r="860" ht="13.5" customHeight="1" spans="1:12">
      <c r="A860" s="17">
        <v>46120.5298611111</v>
      </c>
      <c r="B860" s="6" t="s">
        <v>4876</v>
      </c>
      <c r="C860" s="6" t="s">
        <v>5446</v>
      </c>
      <c r="D860" s="6" t="s">
        <v>4894</v>
      </c>
      <c r="E860" s="6" t="s">
        <v>26</v>
      </c>
      <c r="F860" s="6" t="s">
        <v>4882</v>
      </c>
      <c r="G860" s="6" t="s">
        <v>4744</v>
      </c>
      <c r="H860" s="6">
        <v>15</v>
      </c>
      <c r="I860" s="18">
        <v>24.45</v>
      </c>
      <c r="J860" s="19">
        <v>46121.5351827199</v>
      </c>
      <c r="K860" s="6" t="s">
        <v>4880</v>
      </c>
      <c r="L860" t="str">
        <f t="shared" si="13"/>
        <v>ABRAÇADEIRA METAL 13/19|46121</v>
      </c>
    </row>
    <row r="861" ht="13.5" customHeight="1" spans="1:12">
      <c r="A861" s="17">
        <v>46120.5759722222</v>
      </c>
      <c r="B861" s="6" t="s">
        <v>4876</v>
      </c>
      <c r="C861" s="6" t="s">
        <v>5447</v>
      </c>
      <c r="D861" s="6" t="s">
        <v>4879</v>
      </c>
      <c r="E861" s="6" t="s">
        <v>26</v>
      </c>
      <c r="F861" s="6" t="s">
        <v>4882</v>
      </c>
      <c r="G861" s="6" t="s">
        <v>335</v>
      </c>
      <c r="H861" s="6">
        <v>1</v>
      </c>
      <c r="I861" s="18">
        <v>360</v>
      </c>
      <c r="J861" s="19">
        <v>46120.5764396991</v>
      </c>
      <c r="K861" s="6" t="s">
        <v>4880</v>
      </c>
      <c r="L861" t="str">
        <f t="shared" si="13"/>
        <v>ELEVADOR VIDRO  23B837501 LE|46121</v>
      </c>
    </row>
    <row r="862" ht="13.5" customHeight="1" spans="1:12">
      <c r="A862" s="17">
        <v>46120.6722222222</v>
      </c>
      <c r="B862" s="6" t="s">
        <v>4876</v>
      </c>
      <c r="C862" s="6" t="s">
        <v>5448</v>
      </c>
      <c r="D862" s="6" t="s">
        <v>4916</v>
      </c>
      <c r="E862" s="6" t="s">
        <v>26</v>
      </c>
      <c r="F862" s="6" t="s">
        <v>4882</v>
      </c>
      <c r="G862" s="6" t="s">
        <v>721</v>
      </c>
      <c r="H862" s="6">
        <v>6</v>
      </c>
      <c r="I862" s="18">
        <v>3324</v>
      </c>
      <c r="J862" s="19">
        <v>46145.6742560532</v>
      </c>
      <c r="K862" s="6" t="s">
        <v>5449</v>
      </c>
      <c r="L862" t="str">
        <f t="shared" si="13"/>
        <v>NOBREAK ATTIV 600VA 220V |46121</v>
      </c>
    </row>
    <row r="863" ht="13.5" customHeight="1" spans="1:12">
      <c r="A863" s="17">
        <v>46120.6722222222</v>
      </c>
      <c r="B863" s="6" t="s">
        <v>4876</v>
      </c>
      <c r="C863" s="6" t="s">
        <v>5448</v>
      </c>
      <c r="D863" s="6" t="s">
        <v>4916</v>
      </c>
      <c r="E863" s="6" t="s">
        <v>26</v>
      </c>
      <c r="F863" s="6" t="s">
        <v>4882</v>
      </c>
      <c r="G863" s="6" t="s">
        <v>4029</v>
      </c>
      <c r="H863" s="6">
        <v>1</v>
      </c>
      <c r="I863" s="18">
        <v>359.9</v>
      </c>
      <c r="J863" s="19">
        <v>46145.6742549769</v>
      </c>
      <c r="K863" s="6" t="s">
        <v>5449</v>
      </c>
      <c r="L863" t="str">
        <f t="shared" si="13"/>
        <v>CAMERA DE VIDEO WI FI FULL HD IM5 SC|46121</v>
      </c>
    </row>
    <row r="864" ht="13.5" customHeight="1" spans="1:12">
      <c r="A864" s="17">
        <v>46120.6807986111</v>
      </c>
      <c r="B864" s="6" t="s">
        <v>4876</v>
      </c>
      <c r="C864" s="6" t="s">
        <v>5450</v>
      </c>
      <c r="D864" s="6" t="s">
        <v>110</v>
      </c>
      <c r="E864" s="6" t="s">
        <v>26</v>
      </c>
      <c r="F864" s="6" t="s">
        <v>4882</v>
      </c>
      <c r="G864" s="6" t="s">
        <v>1271</v>
      </c>
      <c r="H864" s="6">
        <v>4</v>
      </c>
      <c r="I864" s="18">
        <v>276</v>
      </c>
      <c r="J864" s="19">
        <v>46120.6868721875</v>
      </c>
      <c r="K864" s="6" t="s">
        <v>4880</v>
      </c>
      <c r="L864" t="str">
        <f t="shared" si="13"/>
        <v>TAMPA RESERVATORIO ARLA|46121</v>
      </c>
    </row>
    <row r="865" ht="13.5" customHeight="1" spans="1:12">
      <c r="A865" s="17">
        <v>46120.6875694445</v>
      </c>
      <c r="B865" s="6" t="s">
        <v>4876</v>
      </c>
      <c r="C865" s="6" t="s">
        <v>5451</v>
      </c>
      <c r="D865" s="6" t="s">
        <v>5358</v>
      </c>
      <c r="E865" s="6" t="s">
        <v>26</v>
      </c>
      <c r="F865" s="6" t="s">
        <v>4882</v>
      </c>
      <c r="G865" s="6" t="s">
        <v>3615</v>
      </c>
      <c r="H865" s="6">
        <v>2</v>
      </c>
      <c r="I865" s="18">
        <v>22</v>
      </c>
      <c r="J865" s="19">
        <v>46120.6883802083</v>
      </c>
      <c r="K865" s="6" t="s">
        <v>4880</v>
      </c>
      <c r="L865" t="str">
        <f t="shared" si="13"/>
        <v>COPIAS DE CHAVE |46121</v>
      </c>
    </row>
    <row r="866" ht="13.5" customHeight="1" spans="1:12">
      <c r="A866" s="17">
        <v>46120.688587963</v>
      </c>
      <c r="B866" s="6" t="s">
        <v>4876</v>
      </c>
      <c r="C866" s="6" t="s">
        <v>5452</v>
      </c>
      <c r="D866" s="6" t="s">
        <v>5453</v>
      </c>
      <c r="E866" s="6" t="s">
        <v>26</v>
      </c>
      <c r="F866" s="6" t="s">
        <v>4882</v>
      </c>
      <c r="G866" s="6" t="s">
        <v>782</v>
      </c>
      <c r="H866" s="6">
        <v>8</v>
      </c>
      <c r="I866" s="18">
        <v>120</v>
      </c>
      <c r="J866" s="19">
        <v>46120.6899747685</v>
      </c>
      <c r="K866" s="6" t="s">
        <v>4880</v>
      </c>
      <c r="L866" t="str">
        <f t="shared" si="13"/>
        <v>CRACHAS |46121</v>
      </c>
    </row>
    <row r="867" ht="13.5" customHeight="1" spans="1:12">
      <c r="A867" s="17">
        <v>46121.3923611111</v>
      </c>
      <c r="B867" s="6" t="s">
        <v>4876</v>
      </c>
      <c r="C867" s="6" t="s">
        <v>5454</v>
      </c>
      <c r="D867" s="6" t="s">
        <v>4926</v>
      </c>
      <c r="E867" s="6" t="s">
        <v>26</v>
      </c>
      <c r="F867" s="6" t="s">
        <v>4882</v>
      </c>
      <c r="G867" s="6" t="s">
        <v>674</v>
      </c>
      <c r="H867" s="6">
        <v>1</v>
      </c>
      <c r="I867" s="18">
        <v>399</v>
      </c>
      <c r="J867" s="19">
        <v>46125.3932999653</v>
      </c>
      <c r="K867" s="6" t="s">
        <v>4880</v>
      </c>
      <c r="L867" t="str">
        <f t="shared" si="13"/>
        <v>FITA DBA 9MM ROLOS COM 4.000MTS|46121</v>
      </c>
    </row>
    <row r="868" ht="13.5" customHeight="1" spans="1:12">
      <c r="A868" s="17">
        <v>46121.3930555556</v>
      </c>
      <c r="B868" s="6" t="s">
        <v>4876</v>
      </c>
      <c r="C868" s="6" t="s">
        <v>5455</v>
      </c>
      <c r="D868" s="6" t="s">
        <v>4926</v>
      </c>
      <c r="E868" s="6" t="s">
        <v>26</v>
      </c>
      <c r="F868" s="6" t="s">
        <v>4882</v>
      </c>
      <c r="G868" s="6" t="s">
        <v>674</v>
      </c>
      <c r="H868" s="6">
        <v>1</v>
      </c>
      <c r="I868" s="18">
        <v>399</v>
      </c>
      <c r="J868" s="19">
        <v>46125.3940233449</v>
      </c>
      <c r="K868" s="6" t="s">
        <v>4880</v>
      </c>
      <c r="L868" t="str">
        <f t="shared" si="13"/>
        <v>FITA DBA 9MM ROLOS COM 4.000MTS|46121</v>
      </c>
    </row>
    <row r="869" ht="13.5" customHeight="1" spans="1:12">
      <c r="A869" s="17">
        <v>46121.3951388889</v>
      </c>
      <c r="B869" s="6" t="s">
        <v>4876</v>
      </c>
      <c r="C869" s="6" t="s">
        <v>5456</v>
      </c>
      <c r="D869" s="6" t="s">
        <v>5457</v>
      </c>
      <c r="E869" s="6" t="s">
        <v>26</v>
      </c>
      <c r="F869" s="6" t="s">
        <v>4882</v>
      </c>
      <c r="G869" s="6" t="s">
        <v>698</v>
      </c>
      <c r="H869" s="6">
        <v>1</v>
      </c>
      <c r="I869" s="18">
        <v>99.89</v>
      </c>
      <c r="J869" s="19">
        <v>46125.4118296296</v>
      </c>
      <c r="K869" s="6" t="s">
        <v>4880</v>
      </c>
      <c r="L869" t="str">
        <f t="shared" si="13"/>
        <v>CONJUNTO CAPA DE CHUVA MOTOQUEIRO (G)|46121</v>
      </c>
    </row>
    <row r="870" ht="13.5" customHeight="1" spans="1:12">
      <c r="A870" s="17">
        <v>46121.3951388889</v>
      </c>
      <c r="B870" s="6" t="s">
        <v>4876</v>
      </c>
      <c r="C870" s="6" t="s">
        <v>5456</v>
      </c>
      <c r="D870" s="6" t="s">
        <v>5457</v>
      </c>
      <c r="E870" s="6" t="s">
        <v>26</v>
      </c>
      <c r="F870" s="6" t="s">
        <v>4882</v>
      </c>
      <c r="G870" s="6" t="s">
        <v>699</v>
      </c>
      <c r="H870" s="6">
        <v>1</v>
      </c>
      <c r="I870" s="18">
        <v>99.89</v>
      </c>
      <c r="J870" s="19">
        <v>46125.4118292477</v>
      </c>
      <c r="K870" s="6" t="s">
        <v>4880</v>
      </c>
      <c r="L870" t="str">
        <f t="shared" si="13"/>
        <v>CONJUNTO CAPA DE CHUVA MOTOQUEIRO (M)|46121</v>
      </c>
    </row>
    <row r="871" ht="13.5" customHeight="1" spans="1:12">
      <c r="A871" s="17">
        <v>46121.5582523148</v>
      </c>
      <c r="B871" s="6" t="s">
        <v>4876</v>
      </c>
      <c r="C871" s="6" t="s">
        <v>5458</v>
      </c>
      <c r="D871" s="6" t="s">
        <v>4879</v>
      </c>
      <c r="E871" s="6" t="s">
        <v>26</v>
      </c>
      <c r="F871" s="6" t="s">
        <v>4882</v>
      </c>
      <c r="G871" s="6" t="s">
        <v>351</v>
      </c>
      <c r="H871" s="6">
        <v>1</v>
      </c>
      <c r="I871" s="18">
        <v>119</v>
      </c>
      <c r="J871" s="19">
        <v>46121.5586854167</v>
      </c>
      <c r="K871" s="6" t="s">
        <v>4880</v>
      </c>
      <c r="L871" t="str">
        <f t="shared" si="13"/>
        <v>FOLE DE LIGAÇAO ACCELO 915/815|46122</v>
      </c>
    </row>
    <row r="872" ht="13.5" customHeight="1" spans="1:12">
      <c r="A872" s="17">
        <v>46121.5588425926</v>
      </c>
      <c r="B872" s="6" t="s">
        <v>4876</v>
      </c>
      <c r="C872" s="6" t="s">
        <v>5459</v>
      </c>
      <c r="D872" s="6" t="s">
        <v>4954</v>
      </c>
      <c r="E872" s="6" t="s">
        <v>26</v>
      </c>
      <c r="F872" s="6" t="s">
        <v>4882</v>
      </c>
      <c r="G872" s="6" t="s">
        <v>351</v>
      </c>
      <c r="H872" s="6">
        <v>2</v>
      </c>
      <c r="I872" s="18">
        <v>218</v>
      </c>
      <c r="J872" s="19">
        <v>46121.5592714931</v>
      </c>
      <c r="K872" s="6" t="s">
        <v>4880</v>
      </c>
      <c r="L872" t="str">
        <f t="shared" si="13"/>
        <v>FOLE DE LIGAÇAO ACCELO 915/815|46122</v>
      </c>
    </row>
    <row r="873" ht="13.5" customHeight="1" spans="1:12">
      <c r="A873" s="17">
        <v>46121.5595138889</v>
      </c>
      <c r="B873" s="6" t="s">
        <v>4876</v>
      </c>
      <c r="C873" s="6" t="s">
        <v>5460</v>
      </c>
      <c r="D873" s="6" t="s">
        <v>5109</v>
      </c>
      <c r="E873" s="6" t="s">
        <v>26</v>
      </c>
      <c r="F873" s="6" t="s">
        <v>4882</v>
      </c>
      <c r="G873" s="6" t="s">
        <v>1235</v>
      </c>
      <c r="H873" s="6">
        <v>20</v>
      </c>
      <c r="I873" s="18">
        <v>18</v>
      </c>
      <c r="J873" s="19">
        <v>46121.560834456</v>
      </c>
      <c r="K873" s="6" t="s">
        <v>4880</v>
      </c>
      <c r="L873" t="str">
        <f t="shared" si="13"/>
        <v>TERMINAL 1878 ISOD MACHO 0,5 A 1,5MM|46122</v>
      </c>
    </row>
    <row r="874" ht="13.5" customHeight="1" spans="1:12">
      <c r="A874" s="17">
        <v>46121.5595138889</v>
      </c>
      <c r="B874" s="6" t="s">
        <v>4876</v>
      </c>
      <c r="C874" s="6" t="s">
        <v>5460</v>
      </c>
      <c r="D874" s="6" t="s">
        <v>5109</v>
      </c>
      <c r="E874" s="6" t="s">
        <v>26</v>
      </c>
      <c r="F874" s="6" t="s">
        <v>4882</v>
      </c>
      <c r="G874" s="6" t="s">
        <v>4280</v>
      </c>
      <c r="H874" s="6">
        <v>8</v>
      </c>
      <c r="I874" s="18">
        <v>132</v>
      </c>
      <c r="J874" s="19">
        <v>46121.5608340625</v>
      </c>
      <c r="K874" s="6" t="s">
        <v>4880</v>
      </c>
      <c r="L874" t="str">
        <f t="shared" si="13"/>
        <v>BOTAO PULSADOR MONOBL.VD|46122</v>
      </c>
    </row>
    <row r="875" ht="13.5" customHeight="1" spans="1:12">
      <c r="A875" s="17">
        <v>46121.561087963</v>
      </c>
      <c r="B875" s="6" t="s">
        <v>4876</v>
      </c>
      <c r="C875" s="6" t="s">
        <v>5461</v>
      </c>
      <c r="D875" s="6" t="s">
        <v>5018</v>
      </c>
      <c r="E875" s="6" t="s">
        <v>26</v>
      </c>
      <c r="F875" s="6" t="s">
        <v>4882</v>
      </c>
      <c r="G875" s="6" t="s">
        <v>3574</v>
      </c>
      <c r="H875" s="6">
        <v>3</v>
      </c>
      <c r="I875" s="18">
        <v>60</v>
      </c>
      <c r="J875" s="19">
        <v>46121.5646437153</v>
      </c>
      <c r="K875" s="6" t="s">
        <v>4880</v>
      </c>
      <c r="L875" t="str">
        <f t="shared" si="13"/>
        <v>CORREIA B 41 TRANSPOWER IMP|46122</v>
      </c>
    </row>
    <row r="876" ht="13.5" customHeight="1" spans="1:12">
      <c r="A876" s="17">
        <v>46121.6375231482</v>
      </c>
      <c r="B876" s="6" t="s">
        <v>4876</v>
      </c>
      <c r="C876" s="6" t="s">
        <v>5462</v>
      </c>
      <c r="D876" s="6" t="s">
        <v>110</v>
      </c>
      <c r="E876" s="6" t="s">
        <v>26</v>
      </c>
      <c r="F876" s="6" t="s">
        <v>4882</v>
      </c>
      <c r="G876" s="6" t="s">
        <v>377</v>
      </c>
      <c r="H876" s="6">
        <v>2</v>
      </c>
      <c r="I876" s="18">
        <v>130</v>
      </c>
      <c r="J876" s="19">
        <v>46121.6397702546</v>
      </c>
      <c r="K876" s="6" t="s">
        <v>4880</v>
      </c>
      <c r="L876" t="str">
        <f t="shared" si="13"/>
        <v>MANGUEIRA DO RADIADOR MBB ACCELO INFERIOR|46122</v>
      </c>
    </row>
    <row r="877" ht="13.5" customHeight="1" spans="1:12">
      <c r="A877" s="17">
        <v>46121.8201273148</v>
      </c>
      <c r="B877" s="6" t="s">
        <v>4876</v>
      </c>
      <c r="C877" s="6" t="s">
        <v>5463</v>
      </c>
      <c r="D877" s="6" t="s">
        <v>5464</v>
      </c>
      <c r="E877" s="6" t="s">
        <v>35</v>
      </c>
      <c r="F877" s="6" t="s">
        <v>4879</v>
      </c>
      <c r="G877" s="6" t="s">
        <v>368</v>
      </c>
      <c r="H877" s="6">
        <v>5</v>
      </c>
      <c r="I877" s="18">
        <v>700</v>
      </c>
      <c r="J877" s="19">
        <v>46121.8239765046</v>
      </c>
      <c r="K877" s="6" t="s">
        <v>4880</v>
      </c>
      <c r="L877" t="str">
        <f t="shared" si="13"/>
        <v>EXTINTOR TIPO PQSP 02KG ABC AUTOMOTIVO |46122</v>
      </c>
    </row>
    <row r="878" ht="13.5" customHeight="1" spans="1:12">
      <c r="A878" s="17">
        <v>46121.825</v>
      </c>
      <c r="B878" s="6" t="s">
        <v>4876</v>
      </c>
      <c r="C878" s="6" t="s">
        <v>5155</v>
      </c>
      <c r="D878" s="6" t="s">
        <v>4894</v>
      </c>
      <c r="E878" s="6" t="s">
        <v>26</v>
      </c>
      <c r="F878" s="6" t="s">
        <v>4882</v>
      </c>
      <c r="G878" s="6" t="s">
        <v>2267</v>
      </c>
      <c r="H878" s="6">
        <v>100</v>
      </c>
      <c r="I878" s="18">
        <v>25</v>
      </c>
      <c r="J878" s="19">
        <v>46121.8278662847</v>
      </c>
      <c r="K878" s="6" t="s">
        <v>4880</v>
      </c>
      <c r="L878" t="str">
        <f t="shared" si="13"/>
        <v>P.MDF 4,5X50|46122</v>
      </c>
    </row>
    <row r="879" ht="13.5" customHeight="1" spans="1:12">
      <c r="A879" s="17">
        <v>46121.825</v>
      </c>
      <c r="B879" s="6" t="s">
        <v>4876</v>
      </c>
      <c r="C879" s="6" t="s">
        <v>5155</v>
      </c>
      <c r="D879" s="6" t="s">
        <v>4894</v>
      </c>
      <c r="E879" s="6" t="s">
        <v>26</v>
      </c>
      <c r="F879" s="6" t="s">
        <v>4882</v>
      </c>
      <c r="G879" s="6" t="s">
        <v>2269</v>
      </c>
      <c r="H879" s="6">
        <v>100</v>
      </c>
      <c r="I879" s="18">
        <v>17</v>
      </c>
      <c r="J879" s="19">
        <v>46121.8278659375</v>
      </c>
      <c r="K879" s="6" t="s">
        <v>4880</v>
      </c>
      <c r="L879" t="str">
        <f t="shared" si="13"/>
        <v>P.MDF 4,0 X 35 100 PÇS|46122</v>
      </c>
    </row>
    <row r="880" ht="13.5" customHeight="1" spans="1:12">
      <c r="A880" s="17">
        <v>46121.8298148148</v>
      </c>
      <c r="B880" s="6" t="s">
        <v>4876</v>
      </c>
      <c r="C880" s="6" t="s">
        <v>5465</v>
      </c>
      <c r="D880" s="6" t="s">
        <v>5277</v>
      </c>
      <c r="E880" s="6" t="s">
        <v>26</v>
      </c>
      <c r="F880" s="6" t="s">
        <v>4882</v>
      </c>
      <c r="G880" s="6" t="s">
        <v>4680</v>
      </c>
      <c r="H880" s="6">
        <v>4</v>
      </c>
      <c r="I880" s="18">
        <v>4</v>
      </c>
      <c r="J880" s="19">
        <v>46121.8392019676</v>
      </c>
      <c r="K880" s="6" t="s">
        <v>4880</v>
      </c>
      <c r="L880" t="str">
        <f t="shared" si="13"/>
        <v>ADAPTADOR PLUG P2 STEREO|46122</v>
      </c>
    </row>
    <row r="881" ht="13.5" customHeight="1" spans="1:12">
      <c r="A881" s="17">
        <v>46121.8298148148</v>
      </c>
      <c r="B881" s="6" t="s">
        <v>4876</v>
      </c>
      <c r="C881" s="6" t="s">
        <v>5465</v>
      </c>
      <c r="D881" s="6" t="s">
        <v>5277</v>
      </c>
      <c r="E881" s="6" t="s">
        <v>26</v>
      </c>
      <c r="F881" s="6" t="s">
        <v>4882</v>
      </c>
      <c r="G881" s="6" t="s">
        <v>1976</v>
      </c>
      <c r="H881" s="6">
        <v>4</v>
      </c>
      <c r="I881" s="18">
        <v>8</v>
      </c>
      <c r="J881" s="19">
        <v>46121.8392012384</v>
      </c>
      <c r="K881" s="6" t="s">
        <v>4880</v>
      </c>
      <c r="L881" t="str">
        <f t="shared" si="13"/>
        <v>PLUG RCA GOLDE 58MM|46122</v>
      </c>
    </row>
    <row r="882" ht="13.5" customHeight="1" spans="1:12">
      <c r="A882" s="17">
        <v>46122.3534722222</v>
      </c>
      <c r="B882" s="6" t="s">
        <v>4876</v>
      </c>
      <c r="C882" s="6" t="s">
        <v>5466</v>
      </c>
      <c r="D882" s="6" t="s">
        <v>5224</v>
      </c>
      <c r="E882" s="6" t="s">
        <v>26</v>
      </c>
      <c r="F882" s="6" t="s">
        <v>4882</v>
      </c>
      <c r="G882" s="6" t="s">
        <v>635</v>
      </c>
      <c r="H882" s="6">
        <v>25</v>
      </c>
      <c r="I882" s="18">
        <v>139</v>
      </c>
      <c r="J882" s="19">
        <v>46125.3552570602</v>
      </c>
      <c r="K882" s="6" t="s">
        <v>4880</v>
      </c>
      <c r="L882" t="str">
        <f t="shared" si="13"/>
        <v>RAÇÃO P/ PEIXE (LAGUNA)|46122</v>
      </c>
    </row>
    <row r="883" ht="13.5" customHeight="1" spans="1:12">
      <c r="A883" s="17">
        <v>46122.3548611111</v>
      </c>
      <c r="B883" s="6" t="s">
        <v>4876</v>
      </c>
      <c r="C883" s="6" t="s">
        <v>5467</v>
      </c>
      <c r="D883" s="6" t="s">
        <v>4919</v>
      </c>
      <c r="E883" s="6" t="s">
        <v>26</v>
      </c>
      <c r="F883" s="6" t="s">
        <v>4882</v>
      </c>
      <c r="G883" s="6" t="s">
        <v>239</v>
      </c>
      <c r="H883" s="6">
        <v>6</v>
      </c>
      <c r="I883" s="18">
        <v>185.4</v>
      </c>
      <c r="J883" s="19">
        <v>46125.356058831</v>
      </c>
      <c r="K883" s="6" t="s">
        <v>4880</v>
      </c>
      <c r="L883" t="str">
        <f t="shared" si="13"/>
        <v>SPRAY PRETO FOSCO 360ML DECOR COLORGIN|46122</v>
      </c>
    </row>
    <row r="884" ht="13.5" customHeight="1" spans="1:12">
      <c r="A884" s="17">
        <v>46122.3555555556</v>
      </c>
      <c r="B884" s="6" t="s">
        <v>4876</v>
      </c>
      <c r="C884" s="6" t="s">
        <v>5468</v>
      </c>
      <c r="D884" s="6" t="s">
        <v>4884</v>
      </c>
      <c r="E884" s="6" t="s">
        <v>26</v>
      </c>
      <c r="F884" s="6" t="s">
        <v>4882</v>
      </c>
      <c r="G884" s="6" t="s">
        <v>849</v>
      </c>
      <c r="H884" s="6">
        <v>5</v>
      </c>
      <c r="I884" s="18">
        <v>265</v>
      </c>
      <c r="J884" s="19">
        <v>46125.3576520486</v>
      </c>
      <c r="K884" s="6" t="s">
        <v>4880</v>
      </c>
      <c r="L884" t="str">
        <f t="shared" si="13"/>
        <v>REFLETOR LED TR SLIM 50W 6500K PRETO|46122</v>
      </c>
    </row>
    <row r="885" ht="13.5" customHeight="1" spans="1:12">
      <c r="A885" s="17">
        <v>46122.3555555556</v>
      </c>
      <c r="B885" s="6" t="s">
        <v>4876</v>
      </c>
      <c r="C885" s="6" t="s">
        <v>5468</v>
      </c>
      <c r="D885" s="6" t="s">
        <v>4884</v>
      </c>
      <c r="E885" s="6" t="s">
        <v>26</v>
      </c>
      <c r="F885" s="6" t="s">
        <v>4882</v>
      </c>
      <c r="G885" s="6" t="s">
        <v>1769</v>
      </c>
      <c r="H885" s="6">
        <v>1</v>
      </c>
      <c r="I885" s="18">
        <v>84.65</v>
      </c>
      <c r="J885" s="19">
        <v>46125.3576502315</v>
      </c>
      <c r="K885" s="6" t="s">
        <v>4880</v>
      </c>
      <c r="L885" t="str">
        <f t="shared" si="13"/>
        <v>REFLETOR LED TR SLIM 100W 6500K|46122</v>
      </c>
    </row>
    <row r="886" ht="13.5" customHeight="1" spans="1:12">
      <c r="A886" s="17">
        <v>46122.3555555556</v>
      </c>
      <c r="B886" s="6" t="s">
        <v>4876</v>
      </c>
      <c r="C886" s="6" t="s">
        <v>5468</v>
      </c>
      <c r="D886" s="6" t="s">
        <v>4884</v>
      </c>
      <c r="E886" s="6" t="s">
        <v>26</v>
      </c>
      <c r="F886" s="6" t="s">
        <v>4882</v>
      </c>
      <c r="G886" s="6" t="s">
        <v>2935</v>
      </c>
      <c r="H886" s="6">
        <v>3</v>
      </c>
      <c r="I886" s="18">
        <v>89.25</v>
      </c>
      <c r="J886" s="19">
        <v>46125.3576484144</v>
      </c>
      <c r="K886" s="6" t="s">
        <v>4880</v>
      </c>
      <c r="L886" t="str">
        <f t="shared" si="13"/>
        <v>GERDAU PREGO 17X27 CC 1KG|46122</v>
      </c>
    </row>
    <row r="887" ht="13.5" customHeight="1" spans="1:12">
      <c r="A887" s="17">
        <v>46122.3888425926</v>
      </c>
      <c r="B887" s="6" t="s">
        <v>4876</v>
      </c>
      <c r="C887" s="6" t="s">
        <v>4974</v>
      </c>
      <c r="D887" s="6" t="s">
        <v>4879</v>
      </c>
      <c r="E887" s="6" t="s">
        <v>26</v>
      </c>
      <c r="F887" s="6" t="s">
        <v>4882</v>
      </c>
      <c r="G887" s="6" t="s">
        <v>352</v>
      </c>
      <c r="H887" s="6">
        <v>3</v>
      </c>
      <c r="I887" s="18">
        <v>132</v>
      </c>
      <c r="J887" s="19">
        <v>46122.38990625</v>
      </c>
      <c r="K887" s="6" t="s">
        <v>4880</v>
      </c>
      <c r="L887" t="str">
        <f t="shared" si="13"/>
        <v>LU CINTA DE APERTO-AÇO (GUARDA-PÓ) A9798300029|46122</v>
      </c>
    </row>
    <row r="888" ht="13.5" customHeight="1" spans="1:12">
      <c r="A888" s="17">
        <v>46122.404375</v>
      </c>
      <c r="B888" s="6" t="s">
        <v>4876</v>
      </c>
      <c r="C888" s="6" t="s">
        <v>5469</v>
      </c>
      <c r="D888" s="6" t="s">
        <v>4879</v>
      </c>
      <c r="E888" s="6" t="s">
        <v>26</v>
      </c>
      <c r="F888" s="6" t="s">
        <v>4882</v>
      </c>
      <c r="G888" s="6" t="s">
        <v>362</v>
      </c>
      <c r="H888" s="6">
        <v>5</v>
      </c>
      <c r="I888" s="18">
        <v>160</v>
      </c>
      <c r="J888" s="19">
        <v>46122.4060794792</v>
      </c>
      <c r="K888" s="6" t="s">
        <v>4880</v>
      </c>
      <c r="L888" t="str">
        <f t="shared" si="13"/>
        <v>COBERTURA MBB LE A9796277002|46122</v>
      </c>
    </row>
    <row r="889" ht="13.5" customHeight="1" spans="1:12">
      <c r="A889" s="17">
        <v>46125.3743055556</v>
      </c>
      <c r="B889" s="6" t="s">
        <v>4876</v>
      </c>
      <c r="C889" s="6" t="s">
        <v>5470</v>
      </c>
      <c r="D889" s="6" t="s">
        <v>5471</v>
      </c>
      <c r="E889" s="6" t="s">
        <v>26</v>
      </c>
      <c r="F889" s="6" t="s">
        <v>4882</v>
      </c>
      <c r="G889" s="6" t="s">
        <v>2350</v>
      </c>
      <c r="H889" s="6">
        <v>20</v>
      </c>
      <c r="I889" s="18">
        <v>149</v>
      </c>
      <c r="J889" s="19">
        <v>46126.3830415857</v>
      </c>
      <c r="K889" s="6" t="s">
        <v>4880</v>
      </c>
      <c r="L889" t="str">
        <f t="shared" si="13"/>
        <v>OLEO DE SOJA 900ML|46125</v>
      </c>
    </row>
    <row r="890" ht="13.5" customHeight="1" spans="1:12">
      <c r="A890" s="17">
        <v>46125.4506944444</v>
      </c>
      <c r="B890" s="6" t="s">
        <v>4876</v>
      </c>
      <c r="C890" s="6" t="s">
        <v>5472</v>
      </c>
      <c r="D890" s="6" t="s">
        <v>5473</v>
      </c>
      <c r="E890" s="6" t="s">
        <v>26</v>
      </c>
      <c r="F890" s="6" t="s">
        <v>4882</v>
      </c>
      <c r="G890" s="6" t="s">
        <v>4118</v>
      </c>
      <c r="H890" s="6">
        <v>30</v>
      </c>
      <c r="I890" s="18">
        <v>186</v>
      </c>
      <c r="J890" s="19">
        <v>46128.4544081366</v>
      </c>
      <c r="K890" s="6" t="s">
        <v>4880</v>
      </c>
      <c r="L890" t="str">
        <f t="shared" si="13"/>
        <v>CABO MANGA 8 VIAS 26AWG PRETO SEM BLINDAGEM |46125</v>
      </c>
    </row>
    <row r="891" ht="13.5" customHeight="1" spans="1:12">
      <c r="A891" s="17">
        <v>46125.5405092593</v>
      </c>
      <c r="B891" s="6" t="s">
        <v>4876</v>
      </c>
      <c r="C891" s="6" t="s">
        <v>5474</v>
      </c>
      <c r="D891" s="6" t="s">
        <v>4971</v>
      </c>
      <c r="E891" s="6" t="s">
        <v>26</v>
      </c>
      <c r="F891" s="6" t="s">
        <v>4882</v>
      </c>
      <c r="G891" s="6" t="s">
        <v>868</v>
      </c>
      <c r="H891" s="6">
        <v>1080</v>
      </c>
      <c r="I891" s="18">
        <v>1080</v>
      </c>
      <c r="J891" s="19">
        <v>46125.5420410069</v>
      </c>
      <c r="K891" s="6" t="s">
        <v>4880</v>
      </c>
      <c r="L891" t="str">
        <f t="shared" si="13"/>
        <v>CORDA 4MM BRANCA|46126</v>
      </c>
    </row>
    <row r="892" ht="13.5" customHeight="1" spans="1:12">
      <c r="A892" s="17">
        <v>46125.5427314815</v>
      </c>
      <c r="B892" s="6" t="s">
        <v>4876</v>
      </c>
      <c r="C892" s="6" t="s">
        <v>5475</v>
      </c>
      <c r="D892" s="6" t="s">
        <v>4894</v>
      </c>
      <c r="E892" s="6" t="s">
        <v>26</v>
      </c>
      <c r="F892" s="6" t="s">
        <v>4882</v>
      </c>
      <c r="G892" s="6" t="s">
        <v>2126</v>
      </c>
      <c r="H892" s="6">
        <v>100</v>
      </c>
      <c r="I892" s="18">
        <v>16</v>
      </c>
      <c r="J892" s="19">
        <v>46125.545177662</v>
      </c>
      <c r="K892" s="6" t="s">
        <v>4880</v>
      </c>
      <c r="L892" t="str">
        <f t="shared" si="13"/>
        <v>PARAFUSO PERFURANTE 4,2 X 25|46126</v>
      </c>
    </row>
    <row r="893" ht="13.5" customHeight="1" spans="1:12">
      <c r="A893" s="17">
        <v>46125.5427314815</v>
      </c>
      <c r="B893" s="6" t="s">
        <v>4876</v>
      </c>
      <c r="C893" s="6" t="s">
        <v>5475</v>
      </c>
      <c r="D893" s="6" t="s">
        <v>4894</v>
      </c>
      <c r="E893" s="6" t="s">
        <v>26</v>
      </c>
      <c r="F893" s="6" t="s">
        <v>4882</v>
      </c>
      <c r="G893" s="6" t="s">
        <v>40</v>
      </c>
      <c r="H893" s="6">
        <v>10</v>
      </c>
      <c r="I893" s="18">
        <v>1628</v>
      </c>
      <c r="J893" s="19">
        <v>46125.5451771181</v>
      </c>
      <c r="K893" s="6" t="s">
        <v>4880</v>
      </c>
      <c r="L893" t="str">
        <f t="shared" si="13"/>
        <v>RODA COLSON PNEUMATICA 350-4 R.7|46126</v>
      </c>
    </row>
    <row r="894" ht="13.5" customHeight="1" spans="1:12">
      <c r="A894" s="17">
        <v>46125.5733796296</v>
      </c>
      <c r="B894" s="6" t="s">
        <v>4876</v>
      </c>
      <c r="C894" s="6" t="s">
        <v>5476</v>
      </c>
      <c r="D894" s="6" t="s">
        <v>4954</v>
      </c>
      <c r="E894" s="6" t="s">
        <v>26</v>
      </c>
      <c r="F894" s="6" t="s">
        <v>4882</v>
      </c>
      <c r="G894" s="6" t="s">
        <v>1753</v>
      </c>
      <c r="H894" s="6">
        <v>2</v>
      </c>
      <c r="I894" s="18">
        <v>614</v>
      </c>
      <c r="J894" s="19">
        <v>46125.5781138889</v>
      </c>
      <c r="K894" s="6" t="s">
        <v>4880</v>
      </c>
      <c r="L894" t="str">
        <f t="shared" si="13"/>
        <v>RELE AUXILIAR 29MT 24V|46126</v>
      </c>
    </row>
    <row r="895" ht="13.5" customHeight="1" spans="1:12">
      <c r="A895" s="17">
        <v>46125.5733796296</v>
      </c>
      <c r="B895" s="6" t="s">
        <v>4876</v>
      </c>
      <c r="C895" s="6" t="s">
        <v>5476</v>
      </c>
      <c r="D895" s="6" t="s">
        <v>4954</v>
      </c>
      <c r="E895" s="6" t="s">
        <v>26</v>
      </c>
      <c r="F895" s="6" t="s">
        <v>4882</v>
      </c>
      <c r="G895" s="6" t="s">
        <v>247</v>
      </c>
      <c r="H895" s="6">
        <v>10</v>
      </c>
      <c r="I895" s="18">
        <v>238</v>
      </c>
      <c r="J895" s="19">
        <v>46125.5781135069</v>
      </c>
      <c r="K895" s="6" t="s">
        <v>4880</v>
      </c>
      <c r="L895" t="str">
        <f t="shared" si="13"/>
        <v>LENTE LANTERNA ,  TRAZEIRA MODERNA / BICOLOR|46126</v>
      </c>
    </row>
    <row r="896" ht="13.5" customHeight="1" spans="1:12">
      <c r="A896" s="17">
        <v>46125.6278356482</v>
      </c>
      <c r="B896" s="6" t="s">
        <v>4876</v>
      </c>
      <c r="C896" s="6" t="s">
        <v>5477</v>
      </c>
      <c r="D896" s="6" t="s">
        <v>5358</v>
      </c>
      <c r="E896" s="6" t="s">
        <v>26</v>
      </c>
      <c r="F896" s="6" t="s">
        <v>4882</v>
      </c>
      <c r="G896" s="6" t="s">
        <v>3615</v>
      </c>
      <c r="H896" s="6">
        <v>1</v>
      </c>
      <c r="I896" s="18">
        <v>11</v>
      </c>
      <c r="J896" s="19">
        <v>46125.6284719097</v>
      </c>
      <c r="K896" s="6" t="s">
        <v>4880</v>
      </c>
      <c r="L896" t="str">
        <f t="shared" si="13"/>
        <v>COPIAS DE CHAVE |46126</v>
      </c>
    </row>
    <row r="897" ht="13.5" customHeight="1" spans="1:12">
      <c r="A897" s="17">
        <v>46125.6912962963</v>
      </c>
      <c r="B897" s="6" t="s">
        <v>4876</v>
      </c>
      <c r="C897" s="6" t="s">
        <v>5478</v>
      </c>
      <c r="D897" s="6" t="s">
        <v>5479</v>
      </c>
      <c r="E897" s="6" t="s">
        <v>26</v>
      </c>
      <c r="F897" s="6" t="s">
        <v>4882</v>
      </c>
      <c r="G897" s="6" t="s">
        <v>365</v>
      </c>
      <c r="H897" s="6">
        <v>1</v>
      </c>
      <c r="I897" s="18">
        <v>452</v>
      </c>
      <c r="J897" s="19">
        <v>46125.6934447569</v>
      </c>
      <c r="K897" s="6" t="s">
        <v>4880</v>
      </c>
      <c r="L897" t="str">
        <f t="shared" si="13"/>
        <v>VALVULA REGULADORA SPRINTER DEVOC|46126</v>
      </c>
    </row>
    <row r="898" ht="13.5" customHeight="1" spans="1:12">
      <c r="A898" s="17">
        <v>46126.3868055556</v>
      </c>
      <c r="B898" s="6" t="s">
        <v>4876</v>
      </c>
      <c r="C898" s="6" t="s">
        <v>5480</v>
      </c>
      <c r="D898" s="6" t="s">
        <v>5481</v>
      </c>
      <c r="E898" s="6" t="s">
        <v>390</v>
      </c>
      <c r="F898" s="6" t="s">
        <v>4879</v>
      </c>
      <c r="G898" s="6" t="s">
        <v>4837</v>
      </c>
      <c r="H898" s="6">
        <v>20</v>
      </c>
      <c r="I898" s="18">
        <v>2300</v>
      </c>
      <c r="J898" s="19">
        <v>46132.3888640046</v>
      </c>
      <c r="K898" s="6" t="s">
        <v>4880</v>
      </c>
      <c r="L898" t="str">
        <f t="shared" ref="L898:L961" si="14">IF(G898="","",G898&amp;"|"&amp;TEXT(A898,"0"))</f>
        <v>1803 FACA CIRCULA LISA CBC 200 E 250 -2MM|46126</v>
      </c>
    </row>
    <row r="899" ht="13.5" customHeight="1" spans="1:12">
      <c r="A899" s="17">
        <v>46126.4354166667</v>
      </c>
      <c r="B899" s="6" t="s">
        <v>4876</v>
      </c>
      <c r="C899" s="6" t="s">
        <v>5482</v>
      </c>
      <c r="D899" s="6" t="s">
        <v>5483</v>
      </c>
      <c r="E899" s="6" t="s">
        <v>26</v>
      </c>
      <c r="F899" s="6" t="s">
        <v>4882</v>
      </c>
      <c r="G899" s="6" t="s">
        <v>1993</v>
      </c>
      <c r="H899" s="6">
        <v>1</v>
      </c>
      <c r="I899" s="18">
        <v>37</v>
      </c>
      <c r="J899" s="19">
        <v>46134.4433762732</v>
      </c>
      <c r="K899" s="6" t="s">
        <v>4880</v>
      </c>
      <c r="L899" t="str">
        <f t="shared" si="14"/>
        <v>PLUG CONECTOR MACHO 8 VIAS LINHA DEUTSCH|46126</v>
      </c>
    </row>
    <row r="900" ht="13.5" customHeight="1" spans="1:12">
      <c r="A900" s="17">
        <v>46126.4354166667</v>
      </c>
      <c r="B900" s="6" t="s">
        <v>4876</v>
      </c>
      <c r="C900" s="6" t="s">
        <v>5482</v>
      </c>
      <c r="D900" s="6" t="s">
        <v>5483</v>
      </c>
      <c r="E900" s="6" t="s">
        <v>26</v>
      </c>
      <c r="F900" s="6" t="s">
        <v>4882</v>
      </c>
      <c r="G900" s="6" t="s">
        <v>1994</v>
      </c>
      <c r="H900" s="6">
        <v>1</v>
      </c>
      <c r="I900" s="18">
        <v>37</v>
      </c>
      <c r="J900" s="19">
        <v>46134.4433759259</v>
      </c>
      <c r="K900" s="6" t="s">
        <v>4880</v>
      </c>
      <c r="L900" t="str">
        <f t="shared" si="14"/>
        <v>PLUG CONECTOR FEMEA 8 VIAS|46126</v>
      </c>
    </row>
    <row r="901" ht="13.5" customHeight="1" spans="1:12">
      <c r="A901" s="17">
        <v>46126.4458333333</v>
      </c>
      <c r="B901" s="6" t="s">
        <v>4876</v>
      </c>
      <c r="C901" s="6" t="s">
        <v>5484</v>
      </c>
      <c r="D901" s="6" t="s">
        <v>4898</v>
      </c>
      <c r="E901" s="6" t="s">
        <v>51</v>
      </c>
      <c r="F901" s="6" t="s">
        <v>4879</v>
      </c>
      <c r="G901" s="6" t="s">
        <v>499</v>
      </c>
      <c r="H901" s="6">
        <v>1600.5</v>
      </c>
      <c r="I901" s="18">
        <v>21606.75</v>
      </c>
      <c r="J901" s="19">
        <v>46127.4477421644</v>
      </c>
      <c r="K901" s="6" t="s">
        <v>4880</v>
      </c>
      <c r="L901" t="str">
        <f t="shared" si="14"/>
        <v>STRETCH MANUAL 500MM X 25 MICRA X 3|46126</v>
      </c>
    </row>
    <row r="902" ht="13.5" customHeight="1" spans="1:12">
      <c r="A902" s="17">
        <v>46126.5510532407</v>
      </c>
      <c r="B902" s="6" t="s">
        <v>4876</v>
      </c>
      <c r="C902" s="6" t="s">
        <v>5485</v>
      </c>
      <c r="D902" s="6" t="s">
        <v>4954</v>
      </c>
      <c r="E902" s="6" t="s">
        <v>26</v>
      </c>
      <c r="F902" s="6" t="s">
        <v>4882</v>
      </c>
      <c r="G902" s="6" t="s">
        <v>196</v>
      </c>
      <c r="H902" s="6">
        <v>12</v>
      </c>
      <c r="I902" s="18">
        <v>552</v>
      </c>
      <c r="J902" s="19">
        <v>46126.5525055903</v>
      </c>
      <c r="K902" s="6" t="s">
        <v>4880</v>
      </c>
      <c r="L902" t="str">
        <f t="shared" si="14"/>
        <v>ANTI-FERRUGEM WD-40 300ML|46127</v>
      </c>
    </row>
    <row r="903" ht="13.5" customHeight="1" spans="1:12">
      <c r="A903" s="17">
        <v>46126.5510532407</v>
      </c>
      <c r="B903" s="6" t="s">
        <v>4876</v>
      </c>
      <c r="C903" s="6" t="s">
        <v>5485</v>
      </c>
      <c r="D903" s="6" t="s">
        <v>4954</v>
      </c>
      <c r="E903" s="6" t="s">
        <v>26</v>
      </c>
      <c r="F903" s="6" t="s">
        <v>4882</v>
      </c>
      <c r="G903" s="6" t="s">
        <v>28</v>
      </c>
      <c r="H903" s="6">
        <v>5</v>
      </c>
      <c r="I903" s="18">
        <v>340</v>
      </c>
      <c r="J903" s="19">
        <v>46126.5525032407</v>
      </c>
      <c r="K903" s="6" t="s">
        <v>4880</v>
      </c>
      <c r="L903" t="str">
        <f t="shared" si="14"/>
        <v>BUZINA BIBI 24V|46127</v>
      </c>
    </row>
    <row r="904" ht="13.5" customHeight="1" spans="1:12">
      <c r="A904" s="17">
        <v>46126.5510532407</v>
      </c>
      <c r="B904" s="6" t="s">
        <v>4876</v>
      </c>
      <c r="C904" s="6" t="s">
        <v>5485</v>
      </c>
      <c r="D904" s="6" t="s">
        <v>4954</v>
      </c>
      <c r="E904" s="6" t="s">
        <v>26</v>
      </c>
      <c r="F904" s="6" t="s">
        <v>4882</v>
      </c>
      <c r="G904" s="6" t="s">
        <v>67</v>
      </c>
      <c r="H904" s="6">
        <v>20</v>
      </c>
      <c r="I904" s="18">
        <v>538</v>
      </c>
      <c r="J904" s="19">
        <v>46126.5525008912</v>
      </c>
      <c r="K904" s="6" t="s">
        <v>4880</v>
      </c>
      <c r="L904" t="str">
        <f t="shared" si="14"/>
        <v>LANTERNA LATERAL LED REDONDA VER/LAR/CRISTAL|46127</v>
      </c>
    </row>
    <row r="905" ht="13.5" customHeight="1" spans="1:12">
      <c r="A905" s="17">
        <v>46126.5527777778</v>
      </c>
      <c r="B905" s="6" t="s">
        <v>4876</v>
      </c>
      <c r="C905" s="6" t="s">
        <v>5486</v>
      </c>
      <c r="D905" s="6" t="s">
        <v>5065</v>
      </c>
      <c r="E905" s="6" t="s">
        <v>26</v>
      </c>
      <c r="F905" s="6" t="s">
        <v>4882</v>
      </c>
      <c r="G905" s="6" t="s">
        <v>266</v>
      </c>
      <c r="H905" s="6">
        <v>3</v>
      </c>
      <c r="I905" s="18">
        <v>90</v>
      </c>
      <c r="J905" s="19">
        <v>46126.5533625347</v>
      </c>
      <c r="K905" s="6" t="s">
        <v>4880</v>
      </c>
      <c r="L905" t="str">
        <f t="shared" si="14"/>
        <v>LAMINA 2 PONTAS 350MM FURO 20MM AÇO (ROÇADEIRA)|46127</v>
      </c>
    </row>
    <row r="906" ht="13.5" customHeight="1" spans="1:12">
      <c r="A906" s="17">
        <v>46126.6894444445</v>
      </c>
      <c r="B906" s="6" t="s">
        <v>4876</v>
      </c>
      <c r="C906" s="6" t="s">
        <v>5487</v>
      </c>
      <c r="D906" s="6" t="s">
        <v>110</v>
      </c>
      <c r="E906" s="6" t="s">
        <v>26</v>
      </c>
      <c r="F906" s="6" t="s">
        <v>4882</v>
      </c>
      <c r="G906" s="6" t="s">
        <v>28</v>
      </c>
      <c r="H906" s="6">
        <v>5</v>
      </c>
      <c r="I906" s="18">
        <v>345</v>
      </c>
      <c r="J906" s="19">
        <v>46126.6902403588</v>
      </c>
      <c r="K906" s="6" t="s">
        <v>4880</v>
      </c>
      <c r="L906" t="str">
        <f t="shared" si="14"/>
        <v>BUZINA BIBI 24V|46127</v>
      </c>
    </row>
    <row r="907" ht="13.5" customHeight="1" spans="1:12">
      <c r="A907" s="17">
        <v>46127.3888888889</v>
      </c>
      <c r="B907" s="6" t="s">
        <v>4876</v>
      </c>
      <c r="C907" s="6" t="s">
        <v>5488</v>
      </c>
      <c r="D907" s="6" t="s">
        <v>5489</v>
      </c>
      <c r="E907" s="6" t="s">
        <v>26</v>
      </c>
      <c r="F907" s="6" t="s">
        <v>4882</v>
      </c>
      <c r="G907" s="6" t="s">
        <v>3493</v>
      </c>
      <c r="H907" s="6">
        <v>1</v>
      </c>
      <c r="I907" s="18">
        <v>135.56</v>
      </c>
      <c r="J907" s="19">
        <v>46132.3920132755</v>
      </c>
      <c r="K907" s="6" t="s">
        <v>4880</v>
      </c>
      <c r="L907" t="str">
        <f t="shared" si="14"/>
        <v>DEFLETOR DE AR DO RA 26218102|46127</v>
      </c>
    </row>
    <row r="908" ht="13.5" customHeight="1" spans="1:12">
      <c r="A908" s="17">
        <v>46127.4436805556</v>
      </c>
      <c r="B908" s="6" t="s">
        <v>4876</v>
      </c>
      <c r="C908" s="6" t="s">
        <v>5490</v>
      </c>
      <c r="D908" s="6" t="s">
        <v>110</v>
      </c>
      <c r="E908" s="6" t="s">
        <v>26</v>
      </c>
      <c r="F908" s="6" t="s">
        <v>4882</v>
      </c>
      <c r="G908" s="6" t="s">
        <v>179</v>
      </c>
      <c r="H908" s="6">
        <v>3</v>
      </c>
      <c r="I908" s="18">
        <v>720</v>
      </c>
      <c r="J908" s="19">
        <v>46127.4445985301</v>
      </c>
      <c r="K908" s="6" t="s">
        <v>4880</v>
      </c>
      <c r="L908" t="str">
        <f t="shared" si="14"/>
        <v>LANTERNA DIANTEIRA MB ACCELO (LD)|46127</v>
      </c>
    </row>
    <row r="909" ht="13.5" customHeight="1" spans="1:12">
      <c r="A909" s="17">
        <v>46127.4447916667</v>
      </c>
      <c r="B909" s="6" t="s">
        <v>4876</v>
      </c>
      <c r="C909" s="6" t="s">
        <v>5491</v>
      </c>
      <c r="D909" s="6" t="s">
        <v>5492</v>
      </c>
      <c r="E909" s="6" t="s">
        <v>26</v>
      </c>
      <c r="F909" s="6" t="s">
        <v>4882</v>
      </c>
      <c r="G909" s="6" t="s">
        <v>4214</v>
      </c>
      <c r="H909" s="6">
        <v>1</v>
      </c>
      <c r="I909" s="18">
        <v>31.6</v>
      </c>
      <c r="J909" s="19">
        <v>46127.4462343403</v>
      </c>
      <c r="K909" s="6" t="s">
        <v>4880</v>
      </c>
      <c r="L909" t="str">
        <f t="shared" si="14"/>
        <v>BROCA VIDEA 13X260MM|46127</v>
      </c>
    </row>
    <row r="910" ht="13.5" customHeight="1" spans="1:12">
      <c r="A910" s="17">
        <v>46127.45</v>
      </c>
      <c r="B910" s="6" t="s">
        <v>4876</v>
      </c>
      <c r="C910" s="6" t="s">
        <v>5493</v>
      </c>
      <c r="D910" s="6" t="s">
        <v>5109</v>
      </c>
      <c r="E910" s="6" t="s">
        <v>26</v>
      </c>
      <c r="F910" s="6" t="s">
        <v>4882</v>
      </c>
      <c r="G910" s="6" t="s">
        <v>1769</v>
      </c>
      <c r="H910" s="6">
        <v>2</v>
      </c>
      <c r="I910" s="18">
        <v>199.8</v>
      </c>
      <c r="J910" s="19">
        <v>46128.4509392014</v>
      </c>
      <c r="K910" s="6" t="s">
        <v>4880</v>
      </c>
      <c r="L910" t="str">
        <f t="shared" si="14"/>
        <v>REFLETOR LED TR SLIM 100W 6500K|46127</v>
      </c>
    </row>
    <row r="911" ht="13.5" customHeight="1" spans="1:12">
      <c r="A911" s="17">
        <v>46127.6906481482</v>
      </c>
      <c r="B911" s="6" t="s">
        <v>4876</v>
      </c>
      <c r="C911" s="6" t="s">
        <v>5494</v>
      </c>
      <c r="D911" s="6" t="s">
        <v>5208</v>
      </c>
      <c r="E911" s="6" t="s">
        <v>26</v>
      </c>
      <c r="F911" s="6" t="s">
        <v>4882</v>
      </c>
      <c r="G911" s="6" t="s">
        <v>697</v>
      </c>
      <c r="H911" s="6">
        <v>1</v>
      </c>
      <c r="I911" s="18">
        <v>192</v>
      </c>
      <c r="J911" s="19">
        <v>46127.6978602199</v>
      </c>
      <c r="K911" s="6" t="s">
        <v>4880</v>
      </c>
      <c r="L911" t="str">
        <f t="shared" si="14"/>
        <v>MACACÃO REFLETIVO/BRIM 100% ALGODÃO 56=G|46128</v>
      </c>
    </row>
    <row r="912" ht="13.5" customHeight="1" spans="1:12">
      <c r="A912" s="17">
        <v>46128.4166666667</v>
      </c>
      <c r="B912" s="6" t="s">
        <v>4876</v>
      </c>
      <c r="C912" s="6" t="s">
        <v>5495</v>
      </c>
      <c r="D912" s="6" t="s">
        <v>5044</v>
      </c>
      <c r="E912" s="6" t="s">
        <v>38</v>
      </c>
      <c r="F912" s="6" t="s">
        <v>4879</v>
      </c>
      <c r="G912" s="6" t="s">
        <v>450</v>
      </c>
      <c r="H912" s="6">
        <v>20</v>
      </c>
      <c r="I912" s="18">
        <v>1640</v>
      </c>
      <c r="J912" s="19">
        <v>46129.4206011227</v>
      </c>
      <c r="K912" s="6" t="s">
        <v>4880</v>
      </c>
      <c r="L912" t="str">
        <f t="shared" si="14"/>
        <v>SACO DE LIXO 200L 5 KG	|46128</v>
      </c>
    </row>
    <row r="913" ht="13.5" customHeight="1" spans="1:12">
      <c r="A913" s="17">
        <v>46128.4166666667</v>
      </c>
      <c r="B913" s="6" t="s">
        <v>4876</v>
      </c>
      <c r="C913" s="6" t="s">
        <v>5495</v>
      </c>
      <c r="D913" s="6" t="s">
        <v>5044</v>
      </c>
      <c r="E913" s="6" t="s">
        <v>182</v>
      </c>
      <c r="F913" s="6" t="s">
        <v>4879</v>
      </c>
      <c r="G913" s="6" t="s">
        <v>533</v>
      </c>
      <c r="H913" s="6">
        <v>10</v>
      </c>
      <c r="I913" s="18">
        <v>600</v>
      </c>
      <c r="J913" s="19">
        <v>46129.4206000347</v>
      </c>
      <c r="K913" s="6" t="s">
        <v>4880</v>
      </c>
      <c r="L913" t="str">
        <f t="shared" si="14"/>
        <v>SACOLA VERDE REFORÇADA 50x60 5 KG|46128</v>
      </c>
    </row>
    <row r="914" ht="13.5" customHeight="1" spans="1:12">
      <c r="A914" s="17">
        <v>46128.4166666667</v>
      </c>
      <c r="B914" s="6" t="s">
        <v>4876</v>
      </c>
      <c r="C914" s="6" t="s">
        <v>5495</v>
      </c>
      <c r="D914" s="6" t="s">
        <v>5044</v>
      </c>
      <c r="E914" s="6" t="s">
        <v>182</v>
      </c>
      <c r="F914" s="6" t="s">
        <v>4879</v>
      </c>
      <c r="G914" s="6" t="s">
        <v>181</v>
      </c>
      <c r="H914" s="6">
        <v>250</v>
      </c>
      <c r="I914" s="18">
        <v>997.5</v>
      </c>
      <c r="J914" s="19">
        <v>46129.4205980324</v>
      </c>
      <c r="K914" s="6" t="s">
        <v>4880</v>
      </c>
      <c r="L914" t="str">
        <f t="shared" si="14"/>
        <v>COPO DESCARTÁVEL 200ML COPOMAIS|46128</v>
      </c>
    </row>
    <row r="915" ht="13.5" customHeight="1" spans="1:12">
      <c r="A915" s="17">
        <v>46128.529525463</v>
      </c>
      <c r="B915" s="6" t="s">
        <v>4876</v>
      </c>
      <c r="C915" s="6" t="s">
        <v>5496</v>
      </c>
      <c r="D915" s="6" t="s">
        <v>5497</v>
      </c>
      <c r="E915" s="6" t="s">
        <v>26</v>
      </c>
      <c r="F915" s="6" t="s">
        <v>4882</v>
      </c>
      <c r="G915" s="6" t="s">
        <v>1666</v>
      </c>
      <c r="H915" s="6">
        <v>3</v>
      </c>
      <c r="I915" s="18">
        <v>38.97</v>
      </c>
      <c r="J915" s="19">
        <v>46128.5308944445</v>
      </c>
      <c r="K915" s="6" t="s">
        <v>4880</v>
      </c>
      <c r="L915" t="str">
        <f t="shared" si="14"/>
        <v>RODO DRY 45CM ENCAIXE EURO|46129</v>
      </c>
    </row>
    <row r="916" ht="13.5" customHeight="1" spans="1:12">
      <c r="A916" s="17">
        <v>46128.5312847222</v>
      </c>
      <c r="B916" s="6" t="s">
        <v>4876</v>
      </c>
      <c r="C916" s="6" t="s">
        <v>5498</v>
      </c>
      <c r="D916" s="6" t="s">
        <v>5065</v>
      </c>
      <c r="E916" s="6" t="s">
        <v>26</v>
      </c>
      <c r="F916" s="6" t="s">
        <v>4882</v>
      </c>
      <c r="G916" s="6" t="s">
        <v>3840</v>
      </c>
      <c r="H916" s="6">
        <v>1</v>
      </c>
      <c r="I916" s="18">
        <v>30</v>
      </c>
      <c r="J916" s="19">
        <v>46128.5323871181</v>
      </c>
      <c r="K916" s="6" t="s">
        <v>4880</v>
      </c>
      <c r="L916" t="str">
        <f t="shared" si="14"/>
        <v>CHAVE DE VELA COM TORX A2|46129</v>
      </c>
    </row>
    <row r="917" ht="13.5" customHeight="1" spans="1:12">
      <c r="A917" s="17">
        <v>46128.5312847222</v>
      </c>
      <c r="B917" s="6" t="s">
        <v>4876</v>
      </c>
      <c r="C917" s="6" t="s">
        <v>5498</v>
      </c>
      <c r="D917" s="6" t="s">
        <v>5065</v>
      </c>
      <c r="E917" s="6" t="s">
        <v>26</v>
      </c>
      <c r="F917" s="6" t="s">
        <v>4882</v>
      </c>
      <c r="G917" s="6" t="s">
        <v>267</v>
      </c>
      <c r="H917" s="6">
        <v>2</v>
      </c>
      <c r="I917" s="18">
        <v>120</v>
      </c>
      <c r="J917" s="19">
        <v>46128.5323865741</v>
      </c>
      <c r="K917" s="6" t="s">
        <v>4880</v>
      </c>
      <c r="L917" t="str">
        <f t="shared" si="14"/>
        <v>OLEO LUBRIFICANTE 2T 500ML 8017H MARCA STIHLL|46129</v>
      </c>
    </row>
    <row r="918" ht="13.5" customHeight="1" spans="1:12">
      <c r="A918" s="17">
        <v>46128.5838773148</v>
      </c>
      <c r="B918" s="6" t="s">
        <v>4876</v>
      </c>
      <c r="C918" s="6" t="s">
        <v>5499</v>
      </c>
      <c r="D918" s="6" t="s">
        <v>5500</v>
      </c>
      <c r="E918" s="6" t="s">
        <v>26</v>
      </c>
      <c r="F918" s="6" t="s">
        <v>4882</v>
      </c>
      <c r="G918" s="6" t="s">
        <v>4669</v>
      </c>
      <c r="H918" s="6">
        <v>24</v>
      </c>
      <c r="I918" s="18">
        <v>528</v>
      </c>
      <c r="J918" s="19">
        <v>46128.5858053588</v>
      </c>
      <c r="K918" s="6" t="s">
        <v>4880</v>
      </c>
      <c r="L918" t="str">
        <f t="shared" si="14"/>
        <v>ADITIVO RADIADOR ECOLOGICO CONCENTRATO 1LT|46129</v>
      </c>
    </row>
    <row r="919" ht="13.5" customHeight="1" spans="1:12">
      <c r="A919" s="17">
        <v>46128.5863888889</v>
      </c>
      <c r="B919" s="6" t="s">
        <v>4876</v>
      </c>
      <c r="C919" s="6" t="s">
        <v>5501</v>
      </c>
      <c r="D919" s="6" t="s">
        <v>5502</v>
      </c>
      <c r="E919" s="6" t="s">
        <v>35</v>
      </c>
      <c r="F919" s="6" t="s">
        <v>4879</v>
      </c>
      <c r="G919" s="6" t="s">
        <v>165</v>
      </c>
      <c r="H919" s="6">
        <v>10</v>
      </c>
      <c r="I919" s="18">
        <v>1413.6</v>
      </c>
      <c r="J919" s="19">
        <v>46128.5891076736</v>
      </c>
      <c r="K919" s="6" t="s">
        <v>4880</v>
      </c>
      <c r="L919" t="str">
        <f t="shared" si="14"/>
        <v>SENSOR DE TEMPERATURA|46129</v>
      </c>
    </row>
    <row r="920" ht="13.5" customHeight="1" spans="1:12">
      <c r="A920" s="17">
        <v>46129.3618055556</v>
      </c>
      <c r="B920" s="6" t="s">
        <v>4876</v>
      </c>
      <c r="C920" s="6" t="s">
        <v>5503</v>
      </c>
      <c r="D920" s="6" t="s">
        <v>109</v>
      </c>
      <c r="E920" s="6" t="s">
        <v>26</v>
      </c>
      <c r="F920" s="6" t="s">
        <v>4882</v>
      </c>
      <c r="G920" s="6" t="s">
        <v>486</v>
      </c>
      <c r="H920" s="6">
        <v>4</v>
      </c>
      <c r="I920" s="18">
        <v>159.96</v>
      </c>
      <c r="J920" s="19">
        <v>46139.3717673958</v>
      </c>
      <c r="K920" s="6" t="s">
        <v>4880</v>
      </c>
      <c r="L920" t="str">
        <f t="shared" si="14"/>
        <v>SABONETE 5L LIQUIDO FRUTAS|46129</v>
      </c>
    </row>
    <row r="921" ht="13.5" customHeight="1" spans="1:12">
      <c r="A921" s="17">
        <v>46129.3618055556</v>
      </c>
      <c r="B921" s="6" t="s">
        <v>4876</v>
      </c>
      <c r="C921" s="6" t="s">
        <v>5503</v>
      </c>
      <c r="D921" s="6" t="s">
        <v>109</v>
      </c>
      <c r="E921" s="6" t="s">
        <v>26</v>
      </c>
      <c r="F921" s="6" t="s">
        <v>4882</v>
      </c>
      <c r="G921" s="6" t="s">
        <v>623</v>
      </c>
      <c r="H921" s="6">
        <v>8</v>
      </c>
      <c r="I921" s="18">
        <v>458</v>
      </c>
      <c r="J921" s="19">
        <v>46139.3717654282</v>
      </c>
      <c r="K921" s="6" t="s">
        <v>4880</v>
      </c>
      <c r="L921" t="str">
        <f t="shared" si="14"/>
        <v>ALCOOL 70% GL5L |46129</v>
      </c>
    </row>
    <row r="922" ht="13.5" customHeight="1" spans="1:12">
      <c r="A922" s="17">
        <v>46129.3618055556</v>
      </c>
      <c r="B922" s="6" t="s">
        <v>4876</v>
      </c>
      <c r="C922" s="6" t="s">
        <v>5503</v>
      </c>
      <c r="D922" s="6" t="s">
        <v>109</v>
      </c>
      <c r="E922" s="6" t="s">
        <v>26</v>
      </c>
      <c r="F922" s="6" t="s">
        <v>4882</v>
      </c>
      <c r="G922" s="6" t="s">
        <v>260</v>
      </c>
      <c r="H922" s="6">
        <v>6</v>
      </c>
      <c r="I922" s="18">
        <v>468</v>
      </c>
      <c r="J922" s="19">
        <v>46139.3717632755</v>
      </c>
      <c r="K922" s="6" t="s">
        <v>4880</v>
      </c>
      <c r="L922" t="str">
        <f t="shared" si="14"/>
        <v>PAPEL TOALHA BOBINA 6X20X200|46129</v>
      </c>
    </row>
    <row r="923" ht="13.5" customHeight="1" spans="1:12">
      <c r="A923" s="17">
        <v>46129.3618055556</v>
      </c>
      <c r="B923" s="6" t="s">
        <v>4876</v>
      </c>
      <c r="C923" s="6" t="s">
        <v>5503</v>
      </c>
      <c r="D923" s="6" t="s">
        <v>109</v>
      </c>
      <c r="E923" s="6" t="s">
        <v>26</v>
      </c>
      <c r="F923" s="6" t="s">
        <v>4882</v>
      </c>
      <c r="G923" s="6" t="s">
        <v>481</v>
      </c>
      <c r="H923" s="6">
        <v>8</v>
      </c>
      <c r="I923" s="18">
        <v>1056.16</v>
      </c>
      <c r="J923" s="19">
        <v>46139.3717618056</v>
      </c>
      <c r="K923" s="6" t="s">
        <v>4880</v>
      </c>
      <c r="L923" t="str">
        <f t="shared" si="14"/>
        <v>GUARDANAPO/PAPEL HIGIENICO INTERFOLHADO 250 FLS|46129</v>
      </c>
    </row>
    <row r="924" ht="13.5" customHeight="1" spans="1:12">
      <c r="A924" s="17">
        <v>46129.3618055556</v>
      </c>
      <c r="B924" s="6" t="s">
        <v>4876</v>
      </c>
      <c r="C924" s="6" t="s">
        <v>5503</v>
      </c>
      <c r="D924" s="6" t="s">
        <v>109</v>
      </c>
      <c r="E924" s="6" t="s">
        <v>26</v>
      </c>
      <c r="F924" s="6" t="s">
        <v>4882</v>
      </c>
      <c r="G924" s="6" t="s">
        <v>265</v>
      </c>
      <c r="H924" s="6">
        <v>8</v>
      </c>
      <c r="I924" s="18">
        <v>897.84</v>
      </c>
      <c r="J924" s="19">
        <v>46139.371760382</v>
      </c>
      <c r="K924" s="6" t="s">
        <v>4880</v>
      </c>
      <c r="L924" t="str">
        <f t="shared" si="14"/>
        <v>PAPEL TOALHA INTERFOLHADO 2D 2.400 FLS	|46129</v>
      </c>
    </row>
    <row r="925" ht="13.5" customHeight="1" spans="1:12">
      <c r="A925" s="17">
        <v>46129.4166666667</v>
      </c>
      <c r="B925" s="6" t="s">
        <v>4876</v>
      </c>
      <c r="C925" s="6" t="s">
        <v>5504</v>
      </c>
      <c r="D925" s="6" t="s">
        <v>4888</v>
      </c>
      <c r="E925" s="6" t="s">
        <v>26</v>
      </c>
      <c r="F925" s="6" t="s">
        <v>4882</v>
      </c>
      <c r="G925" s="6" t="s">
        <v>4457</v>
      </c>
      <c r="H925" s="6">
        <v>2</v>
      </c>
      <c r="I925" s="18">
        <v>30</v>
      </c>
      <c r="J925" s="19">
        <v>46132.4195652778</v>
      </c>
      <c r="K925" s="6" t="s">
        <v>4880</v>
      </c>
      <c r="L925" t="str">
        <f t="shared" si="14"/>
        <v>BARRO 20KG|46129</v>
      </c>
    </row>
    <row r="926" ht="13.5" customHeight="1" spans="1:12">
      <c r="A926" s="17">
        <v>46129.4166666667</v>
      </c>
      <c r="B926" s="6" t="s">
        <v>4876</v>
      </c>
      <c r="C926" s="6" t="s">
        <v>5504</v>
      </c>
      <c r="D926" s="6" t="s">
        <v>4888</v>
      </c>
      <c r="E926" s="6" t="s">
        <v>26</v>
      </c>
      <c r="F926" s="6" t="s">
        <v>4882</v>
      </c>
      <c r="G926" s="6" t="s">
        <v>2075</v>
      </c>
      <c r="H926" s="6">
        <v>1</v>
      </c>
      <c r="I926" s="18">
        <v>24</v>
      </c>
      <c r="J926" s="19">
        <v>46132.419565081</v>
      </c>
      <c r="K926" s="6" t="s">
        <v>4880</v>
      </c>
      <c r="L926" t="str">
        <f t="shared" si="14"/>
        <v>PAU BRASIL|46129</v>
      </c>
    </row>
    <row r="927" ht="13.5" customHeight="1" spans="1:12">
      <c r="A927" s="17">
        <v>46129.4166666667</v>
      </c>
      <c r="B927" s="6" t="s">
        <v>4876</v>
      </c>
      <c r="C927" s="6" t="s">
        <v>5504</v>
      </c>
      <c r="D927" s="6" t="s">
        <v>4888</v>
      </c>
      <c r="E927" s="6" t="s">
        <v>26</v>
      </c>
      <c r="F927" s="6" t="s">
        <v>4882</v>
      </c>
      <c r="G927" s="6" t="s">
        <v>3904</v>
      </c>
      <c r="H927" s="6">
        <v>1</v>
      </c>
      <c r="I927" s="18">
        <v>50</v>
      </c>
      <c r="J927" s="19">
        <v>46132.4195649306</v>
      </c>
      <c r="K927" s="6" t="s">
        <v>4880</v>
      </c>
      <c r="L927" t="str">
        <f t="shared" si="14"/>
        <v>CASCA DE PINUS MEDIA POLIDIA 40 LT|46129</v>
      </c>
    </row>
    <row r="928" ht="13.5" customHeight="1" spans="1:12">
      <c r="A928" s="17">
        <v>46129.4166666667</v>
      </c>
      <c r="B928" s="6" t="s">
        <v>4876</v>
      </c>
      <c r="C928" s="6" t="s">
        <v>5504</v>
      </c>
      <c r="D928" s="6" t="s">
        <v>4888</v>
      </c>
      <c r="E928" s="6" t="s">
        <v>26</v>
      </c>
      <c r="F928" s="6" t="s">
        <v>4882</v>
      </c>
      <c r="G928" s="6" t="s">
        <v>1545</v>
      </c>
      <c r="H928" s="6">
        <v>4</v>
      </c>
      <c r="I928" s="18">
        <v>48</v>
      </c>
      <c r="J928" s="19">
        <v>46132.4195645486</v>
      </c>
      <c r="K928" s="6" t="s">
        <v>4880</v>
      </c>
      <c r="L928" t="str">
        <f t="shared" si="14"/>
        <v>SACO DE TERRA ADUBADA GR 20KL|46129</v>
      </c>
    </row>
    <row r="929" ht="13.5" customHeight="1" spans="1:12">
      <c r="A929" s="17">
        <v>46129.4166666667</v>
      </c>
      <c r="B929" s="6" t="s">
        <v>4876</v>
      </c>
      <c r="C929" s="6" t="s">
        <v>5504</v>
      </c>
      <c r="D929" s="6" t="s">
        <v>4888</v>
      </c>
      <c r="E929" s="6" t="s">
        <v>26</v>
      </c>
      <c r="F929" s="6" t="s">
        <v>4882</v>
      </c>
      <c r="G929" s="6" t="s">
        <v>3686</v>
      </c>
      <c r="H929" s="6">
        <v>4</v>
      </c>
      <c r="I929" s="18">
        <v>112</v>
      </c>
      <c r="J929" s="19">
        <v>46132.4195642014</v>
      </c>
      <c r="K929" s="6" t="s">
        <v>4880</v>
      </c>
      <c r="L929" t="str">
        <f t="shared" si="14"/>
        <v>CONDICIONADOR NATUS FLOREIRA 25KG|46129</v>
      </c>
    </row>
    <row r="930" ht="13.5" customHeight="1" spans="1:12">
      <c r="A930" s="17">
        <v>46129.5444907407</v>
      </c>
      <c r="B930" s="6" t="s">
        <v>4876</v>
      </c>
      <c r="C930" s="6" t="s">
        <v>5505</v>
      </c>
      <c r="D930" s="6" t="s">
        <v>5065</v>
      </c>
      <c r="E930" s="6" t="s">
        <v>26</v>
      </c>
      <c r="F930" s="6" t="s">
        <v>4882</v>
      </c>
      <c r="G930" s="6" t="s">
        <v>4137</v>
      </c>
      <c r="H930" s="6">
        <v>1</v>
      </c>
      <c r="I930" s="18">
        <v>20</v>
      </c>
      <c r="J930" s="19">
        <v>46129.5467625347</v>
      </c>
      <c r="K930" s="6" t="s">
        <v>4880</v>
      </c>
      <c r="L930" t="str">
        <f t="shared" si="14"/>
        <v>CABO DE FOICE 1MT|46130</v>
      </c>
    </row>
    <row r="931" ht="13.5" customHeight="1" spans="1:12">
      <c r="A931" s="17">
        <v>46129.5444907407</v>
      </c>
      <c r="B931" s="6" t="s">
        <v>4876</v>
      </c>
      <c r="C931" s="6" t="s">
        <v>5505</v>
      </c>
      <c r="D931" s="6" t="s">
        <v>5065</v>
      </c>
      <c r="E931" s="6" t="s">
        <v>26</v>
      </c>
      <c r="F931" s="6" t="s">
        <v>4882</v>
      </c>
      <c r="G931" s="6" t="s">
        <v>3015</v>
      </c>
      <c r="H931" s="6">
        <v>1</v>
      </c>
      <c r="I931" s="18">
        <v>65</v>
      </c>
      <c r="J931" s="19">
        <v>46129.5467620023</v>
      </c>
      <c r="K931" s="6" t="s">
        <v>4880</v>
      </c>
      <c r="L931" t="str">
        <f t="shared" si="14"/>
        <v>FORCADO CURVO 4D C/CABO|46130</v>
      </c>
    </row>
    <row r="932" ht="13.5" customHeight="1" spans="1:12">
      <c r="A932" s="17">
        <v>46129.5444907407</v>
      </c>
      <c r="B932" s="6" t="s">
        <v>4876</v>
      </c>
      <c r="C932" s="6" t="s">
        <v>5505</v>
      </c>
      <c r="D932" s="6" t="s">
        <v>5065</v>
      </c>
      <c r="E932" s="6" t="s">
        <v>26</v>
      </c>
      <c r="F932" s="6" t="s">
        <v>4882</v>
      </c>
      <c r="G932" s="6" t="s">
        <v>983</v>
      </c>
      <c r="H932" s="6">
        <v>1</v>
      </c>
      <c r="I932" s="18">
        <v>53</v>
      </c>
      <c r="J932" s="19">
        <v>46129.546759838</v>
      </c>
      <c r="K932" s="6" t="s">
        <v>4880</v>
      </c>
      <c r="L932" t="str">
        <f t="shared" si="14"/>
        <v>VASSOURA PALHETA FIXA C/CABO|46130</v>
      </c>
    </row>
    <row r="933" ht="13.5" customHeight="1" spans="1:12">
      <c r="A933" s="17">
        <v>46129.5470601852</v>
      </c>
      <c r="B933" s="6" t="s">
        <v>4876</v>
      </c>
      <c r="C933" s="6" t="s">
        <v>5506</v>
      </c>
      <c r="D933" s="6" t="s">
        <v>4901</v>
      </c>
      <c r="E933" s="6" t="s">
        <v>26</v>
      </c>
      <c r="F933" s="6" t="s">
        <v>4882</v>
      </c>
      <c r="G933" s="6" t="s">
        <v>2905</v>
      </c>
      <c r="H933" s="6">
        <v>1</v>
      </c>
      <c r="I933" s="18">
        <v>205</v>
      </c>
      <c r="J933" s="19">
        <v>46129.5475300579</v>
      </c>
      <c r="K933" s="6" t="s">
        <v>4880</v>
      </c>
      <c r="L933" t="str">
        <f t="shared" si="14"/>
        <v>GÁS BOTIJÃO P 20|46130</v>
      </c>
    </row>
    <row r="934" ht="13.5" customHeight="1" spans="1:12">
      <c r="A934" s="17">
        <v>46129.6563541667</v>
      </c>
      <c r="B934" s="6" t="s">
        <v>4876</v>
      </c>
      <c r="C934" s="6" t="s">
        <v>5507</v>
      </c>
      <c r="D934" s="6" t="s">
        <v>4954</v>
      </c>
      <c r="E934" s="6" t="s">
        <v>26</v>
      </c>
      <c r="F934" s="6" t="s">
        <v>4882</v>
      </c>
      <c r="G934" s="6" t="s">
        <v>254</v>
      </c>
      <c r="H934" s="6">
        <v>1</v>
      </c>
      <c r="I934" s="18">
        <v>179</v>
      </c>
      <c r="J934" s="19">
        <v>46129.6587940972</v>
      </c>
      <c r="K934" s="6" t="s">
        <v>4880</v>
      </c>
      <c r="L934" t="str">
        <f t="shared" si="14"/>
        <v>MANGUEIRA DO INTERCOOLER 70x70x220|46130</v>
      </c>
    </row>
    <row r="935" ht="13.5" customHeight="1" spans="1:12">
      <c r="A935" s="17">
        <v>46129.6563541667</v>
      </c>
      <c r="B935" s="6" t="s">
        <v>4876</v>
      </c>
      <c r="C935" s="6" t="s">
        <v>5507</v>
      </c>
      <c r="D935" s="6" t="s">
        <v>4954</v>
      </c>
      <c r="E935" s="6" t="s">
        <v>26</v>
      </c>
      <c r="F935" s="6" t="s">
        <v>4882</v>
      </c>
      <c r="G935" s="6" t="s">
        <v>326</v>
      </c>
      <c r="H935" s="6">
        <v>2</v>
      </c>
      <c r="I935" s="18">
        <v>143.8</v>
      </c>
      <c r="J935" s="19">
        <v>46129.6587886921</v>
      </c>
      <c r="K935" s="6" t="s">
        <v>4880</v>
      </c>
      <c r="L935" t="str">
        <f t="shared" si="14"/>
        <v>SENSOR DE EMBREAGEM VW (321)|46130</v>
      </c>
    </row>
    <row r="936" ht="13.5" customHeight="1" spans="1:12">
      <c r="A936" s="17">
        <v>46129.6616782407</v>
      </c>
      <c r="B936" s="6" t="s">
        <v>4876</v>
      </c>
      <c r="C936" s="6" t="s">
        <v>5508</v>
      </c>
      <c r="D936" s="6" t="s">
        <v>4971</v>
      </c>
      <c r="E936" s="6" t="s">
        <v>26</v>
      </c>
      <c r="F936" s="6" t="s">
        <v>4882</v>
      </c>
      <c r="G936" s="6" t="s">
        <v>4525</v>
      </c>
      <c r="H936" s="6">
        <v>0.01</v>
      </c>
      <c r="I936" s="18">
        <v>1.6576</v>
      </c>
      <c r="J936" s="19">
        <v>46129.6628716435</v>
      </c>
      <c r="K936" s="6" t="s">
        <v>4880</v>
      </c>
      <c r="L936" t="str">
        <f t="shared" si="14"/>
        <v>ASSENTO SANITARIO SIMPLES|46130</v>
      </c>
    </row>
    <row r="937" ht="13.5" customHeight="1" spans="1:12">
      <c r="A937" s="17">
        <v>46131.7222222222</v>
      </c>
      <c r="B937" s="6" t="s">
        <v>4876</v>
      </c>
      <c r="C937" s="6" t="s">
        <v>5509</v>
      </c>
      <c r="D937" s="6" t="s">
        <v>5194</v>
      </c>
      <c r="E937" s="6" t="s">
        <v>26</v>
      </c>
      <c r="F937" s="6" t="s">
        <v>4882</v>
      </c>
      <c r="G937" s="6" t="s">
        <v>551</v>
      </c>
      <c r="H937" s="6">
        <v>4</v>
      </c>
      <c r="I937" s="18">
        <v>3156</v>
      </c>
      <c r="J937" s="19">
        <v>46140.7240199884</v>
      </c>
      <c r="K937" s="6" t="s">
        <v>4880</v>
      </c>
      <c r="L937" t="str">
        <f t="shared" si="14"/>
        <v>INTERMAX A/C B50L|46132</v>
      </c>
    </row>
    <row r="938" ht="13.5" customHeight="1" spans="1:12">
      <c r="A938" s="17">
        <v>46132.3361111111</v>
      </c>
      <c r="B938" s="6" t="s">
        <v>4876</v>
      </c>
      <c r="C938" s="6" t="s">
        <v>5510</v>
      </c>
      <c r="D938" s="6" t="s">
        <v>4971</v>
      </c>
      <c r="E938" s="6" t="s">
        <v>26</v>
      </c>
      <c r="F938" s="6" t="s">
        <v>4882</v>
      </c>
      <c r="G938" s="6" t="s">
        <v>4599</v>
      </c>
      <c r="H938" s="6">
        <v>1</v>
      </c>
      <c r="I938" s="18">
        <v>51.65</v>
      </c>
      <c r="J938" s="19">
        <v>46134.3374418634</v>
      </c>
      <c r="K938" s="6" t="s">
        <v>4880</v>
      </c>
      <c r="L938" t="str">
        <f t="shared" si="14"/>
        <v>AQUATHERM ADESIVO 175G|46132</v>
      </c>
    </row>
    <row r="939" ht="13.5" customHeight="1" spans="1:12">
      <c r="A939" s="17">
        <v>46132.4194444444</v>
      </c>
      <c r="B939" s="6" t="s">
        <v>4876</v>
      </c>
      <c r="C939" s="6" t="s">
        <v>5511</v>
      </c>
      <c r="D939" s="6" t="s">
        <v>4907</v>
      </c>
      <c r="E939" s="6" t="s">
        <v>38</v>
      </c>
      <c r="F939" s="6" t="s">
        <v>4879</v>
      </c>
      <c r="G939" s="6" t="s">
        <v>439</v>
      </c>
      <c r="H939" s="6">
        <v>24</v>
      </c>
      <c r="I939" s="18">
        <v>23.52</v>
      </c>
      <c r="J939" s="19">
        <v>46134.4232992245</v>
      </c>
      <c r="K939" s="6" t="s">
        <v>4880</v>
      </c>
      <c r="L939" t="str">
        <f t="shared" si="14"/>
        <v>ESPONJA MULTIUSO|46132</v>
      </c>
    </row>
    <row r="940" ht="13.5" customHeight="1" spans="1:12">
      <c r="A940" s="17">
        <v>46132.4194444444</v>
      </c>
      <c r="B940" s="6" t="s">
        <v>4876</v>
      </c>
      <c r="C940" s="6" t="s">
        <v>5511</v>
      </c>
      <c r="D940" s="6" t="s">
        <v>4907</v>
      </c>
      <c r="E940" s="6" t="s">
        <v>38</v>
      </c>
      <c r="F940" s="6" t="s">
        <v>4879</v>
      </c>
      <c r="G940" s="6" t="s">
        <v>262</v>
      </c>
      <c r="H940" s="6">
        <v>20</v>
      </c>
      <c r="I940" s="18">
        <v>44.4</v>
      </c>
      <c r="J940" s="19">
        <v>46134.4232981482</v>
      </c>
      <c r="K940" s="6" t="s">
        <v>4880</v>
      </c>
      <c r="L940" t="str">
        <f t="shared" si="14"/>
        <v>DETERGENTE LAVA LOUÇA 500ML|46132</v>
      </c>
    </row>
    <row r="941" ht="13.5" customHeight="1" spans="1:12">
      <c r="A941" s="17">
        <v>46132.4194444444</v>
      </c>
      <c r="B941" s="6" t="s">
        <v>4876</v>
      </c>
      <c r="C941" s="6" t="s">
        <v>5511</v>
      </c>
      <c r="D941" s="6" t="s">
        <v>4907</v>
      </c>
      <c r="E941" s="6" t="s">
        <v>38</v>
      </c>
      <c r="F941" s="6" t="s">
        <v>4879</v>
      </c>
      <c r="G941" s="6" t="s">
        <v>425</v>
      </c>
      <c r="H941" s="6">
        <v>15</v>
      </c>
      <c r="I941" s="18">
        <v>453</v>
      </c>
      <c r="J941" s="19">
        <v>46134.4232966782</v>
      </c>
      <c r="K941" s="6" t="s">
        <v>4880</v>
      </c>
      <c r="L941" t="str">
        <f t="shared" si="14"/>
        <v>PANO DE CHÃO ALVEJADO 100% ALGODÃO |46132</v>
      </c>
    </row>
    <row r="942" ht="13.5" customHeight="1" spans="1:12">
      <c r="A942" s="17">
        <v>46132.4194444444</v>
      </c>
      <c r="B942" s="6" t="s">
        <v>4876</v>
      </c>
      <c r="C942" s="6" t="s">
        <v>5511</v>
      </c>
      <c r="D942" s="6" t="s">
        <v>4907</v>
      </c>
      <c r="E942" s="6" t="s">
        <v>182</v>
      </c>
      <c r="F942" s="6" t="s">
        <v>4879</v>
      </c>
      <c r="G942" s="6" t="s">
        <v>269</v>
      </c>
      <c r="H942" s="6">
        <v>24</v>
      </c>
      <c r="I942" s="18">
        <v>56.88</v>
      </c>
      <c r="J942" s="19">
        <v>46134.4232943287</v>
      </c>
      <c r="K942" s="6" t="s">
        <v>4880</v>
      </c>
      <c r="L942" t="str">
        <f t="shared" si="14"/>
        <v>ESTILETE LARGO|46132</v>
      </c>
    </row>
    <row r="943" ht="13.5" customHeight="1" spans="1:12">
      <c r="A943" s="17">
        <v>46132.4194444444</v>
      </c>
      <c r="B943" s="6" t="s">
        <v>4876</v>
      </c>
      <c r="C943" s="6" t="s">
        <v>5511</v>
      </c>
      <c r="D943" s="6" t="s">
        <v>4907</v>
      </c>
      <c r="E943" s="6" t="s">
        <v>38</v>
      </c>
      <c r="F943" s="6" t="s">
        <v>4879</v>
      </c>
      <c r="G943" s="6" t="s">
        <v>451</v>
      </c>
      <c r="H943" s="6">
        <v>40</v>
      </c>
      <c r="I943" s="18">
        <v>151.6</v>
      </c>
      <c r="J943" s="19">
        <v>46134.4232921644</v>
      </c>
      <c r="K943" s="6" t="s">
        <v>4880</v>
      </c>
      <c r="L943" t="str">
        <f t="shared" si="14"/>
        <v>PEDRA SANITARIA 25GR FLORAL|46132</v>
      </c>
    </row>
    <row r="944" ht="13.5" customHeight="1" spans="1:12">
      <c r="A944" s="17">
        <v>46132.4194444444</v>
      </c>
      <c r="B944" s="6" t="s">
        <v>4876</v>
      </c>
      <c r="C944" s="6" t="s">
        <v>5511</v>
      </c>
      <c r="D944" s="6" t="s">
        <v>4907</v>
      </c>
      <c r="E944" s="6" t="s">
        <v>182</v>
      </c>
      <c r="F944" s="6" t="s">
        <v>4879</v>
      </c>
      <c r="G944" s="6" t="s">
        <v>431</v>
      </c>
      <c r="H944" s="6">
        <v>100</v>
      </c>
      <c r="I944" s="18">
        <v>2340</v>
      </c>
      <c r="J944" s="19">
        <v>46134.4232901968</v>
      </c>
      <c r="K944" s="6" t="s">
        <v>4880</v>
      </c>
      <c r="L944" t="str">
        <f t="shared" si="14"/>
        <v>PACOTE DE FOLHA A4 CHAMEX|46132</v>
      </c>
    </row>
    <row r="945" ht="13.5" customHeight="1" spans="1:12">
      <c r="A945" s="17">
        <v>46132.44375</v>
      </c>
      <c r="B945" s="6" t="s">
        <v>4876</v>
      </c>
      <c r="C945" s="6" t="s">
        <v>5512</v>
      </c>
      <c r="D945" s="6" t="s">
        <v>4892</v>
      </c>
      <c r="E945" s="6" t="s">
        <v>26</v>
      </c>
      <c r="F945" s="6" t="s">
        <v>4882</v>
      </c>
      <c r="G945" s="6" t="s">
        <v>372</v>
      </c>
      <c r="H945" s="6">
        <v>1</v>
      </c>
      <c r="I945" s="18">
        <v>120</v>
      </c>
      <c r="J945" s="19">
        <v>46134.4477080208</v>
      </c>
      <c r="K945" s="6" t="s">
        <v>4880</v>
      </c>
      <c r="L945" t="str">
        <f t="shared" si="14"/>
        <v>COXIM DO MOTOR MENOR SPRINTER|46132</v>
      </c>
    </row>
    <row r="946" ht="13.5" customHeight="1" spans="1:12">
      <c r="A946" s="17">
        <v>46132.44375</v>
      </c>
      <c r="B946" s="6" t="s">
        <v>4876</v>
      </c>
      <c r="C946" s="6" t="s">
        <v>5512</v>
      </c>
      <c r="D946" s="6" t="s">
        <v>4892</v>
      </c>
      <c r="E946" s="6" t="s">
        <v>26</v>
      </c>
      <c r="F946" s="6" t="s">
        <v>4882</v>
      </c>
      <c r="G946" s="6" t="s">
        <v>3545</v>
      </c>
      <c r="H946" s="6">
        <v>1</v>
      </c>
      <c r="I946" s="18">
        <v>180</v>
      </c>
      <c r="J946" s="19">
        <v>46134.4477076736</v>
      </c>
      <c r="K946" s="6" t="s">
        <v>4880</v>
      </c>
      <c r="L946" t="str">
        <f t="shared" si="14"/>
        <v>COXIM DO MOTOR MAIOR SPRINTER |46132</v>
      </c>
    </row>
    <row r="947" ht="13.5" customHeight="1" spans="1:12">
      <c r="A947" s="17">
        <v>46132.5794328704</v>
      </c>
      <c r="B947" s="6" t="s">
        <v>4876</v>
      </c>
      <c r="C947" s="6" t="s">
        <v>5513</v>
      </c>
      <c r="D947" s="6" t="s">
        <v>5003</v>
      </c>
      <c r="E947" s="6" t="s">
        <v>26</v>
      </c>
      <c r="F947" s="6" t="s">
        <v>4882</v>
      </c>
      <c r="G947" s="6" t="s">
        <v>413</v>
      </c>
      <c r="H947" s="6">
        <v>50</v>
      </c>
      <c r="I947" s="18">
        <v>349.5</v>
      </c>
      <c r="J947" s="19">
        <v>46132.5807529282</v>
      </c>
      <c r="K947" s="6" t="s">
        <v>4880</v>
      </c>
      <c r="L947" t="str">
        <f t="shared" si="14"/>
        <v>GASOLINA COMUM 01|46133</v>
      </c>
    </row>
    <row r="948" ht="13.5" customHeight="1" spans="1:12">
      <c r="A948" s="17">
        <v>46134.3923611111</v>
      </c>
      <c r="B948" s="6" t="s">
        <v>4876</v>
      </c>
      <c r="C948" s="6" t="s">
        <v>5514</v>
      </c>
      <c r="D948" s="6" t="s">
        <v>5515</v>
      </c>
      <c r="E948" s="6" t="s">
        <v>26</v>
      </c>
      <c r="F948" s="6" t="s">
        <v>4882</v>
      </c>
      <c r="G948" s="6" t="s">
        <v>660</v>
      </c>
      <c r="H948" s="6">
        <v>1</v>
      </c>
      <c r="I948" s="18">
        <v>2899</v>
      </c>
      <c r="J948" s="19">
        <v>46136.3964226042</v>
      </c>
      <c r="K948" s="6" t="s">
        <v>4880</v>
      </c>
      <c r="L948" t="str">
        <f t="shared" si="14"/>
        <v>CELULAR SANSUNG GALAXY S25 128GB AZUL|46134</v>
      </c>
    </row>
    <row r="949" ht="13.5" customHeight="1" spans="1:12">
      <c r="A949" s="17">
        <v>46134.3965277778</v>
      </c>
      <c r="B949" s="6" t="s">
        <v>4876</v>
      </c>
      <c r="C949" s="6" t="s">
        <v>5516</v>
      </c>
      <c r="D949" s="6" t="s">
        <v>5517</v>
      </c>
      <c r="E949" s="6" t="s">
        <v>390</v>
      </c>
      <c r="F949" s="6" t="s">
        <v>4879</v>
      </c>
      <c r="G949" s="6" t="s">
        <v>3205</v>
      </c>
      <c r="H949" s="6">
        <v>1</v>
      </c>
      <c r="I949" s="18">
        <v>183</v>
      </c>
      <c r="J949" s="19">
        <v>46136.4033408912</v>
      </c>
      <c r="K949" s="6" t="s">
        <v>4880</v>
      </c>
      <c r="L949" t="str">
        <f t="shared" si="14"/>
        <v>FACA DESOSSAR CABO BRANCO 15CM-M|46134</v>
      </c>
    </row>
    <row r="950" ht="13.5" customHeight="1" spans="1:12">
      <c r="A950" s="17">
        <v>46134.3965277778</v>
      </c>
      <c r="B950" s="6" t="s">
        <v>4876</v>
      </c>
      <c r="C950" s="6" t="s">
        <v>5516</v>
      </c>
      <c r="D950" s="6" t="s">
        <v>5517</v>
      </c>
      <c r="E950" s="6" t="s">
        <v>390</v>
      </c>
      <c r="F950" s="6" t="s">
        <v>4879</v>
      </c>
      <c r="G950" s="6" t="s">
        <v>3525</v>
      </c>
      <c r="H950" s="6">
        <v>1</v>
      </c>
      <c r="I950" s="18">
        <v>137</v>
      </c>
      <c r="J950" s="19">
        <v>46136.4033405093</v>
      </c>
      <c r="K950" s="6" t="s">
        <v>4880</v>
      </c>
      <c r="L950" t="str">
        <f t="shared" si="14"/>
        <v>CRUZETA DUPLA INOX CAF 98|46134</v>
      </c>
    </row>
    <row r="951" ht="13.5" customHeight="1" spans="1:12">
      <c r="A951" s="17">
        <v>46134.3965277778</v>
      </c>
      <c r="B951" s="6" t="s">
        <v>4876</v>
      </c>
      <c r="C951" s="6" t="s">
        <v>5516</v>
      </c>
      <c r="D951" s="6" t="s">
        <v>5517</v>
      </c>
      <c r="E951" s="6" t="s">
        <v>390</v>
      </c>
      <c r="F951" s="6" t="s">
        <v>4879</v>
      </c>
      <c r="G951" s="6" t="s">
        <v>3430</v>
      </c>
      <c r="H951" s="6">
        <v>1</v>
      </c>
      <c r="I951" s="18">
        <v>144</v>
      </c>
      <c r="J951" s="19">
        <v>46136.403340162</v>
      </c>
      <c r="K951" s="6" t="s">
        <v>4880</v>
      </c>
      <c r="L951" t="str">
        <f t="shared" si="14"/>
        <v>DISCO PRE-CORTADOR INOX N.98|46134</v>
      </c>
    </row>
    <row r="952" ht="13.5" customHeight="1" spans="1:12">
      <c r="A952" s="17">
        <v>46134.3965277778</v>
      </c>
      <c r="B952" s="6" t="s">
        <v>4876</v>
      </c>
      <c r="C952" s="6" t="s">
        <v>5516</v>
      </c>
      <c r="D952" s="6" t="s">
        <v>5517</v>
      </c>
      <c r="E952" s="6" t="s">
        <v>390</v>
      </c>
      <c r="F952" s="6" t="s">
        <v>4879</v>
      </c>
      <c r="G952" s="6" t="s">
        <v>3434</v>
      </c>
      <c r="H952" s="6">
        <v>1</v>
      </c>
      <c r="I952" s="18">
        <v>241</v>
      </c>
      <c r="J952" s="19">
        <v>46136.4033394329</v>
      </c>
      <c r="K952" s="6" t="s">
        <v>4880</v>
      </c>
      <c r="L952" t="str">
        <f t="shared" si="14"/>
        <v>DISCO INOX HG- 8090-S FURO 5,0 MM CAF|46134</v>
      </c>
    </row>
    <row r="953" ht="13.5" customHeight="1" spans="1:12">
      <c r="A953" s="17">
        <v>46134.4273032407</v>
      </c>
      <c r="B953" s="6" t="s">
        <v>4876</v>
      </c>
      <c r="C953" s="6" t="s">
        <v>5518</v>
      </c>
      <c r="D953" s="6" t="s">
        <v>5129</v>
      </c>
      <c r="E953" s="6" t="s">
        <v>26</v>
      </c>
      <c r="F953" s="6" t="s">
        <v>4882</v>
      </c>
      <c r="G953" s="6" t="s">
        <v>4615</v>
      </c>
      <c r="H953" s="6">
        <v>1</v>
      </c>
      <c r="I953" s="18">
        <v>1.5</v>
      </c>
      <c r="J953" s="19">
        <v>46134.4279353009</v>
      </c>
      <c r="K953" s="6" t="s">
        <v>4880</v>
      </c>
      <c r="L953" t="str">
        <f t="shared" si="14"/>
        <v>ANEL ELASTICO EXTERNO |46134</v>
      </c>
    </row>
    <row r="954" ht="13.5" customHeight="1" spans="1:12">
      <c r="A954" s="17">
        <v>46134.428125</v>
      </c>
      <c r="B954" s="6" t="s">
        <v>4876</v>
      </c>
      <c r="C954" s="6" t="s">
        <v>5519</v>
      </c>
      <c r="D954" s="6" t="s">
        <v>110</v>
      </c>
      <c r="E954" s="6" t="s">
        <v>26</v>
      </c>
      <c r="F954" s="6" t="s">
        <v>4882</v>
      </c>
      <c r="G954" s="6" t="s">
        <v>331</v>
      </c>
      <c r="H954" s="6">
        <v>2</v>
      </c>
      <c r="I954" s="18">
        <v>120</v>
      </c>
      <c r="J954" s="19">
        <v>46134.4287417477</v>
      </c>
      <c r="K954" s="6" t="s">
        <v>4880</v>
      </c>
      <c r="L954" t="str">
        <f t="shared" si="14"/>
        <v>BUZINA BIBI 12V|46134</v>
      </c>
    </row>
    <row r="955" ht="13.5" customHeight="1" spans="1:12">
      <c r="A955" s="17">
        <v>46134.4423611111</v>
      </c>
      <c r="B955" s="6" t="s">
        <v>4876</v>
      </c>
      <c r="C955" s="6" t="s">
        <v>5520</v>
      </c>
      <c r="D955" s="6" t="s">
        <v>5521</v>
      </c>
      <c r="E955" s="6" t="s">
        <v>26</v>
      </c>
      <c r="F955" s="6" t="s">
        <v>4882</v>
      </c>
      <c r="G955" s="6" t="s">
        <v>1680</v>
      </c>
      <c r="H955" s="6">
        <v>1</v>
      </c>
      <c r="I955" s="18">
        <v>1541.49</v>
      </c>
      <c r="J955" s="19">
        <v>46139.4455374653</v>
      </c>
      <c r="K955" s="6" t="s">
        <v>4880</v>
      </c>
      <c r="L955" t="str">
        <f t="shared" si="14"/>
        <v>RODA DE ALUMINIO CAMINHÃO 295 8,25X22,5 AUTOBRILHO F.QUADRADO|46134</v>
      </c>
    </row>
    <row r="956" ht="13.5" customHeight="1" spans="1:12">
      <c r="A956" s="17">
        <v>46134.4458333333</v>
      </c>
      <c r="B956" s="6" t="s">
        <v>4876</v>
      </c>
      <c r="C956" s="6" t="s">
        <v>5522</v>
      </c>
      <c r="D956" s="6" t="s">
        <v>5521</v>
      </c>
      <c r="E956" s="6" t="s">
        <v>26</v>
      </c>
      <c r="F956" s="6" t="s">
        <v>4882</v>
      </c>
      <c r="G956" s="6" t="s">
        <v>1680</v>
      </c>
      <c r="H956" s="6">
        <v>1</v>
      </c>
      <c r="I956" s="18">
        <v>1541.49</v>
      </c>
      <c r="J956" s="19">
        <v>46139.4466243056</v>
      </c>
      <c r="K956" s="6" t="s">
        <v>4880</v>
      </c>
      <c r="L956" t="str">
        <f t="shared" si="14"/>
        <v>RODA DE ALUMINIO CAMINHÃO 295 8,25X22,5 AUTOBRILHO F.QUADRADO|46134</v>
      </c>
    </row>
    <row r="957" ht="13.5" customHeight="1" spans="1:12">
      <c r="A957" s="17">
        <v>46134.5969560185</v>
      </c>
      <c r="B957" s="6" t="s">
        <v>4876</v>
      </c>
      <c r="C957" s="6" t="s">
        <v>5523</v>
      </c>
      <c r="D957" s="6" t="s">
        <v>4954</v>
      </c>
      <c r="E957" s="6" t="s">
        <v>26</v>
      </c>
      <c r="F957" s="6" t="s">
        <v>4882</v>
      </c>
      <c r="G957" s="6" t="s">
        <v>373</v>
      </c>
      <c r="H957" s="6">
        <v>1</v>
      </c>
      <c r="I957" s="18">
        <v>24</v>
      </c>
      <c r="J957" s="19">
        <v>46134.5992443634</v>
      </c>
      <c r="K957" s="6" t="s">
        <v>4880</v>
      </c>
      <c r="L957" t="str">
        <f t="shared" si="14"/>
        <v>junta da turbina om-904 |46135</v>
      </c>
    </row>
    <row r="958" ht="13.5" customHeight="1" spans="1:12">
      <c r="A958" s="17">
        <v>46134.6002546296</v>
      </c>
      <c r="B958" s="6" t="s">
        <v>4876</v>
      </c>
      <c r="C958" s="6" t="s">
        <v>5524</v>
      </c>
      <c r="D958" s="6" t="s">
        <v>4890</v>
      </c>
      <c r="E958" s="6" t="s">
        <v>26</v>
      </c>
      <c r="F958" s="6" t="s">
        <v>4882</v>
      </c>
      <c r="G958" s="6" t="s">
        <v>2049</v>
      </c>
      <c r="H958" s="6">
        <v>1</v>
      </c>
      <c r="I958" s="18">
        <v>28</v>
      </c>
      <c r="J958" s="19">
        <v>46134.6063494213</v>
      </c>
      <c r="K958" s="6" t="s">
        <v>4880</v>
      </c>
      <c r="L958" t="str">
        <f t="shared" si="14"/>
        <v>PERIQUITO VERMELHO|46135</v>
      </c>
    </row>
    <row r="959" ht="13.5" customHeight="1" spans="1:12">
      <c r="A959" s="17">
        <v>46134.6002546296</v>
      </c>
      <c r="B959" s="6" t="s">
        <v>4876</v>
      </c>
      <c r="C959" s="6" t="s">
        <v>5524</v>
      </c>
      <c r="D959" s="6" t="s">
        <v>4890</v>
      </c>
      <c r="E959" s="6" t="s">
        <v>26</v>
      </c>
      <c r="F959" s="6" t="s">
        <v>4882</v>
      </c>
      <c r="G959" s="6" t="s">
        <v>1121</v>
      </c>
      <c r="H959" s="6">
        <v>1</v>
      </c>
      <c r="I959" s="18">
        <v>20</v>
      </c>
      <c r="J959" s="19">
        <v>46134.6063494213</v>
      </c>
      <c r="K959" s="6" t="s">
        <v>4880</v>
      </c>
      <c r="L959" t="str">
        <f t="shared" si="14"/>
        <v>TRAMOTINA PAZINHA ESTREITA|46135</v>
      </c>
    </row>
    <row r="960" ht="13.5" customHeight="1" spans="1:12">
      <c r="A960" s="17">
        <v>46134.6002546296</v>
      </c>
      <c r="B960" s="6" t="s">
        <v>4876</v>
      </c>
      <c r="C960" s="6" t="s">
        <v>5524</v>
      </c>
      <c r="D960" s="6" t="s">
        <v>4890</v>
      </c>
      <c r="E960" s="6" t="s">
        <v>26</v>
      </c>
      <c r="F960" s="6" t="s">
        <v>4882</v>
      </c>
      <c r="G960" s="6" t="s">
        <v>4212</v>
      </c>
      <c r="H960" s="6">
        <v>3</v>
      </c>
      <c r="I960" s="18">
        <v>96</v>
      </c>
      <c r="J960" s="19">
        <v>46134.6063490741</v>
      </c>
      <c r="K960" s="6" t="s">
        <v>4880</v>
      </c>
      <c r="L960" t="str">
        <f t="shared" si="14"/>
        <v>BROMELIA IMPERIAL |46135</v>
      </c>
    </row>
    <row r="961" ht="13.5" customHeight="1" spans="1:12">
      <c r="A961" s="17">
        <v>46134.6002546296</v>
      </c>
      <c r="B961" s="6" t="s">
        <v>4876</v>
      </c>
      <c r="C961" s="6" t="s">
        <v>5524</v>
      </c>
      <c r="D961" s="6" t="s">
        <v>4890</v>
      </c>
      <c r="E961" s="6" t="s">
        <v>26</v>
      </c>
      <c r="F961" s="6" t="s">
        <v>4882</v>
      </c>
      <c r="G961" s="6" t="s">
        <v>4597</v>
      </c>
      <c r="H961" s="6">
        <v>1</v>
      </c>
      <c r="I961" s="18">
        <v>21</v>
      </c>
      <c r="J961" s="19">
        <v>46134.6063486921</v>
      </c>
      <c r="K961" s="6" t="s">
        <v>4880</v>
      </c>
      <c r="L961" t="str">
        <f t="shared" si="14"/>
        <v>ARACA|46135</v>
      </c>
    </row>
    <row r="962" ht="13.5" customHeight="1" spans="1:12">
      <c r="A962" s="17">
        <v>46134.6002546296</v>
      </c>
      <c r="B962" s="6" t="s">
        <v>4876</v>
      </c>
      <c r="C962" s="6" t="s">
        <v>5524</v>
      </c>
      <c r="D962" s="6" t="s">
        <v>4890</v>
      </c>
      <c r="E962" s="6" t="s">
        <v>26</v>
      </c>
      <c r="F962" s="6" t="s">
        <v>4882</v>
      </c>
      <c r="G962" s="6" t="s">
        <v>2894</v>
      </c>
      <c r="H962" s="6">
        <v>3</v>
      </c>
      <c r="I962" s="18">
        <v>16.8</v>
      </c>
      <c r="J962" s="19">
        <v>46134.6063486921</v>
      </c>
      <c r="K962" s="6" t="s">
        <v>4880</v>
      </c>
      <c r="L962" t="str">
        <f t="shared" ref="L962:L1025" si="15">IF(G962="","",G962&amp;"|"&amp;TEXT(A962,"0"))</f>
        <v>HORTENCIA|46135</v>
      </c>
    </row>
    <row r="963" ht="13.5" customHeight="1" spans="1:12">
      <c r="A963" s="17">
        <v>46134.6002546296</v>
      </c>
      <c r="B963" s="6" t="s">
        <v>4876</v>
      </c>
      <c r="C963" s="6" t="s">
        <v>5524</v>
      </c>
      <c r="D963" s="6" t="s">
        <v>4890</v>
      </c>
      <c r="E963" s="6" t="s">
        <v>26</v>
      </c>
      <c r="F963" s="6" t="s">
        <v>4882</v>
      </c>
      <c r="G963" s="6" t="s">
        <v>2008</v>
      </c>
      <c r="H963" s="6">
        <v>3</v>
      </c>
      <c r="I963" s="18">
        <v>72</v>
      </c>
      <c r="J963" s="19">
        <v>46134.6063483449</v>
      </c>
      <c r="K963" s="6" t="s">
        <v>4880</v>
      </c>
      <c r="L963" t="str">
        <f t="shared" si="15"/>
        <v>PLANTA ALAMANDA AMARELA|46135</v>
      </c>
    </row>
    <row r="964" ht="13.5" customHeight="1" spans="1:12">
      <c r="A964" s="17">
        <v>46134.6002546296</v>
      </c>
      <c r="B964" s="6" t="s">
        <v>4876</v>
      </c>
      <c r="C964" s="6" t="s">
        <v>5524</v>
      </c>
      <c r="D964" s="6" t="s">
        <v>4890</v>
      </c>
      <c r="E964" s="6" t="s">
        <v>26</v>
      </c>
      <c r="F964" s="6" t="s">
        <v>4882</v>
      </c>
      <c r="G964" s="6" t="s">
        <v>2005</v>
      </c>
      <c r="H964" s="6">
        <v>5</v>
      </c>
      <c r="I964" s="18">
        <v>140</v>
      </c>
      <c r="J964" s="19">
        <v>46134.6063478009</v>
      </c>
      <c r="K964" s="6" t="s">
        <v>4880</v>
      </c>
      <c r="L964" t="str">
        <f t="shared" si="15"/>
        <v>PLANTA LANTANA COMUM|46135</v>
      </c>
    </row>
    <row r="965" ht="13.5" customHeight="1" spans="1:12">
      <c r="A965" s="17">
        <v>46135.4034722222</v>
      </c>
      <c r="B965" s="6" t="s">
        <v>4876</v>
      </c>
      <c r="C965" s="6" t="s">
        <v>5525</v>
      </c>
      <c r="D965" s="6" t="s">
        <v>4888</v>
      </c>
      <c r="E965" s="6" t="s">
        <v>26</v>
      </c>
      <c r="F965" s="6" t="s">
        <v>4882</v>
      </c>
      <c r="G965" s="6" t="s">
        <v>3903</v>
      </c>
      <c r="H965" s="6">
        <v>4</v>
      </c>
      <c r="I965" s="18">
        <v>200</v>
      </c>
      <c r="J965" s="19">
        <v>46136.4051789005</v>
      </c>
      <c r="K965" s="6" t="s">
        <v>4880</v>
      </c>
      <c r="L965" t="str">
        <f t="shared" si="15"/>
        <v>CASCA PINUS|46135</v>
      </c>
    </row>
    <row r="966" ht="13.5" customHeight="1" spans="1:12">
      <c r="A966" s="17">
        <v>46135.6746180556</v>
      </c>
      <c r="B966" s="6" t="s">
        <v>4876</v>
      </c>
      <c r="C966" s="6" t="s">
        <v>5526</v>
      </c>
      <c r="D966" s="6" t="s">
        <v>110</v>
      </c>
      <c r="E966" s="6" t="s">
        <v>26</v>
      </c>
      <c r="F966" s="6" t="s">
        <v>4882</v>
      </c>
      <c r="G966" s="6" t="s">
        <v>3782</v>
      </c>
      <c r="H966" s="6">
        <v>1</v>
      </c>
      <c r="I966" s="18">
        <v>220</v>
      </c>
      <c r="J966" s="19">
        <v>46135.6786965625</v>
      </c>
      <c r="K966" s="6" t="s">
        <v>4880</v>
      </c>
      <c r="L966" t="str">
        <f t="shared" si="15"/>
        <v>CILINDRO MESTRE DE EMBREAGEM DELIVERY 11.180 C-2654|46136</v>
      </c>
    </row>
    <row r="967" ht="13.5" customHeight="1" spans="1:12">
      <c r="A967" s="17">
        <v>46135.6794444445</v>
      </c>
      <c r="B967" s="6" t="s">
        <v>4876</v>
      </c>
      <c r="C967" s="6" t="s">
        <v>5527</v>
      </c>
      <c r="D967" s="6" t="s">
        <v>5127</v>
      </c>
      <c r="E967" s="6" t="s">
        <v>26</v>
      </c>
      <c r="F967" s="6" t="s">
        <v>4882</v>
      </c>
      <c r="G967" s="6" t="s">
        <v>3839</v>
      </c>
      <c r="H967" s="6">
        <v>1</v>
      </c>
      <c r="I967" s="18">
        <v>36</v>
      </c>
      <c r="J967" s="19">
        <v>46135.6802870023</v>
      </c>
      <c r="K967" s="6" t="s">
        <v>4880</v>
      </c>
      <c r="L967" t="str">
        <f t="shared" si="15"/>
        <v>CHAVE ESTRELA 10X11MM STELS|46136</v>
      </c>
    </row>
    <row r="968" ht="13.5" customHeight="1" spans="1:12">
      <c r="A968" s="17">
        <v>46135.6804861111</v>
      </c>
      <c r="B968" s="6" t="s">
        <v>4876</v>
      </c>
      <c r="C968" s="6" t="s">
        <v>5528</v>
      </c>
      <c r="D968" s="6" t="s">
        <v>4954</v>
      </c>
      <c r="E968" s="6" t="s">
        <v>26</v>
      </c>
      <c r="F968" s="6" t="s">
        <v>4882</v>
      </c>
      <c r="G968" s="6" t="s">
        <v>3793</v>
      </c>
      <c r="H968" s="6">
        <v>1</v>
      </c>
      <c r="I968" s="18">
        <v>638</v>
      </c>
      <c r="J968" s="19">
        <v>46135.6831027431</v>
      </c>
      <c r="K968" s="6" t="s">
        <v>4880</v>
      </c>
      <c r="L968" t="str">
        <f t="shared" si="15"/>
        <v>CILINDRO AUX EMBREAGEM -NOVO DELIVERY 3078|46136</v>
      </c>
    </row>
    <row r="969" ht="13.5" customHeight="1" spans="1:12">
      <c r="A969" s="17">
        <v>46135.6804861111</v>
      </c>
      <c r="B969" s="6" t="s">
        <v>4876</v>
      </c>
      <c r="C969" s="6" t="s">
        <v>5528</v>
      </c>
      <c r="D969" s="6" t="s">
        <v>4954</v>
      </c>
      <c r="E969" s="6" t="s">
        <v>26</v>
      </c>
      <c r="F969" s="6" t="s">
        <v>4882</v>
      </c>
      <c r="G969" s="6" t="s">
        <v>225</v>
      </c>
      <c r="H969" s="6">
        <v>1</v>
      </c>
      <c r="I969" s="18">
        <v>368</v>
      </c>
      <c r="J969" s="19">
        <v>46135.6831023958</v>
      </c>
      <c r="K969" s="6" t="s">
        <v>4880</v>
      </c>
      <c r="L969" t="str">
        <f t="shared" si="15"/>
        <v>CILINDRO AUXILIAR EMBREAGEM (ACCELO/ATEGO) 3046|46136</v>
      </c>
    </row>
    <row r="970" ht="13.5" customHeight="1" spans="1:12">
      <c r="A970" s="17">
        <v>46135.6804861111</v>
      </c>
      <c r="B970" s="6" t="s">
        <v>4876</v>
      </c>
      <c r="C970" s="6" t="s">
        <v>5528</v>
      </c>
      <c r="D970" s="6" t="s">
        <v>4954</v>
      </c>
      <c r="E970" s="6" t="s">
        <v>26</v>
      </c>
      <c r="F970" s="6" t="s">
        <v>4882</v>
      </c>
      <c r="G970" s="6" t="s">
        <v>223</v>
      </c>
      <c r="H970" s="6">
        <v>1</v>
      </c>
      <c r="I970" s="18">
        <v>109</v>
      </c>
      <c r="J970" s="19">
        <v>46135.6831018519</v>
      </c>
      <c r="K970" s="6" t="s">
        <v>4880</v>
      </c>
      <c r="L970" t="str">
        <f t="shared" si="15"/>
        <v>CORREIA 8PK 1950 RNH|46136</v>
      </c>
    </row>
    <row r="971" ht="13.5" customHeight="1" spans="1:12">
      <c r="A971" s="17">
        <v>46136.4409722222</v>
      </c>
      <c r="B971" s="6" t="s">
        <v>4876</v>
      </c>
      <c r="C971" s="6" t="s">
        <v>5529</v>
      </c>
      <c r="D971" s="6" t="s">
        <v>5411</v>
      </c>
      <c r="E971" s="6" t="s">
        <v>35</v>
      </c>
      <c r="F971" s="6" t="s">
        <v>4879</v>
      </c>
      <c r="G971" s="6" t="s">
        <v>394</v>
      </c>
      <c r="H971" s="6">
        <v>1</v>
      </c>
      <c r="I971" s="18">
        <v>3100</v>
      </c>
      <c r="J971" s="19">
        <v>46139.4423388079</v>
      </c>
      <c r="K971" s="6" t="s">
        <v>4880</v>
      </c>
      <c r="L971" t="str">
        <f t="shared" si="15"/>
        <v>ADITIVO RADIADOR 200ML ADITECH HT-E 35R |46136</v>
      </c>
    </row>
    <row r="972" ht="13.5" customHeight="1" spans="1:12">
      <c r="A972" s="17">
        <v>46136.5631944445</v>
      </c>
      <c r="B972" s="6" t="s">
        <v>4876</v>
      </c>
      <c r="C972" s="6" t="s">
        <v>5530</v>
      </c>
      <c r="D972" s="6" t="s">
        <v>4979</v>
      </c>
      <c r="E972" s="6" t="s">
        <v>35</v>
      </c>
      <c r="F972" s="6" t="s">
        <v>4879</v>
      </c>
      <c r="G972" s="6" t="s">
        <v>2617</v>
      </c>
      <c r="H972" s="6">
        <v>1</v>
      </c>
      <c r="I972" s="18">
        <v>1300</v>
      </c>
      <c r="J972" s="19">
        <v>46139.5673407407</v>
      </c>
      <c r="K972" s="6" t="s">
        <v>4880</v>
      </c>
      <c r="L972" t="str">
        <f t="shared" si="15"/>
        <v>LU QUADRO DA JANELA LE  COMPLETO A9797200253|46137</v>
      </c>
    </row>
    <row r="973" ht="13.5" customHeight="1" spans="1:12">
      <c r="A973" s="17">
        <v>46136.5631944445</v>
      </c>
      <c r="B973" s="6" t="s">
        <v>4876</v>
      </c>
      <c r="C973" s="6" t="s">
        <v>5530</v>
      </c>
      <c r="D973" s="6" t="s">
        <v>4979</v>
      </c>
      <c r="E973" s="6" t="s">
        <v>35</v>
      </c>
      <c r="F973" s="6" t="s">
        <v>4879</v>
      </c>
      <c r="G973" s="6" t="s">
        <v>536</v>
      </c>
      <c r="H973" s="6">
        <v>1</v>
      </c>
      <c r="I973" s="18">
        <v>410</v>
      </c>
      <c r="J973" s="19">
        <v>46139.5673398495</v>
      </c>
      <c r="K973" s="6" t="s">
        <v>4880</v>
      </c>
      <c r="L973" t="str">
        <f t="shared" si="15"/>
        <v>VEDAÇAO DA JANELA A9799877151|46137</v>
      </c>
    </row>
    <row r="974" ht="13.5" customHeight="1" spans="1:12">
      <c r="A974" s="17">
        <v>46136.5653009259</v>
      </c>
      <c r="B974" s="6" t="s">
        <v>4876</v>
      </c>
      <c r="C974" s="6" t="s">
        <v>5531</v>
      </c>
      <c r="D974" s="6" t="s">
        <v>4954</v>
      </c>
      <c r="E974" s="6" t="s">
        <v>26</v>
      </c>
      <c r="F974" s="6" t="s">
        <v>4882</v>
      </c>
      <c r="G974" s="6" t="s">
        <v>447</v>
      </c>
      <c r="H974" s="6">
        <v>20</v>
      </c>
      <c r="I974" s="18">
        <v>80</v>
      </c>
      <c r="J974" s="19">
        <v>46136.566546956</v>
      </c>
      <c r="K974" s="6" t="s">
        <v>4880</v>
      </c>
      <c r="L974" t="str">
        <f t="shared" si="15"/>
        <v>LAMPADA 1141 24V|46137</v>
      </c>
    </row>
    <row r="975" ht="13.5" customHeight="1" spans="1:12">
      <c r="A975" s="17">
        <v>46136.5653009259</v>
      </c>
      <c r="B975" s="6" t="s">
        <v>4876</v>
      </c>
      <c r="C975" s="6" t="s">
        <v>5531</v>
      </c>
      <c r="D975" s="6" t="s">
        <v>4954</v>
      </c>
      <c r="E975" s="6" t="s">
        <v>26</v>
      </c>
      <c r="F975" s="6" t="s">
        <v>4882</v>
      </c>
      <c r="G975" s="6" t="s">
        <v>150</v>
      </c>
      <c r="H975" s="6">
        <v>6</v>
      </c>
      <c r="I975" s="18">
        <v>580.8</v>
      </c>
      <c r="J975" s="19">
        <v>46136.5665460301</v>
      </c>
      <c r="K975" s="6" t="s">
        <v>4880</v>
      </c>
      <c r="L975" t="str">
        <f t="shared" si="15"/>
        <v>FAROL DE MILHA - LED (REDONDO) |46137</v>
      </c>
    </row>
    <row r="976" ht="13.5" customHeight="1" spans="1:12">
      <c r="A976" s="17">
        <v>46136.5653009259</v>
      </c>
      <c r="B976" s="6" t="s">
        <v>4876</v>
      </c>
      <c r="C976" s="6" t="s">
        <v>5531</v>
      </c>
      <c r="D976" s="6" t="s">
        <v>4954</v>
      </c>
      <c r="E976" s="6" t="s">
        <v>26</v>
      </c>
      <c r="F976" s="6" t="s">
        <v>4882</v>
      </c>
      <c r="G976" s="6" t="s">
        <v>151</v>
      </c>
      <c r="H976" s="6">
        <v>5</v>
      </c>
      <c r="I976" s="18">
        <v>110</v>
      </c>
      <c r="J976" s="19">
        <v>46136.5665434838</v>
      </c>
      <c r="K976" s="6" t="s">
        <v>4880</v>
      </c>
      <c r="L976" t="str">
        <f t="shared" si="15"/>
        <v>BOTÃO TIC TAC |46137</v>
      </c>
    </row>
    <row r="977" ht="13.5" customHeight="1" spans="1:12">
      <c r="A977" s="17">
        <v>46136.5673611111</v>
      </c>
      <c r="B977" s="6" t="s">
        <v>4876</v>
      </c>
      <c r="C977" s="6" t="s">
        <v>5532</v>
      </c>
      <c r="D977" s="6" t="s">
        <v>4979</v>
      </c>
      <c r="E977" s="6" t="s">
        <v>35</v>
      </c>
      <c r="F977" s="6" t="s">
        <v>4879</v>
      </c>
      <c r="G977" s="6" t="s">
        <v>3009</v>
      </c>
      <c r="H977" s="6">
        <v>1</v>
      </c>
      <c r="I977" s="18">
        <v>721</v>
      </c>
      <c r="J977" s="19">
        <v>46139.5712176736</v>
      </c>
      <c r="K977" s="6" t="s">
        <v>4880</v>
      </c>
      <c r="L977" t="str">
        <f t="shared" si="15"/>
        <v>FRISO DE PROTEÇAO A9106901100 9K83|46137</v>
      </c>
    </row>
    <row r="978" ht="13.5" customHeight="1" spans="1:12">
      <c r="A978" s="17">
        <v>46136.5682638889</v>
      </c>
      <c r="B978" s="6" t="s">
        <v>4876</v>
      </c>
      <c r="C978" s="6" t="s">
        <v>5533</v>
      </c>
      <c r="D978" s="6" t="s">
        <v>4971</v>
      </c>
      <c r="E978" s="6" t="s">
        <v>26</v>
      </c>
      <c r="F978" s="6" t="s">
        <v>4882</v>
      </c>
      <c r="G978" s="6" t="s">
        <v>4755</v>
      </c>
      <c r="H978" s="6">
        <v>2</v>
      </c>
      <c r="I978" s="18">
        <v>49.18</v>
      </c>
      <c r="J978" s="19">
        <v>46136.5689040162</v>
      </c>
      <c r="K978" s="6" t="s">
        <v>4880</v>
      </c>
      <c r="L978" t="str">
        <f t="shared" si="15"/>
        <v>ABRAÇADEIRA DE NYLON 3,6X200M|46137</v>
      </c>
    </row>
    <row r="979" ht="13.5" customHeight="1" spans="1:12">
      <c r="A979" s="17">
        <v>46136.5691550926</v>
      </c>
      <c r="B979" s="6" t="s">
        <v>4876</v>
      </c>
      <c r="C979" s="6" t="s">
        <v>5534</v>
      </c>
      <c r="D979" s="6" t="s">
        <v>4971</v>
      </c>
      <c r="E979" s="6" t="s">
        <v>26</v>
      </c>
      <c r="F979" s="6" t="s">
        <v>4882</v>
      </c>
      <c r="G979" s="6" t="s">
        <v>470</v>
      </c>
      <c r="H979" s="6">
        <v>5</v>
      </c>
      <c r="I979" s="18">
        <v>93.55</v>
      </c>
      <c r="J979" s="19">
        <v>46136.5701230324</v>
      </c>
      <c r="K979" s="6" t="s">
        <v>4880</v>
      </c>
      <c r="L979" t="str">
        <f t="shared" si="15"/>
        <v>FITA ISOLANTE 19x20M TIGRE|46137</v>
      </c>
    </row>
    <row r="980" ht="13.5" customHeight="1" spans="1:12">
      <c r="A980" s="17">
        <v>46136.5707060185</v>
      </c>
      <c r="B980" s="6" t="s">
        <v>4876</v>
      </c>
      <c r="C980" s="6" t="s">
        <v>5535</v>
      </c>
      <c r="D980" s="6" t="s">
        <v>4894</v>
      </c>
      <c r="E980" s="6" t="s">
        <v>26</v>
      </c>
      <c r="F980" s="6" t="s">
        <v>4882</v>
      </c>
      <c r="G980" s="6" t="s">
        <v>2267</v>
      </c>
      <c r="H980" s="6">
        <v>100</v>
      </c>
      <c r="I980" s="18">
        <v>25</v>
      </c>
      <c r="J980" s="19">
        <v>46136.5784332986</v>
      </c>
      <c r="K980" s="6" t="s">
        <v>4880</v>
      </c>
      <c r="L980" t="str">
        <f t="shared" si="15"/>
        <v>P.MDF 4,5X50|46137</v>
      </c>
    </row>
    <row r="981" ht="13.5" customHeight="1" spans="1:12">
      <c r="A981" s="17">
        <v>46136.5707060185</v>
      </c>
      <c r="B981" s="6" t="s">
        <v>4876</v>
      </c>
      <c r="C981" s="6" t="s">
        <v>5535</v>
      </c>
      <c r="D981" s="6" t="s">
        <v>4894</v>
      </c>
      <c r="E981" s="6" t="s">
        <v>26</v>
      </c>
      <c r="F981" s="6" t="s">
        <v>4882</v>
      </c>
      <c r="G981" s="6" t="s">
        <v>2269</v>
      </c>
      <c r="H981" s="6">
        <v>100</v>
      </c>
      <c r="I981" s="18">
        <v>14</v>
      </c>
      <c r="J981" s="19">
        <v>46136.5784331019</v>
      </c>
      <c r="K981" s="6" t="s">
        <v>4880</v>
      </c>
      <c r="L981" t="str">
        <f t="shared" si="15"/>
        <v>P.MDF 4,0 X 35 100 PÇS|46137</v>
      </c>
    </row>
    <row r="982" ht="13.5" customHeight="1" spans="1:12">
      <c r="A982" s="17">
        <v>46136.5707060185</v>
      </c>
      <c r="B982" s="6" t="s">
        <v>4876</v>
      </c>
      <c r="C982" s="6" t="s">
        <v>5535</v>
      </c>
      <c r="D982" s="6" t="s">
        <v>4894</v>
      </c>
      <c r="E982" s="6" t="s">
        <v>26</v>
      </c>
      <c r="F982" s="6" t="s">
        <v>4882</v>
      </c>
      <c r="G982" s="6" t="s">
        <v>2165</v>
      </c>
      <c r="H982" s="6">
        <v>100</v>
      </c>
      <c r="I982" s="18">
        <v>21</v>
      </c>
      <c r="J982" s="19">
        <v>46136.5784327546</v>
      </c>
      <c r="K982" s="6" t="s">
        <v>4880</v>
      </c>
      <c r="L982" t="str">
        <f t="shared" si="15"/>
        <v>PARAFUSO AUTO PERFURANTE CHATA 4,2X32|46137</v>
      </c>
    </row>
    <row r="983" ht="13.5" customHeight="1" spans="1:12">
      <c r="A983" s="17">
        <v>46136.5707060185</v>
      </c>
      <c r="B983" s="6" t="s">
        <v>4876</v>
      </c>
      <c r="C983" s="6" t="s">
        <v>5535</v>
      </c>
      <c r="D983" s="6" t="s">
        <v>4894</v>
      </c>
      <c r="E983" s="6" t="s">
        <v>26</v>
      </c>
      <c r="F983" s="6" t="s">
        <v>4882</v>
      </c>
      <c r="G983" s="6" t="s">
        <v>2164</v>
      </c>
      <c r="H983" s="6">
        <v>100</v>
      </c>
      <c r="I983" s="18">
        <v>12</v>
      </c>
      <c r="J983" s="19">
        <v>46136.5784324074</v>
      </c>
      <c r="K983" s="6" t="s">
        <v>4880</v>
      </c>
      <c r="L983" t="str">
        <f t="shared" si="15"/>
        <v>PARAFUSO AUTO PERFURANTE PANELA 4,2 X 22|46137</v>
      </c>
    </row>
    <row r="984" ht="13.5" customHeight="1" spans="1:12">
      <c r="A984" s="17">
        <v>46136.5707060185</v>
      </c>
      <c r="B984" s="6" t="s">
        <v>4876</v>
      </c>
      <c r="C984" s="6" t="s">
        <v>5535</v>
      </c>
      <c r="D984" s="6" t="s">
        <v>4894</v>
      </c>
      <c r="E984" s="6" t="s">
        <v>26</v>
      </c>
      <c r="F984" s="6" t="s">
        <v>4882</v>
      </c>
      <c r="G984" s="6" t="s">
        <v>584</v>
      </c>
      <c r="H984" s="6">
        <v>3</v>
      </c>
      <c r="I984" s="18">
        <v>106.89</v>
      </c>
      <c r="J984" s="19">
        <v>46136.5784320255</v>
      </c>
      <c r="K984" s="6" t="s">
        <v>4880</v>
      </c>
      <c r="L984" t="str">
        <f t="shared" si="15"/>
        <v>FITA ISOLANTE AUTOFUSAO 3M 19X10M|46137</v>
      </c>
    </row>
    <row r="985" ht="13.5" customHeight="1" spans="1:12">
      <c r="A985" s="17">
        <v>46136.5707060185</v>
      </c>
      <c r="B985" s="6" t="s">
        <v>4876</v>
      </c>
      <c r="C985" s="6" t="s">
        <v>5535</v>
      </c>
      <c r="D985" s="6" t="s">
        <v>4894</v>
      </c>
      <c r="E985" s="6" t="s">
        <v>26</v>
      </c>
      <c r="F985" s="6" t="s">
        <v>4882</v>
      </c>
      <c r="G985" s="6" t="s">
        <v>2260</v>
      </c>
      <c r="H985" s="6">
        <v>15</v>
      </c>
      <c r="I985" s="18">
        <v>46.65</v>
      </c>
      <c r="J985" s="19">
        <v>46136.5784314815</v>
      </c>
      <c r="K985" s="6" t="s">
        <v>4880</v>
      </c>
      <c r="L985" t="str">
        <f t="shared" si="15"/>
        <v>P.R.ME.CH.INOX 5X40 C02 PÇS|46137</v>
      </c>
    </row>
    <row r="986" ht="13.5" customHeight="1" spans="1:12">
      <c r="A986" s="17">
        <v>46136.5707060185</v>
      </c>
      <c r="B986" s="6" t="s">
        <v>4876</v>
      </c>
      <c r="C986" s="6" t="s">
        <v>5535</v>
      </c>
      <c r="D986" s="6" t="s">
        <v>4894</v>
      </c>
      <c r="E986" s="6" t="s">
        <v>26</v>
      </c>
      <c r="F986" s="6" t="s">
        <v>4882</v>
      </c>
      <c r="G986" s="6" t="s">
        <v>2262</v>
      </c>
      <c r="H986" s="6">
        <v>15</v>
      </c>
      <c r="I986" s="18">
        <v>21.9</v>
      </c>
      <c r="J986" s="19">
        <v>46136.5784312847</v>
      </c>
      <c r="K986" s="6" t="s">
        <v>4880</v>
      </c>
      <c r="L986" t="str">
        <f t="shared" si="15"/>
        <v>P.R.ME.CH.INOX 5X25 C/02 PÇS|46137</v>
      </c>
    </row>
    <row r="987" ht="13.5" customHeight="1" spans="1:12">
      <c r="A987" s="17">
        <v>46136.5707060185</v>
      </c>
      <c r="B987" s="6" t="s">
        <v>4876</v>
      </c>
      <c r="C987" s="6" t="s">
        <v>5535</v>
      </c>
      <c r="D987" s="6" t="s">
        <v>4894</v>
      </c>
      <c r="E987" s="6" t="s">
        <v>26</v>
      </c>
      <c r="F987" s="6" t="s">
        <v>4882</v>
      </c>
      <c r="G987" s="6" t="s">
        <v>1905</v>
      </c>
      <c r="H987" s="6">
        <v>30</v>
      </c>
      <c r="I987" s="18">
        <v>14.1</v>
      </c>
      <c r="J987" s="19">
        <v>46136.5784307523</v>
      </c>
      <c r="K987" s="6" t="s">
        <v>4880</v>
      </c>
      <c r="L987" t="str">
        <f t="shared" si="15"/>
        <v>PORCA SEXTAVADA MA INOX 05x0,80|46137</v>
      </c>
    </row>
    <row r="988" ht="13.5" customHeight="1" spans="1:12">
      <c r="A988" s="17">
        <v>46136.6348263889</v>
      </c>
      <c r="B988" s="6" t="s">
        <v>4876</v>
      </c>
      <c r="C988" s="6" t="s">
        <v>5536</v>
      </c>
      <c r="D988" s="6" t="s">
        <v>110</v>
      </c>
      <c r="E988" s="6" t="s">
        <v>26</v>
      </c>
      <c r="F988" s="6" t="s">
        <v>4882</v>
      </c>
      <c r="G988" s="6" t="s">
        <v>2556</v>
      </c>
      <c r="H988" s="6">
        <v>1</v>
      </c>
      <c r="I988" s="18">
        <v>60</v>
      </c>
      <c r="J988" s="19">
        <v>46136.6357528125</v>
      </c>
      <c r="K988" s="6" t="s">
        <v>4880</v>
      </c>
      <c r="L988" t="str">
        <f t="shared" si="15"/>
        <v>MANETE FREIO TIC TAC|46137</v>
      </c>
    </row>
    <row r="989" ht="13.5" customHeight="1" spans="1:12">
      <c r="A989" s="17">
        <v>46136.6362384259</v>
      </c>
      <c r="B989" s="6" t="s">
        <v>4876</v>
      </c>
      <c r="C989" s="6" t="s">
        <v>5537</v>
      </c>
      <c r="D989" s="6" t="s">
        <v>4935</v>
      </c>
      <c r="E989" s="6" t="s">
        <v>26</v>
      </c>
      <c r="F989" s="6" t="s">
        <v>4882</v>
      </c>
      <c r="G989" s="6" t="s">
        <v>4406</v>
      </c>
      <c r="H989" s="6">
        <v>3</v>
      </c>
      <c r="I989" s="18">
        <v>11.28</v>
      </c>
      <c r="J989" s="19">
        <v>46136.6593791667</v>
      </c>
      <c r="K989" s="6" t="s">
        <v>4880</v>
      </c>
      <c r="L989" t="str">
        <f t="shared" si="15"/>
        <v>BICO DE TORNEIRA UNIRVESAL 1/2 E 3/4|46137</v>
      </c>
    </row>
    <row r="990" ht="13.5" customHeight="1" spans="1:12">
      <c r="A990" s="17">
        <v>46136.6362384259</v>
      </c>
      <c r="B990" s="6" t="s">
        <v>4876</v>
      </c>
      <c r="C990" s="6" t="s">
        <v>5537</v>
      </c>
      <c r="D990" s="6" t="s">
        <v>4935</v>
      </c>
      <c r="E990" s="6" t="s">
        <v>26</v>
      </c>
      <c r="F990" s="6" t="s">
        <v>4882</v>
      </c>
      <c r="G990" s="6" t="s">
        <v>2482</v>
      </c>
      <c r="H990" s="6">
        <v>10</v>
      </c>
      <c r="I990" s="18">
        <v>102</v>
      </c>
      <c r="J990" s="19">
        <v>46136.6593778935</v>
      </c>
      <c r="K990" s="6" t="s">
        <v>4880</v>
      </c>
      <c r="L990" t="str">
        <f t="shared" si="15"/>
        <v>MASCARA TNT BRANCA TRIPLA |46137</v>
      </c>
    </row>
    <row r="991" ht="13.5" customHeight="1" spans="1:12">
      <c r="A991" s="17">
        <v>46136.6362384259</v>
      </c>
      <c r="B991" s="6" t="s">
        <v>4876</v>
      </c>
      <c r="C991" s="6" t="s">
        <v>5537</v>
      </c>
      <c r="D991" s="6" t="s">
        <v>4935</v>
      </c>
      <c r="E991" s="6" t="s">
        <v>26</v>
      </c>
      <c r="F991" s="6" t="s">
        <v>4882</v>
      </c>
      <c r="G991" s="6" t="s">
        <v>4768</v>
      </c>
      <c r="H991" s="6">
        <v>18</v>
      </c>
      <c r="I991" s="18">
        <v>79.56</v>
      </c>
      <c r="J991" s="19">
        <v>46136.6593762732</v>
      </c>
      <c r="K991" s="6" t="s">
        <v>4880</v>
      </c>
      <c r="L991" t="str">
        <f t="shared" si="15"/>
        <v>ABRACADEIRA FLEXIL INOX |46137</v>
      </c>
    </row>
    <row r="992" ht="13.5" customHeight="1" spans="1:12">
      <c r="A992" s="17">
        <v>46136.6605671296</v>
      </c>
      <c r="B992" s="6" t="s">
        <v>4876</v>
      </c>
      <c r="C992" s="6" t="s">
        <v>5538</v>
      </c>
      <c r="D992" s="6" t="s">
        <v>5061</v>
      </c>
      <c r="E992" s="6" t="s">
        <v>182</v>
      </c>
      <c r="F992" s="6" t="s">
        <v>4879</v>
      </c>
      <c r="G992" s="6" t="s">
        <v>389</v>
      </c>
      <c r="H992" s="6">
        <v>12</v>
      </c>
      <c r="I992" s="18">
        <v>898.32</v>
      </c>
      <c r="J992" s="19">
        <v>46136.665701007</v>
      </c>
      <c r="K992" s="6" t="s">
        <v>4880</v>
      </c>
      <c r="L992" t="str">
        <f t="shared" si="15"/>
        <v>SH 5000|46137</v>
      </c>
    </row>
    <row r="993" ht="13.5" customHeight="1" spans="1:12">
      <c r="A993" s="17">
        <v>46136.6605671296</v>
      </c>
      <c r="B993" s="6" t="s">
        <v>4876</v>
      </c>
      <c r="C993" s="6" t="s">
        <v>5538</v>
      </c>
      <c r="D993" s="6" t="s">
        <v>5061</v>
      </c>
      <c r="E993" s="6" t="s">
        <v>182</v>
      </c>
      <c r="F993" s="6" t="s">
        <v>4879</v>
      </c>
      <c r="G993" s="6" t="s">
        <v>2652</v>
      </c>
      <c r="H993" s="6">
        <v>4</v>
      </c>
      <c r="I993" s="18">
        <v>226.32</v>
      </c>
      <c r="J993" s="19">
        <v>46136.6657008449</v>
      </c>
      <c r="K993" s="6" t="s">
        <v>4880</v>
      </c>
      <c r="L993" t="str">
        <f t="shared" si="15"/>
        <v>LIMPADOR GEL AZULIM 5L|46137</v>
      </c>
    </row>
    <row r="994" ht="13.5" customHeight="1" spans="1:12">
      <c r="A994" s="17">
        <v>46136.6605671296</v>
      </c>
      <c r="B994" s="6" t="s">
        <v>4876</v>
      </c>
      <c r="C994" s="6" t="s">
        <v>5538</v>
      </c>
      <c r="D994" s="6" t="s">
        <v>5061</v>
      </c>
      <c r="E994" s="6" t="s">
        <v>182</v>
      </c>
      <c r="F994" s="6" t="s">
        <v>4879</v>
      </c>
      <c r="G994" s="6" t="s">
        <v>270</v>
      </c>
      <c r="H994" s="6">
        <v>12</v>
      </c>
      <c r="I994" s="18">
        <v>577.2</v>
      </c>
      <c r="J994" s="19">
        <v>46136.665700463</v>
      </c>
      <c r="K994" s="6" t="s">
        <v>4880</v>
      </c>
      <c r="L994" t="str">
        <f t="shared" si="15"/>
        <v>ARGUS DETERGENTE NEUTRO 5L|46137</v>
      </c>
    </row>
    <row r="995" ht="13.5" customHeight="1" spans="1:12">
      <c r="A995" s="17">
        <v>46136.6605671296</v>
      </c>
      <c r="B995" s="6" t="s">
        <v>4876</v>
      </c>
      <c r="C995" s="6" t="s">
        <v>5538</v>
      </c>
      <c r="D995" s="6" t="s">
        <v>5061</v>
      </c>
      <c r="E995" s="6" t="s">
        <v>182</v>
      </c>
      <c r="F995" s="6" t="s">
        <v>4879</v>
      </c>
      <c r="G995" s="6" t="s">
        <v>623</v>
      </c>
      <c r="H995" s="6">
        <v>8</v>
      </c>
      <c r="I995" s="18">
        <v>410.88</v>
      </c>
      <c r="J995" s="19">
        <v>46136.6656995718</v>
      </c>
      <c r="K995" s="6" t="s">
        <v>4880</v>
      </c>
      <c r="L995" t="str">
        <f t="shared" si="15"/>
        <v>ALCOOL 70% GL5L |46137</v>
      </c>
    </row>
    <row r="996" ht="13.5" customHeight="1" spans="1:12">
      <c r="A996" s="17">
        <v>46138.5798611111</v>
      </c>
      <c r="B996" s="6" t="s">
        <v>4876</v>
      </c>
      <c r="C996" s="6" t="s">
        <v>5539</v>
      </c>
      <c r="D996" s="6" t="s">
        <v>5540</v>
      </c>
      <c r="E996" s="6" t="s">
        <v>414</v>
      </c>
      <c r="F996" s="6" t="s">
        <v>4879</v>
      </c>
      <c r="G996" s="6" t="s">
        <v>1314</v>
      </c>
      <c r="H996" s="6">
        <v>16</v>
      </c>
      <c r="I996" s="18">
        <v>788.8</v>
      </c>
      <c r="J996" s="19">
        <v>46142.588915081</v>
      </c>
      <c r="K996" s="6" t="s">
        <v>4880</v>
      </c>
      <c r="L996" t="str">
        <f t="shared" si="15"/>
        <v>SUPORTEV P/RODIZIO COM DOBRADIÇA INTERNA 10MM|46139</v>
      </c>
    </row>
    <row r="997" ht="13.5" customHeight="1" spans="1:12">
      <c r="A997" s="17">
        <v>46138.5798611111</v>
      </c>
      <c r="B997" s="6" t="s">
        <v>4876</v>
      </c>
      <c r="C997" s="6" t="s">
        <v>5539</v>
      </c>
      <c r="D997" s="6" t="s">
        <v>5540</v>
      </c>
      <c r="E997" s="6" t="s">
        <v>414</v>
      </c>
      <c r="F997" s="6" t="s">
        <v>4879</v>
      </c>
      <c r="G997" s="6" t="s">
        <v>1331</v>
      </c>
      <c r="H997" s="6">
        <v>6</v>
      </c>
      <c r="I997" s="18">
        <v>160.2</v>
      </c>
      <c r="J997" s="19">
        <v>46142.5889148958</v>
      </c>
      <c r="K997" s="6" t="s">
        <v>4880</v>
      </c>
      <c r="L997" t="str">
        <f t="shared" si="15"/>
        <v>SUPORTE DO RODIZIO 11MM|46139</v>
      </c>
    </row>
    <row r="998" ht="13.5" customHeight="1" spans="1:12">
      <c r="A998" s="17">
        <v>46138.5798611111</v>
      </c>
      <c r="B998" s="6" t="s">
        <v>4876</v>
      </c>
      <c r="C998" s="6" t="s">
        <v>5539</v>
      </c>
      <c r="D998" s="6" t="s">
        <v>5540</v>
      </c>
      <c r="E998" s="6" t="s">
        <v>414</v>
      </c>
      <c r="F998" s="6" t="s">
        <v>4879</v>
      </c>
      <c r="G998" s="6" t="s">
        <v>2210</v>
      </c>
      <c r="H998" s="6">
        <v>3</v>
      </c>
      <c r="I998" s="18">
        <v>1093.41</v>
      </c>
      <c r="J998" s="19">
        <v>46142.5889147338</v>
      </c>
      <c r="K998" s="6" t="s">
        <v>4880</v>
      </c>
      <c r="L998" t="str">
        <f t="shared" si="15"/>
        <v>PAQUEDAS   AJUSTAVEL|46139</v>
      </c>
    </row>
    <row r="999" ht="13.5" customHeight="1" spans="1:12">
      <c r="A999" s="17">
        <v>46138.5798611111</v>
      </c>
      <c r="B999" s="6" t="s">
        <v>4876</v>
      </c>
      <c r="C999" s="6" t="s">
        <v>5539</v>
      </c>
      <c r="D999" s="6" t="s">
        <v>5540</v>
      </c>
      <c r="E999" s="6" t="s">
        <v>414</v>
      </c>
      <c r="F999" s="6" t="s">
        <v>4879</v>
      </c>
      <c r="G999" s="6" t="s">
        <v>1094</v>
      </c>
      <c r="H999" s="6">
        <v>4</v>
      </c>
      <c r="I999" s="18">
        <v>330.8</v>
      </c>
      <c r="J999" s="19">
        <v>46142.5889138079</v>
      </c>
      <c r="K999" s="6" t="s">
        <v>4880</v>
      </c>
      <c r="L999" t="str">
        <f t="shared" si="15"/>
        <v>TRINCO FIO REDONDO 30X6|46139</v>
      </c>
    </row>
    <row r="1000" ht="13.5" customHeight="1" spans="1:12">
      <c r="A1000" s="17">
        <v>46138.5798611111</v>
      </c>
      <c r="B1000" s="6" t="s">
        <v>4876</v>
      </c>
      <c r="C1000" s="6" t="s">
        <v>5539</v>
      </c>
      <c r="D1000" s="6" t="s">
        <v>5540</v>
      </c>
      <c r="E1000" s="6" t="s">
        <v>414</v>
      </c>
      <c r="F1000" s="6" t="s">
        <v>4879</v>
      </c>
      <c r="G1000" s="6" t="s">
        <v>3409</v>
      </c>
      <c r="H1000" s="6">
        <v>16</v>
      </c>
      <c r="I1000" s="18">
        <v>323.52</v>
      </c>
      <c r="J1000" s="19">
        <v>46142.5889129282</v>
      </c>
      <c r="K1000" s="6" t="s">
        <v>4880</v>
      </c>
      <c r="L1000" t="str">
        <f t="shared" si="15"/>
        <v>DOBRADIÇA ALUMINIO 50X40|46139</v>
      </c>
    </row>
    <row r="1001" ht="13.5" customHeight="1" spans="1:12">
      <c r="A1001" s="17">
        <v>46138.5798611111</v>
      </c>
      <c r="B1001" s="6" t="s">
        <v>4876</v>
      </c>
      <c r="C1001" s="6" t="s">
        <v>5539</v>
      </c>
      <c r="D1001" s="6" t="s">
        <v>5540</v>
      </c>
      <c r="E1001" s="6" t="s">
        <v>414</v>
      </c>
      <c r="F1001" s="6" t="s">
        <v>4879</v>
      </c>
      <c r="G1001" s="6" t="s">
        <v>1672</v>
      </c>
      <c r="H1001" s="6">
        <v>16</v>
      </c>
      <c r="I1001" s="18">
        <v>162.56</v>
      </c>
      <c r="J1001" s="19">
        <v>46142.5889114583</v>
      </c>
      <c r="K1001" s="6" t="s">
        <v>4880</v>
      </c>
      <c r="L1001" t="str">
        <f t="shared" si="15"/>
        <v>RODIZIO PJ MOVEL PINO 11 50MM|46139</v>
      </c>
    </row>
    <row r="1002" ht="13.5" customHeight="1" spans="1:12">
      <c r="A1002" s="17">
        <v>46139.3917361111</v>
      </c>
      <c r="B1002" s="6" t="s">
        <v>4876</v>
      </c>
      <c r="C1002" s="6" t="s">
        <v>5541</v>
      </c>
      <c r="D1002" s="6" t="s">
        <v>4879</v>
      </c>
      <c r="E1002" s="6" t="s">
        <v>26</v>
      </c>
      <c r="F1002" s="6" t="s">
        <v>4882</v>
      </c>
      <c r="G1002" s="6" t="s">
        <v>169</v>
      </c>
      <c r="H1002" s="6">
        <v>1</v>
      </c>
      <c r="I1002" s="18">
        <v>300</v>
      </c>
      <c r="J1002" s="19">
        <v>46139.3923876157</v>
      </c>
      <c r="K1002" s="6" t="s">
        <v>4880</v>
      </c>
      <c r="L1002" t="str">
        <f t="shared" si="15"/>
        <v>Extensão Porta Mercedes Benz Accelo A 9797287121|46139</v>
      </c>
    </row>
    <row r="1003" ht="13.5" customHeight="1" spans="1:12">
      <c r="A1003" s="17">
        <v>46139.5262152778</v>
      </c>
      <c r="B1003" s="6" t="s">
        <v>4876</v>
      </c>
      <c r="C1003" s="6" t="s">
        <v>5542</v>
      </c>
      <c r="D1003" s="6" t="s">
        <v>4954</v>
      </c>
      <c r="E1003" s="6" t="s">
        <v>26</v>
      </c>
      <c r="F1003" s="6" t="s">
        <v>4882</v>
      </c>
      <c r="G1003" s="6" t="s">
        <v>1332</v>
      </c>
      <c r="H1003" s="6">
        <v>1</v>
      </c>
      <c r="I1003" s="18">
        <v>239</v>
      </c>
      <c r="J1003" s="19">
        <v>46139.5326274653</v>
      </c>
      <c r="K1003" s="6" t="s">
        <v>4880</v>
      </c>
      <c r="L1003" t="str">
        <f t="shared" si="15"/>
        <v>SUPORTE DO ESTABILIZADOR TRASEIRO MBB 0979320037|46140</v>
      </c>
    </row>
    <row r="1004" ht="13.5" customHeight="1" spans="1:12">
      <c r="A1004" s="17">
        <v>46139.5329282407</v>
      </c>
      <c r="B1004" s="6" t="s">
        <v>4876</v>
      </c>
      <c r="C1004" s="6" t="s">
        <v>5543</v>
      </c>
      <c r="D1004" s="6" t="s">
        <v>4894</v>
      </c>
      <c r="E1004" s="6" t="s">
        <v>26</v>
      </c>
      <c r="F1004" s="6" t="s">
        <v>4882</v>
      </c>
      <c r="G1004" s="6" t="s">
        <v>2243</v>
      </c>
      <c r="H1004" s="6">
        <v>50</v>
      </c>
      <c r="I1004" s="18">
        <v>22</v>
      </c>
      <c r="J1004" s="19">
        <v>46139.5348490741</v>
      </c>
      <c r="K1004" s="6" t="s">
        <v>4880</v>
      </c>
      <c r="L1004" t="str">
        <f t="shared" si="15"/>
        <v>P.SEXT.MA 06X25 8.8|46140</v>
      </c>
    </row>
    <row r="1005" ht="13.5" customHeight="1" spans="1:12">
      <c r="A1005" s="17">
        <v>46139.5548611111</v>
      </c>
      <c r="B1005" s="6" t="s">
        <v>4876</v>
      </c>
      <c r="C1005" s="6" t="s">
        <v>5544</v>
      </c>
      <c r="D1005" s="6" t="s">
        <v>4954</v>
      </c>
      <c r="E1005" s="6" t="s">
        <v>26</v>
      </c>
      <c r="F1005" s="6" t="s">
        <v>4882</v>
      </c>
      <c r="G1005" s="6" t="s">
        <v>1621</v>
      </c>
      <c r="H1005" s="6">
        <v>1</v>
      </c>
      <c r="I1005" s="18">
        <v>1313</v>
      </c>
      <c r="J1005" s="19">
        <v>46139.5599969097</v>
      </c>
      <c r="K1005" s="6" t="s">
        <v>4880</v>
      </c>
      <c r="L1005" t="str">
        <f t="shared" si="15"/>
        <v>ROLAMENTO RODA TRASEIRA DUPLO - NOVO DELIVERY |46140</v>
      </c>
    </row>
    <row r="1006" ht="13.5" customHeight="1" spans="1:12">
      <c r="A1006" s="17">
        <v>46140.3666666667</v>
      </c>
      <c r="B1006" s="6" t="s">
        <v>4876</v>
      </c>
      <c r="C1006" s="6" t="s">
        <v>5545</v>
      </c>
      <c r="D1006" s="6" t="s">
        <v>5546</v>
      </c>
      <c r="E1006" s="6" t="s">
        <v>26</v>
      </c>
      <c r="F1006" s="6" t="s">
        <v>4882</v>
      </c>
      <c r="G1006" s="6" t="s">
        <v>40</v>
      </c>
      <c r="H1006" s="6">
        <v>4</v>
      </c>
      <c r="I1006" s="18">
        <v>288</v>
      </c>
      <c r="J1006" s="19">
        <v>46146.3675664352</v>
      </c>
      <c r="K1006" s="6" t="s">
        <v>4880</v>
      </c>
      <c r="L1006" t="str">
        <f t="shared" si="15"/>
        <v>RODA COLSON PNEUMATICA 350-4 R.7|46140</v>
      </c>
    </row>
    <row r="1007" ht="13.5" customHeight="1" spans="1:12">
      <c r="A1007" s="17">
        <v>46140.7209722222</v>
      </c>
      <c r="B1007" s="6" t="s">
        <v>4876</v>
      </c>
      <c r="C1007" s="6" t="s">
        <v>5547</v>
      </c>
      <c r="D1007" s="6" t="s">
        <v>110</v>
      </c>
      <c r="E1007" s="6" t="s">
        <v>26</v>
      </c>
      <c r="F1007" s="6" t="s">
        <v>4882</v>
      </c>
      <c r="G1007" s="6" t="s">
        <v>151</v>
      </c>
      <c r="H1007" s="6">
        <v>6</v>
      </c>
      <c r="I1007" s="18">
        <v>156</v>
      </c>
      <c r="J1007" s="19">
        <v>46140.7219865741</v>
      </c>
      <c r="K1007" s="6" t="s">
        <v>4880</v>
      </c>
      <c r="L1007" t="str">
        <f t="shared" si="15"/>
        <v>BOTÃO TIC TAC |46141</v>
      </c>
    </row>
    <row r="1008" ht="13.5" customHeight="1" spans="1:12">
      <c r="A1008" s="17">
        <v>46141.3805555556</v>
      </c>
      <c r="B1008" s="6" t="s">
        <v>4876</v>
      </c>
      <c r="C1008" s="6" t="s">
        <v>5548</v>
      </c>
      <c r="D1008" s="6" t="s">
        <v>5175</v>
      </c>
      <c r="E1008" s="6" t="s">
        <v>35</v>
      </c>
      <c r="F1008" s="6" t="s">
        <v>4879</v>
      </c>
      <c r="G1008" s="6" t="s">
        <v>386</v>
      </c>
      <c r="H1008" s="6">
        <v>1</v>
      </c>
      <c r="I1008" s="18">
        <v>440</v>
      </c>
      <c r="J1008" s="19">
        <v>46148.3820645833</v>
      </c>
      <c r="K1008" s="6" t="s">
        <v>4880</v>
      </c>
      <c r="L1008" t="str">
        <f t="shared" si="15"/>
        <v>COBERTURA LD 23B853118|46141</v>
      </c>
    </row>
    <row r="1009" ht="13.5" customHeight="1" spans="1:12">
      <c r="A1009" s="17">
        <v>46141.4694444445</v>
      </c>
      <c r="B1009" s="6" t="s">
        <v>4876</v>
      </c>
      <c r="C1009" s="6" t="s">
        <v>5549</v>
      </c>
      <c r="D1009" s="6" t="s">
        <v>5123</v>
      </c>
      <c r="E1009" s="6" t="s">
        <v>26</v>
      </c>
      <c r="F1009" s="6" t="s">
        <v>4882</v>
      </c>
      <c r="G1009" s="6" t="s">
        <v>2859</v>
      </c>
      <c r="H1009" s="6">
        <v>4</v>
      </c>
      <c r="I1009" s="18">
        <v>22</v>
      </c>
      <c r="J1009" s="19">
        <v>46142.4719700232</v>
      </c>
      <c r="K1009" s="6" t="s">
        <v>4880</v>
      </c>
      <c r="L1009" t="str">
        <f t="shared" si="15"/>
        <v>ISQUEIRO BIC|46141</v>
      </c>
    </row>
    <row r="1010" ht="13.5" customHeight="1" spans="1:12">
      <c r="A1010" s="17">
        <v>46141.4694444445</v>
      </c>
      <c r="B1010" s="6" t="s">
        <v>4876</v>
      </c>
      <c r="C1010" s="6" t="s">
        <v>5549</v>
      </c>
      <c r="D1010" s="6" t="s">
        <v>5123</v>
      </c>
      <c r="E1010" s="6" t="s">
        <v>26</v>
      </c>
      <c r="F1010" s="6" t="s">
        <v>4882</v>
      </c>
      <c r="G1010" s="6" t="s">
        <v>4326</v>
      </c>
      <c r="H1010" s="6">
        <v>1</v>
      </c>
      <c r="I1010" s="18">
        <v>10.8</v>
      </c>
      <c r="J1010" s="19">
        <v>46142.4719696759</v>
      </c>
      <c r="K1010" s="6" t="s">
        <v>4880</v>
      </c>
      <c r="L1010" t="str">
        <f t="shared" si="15"/>
        <v>BORRIFADOR C/ GATILHO 500ML|46141</v>
      </c>
    </row>
    <row r="1011" ht="13.5" customHeight="1" spans="1:12">
      <c r="A1011" s="17">
        <v>46141.4694444445</v>
      </c>
      <c r="B1011" s="6" t="s">
        <v>4876</v>
      </c>
      <c r="C1011" s="6" t="s">
        <v>5549</v>
      </c>
      <c r="D1011" s="6" t="s">
        <v>5123</v>
      </c>
      <c r="E1011" s="6" t="s">
        <v>26</v>
      </c>
      <c r="F1011" s="6" t="s">
        <v>4882</v>
      </c>
      <c r="G1011" s="6" t="s">
        <v>272</v>
      </c>
      <c r="H1011" s="6">
        <v>4</v>
      </c>
      <c r="I1011" s="18">
        <v>29</v>
      </c>
      <c r="J1011" s="19">
        <v>46142.4719685995</v>
      </c>
      <c r="K1011" s="6" t="s">
        <v>4880</v>
      </c>
      <c r="L1011" t="str">
        <f t="shared" si="15"/>
        <v>BORRIFADOR PULVERIZADOR 300ML|46141</v>
      </c>
    </row>
    <row r="1012" ht="13.5" customHeight="1" spans="1:12">
      <c r="A1012" s="17">
        <v>46141.5515046296</v>
      </c>
      <c r="B1012" s="6" t="s">
        <v>4876</v>
      </c>
      <c r="C1012" s="6" t="s">
        <v>5550</v>
      </c>
      <c r="D1012" s="6" t="s">
        <v>5065</v>
      </c>
      <c r="E1012" s="6" t="s">
        <v>26</v>
      </c>
      <c r="F1012" s="6" t="s">
        <v>4882</v>
      </c>
      <c r="G1012" s="6" t="s">
        <v>2887</v>
      </c>
      <c r="H1012" s="6">
        <v>20</v>
      </c>
      <c r="I1012" s="18">
        <v>60</v>
      </c>
      <c r="J1012" s="19">
        <v>46141.5523760069</v>
      </c>
      <c r="K1012" s="6" t="s">
        <v>4880</v>
      </c>
      <c r="L1012" t="str">
        <f t="shared" si="15"/>
        <v>ILHOS DO CARRETEL A3|46142</v>
      </c>
    </row>
    <row r="1013" ht="13.5" customHeight="1" spans="1:12">
      <c r="A1013" s="17">
        <v>46141.552650463</v>
      </c>
      <c r="B1013" s="6" t="s">
        <v>4876</v>
      </c>
      <c r="C1013" s="6" t="s">
        <v>5551</v>
      </c>
      <c r="D1013" s="6" t="s">
        <v>4905</v>
      </c>
      <c r="E1013" s="6" t="s">
        <v>26</v>
      </c>
      <c r="F1013" s="6" t="s">
        <v>4882</v>
      </c>
      <c r="G1013" s="6" t="s">
        <v>506</v>
      </c>
      <c r="H1013" s="6">
        <v>3</v>
      </c>
      <c r="I1013" s="18">
        <v>114.81</v>
      </c>
      <c r="J1013" s="19">
        <v>46141.5534547801</v>
      </c>
      <c r="K1013" s="6" t="s">
        <v>4880</v>
      </c>
      <c r="L1013" t="str">
        <f t="shared" si="15"/>
        <v>DISCO CORTE FERRO 12X1/8 FURO 1 (300MMX3.0MMX25.40MM)|46142</v>
      </c>
    </row>
    <row r="1014" ht="13.5" customHeight="1" spans="1:12">
      <c r="A1014" s="17">
        <v>46141.5552777778</v>
      </c>
      <c r="B1014" s="6" t="s">
        <v>4876</v>
      </c>
      <c r="C1014" s="6" t="s">
        <v>5552</v>
      </c>
      <c r="D1014" s="6" t="s">
        <v>5553</v>
      </c>
      <c r="E1014" s="6" t="s">
        <v>26</v>
      </c>
      <c r="F1014" s="6" t="s">
        <v>4882</v>
      </c>
      <c r="G1014" s="6" t="s">
        <v>696</v>
      </c>
      <c r="H1014" s="6">
        <v>2</v>
      </c>
      <c r="I1014" s="18">
        <v>1043.02</v>
      </c>
      <c r="J1014" s="19">
        <v>46141.5569423264</v>
      </c>
      <c r="K1014" s="6" t="s">
        <v>4880</v>
      </c>
      <c r="L1014" t="str">
        <f t="shared" si="15"/>
        <v>capa termiga SAVE GOODS PARA PALETE|46142</v>
      </c>
    </row>
    <row r="1015" ht="13.5" customHeight="1" spans="1:12">
      <c r="A1015" s="17">
        <v>46141.6040856482</v>
      </c>
      <c r="B1015" s="6" t="s">
        <v>4876</v>
      </c>
      <c r="C1015" s="6" t="s">
        <v>5554</v>
      </c>
      <c r="D1015" s="6" t="s">
        <v>5175</v>
      </c>
      <c r="E1015" s="6" t="s">
        <v>35</v>
      </c>
      <c r="F1015" s="6" t="s">
        <v>4879</v>
      </c>
      <c r="G1015" s="6" t="s">
        <v>1816</v>
      </c>
      <c r="H1015" s="6">
        <v>1</v>
      </c>
      <c r="I1015" s="18">
        <v>1745</v>
      </c>
      <c r="J1015" s="19">
        <v>46141.6051231482</v>
      </c>
      <c r="K1015" s="6" t="s">
        <v>4880</v>
      </c>
      <c r="L1015" t="str">
        <f t="shared" si="15"/>
        <v>RADIADOR 23B/ 121251/D|46142</v>
      </c>
    </row>
    <row r="1016" ht="13.5" customHeight="1" spans="1:12">
      <c r="A1016" s="17">
        <v>46141.692974537</v>
      </c>
      <c r="B1016" s="6" t="s">
        <v>4876</v>
      </c>
      <c r="C1016" s="6" t="s">
        <v>5555</v>
      </c>
      <c r="D1016" s="6" t="s">
        <v>4935</v>
      </c>
      <c r="E1016" s="6" t="s">
        <v>26</v>
      </c>
      <c r="F1016" s="6" t="s">
        <v>4882</v>
      </c>
      <c r="G1016" s="6" t="s">
        <v>4580</v>
      </c>
      <c r="H1016" s="6">
        <v>4</v>
      </c>
      <c r="I1016" s="18">
        <v>275.16</v>
      </c>
      <c r="J1016" s="19">
        <v>46141.6959914699</v>
      </c>
      <c r="K1016" s="6" t="s">
        <v>4880</v>
      </c>
      <c r="L1016" t="str">
        <f t="shared" si="15"/>
        <v>ARO DE ALUMINIO 250/350 X 4 BUCHA|46142</v>
      </c>
    </row>
    <row r="1017" ht="13.5" customHeight="1" spans="1:12">
      <c r="A1017" s="17">
        <v>46141.692974537</v>
      </c>
      <c r="B1017" s="6" t="s">
        <v>4876</v>
      </c>
      <c r="C1017" s="6" t="s">
        <v>5555</v>
      </c>
      <c r="D1017" s="6" t="s">
        <v>4935</v>
      </c>
      <c r="E1017" s="6" t="s">
        <v>26</v>
      </c>
      <c r="F1017" s="6" t="s">
        <v>4882</v>
      </c>
      <c r="G1017" s="6" t="s">
        <v>4034</v>
      </c>
      <c r="H1017" s="6">
        <v>4</v>
      </c>
      <c r="I1017" s="18">
        <v>73.24</v>
      </c>
      <c r="J1017" s="19">
        <v>46141.6959907407</v>
      </c>
      <c r="K1017" s="6" t="s">
        <v>4880</v>
      </c>
      <c r="L1017" t="str">
        <f t="shared" si="15"/>
        <v>CAMARA DE AR 350x4 MARCA IMPORTADA|46142</v>
      </c>
    </row>
    <row r="1018" ht="13.5" customHeight="1" spans="1:12">
      <c r="A1018" s="17">
        <v>46141.692974537</v>
      </c>
      <c r="B1018" s="6" t="s">
        <v>4876</v>
      </c>
      <c r="C1018" s="6" t="s">
        <v>5555</v>
      </c>
      <c r="D1018" s="6" t="s">
        <v>4935</v>
      </c>
      <c r="E1018" s="6" t="s">
        <v>26</v>
      </c>
      <c r="F1018" s="6" t="s">
        <v>4882</v>
      </c>
      <c r="G1018" s="6" t="s">
        <v>559</v>
      </c>
      <c r="H1018" s="6">
        <v>4</v>
      </c>
      <c r="I1018" s="18">
        <v>209.64</v>
      </c>
      <c r="J1018" s="19">
        <v>46141.6958950579</v>
      </c>
      <c r="K1018" s="6" t="s">
        <v>4880</v>
      </c>
      <c r="L1018" t="str">
        <f t="shared" si="15"/>
        <v>PNEU 350 x 4 MARCA PARALELA|46142</v>
      </c>
    </row>
    <row r="1019" ht="13.5" customHeight="1" spans="1:12">
      <c r="A1019" s="17">
        <v>46142.3361111111</v>
      </c>
      <c r="B1019" s="6" t="s">
        <v>4876</v>
      </c>
      <c r="C1019" s="6" t="s">
        <v>5556</v>
      </c>
      <c r="D1019" s="6" t="s">
        <v>4971</v>
      </c>
      <c r="E1019" s="6" t="s">
        <v>26</v>
      </c>
      <c r="F1019" s="6" t="s">
        <v>4882</v>
      </c>
      <c r="G1019" s="6" t="s">
        <v>999</v>
      </c>
      <c r="H1019" s="6">
        <v>2</v>
      </c>
      <c r="I1019" s="18">
        <v>140.94</v>
      </c>
      <c r="J1019" s="19">
        <v>46146.3471625</v>
      </c>
      <c r="K1019" s="6" t="s">
        <v>4880</v>
      </c>
      <c r="L1019" t="str">
        <f t="shared" si="15"/>
        <v>VARIADOR LUMININ/VELOCIDADE BIVOLT|46142</v>
      </c>
    </row>
    <row r="1020" ht="13.5" customHeight="1" spans="1:12">
      <c r="A1020" s="17">
        <v>46142.3361111111</v>
      </c>
      <c r="B1020" s="6" t="s">
        <v>4876</v>
      </c>
      <c r="C1020" s="6" t="s">
        <v>5556</v>
      </c>
      <c r="D1020" s="6" t="s">
        <v>4971</v>
      </c>
      <c r="E1020" s="6" t="s">
        <v>26</v>
      </c>
      <c r="F1020" s="6" t="s">
        <v>4882</v>
      </c>
      <c r="G1020" s="6" t="s">
        <v>3604</v>
      </c>
      <c r="H1020" s="6">
        <v>486</v>
      </c>
      <c r="I1020" s="18">
        <v>486</v>
      </c>
      <c r="J1020" s="19">
        <v>46146.3471601505</v>
      </c>
      <c r="K1020" s="6" t="s">
        <v>4880</v>
      </c>
      <c r="L1020" t="str">
        <f t="shared" si="15"/>
        <v>CORDA COLORIDA 4MM|46142</v>
      </c>
    </row>
    <row r="1021" ht="13.5" customHeight="1" spans="1:12">
      <c r="A1021" s="17">
        <v>46142.3361111111</v>
      </c>
      <c r="B1021" s="6" t="s">
        <v>4876</v>
      </c>
      <c r="C1021" s="6" t="s">
        <v>5556</v>
      </c>
      <c r="D1021" s="6" t="s">
        <v>4971</v>
      </c>
      <c r="E1021" s="6" t="s">
        <v>26</v>
      </c>
      <c r="F1021" s="6" t="s">
        <v>4882</v>
      </c>
      <c r="G1021" s="6" t="s">
        <v>868</v>
      </c>
      <c r="H1021" s="6">
        <v>92</v>
      </c>
      <c r="I1021" s="18">
        <v>82.8</v>
      </c>
      <c r="J1021" s="19">
        <v>46146.3471592593</v>
      </c>
      <c r="K1021" s="6" t="s">
        <v>4880</v>
      </c>
      <c r="L1021" t="str">
        <f t="shared" si="15"/>
        <v>CORDA 4MM BRANCA|46142</v>
      </c>
    </row>
    <row r="1022" ht="13.5" customHeight="1" spans="1:12">
      <c r="A1022" s="17">
        <v>46142.3361111111</v>
      </c>
      <c r="B1022" s="6" t="s">
        <v>4876</v>
      </c>
      <c r="C1022" s="6" t="s">
        <v>5556</v>
      </c>
      <c r="D1022" s="6" t="s">
        <v>4971</v>
      </c>
      <c r="E1022" s="6" t="s">
        <v>26</v>
      </c>
      <c r="F1022" s="6" t="s">
        <v>4882</v>
      </c>
      <c r="G1022" s="6" t="s">
        <v>3605</v>
      </c>
      <c r="H1022" s="6">
        <v>250</v>
      </c>
      <c r="I1022" s="18">
        <v>317.5</v>
      </c>
      <c r="J1022" s="19">
        <v>46146.3471576042</v>
      </c>
      <c r="K1022" s="6" t="s">
        <v>4880</v>
      </c>
      <c r="L1022" t="str">
        <f t="shared" si="15"/>
        <v>CORDA 6MM|46142</v>
      </c>
    </row>
    <row r="1023" ht="13.5" customHeight="1" spans="1:12">
      <c r="A1023" s="17">
        <v>46142.3833333333</v>
      </c>
      <c r="B1023" s="6" t="s">
        <v>4876</v>
      </c>
      <c r="C1023" s="6" t="s">
        <v>5504</v>
      </c>
      <c r="D1023" s="6" t="s">
        <v>5557</v>
      </c>
      <c r="E1023" s="6" t="s">
        <v>26</v>
      </c>
      <c r="F1023" s="6" t="s">
        <v>4882</v>
      </c>
      <c r="G1023" s="6" t="s">
        <v>695</v>
      </c>
      <c r="H1023" s="6">
        <v>2</v>
      </c>
      <c r="I1023" s="18">
        <v>105.8</v>
      </c>
      <c r="J1023" s="19">
        <v>46149.387544213</v>
      </c>
      <c r="K1023" s="6" t="s">
        <v>4880</v>
      </c>
      <c r="L1023" t="str">
        <f t="shared" si="15"/>
        <v>20 PANOS MICROFIBRA CINZA 30X30 PREMIUM LIMPA VIDROS E PIA|46142</v>
      </c>
    </row>
    <row r="1024" ht="13.5" customHeight="1" spans="1:12">
      <c r="A1024" s="17">
        <v>46142.3888888889</v>
      </c>
      <c r="B1024" s="6" t="s">
        <v>4876</v>
      </c>
      <c r="C1024" s="6" t="s">
        <v>5558</v>
      </c>
      <c r="D1024" s="6" t="s">
        <v>5559</v>
      </c>
      <c r="E1024" s="6" t="s">
        <v>26</v>
      </c>
      <c r="F1024" s="6" t="s">
        <v>4882</v>
      </c>
      <c r="G1024" s="6" t="s">
        <v>694</v>
      </c>
      <c r="H1024" s="6">
        <v>2</v>
      </c>
      <c r="I1024" s="18">
        <v>149.64</v>
      </c>
      <c r="J1024" s="19">
        <v>46149.389647257</v>
      </c>
      <c r="K1024" s="6" t="s">
        <v>4880</v>
      </c>
      <c r="L1024" t="str">
        <f t="shared" si="15"/>
        <v>KIT 20 UNIDADES REUTILIZE SACOS|46142</v>
      </c>
    </row>
    <row r="1025" ht="13.5" customHeight="1" spans="1:12">
      <c r="A1025" s="17">
        <v>46142.4298611111</v>
      </c>
      <c r="B1025" s="6" t="s">
        <v>4876</v>
      </c>
      <c r="C1025" s="6" t="s">
        <v>5560</v>
      </c>
      <c r="D1025" s="6" t="s">
        <v>4986</v>
      </c>
      <c r="E1025" s="6" t="s">
        <v>26</v>
      </c>
      <c r="F1025" s="6" t="s">
        <v>4882</v>
      </c>
      <c r="G1025" s="6" t="s">
        <v>791</v>
      </c>
      <c r="H1025" s="6">
        <v>1</v>
      </c>
      <c r="I1025" s="18">
        <v>42.99</v>
      </c>
      <c r="J1025" s="19">
        <v>46153.4393992245</v>
      </c>
      <c r="K1025" s="6" t="s">
        <v>4880</v>
      </c>
      <c r="L1025" t="str">
        <f t="shared" si="15"/>
        <v>CINTA ERGONOMICA (EEG)|46142</v>
      </c>
    </row>
    <row r="1026" ht="13.5" customHeight="1" spans="1:12">
      <c r="A1026" s="17">
        <v>46142.4298611111</v>
      </c>
      <c r="B1026" s="6" t="s">
        <v>4876</v>
      </c>
      <c r="C1026" s="6" t="s">
        <v>5560</v>
      </c>
      <c r="D1026" s="6" t="s">
        <v>4986</v>
      </c>
      <c r="E1026" s="6" t="s">
        <v>26</v>
      </c>
      <c r="F1026" s="6" t="s">
        <v>4882</v>
      </c>
      <c r="G1026" s="6" t="s">
        <v>3767</v>
      </c>
      <c r="H1026" s="6">
        <v>10</v>
      </c>
      <c r="I1026" s="18">
        <v>429.9</v>
      </c>
      <c r="J1026" s="19">
        <v>46153.4393982986</v>
      </c>
      <c r="K1026" s="6" t="s">
        <v>4880</v>
      </c>
      <c r="L1026" t="str">
        <f t="shared" ref="L1026:L1089" si="16">IF(G1026="","",G1026&amp;"|"&amp;TEXT(A1026,"0"))</f>
        <v>CINTA ERGONOMICA (EG)|46142</v>
      </c>
    </row>
    <row r="1027" ht="13.5" customHeight="1" spans="1:12">
      <c r="A1027" s="17">
        <v>46142.4298611111</v>
      </c>
      <c r="B1027" s="6" t="s">
        <v>4876</v>
      </c>
      <c r="C1027" s="6" t="s">
        <v>5560</v>
      </c>
      <c r="D1027" s="6" t="s">
        <v>4986</v>
      </c>
      <c r="E1027" s="6" t="s">
        <v>26</v>
      </c>
      <c r="F1027" s="6" t="s">
        <v>4882</v>
      </c>
      <c r="G1027" s="6" t="s">
        <v>814</v>
      </c>
      <c r="H1027" s="6">
        <v>10</v>
      </c>
      <c r="I1027" s="18">
        <v>429.9</v>
      </c>
      <c r="J1027" s="19">
        <v>46153.439397419</v>
      </c>
      <c r="K1027" s="6" t="s">
        <v>4880</v>
      </c>
      <c r="L1027" t="str">
        <f t="shared" si="16"/>
        <v>CINTA ERGONOMICA (G)|46142</v>
      </c>
    </row>
    <row r="1028" ht="13.5" customHeight="1" spans="1:12">
      <c r="A1028" s="17">
        <v>46142.4298611111</v>
      </c>
      <c r="B1028" s="6" t="s">
        <v>4876</v>
      </c>
      <c r="C1028" s="6" t="s">
        <v>5560</v>
      </c>
      <c r="D1028" s="6" t="s">
        <v>4986</v>
      </c>
      <c r="E1028" s="6" t="s">
        <v>26</v>
      </c>
      <c r="F1028" s="6" t="s">
        <v>4882</v>
      </c>
      <c r="G1028" s="6" t="s">
        <v>3766</v>
      </c>
      <c r="H1028" s="6">
        <v>10</v>
      </c>
      <c r="I1028" s="18">
        <v>429.9</v>
      </c>
      <c r="J1028" s="19">
        <v>46153.4393961458</v>
      </c>
      <c r="K1028" s="6" t="s">
        <v>4880</v>
      </c>
      <c r="L1028" t="str">
        <f t="shared" si="16"/>
        <v>CINTA ERGONOMICA (M)|46142</v>
      </c>
    </row>
    <row r="1029" ht="13.5" customHeight="1" spans="1:12">
      <c r="A1029" s="17">
        <v>46142.4298611111</v>
      </c>
      <c r="B1029" s="6" t="s">
        <v>4876</v>
      </c>
      <c r="C1029" s="6" t="s">
        <v>5560</v>
      </c>
      <c r="D1029" s="6" t="s">
        <v>4986</v>
      </c>
      <c r="E1029" s="6" t="s">
        <v>26</v>
      </c>
      <c r="F1029" s="6" t="s">
        <v>4882</v>
      </c>
      <c r="G1029" s="6" t="s">
        <v>846</v>
      </c>
      <c r="H1029" s="6">
        <v>50</v>
      </c>
      <c r="I1029" s="18">
        <v>1495</v>
      </c>
      <c r="J1029" s="19">
        <v>46153.4393935995</v>
      </c>
      <c r="K1029" s="6" t="s">
        <v>4880</v>
      </c>
      <c r="L1029" t="str">
        <f t="shared" si="16"/>
        <v>TOUCA NINJA/BALACLAVA LA AZUL |46142</v>
      </c>
    </row>
    <row r="1030" ht="13.5" customHeight="1" spans="1:12">
      <c r="A1030" s="17">
        <v>46142.4298611111</v>
      </c>
      <c r="B1030" s="6" t="s">
        <v>4876</v>
      </c>
      <c r="C1030" s="6" t="s">
        <v>5560</v>
      </c>
      <c r="D1030" s="6" t="s">
        <v>4986</v>
      </c>
      <c r="E1030" s="6" t="s">
        <v>26</v>
      </c>
      <c r="F1030" s="6" t="s">
        <v>4882</v>
      </c>
      <c r="G1030" s="6" t="s">
        <v>647</v>
      </c>
      <c r="H1030" s="6">
        <v>100</v>
      </c>
      <c r="I1030" s="18">
        <v>670</v>
      </c>
      <c r="J1030" s="19">
        <v>46153.4393871181</v>
      </c>
      <c r="K1030" s="6" t="s">
        <v>4880</v>
      </c>
      <c r="L1030" t="str">
        <f t="shared" si="16"/>
        <v>MEIA TÉRMICA ALGODÃO|46142</v>
      </c>
    </row>
    <row r="1031" ht="13.5" customHeight="1" spans="1:12">
      <c r="A1031" s="17">
        <v>46142.4298611111</v>
      </c>
      <c r="B1031" s="6" t="s">
        <v>4876</v>
      </c>
      <c r="C1031" s="6" t="s">
        <v>5560</v>
      </c>
      <c r="D1031" s="6" t="s">
        <v>4986</v>
      </c>
      <c r="E1031" s="6" t="s">
        <v>26</v>
      </c>
      <c r="F1031" s="6" t="s">
        <v>4882</v>
      </c>
      <c r="G1031" s="6" t="s">
        <v>485</v>
      </c>
      <c r="H1031" s="6">
        <v>100</v>
      </c>
      <c r="I1031" s="18">
        <v>2399</v>
      </c>
      <c r="J1031" s="19">
        <v>46153.4393798611</v>
      </c>
      <c r="K1031" s="6" t="s">
        <v>4880</v>
      </c>
      <c r="L1031" t="str">
        <f t="shared" si="16"/>
        <v>LUVA NITRÍLICA AZUL (G) C/100|46142</v>
      </c>
    </row>
    <row r="1032" ht="13.5" customHeight="1" spans="1:12">
      <c r="A1032" s="17">
        <v>46142.4298611111</v>
      </c>
      <c r="B1032" s="6" t="s">
        <v>4876</v>
      </c>
      <c r="C1032" s="6" t="s">
        <v>5560</v>
      </c>
      <c r="D1032" s="6" t="s">
        <v>4986</v>
      </c>
      <c r="E1032" s="6" t="s">
        <v>26</v>
      </c>
      <c r="F1032" s="6" t="s">
        <v>4882</v>
      </c>
      <c r="G1032" s="6" t="s">
        <v>2482</v>
      </c>
      <c r="H1032" s="6">
        <v>20</v>
      </c>
      <c r="I1032" s="18">
        <v>136</v>
      </c>
      <c r="J1032" s="19">
        <v>46153.4393742245</v>
      </c>
      <c r="K1032" s="6" t="s">
        <v>4880</v>
      </c>
      <c r="L1032" t="str">
        <f t="shared" si="16"/>
        <v>MASCARA TNT BRANCA TRIPLA |46142</v>
      </c>
    </row>
    <row r="1033" ht="13.5" customHeight="1" spans="1:12">
      <c r="A1033" s="17">
        <v>46142.4298611111</v>
      </c>
      <c r="B1033" s="6" t="s">
        <v>4876</v>
      </c>
      <c r="C1033" s="6" t="s">
        <v>5560</v>
      </c>
      <c r="D1033" s="6" t="s">
        <v>4986</v>
      </c>
      <c r="E1033" s="6" t="s">
        <v>26</v>
      </c>
      <c r="F1033" s="6" t="s">
        <v>4882</v>
      </c>
      <c r="G1033" s="6" t="s">
        <v>820</v>
      </c>
      <c r="H1033" s="6">
        <v>10</v>
      </c>
      <c r="I1033" s="18">
        <v>539.9</v>
      </c>
      <c r="J1033" s="19">
        <v>46153.4393732986</v>
      </c>
      <c r="K1033" s="6" t="s">
        <v>4880</v>
      </c>
      <c r="L1033" t="str">
        <f t="shared" si="16"/>
        <v>BOTA PVC BRANCA N/43|46142</v>
      </c>
    </row>
    <row r="1034" ht="13.5" customHeight="1" spans="1:12">
      <c r="A1034" s="17">
        <v>46142.4298611111</v>
      </c>
      <c r="B1034" s="6" t="s">
        <v>4876</v>
      </c>
      <c r="C1034" s="6" t="s">
        <v>5560</v>
      </c>
      <c r="D1034" s="6" t="s">
        <v>4986</v>
      </c>
      <c r="E1034" s="6" t="s">
        <v>26</v>
      </c>
      <c r="F1034" s="6" t="s">
        <v>4882</v>
      </c>
      <c r="G1034" s="6" t="s">
        <v>4291</v>
      </c>
      <c r="H1034" s="6">
        <v>8</v>
      </c>
      <c r="I1034" s="18">
        <v>431.92</v>
      </c>
      <c r="J1034" s="19">
        <v>46153.4393716782</v>
      </c>
      <c r="K1034" s="6" t="s">
        <v>4880</v>
      </c>
      <c r="L1034" t="str">
        <f t="shared" si="16"/>
        <v>BOTA PVC BRANCA N/42|46142</v>
      </c>
    </row>
    <row r="1035" ht="13.5" customHeight="1" spans="1:12">
      <c r="A1035" s="17">
        <v>46142.4298611111</v>
      </c>
      <c r="B1035" s="6" t="s">
        <v>4876</v>
      </c>
      <c r="C1035" s="6" t="s">
        <v>5560</v>
      </c>
      <c r="D1035" s="6" t="s">
        <v>4986</v>
      </c>
      <c r="E1035" s="6" t="s">
        <v>26</v>
      </c>
      <c r="F1035" s="6" t="s">
        <v>4882</v>
      </c>
      <c r="G1035" s="6" t="s">
        <v>4307</v>
      </c>
      <c r="H1035" s="6">
        <v>10</v>
      </c>
      <c r="I1035" s="18">
        <v>539.9</v>
      </c>
      <c r="J1035" s="19">
        <v>46153.4393693287</v>
      </c>
      <c r="K1035" s="6" t="s">
        <v>4880</v>
      </c>
      <c r="L1035" t="str">
        <f t="shared" si="16"/>
        <v>BOTA DE PVC BRANCA N/40|46142</v>
      </c>
    </row>
    <row r="1036" ht="13.5" customHeight="1" spans="1:12">
      <c r="A1036" s="17">
        <v>46146.3819444445</v>
      </c>
      <c r="B1036" s="6" t="s">
        <v>4876</v>
      </c>
      <c r="C1036" s="6" t="s">
        <v>5027</v>
      </c>
      <c r="D1036" s="6" t="s">
        <v>5175</v>
      </c>
      <c r="E1036" s="6" t="s">
        <v>35</v>
      </c>
      <c r="F1036" s="6" t="s">
        <v>4879</v>
      </c>
      <c r="G1036" s="6" t="s">
        <v>385</v>
      </c>
      <c r="H1036" s="6">
        <v>1</v>
      </c>
      <c r="I1036" s="18">
        <v>3900</v>
      </c>
      <c r="J1036" s="19">
        <v>46148.3846025116</v>
      </c>
      <c r="K1036" s="6" t="s">
        <v>4880</v>
      </c>
      <c r="L1036" t="str">
        <f t="shared" si="16"/>
        <v>KIT EMBREAGEM VW DELIVERY 11.180 OMD 23B198149|46146</v>
      </c>
    </row>
    <row r="1037" ht="13.5" customHeight="1" spans="1:12">
      <c r="A1037" s="17">
        <v>46146.3875</v>
      </c>
      <c r="B1037" s="6" t="s">
        <v>4876</v>
      </c>
      <c r="C1037" s="6" t="s">
        <v>5561</v>
      </c>
      <c r="D1037" s="6" t="s">
        <v>5562</v>
      </c>
      <c r="E1037" s="6" t="s">
        <v>26</v>
      </c>
      <c r="F1037" s="6" t="s">
        <v>4882</v>
      </c>
      <c r="G1037" s="6" t="s">
        <v>554</v>
      </c>
      <c r="H1037" s="6">
        <v>40</v>
      </c>
      <c r="I1037" s="18">
        <v>80.8</v>
      </c>
      <c r="J1037" s="19">
        <v>46149.3888025116</v>
      </c>
      <c r="K1037" s="6" t="s">
        <v>4880</v>
      </c>
      <c r="L1037" t="str">
        <f t="shared" si="16"/>
        <v>APLICADOR DE CERA E SILICONE AUTOMTIVO 11X2CM|46146</v>
      </c>
    </row>
    <row r="1038" ht="13.5" customHeight="1" spans="1:12">
      <c r="A1038" s="17">
        <v>46146.5712615741</v>
      </c>
      <c r="B1038" s="6" t="s">
        <v>4876</v>
      </c>
      <c r="C1038" s="6" t="s">
        <v>5563</v>
      </c>
      <c r="D1038" s="6" t="s">
        <v>4954</v>
      </c>
      <c r="E1038" s="6" t="s">
        <v>26</v>
      </c>
      <c r="F1038" s="6" t="s">
        <v>4882</v>
      </c>
      <c r="G1038" s="6" t="s">
        <v>2533</v>
      </c>
      <c r="H1038" s="6">
        <v>1</v>
      </c>
      <c r="I1038" s="18">
        <v>496</v>
      </c>
      <c r="J1038" s="19">
        <v>46146.6365385069</v>
      </c>
      <c r="K1038" s="6" t="s">
        <v>4880</v>
      </c>
      <c r="L1038" t="str">
        <f t="shared" si="16"/>
        <v>MANGUEIRA DO RADIADOR ACCELO A9795015582|46147</v>
      </c>
    </row>
    <row r="1039" ht="13.5" customHeight="1" spans="1:12">
      <c r="A1039" s="17">
        <v>46146.5847222222</v>
      </c>
      <c r="B1039" s="6" t="s">
        <v>4876</v>
      </c>
      <c r="C1039" s="6" t="s">
        <v>5564</v>
      </c>
      <c r="D1039" s="6" t="s">
        <v>4979</v>
      </c>
      <c r="E1039" s="6" t="s">
        <v>35</v>
      </c>
      <c r="F1039" s="6" t="s">
        <v>4879</v>
      </c>
      <c r="G1039" s="6" t="s">
        <v>424</v>
      </c>
      <c r="H1039" s="6">
        <v>1</v>
      </c>
      <c r="I1039" s="18">
        <v>1505</v>
      </c>
      <c r="J1039" s="19">
        <v>46148.5945746528</v>
      </c>
      <c r="K1039" s="6" t="s">
        <v>4880</v>
      </c>
      <c r="L1039" t="str">
        <f t="shared" si="16"/>
        <v>CONDESADOR DO AR CONDICIONADO A9795000054|46147</v>
      </c>
    </row>
    <row r="1040" ht="13.5" customHeight="1" spans="1:12">
      <c r="A1040" s="17">
        <v>46146.5847222222</v>
      </c>
      <c r="B1040" s="6" t="s">
        <v>4876</v>
      </c>
      <c r="C1040" s="6" t="s">
        <v>5564</v>
      </c>
      <c r="D1040" s="6" t="s">
        <v>4979</v>
      </c>
      <c r="E1040" s="6" t="s">
        <v>35</v>
      </c>
      <c r="F1040" s="6" t="s">
        <v>4879</v>
      </c>
      <c r="G1040" s="6" t="s">
        <v>211</v>
      </c>
      <c r="H1040" s="6">
        <v>5</v>
      </c>
      <c r="I1040" s="18">
        <v>725</v>
      </c>
      <c r="J1040" s="19">
        <v>46148.5945739583</v>
      </c>
      <c r="K1040" s="6" t="s">
        <v>4880</v>
      </c>
      <c r="L1040" t="str">
        <f t="shared" si="16"/>
        <v>FILTRO DE AR MERCEDE BENZ A3740940104|46147</v>
      </c>
    </row>
    <row r="1041" ht="13.5" customHeight="1" spans="1:12">
      <c r="A1041" s="17">
        <v>46146.5847222222</v>
      </c>
      <c r="B1041" s="6" t="s">
        <v>4876</v>
      </c>
      <c r="C1041" s="6" t="s">
        <v>5564</v>
      </c>
      <c r="D1041" s="6" t="s">
        <v>4979</v>
      </c>
      <c r="E1041" s="6" t="s">
        <v>35</v>
      </c>
      <c r="F1041" s="6" t="s">
        <v>4879</v>
      </c>
      <c r="G1041" s="6" t="s">
        <v>2526</v>
      </c>
      <c r="H1041" s="6">
        <v>1</v>
      </c>
      <c r="I1041" s="18">
        <v>60</v>
      </c>
      <c r="J1041" s="19">
        <v>46148.5945723032</v>
      </c>
      <c r="K1041" s="6" t="s">
        <v>4880</v>
      </c>
      <c r="L1041" t="str">
        <f t="shared" si="16"/>
        <v>MANGUEIRA MOLDADA A9795015482|46147</v>
      </c>
    </row>
    <row r="1042" ht="13.5" customHeight="1" spans="1:12">
      <c r="A1042" s="17">
        <v>46147.3625</v>
      </c>
      <c r="B1042" s="6" t="s">
        <v>4876</v>
      </c>
      <c r="C1042" s="6" t="s">
        <v>5565</v>
      </c>
      <c r="D1042" s="6" t="s">
        <v>4971</v>
      </c>
      <c r="E1042" s="6" t="s">
        <v>26</v>
      </c>
      <c r="F1042" s="6" t="s">
        <v>4882</v>
      </c>
      <c r="G1042" s="6" t="s">
        <v>1594</v>
      </c>
      <c r="H1042" s="6">
        <v>1</v>
      </c>
      <c r="I1042" s="18">
        <v>2.6</v>
      </c>
      <c r="J1042" s="19">
        <v>46148.368065625</v>
      </c>
      <c r="K1042" s="6" t="s">
        <v>4880</v>
      </c>
      <c r="L1042" t="str">
        <f t="shared" si="16"/>
        <v>ROSCA PLUG 1/2|46147</v>
      </c>
    </row>
    <row r="1043" ht="13.5" customHeight="1" spans="1:12">
      <c r="A1043" s="17">
        <v>46147.3625</v>
      </c>
      <c r="B1043" s="6" t="s">
        <v>4876</v>
      </c>
      <c r="C1043" s="6" t="s">
        <v>5565</v>
      </c>
      <c r="D1043" s="6" t="s">
        <v>4971</v>
      </c>
      <c r="E1043" s="6" t="s">
        <v>26</v>
      </c>
      <c r="F1043" s="6" t="s">
        <v>4882</v>
      </c>
      <c r="G1043" s="6" t="s">
        <v>1593</v>
      </c>
      <c r="H1043" s="6">
        <v>1</v>
      </c>
      <c r="I1043" s="18">
        <v>22.24</v>
      </c>
      <c r="J1043" s="19">
        <v>46148.3680643519</v>
      </c>
      <c r="K1043" s="6" t="s">
        <v>4880</v>
      </c>
      <c r="L1043" t="str">
        <f t="shared" si="16"/>
        <v>ROSCA TE 1/2|46147</v>
      </c>
    </row>
    <row r="1044" ht="13.5" customHeight="1" spans="1:12">
      <c r="A1044" s="17">
        <v>46147.3625</v>
      </c>
      <c r="B1044" s="6" t="s">
        <v>4876</v>
      </c>
      <c r="C1044" s="6" t="s">
        <v>5565</v>
      </c>
      <c r="D1044" s="6" t="s">
        <v>4971</v>
      </c>
      <c r="E1044" s="6" t="s">
        <v>26</v>
      </c>
      <c r="F1044" s="6" t="s">
        <v>4882</v>
      </c>
      <c r="G1044" s="6" t="s">
        <v>1596</v>
      </c>
      <c r="H1044" s="6">
        <v>1</v>
      </c>
      <c r="I1044" s="18">
        <v>3.37</v>
      </c>
      <c r="J1044" s="19">
        <v>46148.3680620023</v>
      </c>
      <c r="K1044" s="6" t="s">
        <v>4880</v>
      </c>
      <c r="L1044" t="str">
        <f t="shared" si="16"/>
        <v>ROSCA NIPEL 1/2|46147</v>
      </c>
    </row>
    <row r="1045" ht="13.5" customHeight="1" spans="1:12">
      <c r="A1045" s="17">
        <v>46147.3625</v>
      </c>
      <c r="B1045" s="6" t="s">
        <v>4876</v>
      </c>
      <c r="C1045" s="6" t="s">
        <v>5565</v>
      </c>
      <c r="D1045" s="6" t="s">
        <v>4971</v>
      </c>
      <c r="E1045" s="6" t="s">
        <v>26</v>
      </c>
      <c r="F1045" s="6" t="s">
        <v>4882</v>
      </c>
      <c r="G1045" s="6" t="s">
        <v>1402</v>
      </c>
      <c r="H1045" s="6">
        <v>2</v>
      </c>
      <c r="I1045" s="18">
        <v>8.1</v>
      </c>
      <c r="J1045" s="19">
        <v>46148.3680601852</v>
      </c>
      <c r="K1045" s="6" t="s">
        <v>4880</v>
      </c>
      <c r="L1045" t="str">
        <f t="shared" si="16"/>
        <v>SOLDA ADAPTADOR CURTO 32X1 TIGRE|46147</v>
      </c>
    </row>
    <row r="1046" ht="13.5" customHeight="1" spans="1:12">
      <c r="A1046" s="17">
        <v>46147.3625</v>
      </c>
      <c r="B1046" s="6" t="s">
        <v>4876</v>
      </c>
      <c r="C1046" s="6" t="s">
        <v>5565</v>
      </c>
      <c r="D1046" s="6" t="s">
        <v>4971</v>
      </c>
      <c r="E1046" s="6" t="s">
        <v>26</v>
      </c>
      <c r="F1046" s="6" t="s">
        <v>4882</v>
      </c>
      <c r="G1046" s="6" t="s">
        <v>1381</v>
      </c>
      <c r="H1046" s="6">
        <v>2</v>
      </c>
      <c r="I1046" s="18">
        <v>11.52</v>
      </c>
      <c r="J1046" s="19">
        <v>46148.3680576736</v>
      </c>
      <c r="K1046" s="6" t="s">
        <v>4880</v>
      </c>
      <c r="L1046" t="str">
        <f t="shared" si="16"/>
        <v>SOLDA TE 32MM |46147</v>
      </c>
    </row>
    <row r="1047" ht="13.5" customHeight="1" spans="1:12">
      <c r="A1047" s="17">
        <v>46147.3763888889</v>
      </c>
      <c r="B1047" s="6" t="s">
        <v>4876</v>
      </c>
      <c r="C1047" s="6" t="s">
        <v>5566</v>
      </c>
      <c r="D1047" s="6" t="s">
        <v>4884</v>
      </c>
      <c r="E1047" s="6" t="s">
        <v>26</v>
      </c>
      <c r="F1047" s="6" t="s">
        <v>4882</v>
      </c>
      <c r="G1047" s="6" t="s">
        <v>3061</v>
      </c>
      <c r="H1047" s="6">
        <v>2</v>
      </c>
      <c r="I1047" s="18">
        <v>568.4</v>
      </c>
      <c r="J1047" s="19">
        <v>46148.3804658565</v>
      </c>
      <c r="K1047" s="6" t="s">
        <v>4880</v>
      </c>
      <c r="L1047" t="str">
        <f t="shared" si="16"/>
        <v>FIO CABO FLEX 750V 2,50MM VERMELHO|46147</v>
      </c>
    </row>
    <row r="1048" ht="13.5" customHeight="1" spans="1:12">
      <c r="A1048" s="17">
        <v>46147.3763888889</v>
      </c>
      <c r="B1048" s="6" t="s">
        <v>4876</v>
      </c>
      <c r="C1048" s="6" t="s">
        <v>5566</v>
      </c>
      <c r="D1048" s="6" t="s">
        <v>4884</v>
      </c>
      <c r="E1048" s="6" t="s">
        <v>26</v>
      </c>
      <c r="F1048" s="6" t="s">
        <v>4882</v>
      </c>
      <c r="G1048" s="6" t="s">
        <v>3064</v>
      </c>
      <c r="H1048" s="6">
        <v>2</v>
      </c>
      <c r="I1048" s="18">
        <v>568.4</v>
      </c>
      <c r="J1048" s="19">
        <v>46148.3804654745</v>
      </c>
      <c r="K1048" s="6" t="s">
        <v>4880</v>
      </c>
      <c r="L1048" t="str">
        <f t="shared" si="16"/>
        <v>FIO CABO FLEX 750V 2,50MM AZUL|46147</v>
      </c>
    </row>
    <row r="1049" ht="13.5" customHeight="1" spans="1:12">
      <c r="A1049" s="17">
        <v>46147.3763888889</v>
      </c>
      <c r="B1049" s="6" t="s">
        <v>4876</v>
      </c>
      <c r="C1049" s="6" t="s">
        <v>5566</v>
      </c>
      <c r="D1049" s="6" t="s">
        <v>4884</v>
      </c>
      <c r="E1049" s="6" t="s">
        <v>26</v>
      </c>
      <c r="F1049" s="6" t="s">
        <v>4882</v>
      </c>
      <c r="G1049" s="6" t="s">
        <v>2592</v>
      </c>
      <c r="H1049" s="6">
        <v>2</v>
      </c>
      <c r="I1049" s="18">
        <v>7.66</v>
      </c>
      <c r="J1049" s="19">
        <v>46148.3804647801</v>
      </c>
      <c r="K1049" s="6" t="s">
        <v>4880</v>
      </c>
      <c r="L1049" t="str">
        <f t="shared" si="16"/>
        <v>LUVA SOLD 32MM|46147</v>
      </c>
    </row>
    <row r="1050" ht="13.5" customHeight="1" spans="1:12">
      <c r="A1050" s="17">
        <v>46147.3777777778</v>
      </c>
      <c r="B1050" s="6" t="s">
        <v>4876</v>
      </c>
      <c r="C1050" s="6" t="s">
        <v>5567</v>
      </c>
      <c r="D1050" s="6" t="s">
        <v>5067</v>
      </c>
      <c r="E1050" s="6" t="s">
        <v>26</v>
      </c>
      <c r="F1050" s="6" t="s">
        <v>4882</v>
      </c>
      <c r="G1050" s="6" t="s">
        <v>357</v>
      </c>
      <c r="H1050" s="6">
        <v>1</v>
      </c>
      <c r="I1050" s="18">
        <v>319.14</v>
      </c>
      <c r="J1050" s="19">
        <v>46149.3801563657</v>
      </c>
      <c r="K1050" s="6" t="s">
        <v>4880</v>
      </c>
      <c r="L1050" t="str">
        <f t="shared" si="16"/>
        <v>MOLDURA FAROL C/DEFLETOR MB ACCELO 815 915 1016 (LE)|46147</v>
      </c>
    </row>
    <row r="1051" ht="13.5" customHeight="1" spans="1:12">
      <c r="A1051" s="17">
        <v>46147.3777777778</v>
      </c>
      <c r="B1051" s="6" t="s">
        <v>4876</v>
      </c>
      <c r="C1051" s="6" t="s">
        <v>5567</v>
      </c>
      <c r="D1051" s="6" t="s">
        <v>5067</v>
      </c>
      <c r="E1051" s="6" t="s">
        <v>26</v>
      </c>
      <c r="F1051" s="6" t="s">
        <v>4882</v>
      </c>
      <c r="G1051" s="6" t="s">
        <v>176</v>
      </c>
      <c r="H1051" s="6">
        <v>1</v>
      </c>
      <c r="I1051" s="18">
        <v>319.14</v>
      </c>
      <c r="J1051" s="19">
        <v>46149.3800548264</v>
      </c>
      <c r="K1051" s="6" t="s">
        <v>4880</v>
      </c>
      <c r="L1051" t="str">
        <f t="shared" si="16"/>
        <v>MOLDURA FAROL C/DEFLETOR MB ACCELO 815 915 1016 (LD)|46147</v>
      </c>
    </row>
    <row r="1052" ht="13.5" customHeight="1" spans="1:12">
      <c r="A1052" s="17">
        <v>46147.3798611111</v>
      </c>
      <c r="B1052" s="6" t="s">
        <v>4876</v>
      </c>
      <c r="C1052" s="6" t="s">
        <v>5568</v>
      </c>
      <c r="D1052" s="6" t="s">
        <v>5067</v>
      </c>
      <c r="E1052" s="6" t="s">
        <v>26</v>
      </c>
      <c r="F1052" s="6" t="s">
        <v>4882</v>
      </c>
      <c r="G1052" s="6" t="s">
        <v>357</v>
      </c>
      <c r="H1052" s="6">
        <v>1</v>
      </c>
      <c r="I1052" s="18">
        <v>319.14</v>
      </c>
      <c r="J1052" s="19">
        <v>46149.3814209144</v>
      </c>
      <c r="K1052" s="6" t="s">
        <v>4880</v>
      </c>
      <c r="L1052" t="str">
        <f t="shared" si="16"/>
        <v>MOLDURA FAROL C/DEFLETOR MB ACCELO 815 915 1016 (LE)|46147</v>
      </c>
    </row>
    <row r="1053" ht="13.5" customHeight="1" spans="1:12">
      <c r="A1053" s="17">
        <v>46147.3798611111</v>
      </c>
      <c r="B1053" s="6" t="s">
        <v>4876</v>
      </c>
      <c r="C1053" s="6" t="s">
        <v>5568</v>
      </c>
      <c r="D1053" s="6" t="s">
        <v>5067</v>
      </c>
      <c r="E1053" s="6" t="s">
        <v>26</v>
      </c>
      <c r="F1053" s="6" t="s">
        <v>4882</v>
      </c>
      <c r="G1053" s="6" t="s">
        <v>176</v>
      </c>
      <c r="H1053" s="6">
        <v>1</v>
      </c>
      <c r="I1053" s="18">
        <v>319.14</v>
      </c>
      <c r="J1053" s="19">
        <v>46149.3814205208</v>
      </c>
      <c r="K1053" s="6" t="s">
        <v>4880</v>
      </c>
      <c r="L1053" t="str">
        <f t="shared" si="16"/>
        <v>MOLDURA FAROL C/DEFLETOR MB ACCELO 815 915 1016 (LD)|46147</v>
      </c>
    </row>
    <row r="1054" ht="13.5" customHeight="1" spans="1:12">
      <c r="A1054" s="17">
        <v>46147.38125</v>
      </c>
      <c r="B1054" s="6" t="s">
        <v>4876</v>
      </c>
      <c r="C1054" s="6" t="s">
        <v>5569</v>
      </c>
      <c r="D1054" s="6" t="s">
        <v>5067</v>
      </c>
      <c r="E1054" s="6" t="s">
        <v>26</v>
      </c>
      <c r="F1054" s="6" t="s">
        <v>4882</v>
      </c>
      <c r="G1054" s="6" t="s">
        <v>357</v>
      </c>
      <c r="H1054" s="6">
        <v>1</v>
      </c>
      <c r="I1054" s="18">
        <v>319.14</v>
      </c>
      <c r="J1054" s="19">
        <v>46149.3825266551</v>
      </c>
      <c r="K1054" s="6" t="s">
        <v>4880</v>
      </c>
      <c r="L1054" t="str">
        <f t="shared" si="16"/>
        <v>MOLDURA FAROL C/DEFLETOR MB ACCELO 815 915 1016 (LE)|46147</v>
      </c>
    </row>
    <row r="1055" ht="13.5" customHeight="1" spans="1:12">
      <c r="A1055" s="17">
        <v>46147.38125</v>
      </c>
      <c r="B1055" s="6" t="s">
        <v>4876</v>
      </c>
      <c r="C1055" s="6" t="s">
        <v>5569</v>
      </c>
      <c r="D1055" s="6" t="s">
        <v>5067</v>
      </c>
      <c r="E1055" s="6" t="s">
        <v>26</v>
      </c>
      <c r="F1055" s="6" t="s">
        <v>4882</v>
      </c>
      <c r="G1055" s="6" t="s">
        <v>176</v>
      </c>
      <c r="H1055" s="6">
        <v>1</v>
      </c>
      <c r="I1055" s="18">
        <v>319.14</v>
      </c>
      <c r="J1055" s="19">
        <v>46149.3825262732</v>
      </c>
      <c r="K1055" s="6" t="s">
        <v>4880</v>
      </c>
      <c r="L1055" t="str">
        <f t="shared" si="16"/>
        <v>MOLDURA FAROL C/DEFLETOR MB ACCELO 815 915 1016 (LD)|46147</v>
      </c>
    </row>
    <row r="1056" ht="13.5" customHeight="1" spans="1:12">
      <c r="A1056" s="17">
        <v>46147.3819444445</v>
      </c>
      <c r="B1056" s="6" t="s">
        <v>4876</v>
      </c>
      <c r="C1056" s="6" t="s">
        <v>5570</v>
      </c>
      <c r="D1056" s="6" t="s">
        <v>5067</v>
      </c>
      <c r="E1056" s="6" t="s">
        <v>26</v>
      </c>
      <c r="F1056" s="6" t="s">
        <v>4882</v>
      </c>
      <c r="G1056" s="6" t="s">
        <v>357</v>
      </c>
      <c r="H1056" s="6">
        <v>1</v>
      </c>
      <c r="I1056" s="18">
        <v>319.14</v>
      </c>
      <c r="J1056" s="19">
        <v>46149.383484456</v>
      </c>
      <c r="K1056" s="6" t="s">
        <v>4880</v>
      </c>
      <c r="L1056" t="str">
        <f t="shared" si="16"/>
        <v>MOLDURA FAROL C/DEFLETOR MB ACCELO 815 915 1016 (LE)|46147</v>
      </c>
    </row>
    <row r="1057" ht="13.5" customHeight="1" spans="1:12">
      <c r="A1057" s="17">
        <v>46147.3819444445</v>
      </c>
      <c r="B1057" s="6" t="s">
        <v>4876</v>
      </c>
      <c r="C1057" s="6" t="s">
        <v>5570</v>
      </c>
      <c r="D1057" s="6" t="s">
        <v>5067</v>
      </c>
      <c r="E1057" s="6" t="s">
        <v>26</v>
      </c>
      <c r="F1057" s="6" t="s">
        <v>4882</v>
      </c>
      <c r="G1057" s="6" t="s">
        <v>176</v>
      </c>
      <c r="H1057" s="6">
        <v>1</v>
      </c>
      <c r="I1057" s="18">
        <v>319.14</v>
      </c>
      <c r="J1057" s="19">
        <v>46149.3834841088</v>
      </c>
      <c r="K1057" s="6" t="s">
        <v>4880</v>
      </c>
      <c r="L1057" t="str">
        <f t="shared" si="16"/>
        <v>MOLDURA FAROL C/DEFLETOR MB ACCELO 815 915 1016 (LD)|46147</v>
      </c>
    </row>
    <row r="1058" ht="13.5" customHeight="1" spans="1:12">
      <c r="A1058" s="17">
        <v>46147.668900463</v>
      </c>
      <c r="B1058" s="6" t="s">
        <v>4876</v>
      </c>
      <c r="C1058" s="6" t="s">
        <v>5571</v>
      </c>
      <c r="D1058" s="6" t="s">
        <v>5056</v>
      </c>
      <c r="E1058" s="6" t="s">
        <v>414</v>
      </c>
      <c r="F1058" s="6" t="s">
        <v>4879</v>
      </c>
      <c r="G1058" s="6" t="s">
        <v>2029</v>
      </c>
      <c r="H1058" s="6">
        <v>8</v>
      </c>
      <c r="I1058" s="18">
        <v>80</v>
      </c>
      <c r="J1058" s="19">
        <v>46147.6702675116</v>
      </c>
      <c r="K1058" s="6" t="s">
        <v>4880</v>
      </c>
      <c r="L1058" t="str">
        <f t="shared" si="16"/>
        <v>PINO ELASTICO GARFO FSO4505|46148</v>
      </c>
    </row>
    <row r="1059" ht="13.5" customHeight="1" spans="1:12">
      <c r="A1059" s="17">
        <v>46147.6705787037</v>
      </c>
      <c r="B1059" s="6" t="s">
        <v>4876</v>
      </c>
      <c r="C1059" s="6" t="s">
        <v>5572</v>
      </c>
      <c r="D1059" s="6" t="s">
        <v>5132</v>
      </c>
      <c r="E1059" s="6" t="s">
        <v>26</v>
      </c>
      <c r="F1059" s="6" t="s">
        <v>4882</v>
      </c>
      <c r="G1059" s="6" t="s">
        <v>3749</v>
      </c>
      <c r="H1059" s="6">
        <v>1</v>
      </c>
      <c r="I1059" s="18">
        <v>1750</v>
      </c>
      <c r="J1059" s="19">
        <v>46147.6730485764</v>
      </c>
      <c r="K1059" s="6" t="s">
        <v>4880</v>
      </c>
      <c r="L1059" t="str">
        <f t="shared" si="16"/>
        <v>CM 10PA15C PASSANTE CAMINHAO ATRON 8PK 24V |46148</v>
      </c>
    </row>
    <row r="1060" ht="13.5" customHeight="1" spans="1:12">
      <c r="A1060" s="17">
        <v>46147.6705787037</v>
      </c>
      <c r="B1060" s="6" t="s">
        <v>4876</v>
      </c>
      <c r="C1060" s="6" t="s">
        <v>5572</v>
      </c>
      <c r="D1060" s="6" t="s">
        <v>5132</v>
      </c>
      <c r="E1060" s="6" t="s">
        <v>26</v>
      </c>
      <c r="F1060" s="6" t="s">
        <v>4882</v>
      </c>
      <c r="G1060" s="6" t="s">
        <v>1024</v>
      </c>
      <c r="H1060" s="6">
        <v>1</v>
      </c>
      <c r="I1060" s="18">
        <v>140</v>
      </c>
      <c r="J1060" s="19">
        <v>46147.673047338</v>
      </c>
      <c r="K1060" s="6" t="s">
        <v>4880</v>
      </c>
      <c r="L1060" t="str">
        <f t="shared" si="16"/>
        <v>VALVULA CONECTORA COMPRESSOR 10PA15|46148</v>
      </c>
    </row>
    <row r="1061" ht="13.5" customHeight="1" spans="1:12">
      <c r="A1061" s="17">
        <v>46147.6977314815</v>
      </c>
      <c r="B1061" s="6" t="s">
        <v>4876</v>
      </c>
      <c r="C1061" s="6" t="s">
        <v>5573</v>
      </c>
      <c r="D1061" s="6" t="s">
        <v>5574</v>
      </c>
      <c r="E1061" s="6" t="s">
        <v>26</v>
      </c>
      <c r="F1061" s="6" t="s">
        <v>4882</v>
      </c>
      <c r="G1061" s="6" t="s">
        <v>2624</v>
      </c>
      <c r="H1061" s="6">
        <v>20</v>
      </c>
      <c r="I1061" s="18">
        <v>3800</v>
      </c>
      <c r="J1061" s="19">
        <v>46147.702447338</v>
      </c>
      <c r="K1061" s="6" t="s">
        <v>4880</v>
      </c>
      <c r="L1061" t="str">
        <f t="shared" si="16"/>
        <v>longarina usada|46148</v>
      </c>
    </row>
    <row r="1062" ht="13.5" customHeight="1" spans="1:12">
      <c r="A1062" s="17">
        <v>46147.7030208333</v>
      </c>
      <c r="B1062" s="6" t="s">
        <v>4876</v>
      </c>
      <c r="C1062" s="6" t="s">
        <v>5575</v>
      </c>
      <c r="D1062" s="6" t="s">
        <v>5132</v>
      </c>
      <c r="E1062" s="6" t="s">
        <v>26</v>
      </c>
      <c r="F1062" s="6" t="s">
        <v>4882</v>
      </c>
      <c r="G1062" s="6" t="s">
        <v>2741</v>
      </c>
      <c r="H1062" s="6">
        <v>3</v>
      </c>
      <c r="I1062" s="18">
        <v>75</v>
      </c>
      <c r="J1062" s="19">
        <v>46147.7045461458</v>
      </c>
      <c r="K1062" s="6" t="s">
        <v>4880</v>
      </c>
      <c r="L1062" t="str">
        <f t="shared" si="16"/>
        <v>KIT REPARO P/MANGUEIRAS MANIFOLD|46148</v>
      </c>
    </row>
    <row r="1063" ht="13.5" customHeight="1" spans="1:12">
      <c r="A1063" s="17">
        <v>46147.7030208333</v>
      </c>
      <c r="B1063" s="6" t="s">
        <v>4876</v>
      </c>
      <c r="C1063" s="6" t="s">
        <v>5575</v>
      </c>
      <c r="D1063" s="6" t="s">
        <v>5132</v>
      </c>
      <c r="E1063" s="6" t="s">
        <v>26</v>
      </c>
      <c r="F1063" s="6" t="s">
        <v>4882</v>
      </c>
      <c r="G1063" s="6" t="s">
        <v>202</v>
      </c>
      <c r="H1063" s="6">
        <v>2</v>
      </c>
      <c r="I1063" s="18">
        <v>700</v>
      </c>
      <c r="J1063" s="19">
        <v>46147.7045445255</v>
      </c>
      <c r="K1063" s="6" t="s">
        <v>4880</v>
      </c>
      <c r="L1063" t="str">
        <f t="shared" si="16"/>
        <v>ELETRO VENT UNIV 10P 24V SOPRANTE 750018|46148</v>
      </c>
    </row>
    <row r="1064" ht="13.5" customHeight="1" spans="1:12">
      <c r="A1064" s="17">
        <v>46148.3895833333</v>
      </c>
      <c r="B1064" s="6" t="s">
        <v>4876</v>
      </c>
      <c r="C1064" s="6" t="s">
        <v>5576</v>
      </c>
      <c r="D1064" s="6" t="s">
        <v>4919</v>
      </c>
      <c r="E1064" s="6" t="s">
        <v>26</v>
      </c>
      <c r="F1064" s="6" t="s">
        <v>4882</v>
      </c>
      <c r="G1064" s="6" t="s">
        <v>3283</v>
      </c>
      <c r="H1064" s="6">
        <v>1</v>
      </c>
      <c r="I1064" s="18">
        <v>206.9</v>
      </c>
      <c r="J1064" s="19">
        <v>46149.3905519329</v>
      </c>
      <c r="K1064" s="6" t="s">
        <v>4880</v>
      </c>
      <c r="L1064" t="str">
        <f t="shared" si="16"/>
        <v>ESMALTE SINTETICO NOVACOR BRILHO ALUMINIO 3,6L|46148</v>
      </c>
    </row>
    <row r="1065" ht="13.5" customHeight="1" spans="1:12">
      <c r="A1065" s="17">
        <v>46148.3902777778</v>
      </c>
      <c r="B1065" s="6" t="s">
        <v>4876</v>
      </c>
      <c r="C1065" s="6" t="s">
        <v>5577</v>
      </c>
      <c r="D1065" s="6" t="s">
        <v>4954</v>
      </c>
      <c r="E1065" s="6" t="s">
        <v>26</v>
      </c>
      <c r="F1065" s="6" t="s">
        <v>4882</v>
      </c>
      <c r="G1065" s="6" t="s">
        <v>4609</v>
      </c>
      <c r="H1065" s="6">
        <v>10</v>
      </c>
      <c r="I1065" s="18">
        <v>38.5</v>
      </c>
      <c r="J1065" s="19">
        <v>46149.3935768519</v>
      </c>
      <c r="K1065" s="6" t="s">
        <v>4880</v>
      </c>
      <c r="L1065" t="str">
        <f t="shared" si="16"/>
        <v>ANEL TRAVA EXT.58MM - CONTRA EIXO G3.60|46148</v>
      </c>
    </row>
    <row r="1066" ht="13.5" customHeight="1" spans="1:12">
      <c r="A1066" s="17">
        <v>46148.3902777778</v>
      </c>
      <c r="B1066" s="6" t="s">
        <v>4876</v>
      </c>
      <c r="C1066" s="6" t="s">
        <v>5577</v>
      </c>
      <c r="D1066" s="6" t="s">
        <v>4954</v>
      </c>
      <c r="E1066" s="6" t="s">
        <v>26</v>
      </c>
      <c r="F1066" s="6" t="s">
        <v>4882</v>
      </c>
      <c r="G1066" s="6" t="s">
        <v>4610</v>
      </c>
      <c r="H1066" s="6">
        <v>10</v>
      </c>
      <c r="I1066" s="18">
        <v>30</v>
      </c>
      <c r="J1066" s="19">
        <v>46149.393575382</v>
      </c>
      <c r="K1066" s="6" t="s">
        <v>4880</v>
      </c>
      <c r="L1066" t="str">
        <f t="shared" si="16"/>
        <v>ANEL TRAVA EXT.35MM -PONTA PINHAO|46148</v>
      </c>
    </row>
    <row r="1067" ht="13.5" customHeight="1" spans="1:12">
      <c r="A1067" s="17">
        <v>46148.3902777778</v>
      </c>
      <c r="B1067" s="6" t="s">
        <v>4876</v>
      </c>
      <c r="C1067" s="6" t="s">
        <v>5577</v>
      </c>
      <c r="D1067" s="6" t="s">
        <v>4954</v>
      </c>
      <c r="E1067" s="6" t="s">
        <v>26</v>
      </c>
      <c r="F1067" s="6" t="s">
        <v>4882</v>
      </c>
      <c r="G1067" s="6" t="s">
        <v>4268</v>
      </c>
      <c r="H1067" s="6">
        <v>2</v>
      </c>
      <c r="I1067" s="18">
        <v>489.2</v>
      </c>
      <c r="J1067" s="19">
        <v>46149.3935749653</v>
      </c>
      <c r="K1067" s="6" t="s">
        <v>4880</v>
      </c>
      <c r="L1067" t="str">
        <f t="shared" si="16"/>
        <v>BRAÇO RETROVISOR (LE) ACCELO|46148</v>
      </c>
    </row>
    <row r="1068" ht="13.5" customHeight="1" spans="1:12">
      <c r="A1068" s="17">
        <v>46148.3902777778</v>
      </c>
      <c r="B1068" s="6" t="s">
        <v>4876</v>
      </c>
      <c r="C1068" s="6" t="s">
        <v>5577</v>
      </c>
      <c r="D1068" s="6" t="s">
        <v>4954</v>
      </c>
      <c r="E1068" s="6" t="s">
        <v>26</v>
      </c>
      <c r="F1068" s="6" t="s">
        <v>4882</v>
      </c>
      <c r="G1068" s="6" t="s">
        <v>161</v>
      </c>
      <c r="H1068" s="6">
        <v>5</v>
      </c>
      <c r="I1068" s="18">
        <v>110</v>
      </c>
      <c r="J1068" s="19">
        <v>46149.3935735301</v>
      </c>
      <c r="K1068" s="6" t="s">
        <v>4880</v>
      </c>
      <c r="L1068" t="str">
        <f t="shared" si="16"/>
        <v>MACANETA INTERNA DIREITA ACCELO|46148</v>
      </c>
    </row>
    <row r="1069" ht="13.5" customHeight="1" spans="1:12">
      <c r="A1069" s="17">
        <v>46148.3930555556</v>
      </c>
      <c r="B1069" s="6" t="s">
        <v>4876</v>
      </c>
      <c r="C1069" s="6" t="s">
        <v>5578</v>
      </c>
      <c r="D1069" s="6" t="s">
        <v>4894</v>
      </c>
      <c r="E1069" s="6" t="s">
        <v>26</v>
      </c>
      <c r="F1069" s="6" t="s">
        <v>4882</v>
      </c>
      <c r="G1069" s="6" t="s">
        <v>1409</v>
      </c>
      <c r="H1069" s="6">
        <v>1</v>
      </c>
      <c r="I1069" s="18">
        <v>17.09</v>
      </c>
      <c r="J1069" s="19">
        <v>46149.3954629282</v>
      </c>
      <c r="K1069" s="6" t="s">
        <v>4880</v>
      </c>
      <c r="L1069" t="str">
        <f t="shared" si="16"/>
        <v>SODA CAUSTICA PT 400G|46148</v>
      </c>
    </row>
    <row r="1070" ht="13.5" customHeight="1" spans="1:12">
      <c r="A1070" s="17">
        <v>46148.3930555556</v>
      </c>
      <c r="B1070" s="6" t="s">
        <v>4876</v>
      </c>
      <c r="C1070" s="6" t="s">
        <v>5578</v>
      </c>
      <c r="D1070" s="6" t="s">
        <v>4894</v>
      </c>
      <c r="E1070" s="6" t="s">
        <v>26</v>
      </c>
      <c r="F1070" s="6" t="s">
        <v>4882</v>
      </c>
      <c r="G1070" s="6" t="s">
        <v>896</v>
      </c>
      <c r="H1070" s="6">
        <v>1</v>
      </c>
      <c r="I1070" s="18">
        <v>75.7</v>
      </c>
      <c r="J1070" s="19">
        <v>46149.3954620023</v>
      </c>
      <c r="K1070" s="6" t="s">
        <v>4880</v>
      </c>
      <c r="L1070" t="str">
        <f t="shared" si="16"/>
        <v>PILHA ALCALINA PALITO (AAA)|46148</v>
      </c>
    </row>
    <row r="1071" ht="13.5" customHeight="1" spans="1:12">
      <c r="A1071" s="17">
        <v>46148.3930555556</v>
      </c>
      <c r="B1071" s="6" t="s">
        <v>4876</v>
      </c>
      <c r="C1071" s="6" t="s">
        <v>5578</v>
      </c>
      <c r="D1071" s="6" t="s">
        <v>4894</v>
      </c>
      <c r="E1071" s="6" t="s">
        <v>26</v>
      </c>
      <c r="F1071" s="6" t="s">
        <v>4882</v>
      </c>
      <c r="G1071" s="6" t="s">
        <v>3220</v>
      </c>
      <c r="H1071" s="6">
        <v>1</v>
      </c>
      <c r="I1071" s="18">
        <v>14.83</v>
      </c>
      <c r="J1071" s="19">
        <v>46149.3954609144</v>
      </c>
      <c r="K1071" s="6" t="s">
        <v>4880</v>
      </c>
      <c r="L1071" t="str">
        <f t="shared" si="16"/>
        <v>EVEREADY PILHA GOLD PALITO AAA6 C/6|46148</v>
      </c>
    </row>
    <row r="1072" ht="13.5" customHeight="1" spans="1:12">
      <c r="A1072" s="17">
        <v>46148.5756944444</v>
      </c>
      <c r="B1072" s="6" t="s">
        <v>4876</v>
      </c>
      <c r="C1072" s="6" t="s">
        <v>5579</v>
      </c>
      <c r="D1072" s="6" t="s">
        <v>5147</v>
      </c>
      <c r="E1072" s="6" t="s">
        <v>390</v>
      </c>
      <c r="F1072" s="6" t="s">
        <v>4879</v>
      </c>
      <c r="G1072" s="6" t="s">
        <v>1515</v>
      </c>
      <c r="H1072" s="6">
        <v>4</v>
      </c>
      <c r="I1072" s="18">
        <v>4236.4</v>
      </c>
      <c r="J1072" s="19">
        <v>46155.5788690972</v>
      </c>
      <c r="K1072" s="6" t="s">
        <v>4880</v>
      </c>
      <c r="L1072" t="str">
        <f t="shared" si="16"/>
        <v>SCS PLAST LISO NAT 20X51|46149</v>
      </c>
    </row>
    <row r="1073" ht="13.5" customHeight="1" spans="1:12">
      <c r="A1073" s="17">
        <v>46148.6493055556</v>
      </c>
      <c r="B1073" s="6" t="s">
        <v>4876</v>
      </c>
      <c r="C1073" s="6" t="s">
        <v>5580</v>
      </c>
      <c r="D1073" s="6" t="s">
        <v>4986</v>
      </c>
      <c r="E1073" s="6" t="s">
        <v>26</v>
      </c>
      <c r="F1073" s="6" t="s">
        <v>4882</v>
      </c>
      <c r="G1073" s="6" t="s">
        <v>4293</v>
      </c>
      <c r="H1073" s="6">
        <v>4</v>
      </c>
      <c r="I1073" s="18">
        <v>868.84</v>
      </c>
      <c r="J1073" s="19">
        <v>46168.6595204514</v>
      </c>
      <c r="K1073" s="6" t="s">
        <v>4880</v>
      </c>
      <c r="L1073" t="str">
        <f t="shared" si="16"/>
        <v>BOTA N°45 FRIGORÍFICA BRANCA MICROFIBRA	|46149</v>
      </c>
    </row>
    <row r="1074" ht="13.5" customHeight="1" spans="1:12">
      <c r="A1074" s="17">
        <v>46148.6493055556</v>
      </c>
      <c r="B1074" s="6" t="s">
        <v>4876</v>
      </c>
      <c r="C1074" s="6" t="s">
        <v>5580</v>
      </c>
      <c r="D1074" s="6" t="s">
        <v>4986</v>
      </c>
      <c r="E1074" s="6" t="s">
        <v>26</v>
      </c>
      <c r="F1074" s="6" t="s">
        <v>4882</v>
      </c>
      <c r="G1074" s="6" t="s">
        <v>4294</v>
      </c>
      <c r="H1074" s="6">
        <v>4</v>
      </c>
      <c r="I1074" s="18">
        <v>868.84</v>
      </c>
      <c r="J1074" s="19">
        <v>46168.6595202546</v>
      </c>
      <c r="K1074" s="6" t="s">
        <v>4880</v>
      </c>
      <c r="L1074" t="str">
        <f t="shared" si="16"/>
        <v>BOTA N°44 FRIGORÍFICA BRANCA MICROFIBRA|46149</v>
      </c>
    </row>
    <row r="1075" ht="13.5" customHeight="1" spans="1:12">
      <c r="A1075" s="17">
        <v>46148.6493055556</v>
      </c>
      <c r="B1075" s="6" t="s">
        <v>4876</v>
      </c>
      <c r="C1075" s="6" t="s">
        <v>5580</v>
      </c>
      <c r="D1075" s="6" t="s">
        <v>4986</v>
      </c>
      <c r="E1075" s="6" t="s">
        <v>26</v>
      </c>
      <c r="F1075" s="6" t="s">
        <v>4882</v>
      </c>
      <c r="G1075" s="6" t="s">
        <v>4304</v>
      </c>
      <c r="H1075" s="6">
        <v>3</v>
      </c>
      <c r="I1075" s="18">
        <v>651.63</v>
      </c>
      <c r="J1075" s="19">
        <v>46168.6595199074</v>
      </c>
      <c r="K1075" s="6" t="s">
        <v>4880</v>
      </c>
      <c r="L1075" t="str">
        <f t="shared" si="16"/>
        <v>BOTA FRIGORIFICA N/42|46149</v>
      </c>
    </row>
    <row r="1076" ht="13.5" customHeight="1" spans="1:12">
      <c r="A1076" s="17">
        <v>46148.6493055556</v>
      </c>
      <c r="B1076" s="6" t="s">
        <v>4876</v>
      </c>
      <c r="C1076" s="6" t="s">
        <v>5580</v>
      </c>
      <c r="D1076" s="6" t="s">
        <v>4986</v>
      </c>
      <c r="E1076" s="6" t="s">
        <v>26</v>
      </c>
      <c r="F1076" s="6" t="s">
        <v>4882</v>
      </c>
      <c r="G1076" s="6" t="s">
        <v>535</v>
      </c>
      <c r="H1076" s="6">
        <v>4</v>
      </c>
      <c r="I1076" s="18">
        <v>868.84</v>
      </c>
      <c r="J1076" s="19">
        <v>46168.6595191782</v>
      </c>
      <c r="K1076" s="6" t="s">
        <v>4880</v>
      </c>
      <c r="L1076" t="str">
        <f t="shared" si="16"/>
        <v>BOTA N°41 FRIGORÍFICA BRANCA MICROFIBRA	|46149</v>
      </c>
    </row>
    <row r="1077" ht="13.5" customHeight="1" spans="1:12">
      <c r="A1077" s="17">
        <v>46148.6493055556</v>
      </c>
      <c r="B1077" s="6" t="s">
        <v>4876</v>
      </c>
      <c r="C1077" s="6" t="s">
        <v>5580</v>
      </c>
      <c r="D1077" s="6" t="s">
        <v>4986</v>
      </c>
      <c r="E1077" s="6" t="s">
        <v>26</v>
      </c>
      <c r="F1077" s="6" t="s">
        <v>4882</v>
      </c>
      <c r="G1077" s="6" t="s">
        <v>3767</v>
      </c>
      <c r="H1077" s="6">
        <v>5</v>
      </c>
      <c r="I1077" s="18">
        <v>214.95</v>
      </c>
      <c r="J1077" s="19">
        <v>46168.6595180903</v>
      </c>
      <c r="K1077" s="6" t="s">
        <v>4880</v>
      </c>
      <c r="L1077" t="str">
        <f t="shared" si="16"/>
        <v>CINTA ERGONOMICA (EG)|46149</v>
      </c>
    </row>
    <row r="1078" ht="13.5" customHeight="1" spans="1:12">
      <c r="A1078" s="17">
        <v>46149.5395833333</v>
      </c>
      <c r="B1078" s="6" t="s">
        <v>4876</v>
      </c>
      <c r="C1078" s="6" t="s">
        <v>5581</v>
      </c>
      <c r="D1078" s="6" t="s">
        <v>5582</v>
      </c>
      <c r="E1078" s="6" t="s">
        <v>182</v>
      </c>
      <c r="F1078" s="6" t="s">
        <v>4879</v>
      </c>
      <c r="G1078" s="6" t="s">
        <v>533</v>
      </c>
      <c r="H1078" s="6">
        <v>20</v>
      </c>
      <c r="I1078" s="18">
        <v>1280</v>
      </c>
      <c r="J1078" s="19">
        <v>46150.5459782407</v>
      </c>
      <c r="K1078" s="6" t="s">
        <v>4880</v>
      </c>
      <c r="L1078" t="str">
        <f t="shared" si="16"/>
        <v>SACOLA VERDE REFORÇADA 50x60 5 KG|46150</v>
      </c>
    </row>
    <row r="1079" ht="13.5" customHeight="1" spans="1:12">
      <c r="A1079" s="17">
        <v>46149.5458333333</v>
      </c>
      <c r="B1079" s="6" t="s">
        <v>4876</v>
      </c>
      <c r="C1079" s="6" t="s">
        <v>5583</v>
      </c>
      <c r="D1079" s="6" t="s">
        <v>5584</v>
      </c>
      <c r="E1079" s="6" t="s">
        <v>26</v>
      </c>
      <c r="F1079" s="6" t="s">
        <v>4882</v>
      </c>
      <c r="G1079" s="6" t="s">
        <v>413</v>
      </c>
      <c r="H1079" s="6">
        <v>50</v>
      </c>
      <c r="I1079" s="18">
        <v>344.5</v>
      </c>
      <c r="J1079" s="19">
        <v>46150.5480526273</v>
      </c>
      <c r="K1079" s="6" t="s">
        <v>4880</v>
      </c>
      <c r="L1079" t="str">
        <f t="shared" si="16"/>
        <v>GASOLINA COMUM 01|46150</v>
      </c>
    </row>
    <row r="1080" ht="13.5" customHeight="1" spans="1:12">
      <c r="A1080" s="17">
        <v>46149.5520833333</v>
      </c>
      <c r="B1080" s="6" t="s">
        <v>4876</v>
      </c>
      <c r="C1080" s="6" t="s">
        <v>5585</v>
      </c>
      <c r="D1080" s="6" t="s">
        <v>5132</v>
      </c>
      <c r="E1080" s="6" t="s">
        <v>26</v>
      </c>
      <c r="F1080" s="6" t="s">
        <v>4882</v>
      </c>
      <c r="G1080" s="6" t="s">
        <v>202</v>
      </c>
      <c r="H1080" s="6">
        <v>2</v>
      </c>
      <c r="I1080" s="18">
        <v>700</v>
      </c>
      <c r="J1080" s="19">
        <v>46149.5531630787</v>
      </c>
      <c r="K1080" s="6" t="s">
        <v>4880</v>
      </c>
      <c r="L1080" t="str">
        <f t="shared" si="16"/>
        <v>ELETRO VENT UNIV 10P 24V SOPRANTE 750018|46150</v>
      </c>
    </row>
    <row r="1081" ht="13.5" customHeight="1" spans="1:12">
      <c r="A1081" s="17">
        <v>46149.5534143519</v>
      </c>
      <c r="B1081" s="6" t="s">
        <v>4876</v>
      </c>
      <c r="C1081" s="6" t="s">
        <v>5586</v>
      </c>
      <c r="D1081" s="6" t="s">
        <v>4971</v>
      </c>
      <c r="E1081" s="6" t="s">
        <v>26</v>
      </c>
      <c r="F1081" s="6" t="s">
        <v>4882</v>
      </c>
      <c r="G1081" s="6" t="s">
        <v>608</v>
      </c>
      <c r="H1081" s="6">
        <v>2</v>
      </c>
      <c r="I1081" s="18">
        <v>39.76</v>
      </c>
      <c r="J1081" s="19">
        <v>46149.5546065162</v>
      </c>
      <c r="K1081" s="6" t="s">
        <v>4880</v>
      </c>
      <c r="L1081" t="str">
        <f t="shared" si="16"/>
        <v>FITA VEDA ROSCA 18x25M TIGRE|46150</v>
      </c>
    </row>
    <row r="1082" ht="13.5" customHeight="1" spans="1:12">
      <c r="A1082" s="17">
        <v>46149.5534143519</v>
      </c>
      <c r="B1082" s="6" t="s">
        <v>4876</v>
      </c>
      <c r="C1082" s="6" t="s">
        <v>5586</v>
      </c>
      <c r="D1082" s="6" t="s">
        <v>4971</v>
      </c>
      <c r="E1082" s="6" t="s">
        <v>26</v>
      </c>
      <c r="F1082" s="6" t="s">
        <v>4882</v>
      </c>
      <c r="G1082" s="6" t="s">
        <v>470</v>
      </c>
      <c r="H1082" s="6">
        <v>10</v>
      </c>
      <c r="I1082" s="18">
        <v>187.1</v>
      </c>
      <c r="J1082" s="19">
        <v>46149.5546055903</v>
      </c>
      <c r="K1082" s="6" t="s">
        <v>4880</v>
      </c>
      <c r="L1082" t="str">
        <f t="shared" si="16"/>
        <v>FITA ISOLANTE 19x20M TIGRE|46150</v>
      </c>
    </row>
    <row r="1083" ht="13.5" customHeight="1" spans="1:12">
      <c r="A1083" s="17">
        <v>46149.555162037</v>
      </c>
      <c r="B1083" s="6" t="s">
        <v>4876</v>
      </c>
      <c r="C1083" s="6" t="s">
        <v>5587</v>
      </c>
      <c r="D1083" s="6" t="s">
        <v>4884</v>
      </c>
      <c r="E1083" s="6" t="s">
        <v>26</v>
      </c>
      <c r="F1083" s="6" t="s">
        <v>4882</v>
      </c>
      <c r="G1083" s="6" t="s">
        <v>1118</v>
      </c>
      <c r="H1083" s="6">
        <v>3</v>
      </c>
      <c r="I1083" s="18">
        <v>30.3</v>
      </c>
      <c r="J1083" s="19">
        <v>46149.5573071759</v>
      </c>
      <c r="K1083" s="6" t="s">
        <v>4880</v>
      </c>
      <c r="L1083" t="str">
        <f t="shared" si="16"/>
        <v>TRAPP ENGATE RAPIDO 1/2 DY|46150</v>
      </c>
    </row>
    <row r="1084" ht="13.5" customHeight="1" spans="1:12">
      <c r="A1084" s="17">
        <v>46149.555162037</v>
      </c>
      <c r="B1084" s="6" t="s">
        <v>4876</v>
      </c>
      <c r="C1084" s="6" t="s">
        <v>5587</v>
      </c>
      <c r="D1084" s="6" t="s">
        <v>4884</v>
      </c>
      <c r="E1084" s="6" t="s">
        <v>26</v>
      </c>
      <c r="F1084" s="6" t="s">
        <v>4882</v>
      </c>
      <c r="G1084" s="6" t="s">
        <v>4518</v>
      </c>
      <c r="H1084" s="6">
        <v>3</v>
      </c>
      <c r="I1084" s="18">
        <v>198.36</v>
      </c>
      <c r="J1084" s="19">
        <v>46149.5573068287</v>
      </c>
      <c r="K1084" s="6" t="s">
        <v>4880</v>
      </c>
      <c r="L1084" t="str">
        <f t="shared" si="16"/>
        <v>ATLAS ASSENTO SANIT ALMOFADADO|46150</v>
      </c>
    </row>
    <row r="1085" ht="13.5" customHeight="1" spans="1:12">
      <c r="A1085" s="17">
        <v>46149.6138888889</v>
      </c>
      <c r="B1085" s="6" t="s">
        <v>4876</v>
      </c>
      <c r="C1085" s="6" t="s">
        <v>5588</v>
      </c>
      <c r="D1085" s="6" t="s">
        <v>4979</v>
      </c>
      <c r="E1085" s="6" t="s">
        <v>35</v>
      </c>
      <c r="F1085" s="6" t="s">
        <v>4879</v>
      </c>
      <c r="G1085" s="6" t="s">
        <v>1600</v>
      </c>
      <c r="H1085" s="6">
        <v>1</v>
      </c>
      <c r="I1085" s="18">
        <v>1581</v>
      </c>
      <c r="J1085" s="19">
        <v>46154.6180204861</v>
      </c>
      <c r="K1085" s="6" t="s">
        <v>4880</v>
      </c>
      <c r="L1085" t="str">
        <f t="shared" si="16"/>
        <v>ROLO INVERSOR A 9062006970|46150</v>
      </c>
    </row>
    <row r="1086" ht="13.5" customHeight="1" spans="1:12">
      <c r="A1086" s="17">
        <v>46149.6138888889</v>
      </c>
      <c r="B1086" s="6" t="s">
        <v>4876</v>
      </c>
      <c r="C1086" s="6" t="s">
        <v>5588</v>
      </c>
      <c r="D1086" s="6" t="s">
        <v>4979</v>
      </c>
      <c r="E1086" s="6" t="s">
        <v>35</v>
      </c>
      <c r="F1086" s="6" t="s">
        <v>4879</v>
      </c>
      <c r="G1086" s="6" t="s">
        <v>2526</v>
      </c>
      <c r="H1086" s="6">
        <v>1</v>
      </c>
      <c r="I1086" s="18">
        <v>60</v>
      </c>
      <c r="J1086" s="19">
        <v>46154.6180201042</v>
      </c>
      <c r="K1086" s="6" t="s">
        <v>4880</v>
      </c>
      <c r="L1086" t="str">
        <f t="shared" si="16"/>
        <v>MANGUEIRA MOLDADA A9795015482|46150</v>
      </c>
    </row>
    <row r="1087" ht="13.5" customHeight="1" spans="1:12">
      <c r="A1087" s="17">
        <v>46150.4277777778</v>
      </c>
      <c r="B1087" s="6" t="s">
        <v>4876</v>
      </c>
      <c r="C1087" s="6" t="s">
        <v>5589</v>
      </c>
      <c r="D1087" s="6" t="s">
        <v>4919</v>
      </c>
      <c r="E1087" s="6" t="s">
        <v>26</v>
      </c>
      <c r="F1087" s="6" t="s">
        <v>4882</v>
      </c>
      <c r="G1087" s="6" t="s">
        <v>239</v>
      </c>
      <c r="H1087" s="6">
        <v>6</v>
      </c>
      <c r="I1087" s="18">
        <v>185.4</v>
      </c>
      <c r="J1087" s="19">
        <v>46153.4296641204</v>
      </c>
      <c r="K1087" s="6" t="s">
        <v>4880</v>
      </c>
      <c r="L1087" t="str">
        <f t="shared" si="16"/>
        <v>SPRAY PRETO FOSCO 360ML DECOR COLORGIN|46150</v>
      </c>
    </row>
    <row r="1088" ht="13.5" customHeight="1" spans="1:12">
      <c r="A1088" s="17">
        <v>46150.5390740741</v>
      </c>
      <c r="B1088" s="6" t="s">
        <v>4876</v>
      </c>
      <c r="C1088" s="6" t="s">
        <v>5590</v>
      </c>
      <c r="D1088" s="6" t="s">
        <v>5037</v>
      </c>
      <c r="E1088" s="6" t="s">
        <v>26</v>
      </c>
      <c r="F1088" s="6" t="s">
        <v>4882</v>
      </c>
      <c r="G1088" s="6" t="s">
        <v>989</v>
      </c>
      <c r="H1088" s="6">
        <v>2</v>
      </c>
      <c r="I1088" s="18">
        <v>45</v>
      </c>
      <c r="J1088" s="19">
        <v>46150.539621794</v>
      </c>
      <c r="K1088" s="6" t="s">
        <v>4880</v>
      </c>
      <c r="L1088" t="str">
        <f t="shared" si="16"/>
        <v>VASSOURA DE PIAÇAVA |46151</v>
      </c>
    </row>
    <row r="1089" ht="13.5" customHeight="1" spans="1:12">
      <c r="A1089" s="17">
        <v>46150.5444444444</v>
      </c>
      <c r="B1089" s="6" t="s">
        <v>4876</v>
      </c>
      <c r="C1089" s="6" t="s">
        <v>5591</v>
      </c>
      <c r="D1089" s="6" t="s">
        <v>5194</v>
      </c>
      <c r="E1089" s="6" t="s">
        <v>26</v>
      </c>
      <c r="F1089" s="6" t="s">
        <v>4882</v>
      </c>
      <c r="G1089" s="6" t="s">
        <v>1741</v>
      </c>
      <c r="H1089" s="6">
        <v>4</v>
      </c>
      <c r="I1089" s="18">
        <v>1214</v>
      </c>
      <c r="J1089" s="19">
        <v>46156.5483544329</v>
      </c>
      <c r="K1089" s="6" t="s">
        <v>4880</v>
      </c>
      <c r="L1089" t="str">
        <f t="shared" si="16"/>
        <v>RENOV GEL TP CX 12/500ML|46151</v>
      </c>
    </row>
    <row r="1090" ht="13.5" customHeight="1" spans="1:12">
      <c r="A1090" s="17">
        <v>46150.5444444444</v>
      </c>
      <c r="B1090" s="6" t="s">
        <v>4876</v>
      </c>
      <c r="C1090" s="6" t="s">
        <v>5591</v>
      </c>
      <c r="D1090" s="6" t="s">
        <v>5194</v>
      </c>
      <c r="E1090" s="6" t="s">
        <v>26</v>
      </c>
      <c r="F1090" s="6" t="s">
        <v>4882</v>
      </c>
      <c r="G1090" s="6" t="s">
        <v>551</v>
      </c>
      <c r="H1090" s="6">
        <v>3</v>
      </c>
      <c r="I1090" s="18">
        <v>2367</v>
      </c>
      <c r="J1090" s="19">
        <v>46156.5483540509</v>
      </c>
      <c r="K1090" s="6" t="s">
        <v>4880</v>
      </c>
      <c r="L1090" t="str">
        <f t="shared" ref="L1090:L1153" si="17">IF(G1090="","",G1090&amp;"|"&amp;TEXT(A1090,"0"))</f>
        <v>INTERMAX A/C B50L|46151</v>
      </c>
    </row>
    <row r="1091" ht="13.5" customHeight="1" spans="1:12">
      <c r="A1091" s="17">
        <v>46150.5444444444</v>
      </c>
      <c r="B1091" s="6" t="s">
        <v>4876</v>
      </c>
      <c r="C1091" s="6" t="s">
        <v>5591</v>
      </c>
      <c r="D1091" s="6" t="s">
        <v>5194</v>
      </c>
      <c r="E1091" s="6" t="s">
        <v>26</v>
      </c>
      <c r="F1091" s="6" t="s">
        <v>4882</v>
      </c>
      <c r="G1091" s="6" t="s">
        <v>557</v>
      </c>
      <c r="H1091" s="6">
        <v>2</v>
      </c>
      <c r="I1091" s="18">
        <v>328</v>
      </c>
      <c r="J1091" s="19">
        <v>46156.5483537037</v>
      </c>
      <c r="K1091" s="6" t="s">
        <v>4880</v>
      </c>
      <c r="L1091" t="str">
        <f t="shared" si="17"/>
        <v>TAE BRIL GEL 3,6KG|46151</v>
      </c>
    </row>
    <row r="1092" ht="13.5" customHeight="1" spans="1:12">
      <c r="A1092" s="17">
        <v>46150.5444444444</v>
      </c>
      <c r="B1092" s="6" t="s">
        <v>4876</v>
      </c>
      <c r="C1092" s="6" t="s">
        <v>5591</v>
      </c>
      <c r="D1092" s="6" t="s">
        <v>5194</v>
      </c>
      <c r="E1092" s="6" t="s">
        <v>26</v>
      </c>
      <c r="F1092" s="6" t="s">
        <v>4882</v>
      </c>
      <c r="G1092" s="6" t="s">
        <v>552</v>
      </c>
      <c r="H1092" s="6">
        <v>1</v>
      </c>
      <c r="I1092" s="18">
        <v>550</v>
      </c>
      <c r="J1092" s="19">
        <v>46156.548353125</v>
      </c>
      <c r="K1092" s="6" t="s">
        <v>4880</v>
      </c>
      <c r="L1092" t="str">
        <f t="shared" si="17"/>
        <v>TAE PNEU NEW B50L|46151</v>
      </c>
    </row>
    <row r="1093" ht="13.5" customHeight="1" spans="1:12">
      <c r="A1093" s="17">
        <v>46150.5513888889</v>
      </c>
      <c r="B1093" s="6" t="s">
        <v>4876</v>
      </c>
      <c r="C1093" s="6" t="s">
        <v>5592</v>
      </c>
      <c r="D1093" s="6" t="s">
        <v>4954</v>
      </c>
      <c r="E1093" s="6" t="s">
        <v>26</v>
      </c>
      <c r="F1093" s="6" t="s">
        <v>4882</v>
      </c>
      <c r="G1093" s="6" t="s">
        <v>387</v>
      </c>
      <c r="H1093" s="6">
        <v>1</v>
      </c>
      <c r="I1093" s="18">
        <v>448</v>
      </c>
      <c r="J1093" s="19">
        <v>46154.5553547107</v>
      </c>
      <c r="K1093" s="6" t="s">
        <v>4880</v>
      </c>
      <c r="L1093" t="str">
        <f t="shared" si="17"/>
        <v>FOLE PNEUMATICO ANCAIXE GRANDE|46151</v>
      </c>
    </row>
    <row r="1094" ht="13.5" customHeight="1" spans="1:12">
      <c r="A1094" s="17">
        <v>46150.5513888889</v>
      </c>
      <c r="B1094" s="6" t="s">
        <v>4876</v>
      </c>
      <c r="C1094" s="6" t="s">
        <v>5592</v>
      </c>
      <c r="D1094" s="6" t="s">
        <v>4954</v>
      </c>
      <c r="E1094" s="6" t="s">
        <v>26</v>
      </c>
      <c r="F1094" s="6" t="s">
        <v>4882</v>
      </c>
      <c r="G1094" s="6" t="s">
        <v>388</v>
      </c>
      <c r="H1094" s="6">
        <v>2</v>
      </c>
      <c r="I1094" s="18">
        <v>238</v>
      </c>
      <c r="J1094" s="19">
        <v>46154.5553543634</v>
      </c>
      <c r="K1094" s="6" t="s">
        <v>4880</v>
      </c>
      <c r="L1094" t="str">
        <f t="shared" si="17"/>
        <v>GRAMPO 7/8X92X360 VM FH 440 MARCA PARALELA|46151</v>
      </c>
    </row>
    <row r="1095" ht="13.5" customHeight="1" spans="1:12">
      <c r="A1095" s="17">
        <v>46150.5513888889</v>
      </c>
      <c r="B1095" s="6" t="s">
        <v>4876</v>
      </c>
      <c r="C1095" s="6" t="s">
        <v>5592</v>
      </c>
      <c r="D1095" s="6" t="s">
        <v>4954</v>
      </c>
      <c r="E1095" s="6" t="s">
        <v>26</v>
      </c>
      <c r="F1095" s="6" t="s">
        <v>4882</v>
      </c>
      <c r="G1095" s="6" t="s">
        <v>1942</v>
      </c>
      <c r="H1095" s="6">
        <v>8</v>
      </c>
      <c r="I1095" s="18">
        <v>44</v>
      </c>
      <c r="J1095" s="19">
        <v>46154.5553532755</v>
      </c>
      <c r="K1095" s="6" t="s">
        <v>4880</v>
      </c>
      <c r="L1095" t="str">
        <f t="shared" si="17"/>
        <v>PORCA 7/8 NF DUPLA GR8  (VM FH440)|46151</v>
      </c>
    </row>
    <row r="1096" ht="13.5" customHeight="1" spans="1:12">
      <c r="A1096" s="17">
        <v>46150.5833333333</v>
      </c>
      <c r="B1096" s="6" t="s">
        <v>4876</v>
      </c>
      <c r="C1096" s="6" t="s">
        <v>5593</v>
      </c>
      <c r="D1096" s="6" t="s">
        <v>5594</v>
      </c>
      <c r="E1096" s="6" t="s">
        <v>26</v>
      </c>
      <c r="F1096" s="6" t="s">
        <v>4882</v>
      </c>
      <c r="G1096" s="6" t="s">
        <v>528</v>
      </c>
      <c r="H1096" s="6">
        <v>1</v>
      </c>
      <c r="I1096" s="18">
        <v>651.52</v>
      </c>
      <c r="J1096" s="19">
        <v>46155.5865173611</v>
      </c>
      <c r="K1096" s="6" t="s">
        <v>4880</v>
      </c>
      <c r="L1096" t="str">
        <f t="shared" si="17"/>
        <v>PARACHOQUE MBB ACCELO |46151</v>
      </c>
    </row>
    <row r="1097" ht="13.5" customHeight="1" spans="1:12">
      <c r="A1097" s="17">
        <v>46151.6826388889</v>
      </c>
      <c r="B1097" s="6" t="s">
        <v>4876</v>
      </c>
      <c r="C1097" s="6" t="s">
        <v>5595</v>
      </c>
      <c r="D1097" s="6" t="s">
        <v>5236</v>
      </c>
      <c r="E1097" s="6" t="s">
        <v>390</v>
      </c>
      <c r="F1097" s="6" t="s">
        <v>4879</v>
      </c>
      <c r="G1097" s="6" t="s">
        <v>3497</v>
      </c>
      <c r="H1097" s="6">
        <v>2725</v>
      </c>
      <c r="I1097" s="18">
        <v>13543.25</v>
      </c>
      <c r="J1097" s="19">
        <v>46153.6839726505</v>
      </c>
      <c r="K1097" s="6" t="s">
        <v>4880</v>
      </c>
      <c r="L1097" t="str">
        <f t="shared" si="17"/>
        <v>CX CV 25KG FUNDO|46152</v>
      </c>
    </row>
    <row r="1098" ht="13.5" customHeight="1" spans="1:12">
      <c r="A1098" s="17">
        <v>46153.3902777778</v>
      </c>
      <c r="B1098" s="6" t="s">
        <v>4876</v>
      </c>
      <c r="C1098" s="6" t="s">
        <v>5596</v>
      </c>
      <c r="D1098" s="6" t="s">
        <v>5597</v>
      </c>
      <c r="E1098" s="6" t="s">
        <v>390</v>
      </c>
      <c r="F1098" s="6" t="s">
        <v>4879</v>
      </c>
      <c r="G1098" s="6" t="s">
        <v>3225</v>
      </c>
      <c r="H1098" s="6">
        <v>50000</v>
      </c>
      <c r="I1098" s="18">
        <v>5500</v>
      </c>
      <c r="J1098" s="19">
        <v>46157.3922082176</v>
      </c>
      <c r="K1098" s="6" t="s">
        <v>4880</v>
      </c>
      <c r="L1098" t="str">
        <f t="shared" si="17"/>
        <v>ETIQUETA PERSONALIZADA - INTERNO BOIBOM|46153</v>
      </c>
    </row>
    <row r="1099" ht="13.5" customHeight="1" spans="1:12">
      <c r="A1099" s="17">
        <v>46153.3902777778</v>
      </c>
      <c r="B1099" s="6" t="s">
        <v>4876</v>
      </c>
      <c r="C1099" s="6" t="s">
        <v>5596</v>
      </c>
      <c r="D1099" s="6" t="s">
        <v>5597</v>
      </c>
      <c r="E1099" s="6" t="s">
        <v>390</v>
      </c>
      <c r="F1099" s="6" t="s">
        <v>4879</v>
      </c>
      <c r="G1099" s="6" t="s">
        <v>1581</v>
      </c>
      <c r="H1099" s="6">
        <v>5000</v>
      </c>
      <c r="I1099" s="18">
        <v>2700</v>
      </c>
      <c r="J1099" s="19">
        <v>46157.3922069445</v>
      </c>
      <c r="K1099" s="6" t="s">
        <v>4880</v>
      </c>
      <c r="L1099" t="str">
        <f t="shared" si="17"/>
        <v>ROTULO MEDALHAO DE FRANGO COM BACON|46153</v>
      </c>
    </row>
    <row r="1100" ht="13.5" customHeight="1" spans="1:12">
      <c r="A1100" s="17">
        <v>46153.5548611111</v>
      </c>
      <c r="B1100" s="6" t="s">
        <v>4876</v>
      </c>
      <c r="C1100" s="6" t="s">
        <v>5598</v>
      </c>
      <c r="D1100" s="6" t="s">
        <v>4986</v>
      </c>
      <c r="E1100" s="6" t="s">
        <v>26</v>
      </c>
      <c r="F1100" s="6" t="s">
        <v>4882</v>
      </c>
      <c r="G1100" s="6" t="s">
        <v>4001</v>
      </c>
      <c r="H1100" s="6">
        <v>200</v>
      </c>
      <c r="I1100" s="18">
        <v>700</v>
      </c>
      <c r="J1100" s="19">
        <v>46156.5558386227</v>
      </c>
      <c r="K1100" s="6" t="s">
        <v>4880</v>
      </c>
      <c r="L1100" t="str">
        <f t="shared" si="17"/>
        <v>CAMISA PLASTICA TRANSPARENTE COM CAPUZ|46154</v>
      </c>
    </row>
    <row r="1101" ht="13.5" customHeight="1" spans="1:12">
      <c r="A1101" s="17">
        <v>46153.6769328704</v>
      </c>
      <c r="B1101" s="6" t="s">
        <v>4876</v>
      </c>
      <c r="C1101" s="6" t="s">
        <v>5599</v>
      </c>
      <c r="D1101" s="6" t="s">
        <v>4954</v>
      </c>
      <c r="E1101" s="6" t="s">
        <v>26</v>
      </c>
      <c r="F1101" s="6" t="s">
        <v>4882</v>
      </c>
      <c r="G1101" s="6" t="s">
        <v>196</v>
      </c>
      <c r="H1101" s="6">
        <v>12</v>
      </c>
      <c r="I1101" s="18">
        <v>552</v>
      </c>
      <c r="J1101" s="19">
        <v>46153.6774139699</v>
      </c>
      <c r="K1101" s="6" t="s">
        <v>4880</v>
      </c>
      <c r="L1101" t="str">
        <f t="shared" si="17"/>
        <v>ANTI-FERRUGEM WD-40 300ML|46154</v>
      </c>
    </row>
    <row r="1102" ht="13.5" customHeight="1" spans="1:12">
      <c r="A1102" s="17">
        <v>46153.6774768519</v>
      </c>
      <c r="B1102" s="6" t="s">
        <v>4876</v>
      </c>
      <c r="C1102" s="6" t="s">
        <v>5600</v>
      </c>
      <c r="D1102" s="6" t="s">
        <v>4919</v>
      </c>
      <c r="E1102" s="6" t="s">
        <v>26</v>
      </c>
      <c r="F1102" s="6" t="s">
        <v>4882</v>
      </c>
      <c r="G1102" s="6" t="s">
        <v>855</v>
      </c>
      <c r="H1102" s="6">
        <v>4</v>
      </c>
      <c r="I1102" s="18">
        <v>559.6</v>
      </c>
      <c r="J1102" s="19">
        <v>46153.6779763889</v>
      </c>
      <c r="K1102" s="6" t="s">
        <v>4880</v>
      </c>
      <c r="L1102" t="str">
        <f t="shared" si="17"/>
        <v>THINNER 5L MONTANA|46154</v>
      </c>
    </row>
    <row r="1103" ht="13.5" customHeight="1" spans="1:12">
      <c r="A1103" s="17">
        <v>46154.3832291667</v>
      </c>
      <c r="B1103" s="6" t="s">
        <v>4876</v>
      </c>
      <c r="C1103" s="6" t="s">
        <v>5601</v>
      </c>
      <c r="D1103" s="6" t="s">
        <v>4879</v>
      </c>
      <c r="E1103" s="6" t="s">
        <v>26</v>
      </c>
      <c r="F1103" s="6" t="s">
        <v>4882</v>
      </c>
      <c r="G1103" s="6" t="s">
        <v>381</v>
      </c>
      <c r="H1103" s="6">
        <v>6</v>
      </c>
      <c r="I1103" s="18">
        <v>81</v>
      </c>
      <c r="J1103" s="19">
        <v>46154.3846795486</v>
      </c>
      <c r="K1103" s="6" t="s">
        <v>4880</v>
      </c>
      <c r="L1103" t="str">
        <f t="shared" si="17"/>
        <v>TAMPA DE ÓLEO MBB TODOS |46154</v>
      </c>
    </row>
    <row r="1104" ht="13.5" customHeight="1" spans="1:12">
      <c r="A1104" s="17">
        <v>46154.4027777778</v>
      </c>
      <c r="B1104" s="6" t="s">
        <v>4876</v>
      </c>
      <c r="C1104" s="6" t="s">
        <v>5602</v>
      </c>
      <c r="D1104" s="6" t="s">
        <v>110</v>
      </c>
      <c r="E1104" s="6" t="s">
        <v>26</v>
      </c>
      <c r="F1104" s="6" t="s">
        <v>4882</v>
      </c>
      <c r="G1104" s="6" t="s">
        <v>3935</v>
      </c>
      <c r="H1104" s="6">
        <v>20</v>
      </c>
      <c r="I1104" s="18">
        <v>120</v>
      </c>
      <c r="J1104" s="19">
        <v>46155.404090162</v>
      </c>
      <c r="K1104" s="6" t="s">
        <v>4880</v>
      </c>
      <c r="L1104" t="str">
        <f t="shared" si="17"/>
        <v>CAPA PORCA CROMADA BELGA 33|46154</v>
      </c>
    </row>
    <row r="1105" ht="13.5" customHeight="1" spans="1:12">
      <c r="A1105" s="17">
        <v>46154.4041666667</v>
      </c>
      <c r="B1105" s="6" t="s">
        <v>4876</v>
      </c>
      <c r="C1105" s="6" t="s">
        <v>5603</v>
      </c>
      <c r="D1105" s="6" t="s">
        <v>4954</v>
      </c>
      <c r="E1105" s="6" t="s">
        <v>26</v>
      </c>
      <c r="F1105" s="6" t="s">
        <v>4882</v>
      </c>
      <c r="G1105" s="6" t="s">
        <v>1942</v>
      </c>
      <c r="H1105" s="6">
        <v>4</v>
      </c>
      <c r="I1105" s="18">
        <v>22</v>
      </c>
      <c r="J1105" s="19">
        <v>46155.4067377315</v>
      </c>
      <c r="K1105" s="6" t="s">
        <v>4880</v>
      </c>
      <c r="L1105" t="str">
        <f t="shared" si="17"/>
        <v>PORCA 7/8 NF DUPLA GR8  (VM FH440)|46154</v>
      </c>
    </row>
    <row r="1106" ht="13.5" customHeight="1" spans="1:12">
      <c r="A1106" s="17">
        <v>46154.4041666667</v>
      </c>
      <c r="B1106" s="6" t="s">
        <v>4876</v>
      </c>
      <c r="C1106" s="6" t="s">
        <v>5603</v>
      </c>
      <c r="D1106" s="6" t="s">
        <v>4954</v>
      </c>
      <c r="E1106" s="6" t="s">
        <v>26</v>
      </c>
      <c r="F1106" s="6" t="s">
        <v>4882</v>
      </c>
      <c r="G1106" s="6" t="s">
        <v>212</v>
      </c>
      <c r="H1106" s="6">
        <v>1</v>
      </c>
      <c r="I1106" s="18">
        <v>990</v>
      </c>
      <c r="J1106" s="19">
        <v>46155.4067368403</v>
      </c>
      <c r="K1106" s="6" t="s">
        <v>4880</v>
      </c>
      <c r="L1106" t="str">
        <f t="shared" si="17"/>
        <v>BARRA LONGA DIREÇAO 8.160/9.170/10.160 (23B415801)VW|46154</v>
      </c>
    </row>
    <row r="1107" ht="13.5" customHeight="1" spans="1:12">
      <c r="A1107" s="17">
        <v>46154.4198148148</v>
      </c>
      <c r="B1107" s="6" t="s">
        <v>4876</v>
      </c>
      <c r="C1107" s="6" t="s">
        <v>5604</v>
      </c>
      <c r="D1107" s="6" t="s">
        <v>4971</v>
      </c>
      <c r="E1107" s="6" t="s">
        <v>26</v>
      </c>
      <c r="F1107" s="6" t="s">
        <v>4882</v>
      </c>
      <c r="G1107" s="6" t="s">
        <v>4841</v>
      </c>
      <c r="H1107" s="6">
        <v>5</v>
      </c>
      <c r="I1107" s="18">
        <v>76.45</v>
      </c>
      <c r="J1107" s="19">
        <v>46154.4213417824</v>
      </c>
      <c r="K1107" s="6" t="s">
        <v>4880</v>
      </c>
      <c r="L1107" t="str">
        <f t="shared" si="17"/>
        <v>1 TOMADA 2P+T 20A N.PADRÃO 1350|46154</v>
      </c>
    </row>
    <row r="1108" ht="13.5" customHeight="1" spans="1:12">
      <c r="A1108" s="17">
        <v>46154.4198148148</v>
      </c>
      <c r="B1108" s="6" t="s">
        <v>4876</v>
      </c>
      <c r="C1108" s="6" t="s">
        <v>5604</v>
      </c>
      <c r="D1108" s="6" t="s">
        <v>4971</v>
      </c>
      <c r="E1108" s="6" t="s">
        <v>26</v>
      </c>
      <c r="F1108" s="6" t="s">
        <v>4882</v>
      </c>
      <c r="G1108" s="6" t="s">
        <v>4842</v>
      </c>
      <c r="H1108" s="6">
        <v>5</v>
      </c>
      <c r="I1108" s="18">
        <v>58.25</v>
      </c>
      <c r="J1108" s="19">
        <v>46154.4213320255</v>
      </c>
      <c r="K1108" s="6" t="s">
        <v>4880</v>
      </c>
      <c r="L1108" t="str">
        <f t="shared" si="17"/>
        <v>1 TOMADA 2P+T 10A VERM S/PL|46154</v>
      </c>
    </row>
    <row r="1109" ht="13.5" customHeight="1" spans="1:12">
      <c r="A1109" s="17">
        <v>46154.4221527778</v>
      </c>
      <c r="B1109" s="6" t="s">
        <v>4876</v>
      </c>
      <c r="C1109" s="6" t="s">
        <v>5605</v>
      </c>
      <c r="D1109" s="6" t="s">
        <v>5606</v>
      </c>
      <c r="E1109" s="6" t="s">
        <v>26</v>
      </c>
      <c r="F1109" s="6" t="s">
        <v>4882</v>
      </c>
      <c r="G1109" s="6" t="s">
        <v>4441</v>
      </c>
      <c r="H1109" s="6">
        <v>1</v>
      </c>
      <c r="I1109" s="18">
        <v>47</v>
      </c>
      <c r="J1109" s="19">
        <v>46154.4235325232</v>
      </c>
      <c r="K1109" s="6" t="s">
        <v>4880</v>
      </c>
      <c r="L1109" t="str">
        <f t="shared" si="17"/>
        <v>BATERIA BOTAO LR44|46154</v>
      </c>
    </row>
    <row r="1110" ht="13.5" customHeight="1" spans="1:12">
      <c r="A1110" s="17">
        <v>46154.5368055556</v>
      </c>
      <c r="B1110" s="6" t="s">
        <v>4876</v>
      </c>
      <c r="C1110" s="6" t="s">
        <v>5607</v>
      </c>
      <c r="D1110" s="6" t="s">
        <v>5213</v>
      </c>
      <c r="E1110" s="6" t="s">
        <v>182</v>
      </c>
      <c r="F1110" s="6" t="s">
        <v>4879</v>
      </c>
      <c r="G1110" s="6" t="s">
        <v>3021</v>
      </c>
      <c r="H1110" s="6">
        <v>87.2</v>
      </c>
      <c r="I1110" s="18">
        <v>9634.728</v>
      </c>
      <c r="J1110" s="19">
        <v>46157.5386067477</v>
      </c>
      <c r="K1110" s="6" t="s">
        <v>4880</v>
      </c>
      <c r="L1110" t="str">
        <f t="shared" si="17"/>
        <v>FLUIDO REF R404A HP62 ONU 3337 |46155</v>
      </c>
    </row>
    <row r="1111" ht="13.5" customHeight="1" spans="1:12">
      <c r="A1111" s="17">
        <v>46154.5368055556</v>
      </c>
      <c r="B1111" s="6" t="s">
        <v>4876</v>
      </c>
      <c r="C1111" s="6" t="s">
        <v>5607</v>
      </c>
      <c r="D1111" s="6" t="s">
        <v>5213</v>
      </c>
      <c r="E1111" s="6" t="s">
        <v>182</v>
      </c>
      <c r="F1111" s="6" t="s">
        <v>4879</v>
      </c>
      <c r="G1111" s="6" t="s">
        <v>3020</v>
      </c>
      <c r="H1111" s="6">
        <v>54.48</v>
      </c>
      <c r="I1111" s="18">
        <v>5148.36</v>
      </c>
      <c r="J1111" s="19">
        <v>46157.5386064005</v>
      </c>
      <c r="K1111" s="6" t="s">
        <v>4880</v>
      </c>
      <c r="L1111" t="str">
        <f t="shared" si="17"/>
        <v>FLUIDO TETRAFLUOR R134A ONU 31|46155</v>
      </c>
    </row>
    <row r="1112" ht="13.5" customHeight="1" spans="1:12">
      <c r="A1112" s="17">
        <v>46154.5791666667</v>
      </c>
      <c r="B1112" s="6" t="s">
        <v>4876</v>
      </c>
      <c r="C1112" s="6" t="s">
        <v>5608</v>
      </c>
      <c r="D1112" s="6" t="s">
        <v>4905</v>
      </c>
      <c r="E1112" s="6" t="s">
        <v>26</v>
      </c>
      <c r="F1112" s="6" t="s">
        <v>4882</v>
      </c>
      <c r="G1112" s="6" t="s">
        <v>2829</v>
      </c>
      <c r="H1112" s="6">
        <v>1</v>
      </c>
      <c r="I1112" s="18">
        <v>66.57</v>
      </c>
      <c r="J1112" s="19">
        <v>46155.5828178241</v>
      </c>
      <c r="K1112" s="6" t="s">
        <v>4880</v>
      </c>
      <c r="L1112" t="str">
        <f t="shared" si="17"/>
        <v>JOGO 16 PEÇAS  PARAFUSA C/GUIA MAGNETICA |46155</v>
      </c>
    </row>
    <row r="1113" ht="13.5" customHeight="1" spans="1:12">
      <c r="A1113" s="17">
        <v>46155.4388888889</v>
      </c>
      <c r="B1113" s="6" t="s">
        <v>4876</v>
      </c>
      <c r="C1113" s="6" t="s">
        <v>5609</v>
      </c>
      <c r="D1113" s="6" t="s">
        <v>5384</v>
      </c>
      <c r="E1113" s="6" t="s">
        <v>26</v>
      </c>
      <c r="F1113" s="6" t="s">
        <v>4882</v>
      </c>
      <c r="G1113" s="6" t="s">
        <v>4665</v>
      </c>
      <c r="H1113" s="6">
        <v>1</v>
      </c>
      <c r="I1113" s="18">
        <v>9.9</v>
      </c>
      <c r="J1113" s="19">
        <v>46156.4403986458</v>
      </c>
      <c r="K1113" s="6" t="s">
        <v>4880</v>
      </c>
      <c r="L1113" t="str">
        <f t="shared" si="17"/>
        <v>ALAVANCA CAPO SPRINTER|46155</v>
      </c>
    </row>
    <row r="1114" ht="13.5" customHeight="1" spans="1:12">
      <c r="A1114" s="17">
        <v>46155.4402777778</v>
      </c>
      <c r="B1114" s="6" t="s">
        <v>4876</v>
      </c>
      <c r="C1114" s="6" t="s">
        <v>5610</v>
      </c>
      <c r="D1114" s="6" t="s">
        <v>5102</v>
      </c>
      <c r="E1114" s="6" t="s">
        <v>26</v>
      </c>
      <c r="F1114" s="6" t="s">
        <v>4882</v>
      </c>
      <c r="G1114" s="6" t="s">
        <v>2950</v>
      </c>
      <c r="H1114" s="6">
        <v>2</v>
      </c>
      <c r="I1114" s="18">
        <v>119.8</v>
      </c>
      <c r="J1114" s="19">
        <v>46156.441337581</v>
      </c>
      <c r="K1114" s="6" t="s">
        <v>4880</v>
      </c>
      <c r="L1114" t="str">
        <f t="shared" si="17"/>
        <v>GARRAFA TERMICA 1L|46155</v>
      </c>
    </row>
    <row r="1115" ht="13.5" customHeight="1" spans="1:12">
      <c r="A1115" s="17">
        <v>46155.4409722222</v>
      </c>
      <c r="B1115" s="6" t="s">
        <v>4876</v>
      </c>
      <c r="C1115" s="6" t="s">
        <v>5611</v>
      </c>
      <c r="D1115" s="6" t="s">
        <v>5109</v>
      </c>
      <c r="E1115" s="6" t="s">
        <v>26</v>
      </c>
      <c r="F1115" s="6" t="s">
        <v>4882</v>
      </c>
      <c r="G1115" s="6" t="s">
        <v>849</v>
      </c>
      <c r="H1115" s="6">
        <v>5</v>
      </c>
      <c r="I1115" s="18">
        <v>195</v>
      </c>
      <c r="J1115" s="19">
        <v>46156.442813507</v>
      </c>
      <c r="K1115" s="6" t="s">
        <v>4880</v>
      </c>
      <c r="L1115" t="str">
        <f t="shared" si="17"/>
        <v>REFLETOR LED TR SLIM 50W 6500K PRETO|46155</v>
      </c>
    </row>
    <row r="1116" ht="13.5" customHeight="1" spans="1:12">
      <c r="A1116" s="17">
        <v>46155.4409722222</v>
      </c>
      <c r="B1116" s="6" t="s">
        <v>4876</v>
      </c>
      <c r="C1116" s="6" t="s">
        <v>5611</v>
      </c>
      <c r="D1116" s="6" t="s">
        <v>5109</v>
      </c>
      <c r="E1116" s="6" t="s">
        <v>26</v>
      </c>
      <c r="F1116" s="6" t="s">
        <v>4882</v>
      </c>
      <c r="G1116" s="6" t="s">
        <v>850</v>
      </c>
      <c r="H1116" s="6">
        <v>2</v>
      </c>
      <c r="I1116" s="18">
        <v>158</v>
      </c>
      <c r="J1116" s="19">
        <v>46156.4428118866</v>
      </c>
      <c r="K1116" s="6" t="s">
        <v>4880</v>
      </c>
      <c r="L1116" t="str">
        <f t="shared" si="17"/>
        <v>REFLETOR LED TR 200W 6500K PRETO|46155</v>
      </c>
    </row>
    <row r="1117" ht="13.5" customHeight="1" spans="1:12">
      <c r="A1117" s="17">
        <v>46155.4430555556</v>
      </c>
      <c r="B1117" s="6" t="s">
        <v>4876</v>
      </c>
      <c r="C1117" s="6" t="s">
        <v>5612</v>
      </c>
      <c r="D1117" s="6" t="s">
        <v>4905</v>
      </c>
      <c r="E1117" s="6" t="s">
        <v>26</v>
      </c>
      <c r="F1117" s="6" t="s">
        <v>4882</v>
      </c>
      <c r="G1117" s="6" t="s">
        <v>3885</v>
      </c>
      <c r="H1117" s="6">
        <v>1</v>
      </c>
      <c r="I1117" s="18">
        <v>308.22</v>
      </c>
      <c r="J1117" s="19">
        <v>46156.4453934028</v>
      </c>
      <c r="K1117" s="6" t="s">
        <v>4880</v>
      </c>
      <c r="L1117" t="str">
        <f t="shared" si="17"/>
        <v>CHAPA EXPANDIDA 6,3 2X1 (50X100)|46155</v>
      </c>
    </row>
    <row r="1118" ht="13.5" customHeight="1" spans="1:12">
      <c r="A1118" s="17">
        <v>46155.4430555556</v>
      </c>
      <c r="B1118" s="6" t="s">
        <v>4876</v>
      </c>
      <c r="C1118" s="6" t="s">
        <v>5612</v>
      </c>
      <c r="D1118" s="6" t="s">
        <v>4905</v>
      </c>
      <c r="E1118" s="6" t="s">
        <v>26</v>
      </c>
      <c r="F1118" s="6" t="s">
        <v>4882</v>
      </c>
      <c r="G1118" s="6" t="s">
        <v>3954</v>
      </c>
      <c r="H1118" s="6">
        <v>1</v>
      </c>
      <c r="I1118" s="18">
        <v>258.16</v>
      </c>
      <c r="J1118" s="19">
        <v>46156.4453930556</v>
      </c>
      <c r="K1118" s="6" t="s">
        <v>4880</v>
      </c>
      <c r="L1118" t="str">
        <f t="shared" si="17"/>
        <v>CANTONEIRA 2X1/4 ASTM A-36|46155</v>
      </c>
    </row>
    <row r="1119" ht="13.5" customHeight="1" spans="1:12">
      <c r="A1119" s="17">
        <v>46155.5555555556</v>
      </c>
      <c r="B1119" s="6" t="s">
        <v>4876</v>
      </c>
      <c r="C1119" s="6" t="s">
        <v>5613</v>
      </c>
      <c r="D1119" s="6" t="s">
        <v>5127</v>
      </c>
      <c r="E1119" s="6" t="s">
        <v>26</v>
      </c>
      <c r="F1119" s="6" t="s">
        <v>4882</v>
      </c>
      <c r="G1119" s="6" t="s">
        <v>1366</v>
      </c>
      <c r="H1119" s="6">
        <v>1</v>
      </c>
      <c r="I1119" s="18">
        <v>28.9</v>
      </c>
      <c r="J1119" s="19">
        <v>46156.5595532407</v>
      </c>
      <c r="K1119" s="6" t="s">
        <v>4880</v>
      </c>
      <c r="L1119" t="str">
        <f t="shared" si="17"/>
        <v>SOQUETE ESTRIADO LONGO ENCAIXE 1/2 10MM|46156</v>
      </c>
    </row>
    <row r="1120" ht="13.5" customHeight="1" spans="1:12">
      <c r="A1120" s="17">
        <v>46155.5555555556</v>
      </c>
      <c r="B1120" s="6" t="s">
        <v>4876</v>
      </c>
      <c r="C1120" s="6" t="s">
        <v>5613</v>
      </c>
      <c r="D1120" s="6" t="s">
        <v>5127</v>
      </c>
      <c r="E1120" s="6" t="s">
        <v>26</v>
      </c>
      <c r="F1120" s="6" t="s">
        <v>4882</v>
      </c>
      <c r="G1120" s="6" t="s">
        <v>1367</v>
      </c>
      <c r="H1120" s="6">
        <v>1</v>
      </c>
      <c r="I1120" s="18">
        <v>17.9</v>
      </c>
      <c r="J1120" s="19">
        <v>46156.559553044</v>
      </c>
      <c r="K1120" s="6" t="s">
        <v>4880</v>
      </c>
      <c r="L1120" t="str">
        <f t="shared" si="17"/>
        <v>SOQUETE ESTRIADO 10MM ENCAIXE 1/2|46156</v>
      </c>
    </row>
    <row r="1121" ht="13.5" customHeight="1" spans="1:12">
      <c r="A1121" s="17">
        <v>46155.5555555556</v>
      </c>
      <c r="B1121" s="6" t="s">
        <v>4876</v>
      </c>
      <c r="C1121" s="6" t="s">
        <v>5613</v>
      </c>
      <c r="D1121" s="6" t="s">
        <v>5127</v>
      </c>
      <c r="E1121" s="6" t="s">
        <v>26</v>
      </c>
      <c r="F1121" s="6" t="s">
        <v>4882</v>
      </c>
      <c r="G1121" s="6" t="s">
        <v>1358</v>
      </c>
      <c r="H1121" s="6">
        <v>1</v>
      </c>
      <c r="I1121" s="18">
        <v>13.9</v>
      </c>
      <c r="J1121" s="19">
        <v>46156.5595528588</v>
      </c>
      <c r="K1121" s="6" t="s">
        <v>4880</v>
      </c>
      <c r="L1121" t="str">
        <f t="shared" si="17"/>
        <v>SOQUETE SEXTAVADO 3/8CPOL ENCAIXE 1/2|46156</v>
      </c>
    </row>
    <row r="1122" ht="13.5" customHeight="1" spans="1:12">
      <c r="A1122" s="17">
        <v>46155.5880092593</v>
      </c>
      <c r="B1122" s="6" t="s">
        <v>4876</v>
      </c>
      <c r="C1122" s="6" t="s">
        <v>5614</v>
      </c>
      <c r="D1122" s="6" t="s">
        <v>5615</v>
      </c>
      <c r="E1122" s="6" t="s">
        <v>51</v>
      </c>
      <c r="F1122" s="6" t="s">
        <v>4879</v>
      </c>
      <c r="G1122" s="6" t="s">
        <v>500</v>
      </c>
      <c r="H1122" s="6">
        <v>40</v>
      </c>
      <c r="I1122" s="18">
        <v>480</v>
      </c>
      <c r="J1122" s="19">
        <v>46155.5891272801</v>
      </c>
      <c r="K1122" s="6" t="s">
        <v>4880</v>
      </c>
      <c r="L1122" t="str">
        <f t="shared" si="17"/>
        <v>ROLO ETIQUETA 60X30 P/ BALANÇA|46156</v>
      </c>
    </row>
    <row r="1123" ht="13.5" customHeight="1" spans="1:12">
      <c r="A1123" s="17">
        <v>46156.3881944444</v>
      </c>
      <c r="B1123" s="6" t="s">
        <v>4876</v>
      </c>
      <c r="C1123" s="6" t="s">
        <v>5616</v>
      </c>
      <c r="D1123" s="6" t="s">
        <v>5056</v>
      </c>
      <c r="E1123" s="6" t="s">
        <v>26</v>
      </c>
      <c r="F1123" s="6" t="s">
        <v>4882</v>
      </c>
      <c r="G1123" s="6" t="s">
        <v>2190</v>
      </c>
      <c r="H1123" s="6">
        <v>1</v>
      </c>
      <c r="I1123" s="18">
        <v>7</v>
      </c>
      <c r="J1123" s="19">
        <v>46157.3903844907</v>
      </c>
      <c r="K1123" s="6" t="s">
        <v>4880</v>
      </c>
      <c r="L1123" t="str">
        <f t="shared" si="17"/>
        <v>PARAFUSO 3/8X4 RP UNC|46156</v>
      </c>
    </row>
    <row r="1124" ht="13.5" customHeight="1" spans="1:12">
      <c r="A1124" s="17">
        <v>46156.5487962963</v>
      </c>
      <c r="B1124" s="6" t="s">
        <v>4876</v>
      </c>
      <c r="C1124" s="6" t="s">
        <v>5617</v>
      </c>
      <c r="D1124" s="6" t="s">
        <v>4894</v>
      </c>
      <c r="E1124" s="6" t="s">
        <v>26</v>
      </c>
      <c r="F1124" s="6" t="s">
        <v>4882</v>
      </c>
      <c r="G1124" s="6" t="s">
        <v>1363</v>
      </c>
      <c r="H1124" s="6">
        <v>1</v>
      </c>
      <c r="I1124" s="18">
        <v>25.31</v>
      </c>
      <c r="J1124" s="19">
        <v>46156.5500504282</v>
      </c>
      <c r="K1124" s="6" t="s">
        <v>4880</v>
      </c>
      <c r="L1124" t="str">
        <f t="shared" si="17"/>
        <v>SOQUETE LONGO 1/2 X 3/8 SATA |46157</v>
      </c>
    </row>
    <row r="1125" ht="13.5" customHeight="1" spans="1:12">
      <c r="A1125" s="17">
        <v>46156.5512615741</v>
      </c>
      <c r="B1125" s="6" t="s">
        <v>4876</v>
      </c>
      <c r="C1125" s="6" t="s">
        <v>5618</v>
      </c>
      <c r="D1125" s="6" t="s">
        <v>4971</v>
      </c>
      <c r="E1125" s="6" t="s">
        <v>26</v>
      </c>
      <c r="F1125" s="6" t="s">
        <v>4882</v>
      </c>
      <c r="G1125" s="6" t="s">
        <v>592</v>
      </c>
      <c r="H1125" s="6">
        <v>10</v>
      </c>
      <c r="I1125" s="18">
        <v>163.5</v>
      </c>
      <c r="J1125" s="19">
        <v>46156.5524657407</v>
      </c>
      <c r="K1125" s="6" t="s">
        <v>4880</v>
      </c>
      <c r="L1125" t="str">
        <f t="shared" si="17"/>
        <v>CONDULETE TOP CX 5 ENTRADAS TIGRE|46157</v>
      </c>
    </row>
    <row r="1126" ht="13.5" customHeight="1" spans="1:12">
      <c r="A1126" s="17">
        <v>46156.5512615741</v>
      </c>
      <c r="B1126" s="6" t="s">
        <v>4876</v>
      </c>
      <c r="C1126" s="6" t="s">
        <v>5618</v>
      </c>
      <c r="D1126" s="6" t="s">
        <v>4971</v>
      </c>
      <c r="E1126" s="6" t="s">
        <v>26</v>
      </c>
      <c r="F1126" s="6" t="s">
        <v>4882</v>
      </c>
      <c r="G1126" s="6" t="s">
        <v>587</v>
      </c>
      <c r="H1126" s="6">
        <v>15</v>
      </c>
      <c r="I1126" s="18">
        <v>31.35</v>
      </c>
      <c r="J1126" s="19">
        <v>46156.5524651968</v>
      </c>
      <c r="K1126" s="6" t="s">
        <v>4880</v>
      </c>
      <c r="L1126" t="str">
        <f t="shared" si="17"/>
        <v>CONDULETE ADAPTADOR TOP 3/4 TIGRE|46157</v>
      </c>
    </row>
    <row r="1127" ht="13.5" customHeight="1" spans="1:12">
      <c r="A1127" s="17">
        <v>46156.5526967593</v>
      </c>
      <c r="B1127" s="6" t="s">
        <v>4876</v>
      </c>
      <c r="C1127" s="6" t="s">
        <v>5619</v>
      </c>
      <c r="D1127" s="6" t="s">
        <v>5065</v>
      </c>
      <c r="E1127" s="6" t="s">
        <v>26</v>
      </c>
      <c r="F1127" s="6" t="s">
        <v>4882</v>
      </c>
      <c r="G1127" s="6" t="s">
        <v>3764</v>
      </c>
      <c r="H1127" s="6">
        <v>2</v>
      </c>
      <c r="I1127" s="18">
        <v>196</v>
      </c>
      <c r="J1127" s="19">
        <v>46156.5546607639</v>
      </c>
      <c r="K1127" s="6" t="s">
        <v>4880</v>
      </c>
      <c r="L1127" t="str">
        <f t="shared" si="17"/>
        <v>CINTO DE SUSTENTAÇAO MEGA PLUS/ROSSEL|46157</v>
      </c>
    </row>
    <row r="1128" ht="13.5" customHeight="1" spans="1:12">
      <c r="A1128" s="17">
        <v>46156.5526967593</v>
      </c>
      <c r="B1128" s="6" t="s">
        <v>4876</v>
      </c>
      <c r="C1128" s="6" t="s">
        <v>5619</v>
      </c>
      <c r="D1128" s="6" t="s">
        <v>5065</v>
      </c>
      <c r="E1128" s="6" t="s">
        <v>26</v>
      </c>
      <c r="F1128" s="6" t="s">
        <v>4882</v>
      </c>
      <c r="G1128" s="6" t="s">
        <v>993</v>
      </c>
      <c r="H1128" s="6">
        <v>1</v>
      </c>
      <c r="I1128" s="18">
        <v>54</v>
      </c>
      <c r="J1128" s="19">
        <v>46156.5546596875</v>
      </c>
      <c r="K1128" s="6" t="s">
        <v>4880</v>
      </c>
      <c r="L1128" t="str">
        <f t="shared" si="17"/>
        <v>VASSOURA ANCINHO|46157</v>
      </c>
    </row>
    <row r="1129" ht="13.5" customHeight="1" spans="1:12">
      <c r="A1129" s="17">
        <v>46157.5366550926</v>
      </c>
      <c r="B1129" s="6" t="s">
        <v>4876</v>
      </c>
      <c r="C1129" s="6" t="s">
        <v>5620</v>
      </c>
      <c r="D1129" s="6" t="s">
        <v>4919</v>
      </c>
      <c r="E1129" s="6" t="s">
        <v>26</v>
      </c>
      <c r="F1129" s="6" t="s">
        <v>4882</v>
      </c>
      <c r="G1129" s="6" t="s">
        <v>961</v>
      </c>
      <c r="H1129" s="6">
        <v>5</v>
      </c>
      <c r="I1129" s="18">
        <v>319.5</v>
      </c>
      <c r="J1129" s="19">
        <v>46157.5371764699</v>
      </c>
      <c r="K1129" s="6" t="s">
        <v>4880</v>
      </c>
      <c r="L1129" t="str">
        <f t="shared" si="17"/>
        <v>VERNIZ BI 10.000 C/CATALIZADOR RAPIDO SKY|46158</v>
      </c>
    </row>
    <row r="1130" ht="13.5" customHeight="1" spans="1:12">
      <c r="A1130" s="17">
        <v>46157.5865856482</v>
      </c>
      <c r="B1130" s="6" t="s">
        <v>4876</v>
      </c>
      <c r="C1130" s="6" t="s">
        <v>5621</v>
      </c>
      <c r="D1130" s="6" t="s">
        <v>5129</v>
      </c>
      <c r="E1130" s="6" t="s">
        <v>26</v>
      </c>
      <c r="F1130" s="6" t="s">
        <v>4882</v>
      </c>
      <c r="G1130" s="6" t="s">
        <v>4545</v>
      </c>
      <c r="H1130" s="6">
        <v>2</v>
      </c>
      <c r="I1130" s="18">
        <v>4.82</v>
      </c>
      <c r="J1130" s="19">
        <v>46157.5892721065</v>
      </c>
      <c r="K1130" s="6" t="s">
        <v>4880</v>
      </c>
      <c r="L1130" t="str">
        <f t="shared" si="17"/>
        <v>ARRUELA LISA PESADA ZINC.5/8|46158</v>
      </c>
    </row>
    <row r="1131" ht="13.5" customHeight="1" spans="1:12">
      <c r="A1131" s="17">
        <v>46157.5865856482</v>
      </c>
      <c r="B1131" s="6" t="s">
        <v>4876</v>
      </c>
      <c r="C1131" s="6" t="s">
        <v>5621</v>
      </c>
      <c r="D1131" s="6" t="s">
        <v>5129</v>
      </c>
      <c r="E1131" s="6" t="s">
        <v>26</v>
      </c>
      <c r="F1131" s="6" t="s">
        <v>4882</v>
      </c>
      <c r="G1131" s="6" t="s">
        <v>1946</v>
      </c>
      <c r="H1131" s="6">
        <v>2</v>
      </c>
      <c r="I1131" s="18">
        <v>3.3</v>
      </c>
      <c r="J1131" s="19">
        <v>46157.5892713773</v>
      </c>
      <c r="K1131" s="6" t="s">
        <v>4880</v>
      </c>
      <c r="L1131" t="str">
        <f t="shared" si="17"/>
        <v>PORCA 16MM - R FINA |46158</v>
      </c>
    </row>
    <row r="1132" ht="13.5" customHeight="1" spans="1:12">
      <c r="A1132" s="17">
        <v>46157.5865856482</v>
      </c>
      <c r="B1132" s="6" t="s">
        <v>4876</v>
      </c>
      <c r="C1132" s="6" t="s">
        <v>5621</v>
      </c>
      <c r="D1132" s="6" t="s">
        <v>5129</v>
      </c>
      <c r="E1132" s="6" t="s">
        <v>26</v>
      </c>
      <c r="F1132" s="6" t="s">
        <v>4882</v>
      </c>
      <c r="G1132" s="6" t="s">
        <v>1919</v>
      </c>
      <c r="H1132" s="6">
        <v>2</v>
      </c>
      <c r="I1132" s="18">
        <v>24</v>
      </c>
      <c r="J1132" s="19">
        <v>46157.5892695949</v>
      </c>
      <c r="K1132" s="6" t="s">
        <v>4880</v>
      </c>
      <c r="L1132" t="str">
        <f t="shared" si="17"/>
        <v>PORCA SEXT 5MM 8.8 MA|46158</v>
      </c>
    </row>
    <row r="1133" ht="13.5" customHeight="1" spans="1:12">
      <c r="A1133" s="17">
        <v>46157.5895949074</v>
      </c>
      <c r="B1133" s="6" t="s">
        <v>4876</v>
      </c>
      <c r="C1133" s="6" t="s">
        <v>5622</v>
      </c>
      <c r="D1133" s="6" t="s">
        <v>4884</v>
      </c>
      <c r="E1133" s="6" t="s">
        <v>26</v>
      </c>
      <c r="F1133" s="6" t="s">
        <v>4882</v>
      </c>
      <c r="G1133" s="6" t="s">
        <v>3555</v>
      </c>
      <c r="H1133" s="6">
        <v>2</v>
      </c>
      <c r="I1133" s="18">
        <v>8.8</v>
      </c>
      <c r="J1133" s="19">
        <v>46157.5940226852</v>
      </c>
      <c r="K1133" s="6" t="s">
        <v>4880</v>
      </c>
      <c r="L1133" t="str">
        <f t="shared" si="17"/>
        <v>COTOVELO 20X12CM DXN11041|46158</v>
      </c>
    </row>
    <row r="1134" ht="13.5" customHeight="1" spans="1:12">
      <c r="A1134" s="17">
        <v>46157.5895949074</v>
      </c>
      <c r="B1134" s="6" t="s">
        <v>4876</v>
      </c>
      <c r="C1134" s="6" t="s">
        <v>5622</v>
      </c>
      <c r="D1134" s="6" t="s">
        <v>4884</v>
      </c>
      <c r="E1134" s="6" t="s">
        <v>26</v>
      </c>
      <c r="F1134" s="6" t="s">
        <v>4882</v>
      </c>
      <c r="G1134" s="6" t="s">
        <v>3977</v>
      </c>
      <c r="H1134" s="6">
        <v>5</v>
      </c>
      <c r="I1134" s="18">
        <v>118.5</v>
      </c>
      <c r="J1134" s="19">
        <v>46157.594022338</v>
      </c>
      <c r="K1134" s="6" t="s">
        <v>4880</v>
      </c>
      <c r="L1134" t="str">
        <f t="shared" si="17"/>
        <v>CANALETA P/SUPERF 20X12MM|46158</v>
      </c>
    </row>
    <row r="1135" ht="13.5" customHeight="1" spans="1:12">
      <c r="A1135" s="17">
        <v>46157.5895949074</v>
      </c>
      <c r="B1135" s="6" t="s">
        <v>4876</v>
      </c>
      <c r="C1135" s="6" t="s">
        <v>5622</v>
      </c>
      <c r="D1135" s="6" t="s">
        <v>4884</v>
      </c>
      <c r="E1135" s="6" t="s">
        <v>26</v>
      </c>
      <c r="F1135" s="6" t="s">
        <v>4882</v>
      </c>
      <c r="G1135" s="6" t="s">
        <v>1433</v>
      </c>
      <c r="H1135" s="6">
        <v>4</v>
      </c>
      <c r="I1135" s="18">
        <v>16.8</v>
      </c>
      <c r="J1135" s="19">
        <v>46157.5940214468</v>
      </c>
      <c r="K1135" s="6" t="s">
        <v>4880</v>
      </c>
      <c r="L1135" t="str">
        <f t="shared" si="17"/>
        <v>SINALEIRO GIRATORIO VERMELHO 220VCA LT1103 JNG|46158</v>
      </c>
    </row>
    <row r="1136" ht="13.5" customHeight="1" spans="1:12">
      <c r="A1136" s="17">
        <v>46160.6449768519</v>
      </c>
      <c r="B1136" s="6" t="s">
        <v>4876</v>
      </c>
      <c r="C1136" s="6" t="s">
        <v>5623</v>
      </c>
      <c r="D1136" s="6" t="s">
        <v>109</v>
      </c>
      <c r="E1136" s="6" t="s">
        <v>26</v>
      </c>
      <c r="F1136" s="6" t="s">
        <v>4882</v>
      </c>
      <c r="G1136" s="6" t="s">
        <v>813</v>
      </c>
      <c r="H1136" s="6">
        <v>1</v>
      </c>
      <c r="I1136" s="18">
        <v>174.81</v>
      </c>
      <c r="J1136" s="19">
        <v>46160.6541668982</v>
      </c>
      <c r="K1136" s="6" t="s">
        <v>4880</v>
      </c>
      <c r="L1136" t="str">
        <f t="shared" si="17"/>
        <v>PEROXY 3000 5 LITROS PEROXY|46161</v>
      </c>
    </row>
    <row r="1137" ht="13.5" customHeight="1" spans="1:12">
      <c r="A1137" s="17">
        <v>46160.6449768519</v>
      </c>
      <c r="B1137" s="6" t="s">
        <v>4876</v>
      </c>
      <c r="C1137" s="6" t="s">
        <v>5623</v>
      </c>
      <c r="D1137" s="6" t="s">
        <v>109</v>
      </c>
      <c r="E1137" s="6" t="s">
        <v>26</v>
      </c>
      <c r="F1137" s="6" t="s">
        <v>4882</v>
      </c>
      <c r="G1137" s="6" t="s">
        <v>3478</v>
      </c>
      <c r="H1137" s="6">
        <v>1</v>
      </c>
      <c r="I1137" s="18">
        <v>120</v>
      </c>
      <c r="J1137" s="19">
        <v>46160.6541668982</v>
      </c>
      <c r="K1137" s="6" t="s">
        <v>4880</v>
      </c>
      <c r="L1137" t="str">
        <f t="shared" si="17"/>
        <v>DESINFETANTE ALTA DILUIÇAO MIRAX 5 LITROS FLORAL |46161</v>
      </c>
    </row>
    <row r="1138" ht="13.5" customHeight="1" spans="1:12">
      <c r="A1138" s="17">
        <v>46160.6449768519</v>
      </c>
      <c r="B1138" s="6" t="s">
        <v>4876</v>
      </c>
      <c r="C1138" s="6" t="s">
        <v>5623</v>
      </c>
      <c r="D1138" s="6" t="s">
        <v>109</v>
      </c>
      <c r="E1138" s="6" t="s">
        <v>26</v>
      </c>
      <c r="F1138" s="6" t="s">
        <v>4882</v>
      </c>
      <c r="G1138" s="6" t="s">
        <v>1447</v>
      </c>
      <c r="H1138" s="6">
        <v>1</v>
      </c>
      <c r="I1138" s="18">
        <v>51.36</v>
      </c>
      <c r="J1138" s="19">
        <v>46160.6541667477</v>
      </c>
      <c r="K1138" s="6" t="s">
        <v>4880</v>
      </c>
      <c r="L1138" t="str">
        <f t="shared" si="17"/>
        <v>SEVEN SANIT BAC SANITIZANTE DETERGENTE 5 LITROS|46161</v>
      </c>
    </row>
    <row r="1139" ht="13.5" customHeight="1" spans="1:12">
      <c r="A1139" s="17">
        <v>46160.6449768519</v>
      </c>
      <c r="B1139" s="6" t="s">
        <v>4876</v>
      </c>
      <c r="C1139" s="6" t="s">
        <v>5623</v>
      </c>
      <c r="D1139" s="6" t="s">
        <v>109</v>
      </c>
      <c r="E1139" s="6" t="s">
        <v>26</v>
      </c>
      <c r="F1139" s="6" t="s">
        <v>4882</v>
      </c>
      <c r="G1139" s="6" t="s">
        <v>3473</v>
      </c>
      <c r="H1139" s="6">
        <v>2</v>
      </c>
      <c r="I1139" s="18">
        <v>301.94</v>
      </c>
      <c r="J1139" s="19">
        <v>46160.6541665509</v>
      </c>
      <c r="K1139" s="6" t="s">
        <v>4880</v>
      </c>
      <c r="L1139" t="str">
        <f t="shared" si="17"/>
        <v>DETERGENTE DESENGORDURATE 5VLITROS SEVEN FREE|46161</v>
      </c>
    </row>
    <row r="1140" ht="13.5" customHeight="1" spans="1:12">
      <c r="A1140" s="17">
        <v>46160.6449768519</v>
      </c>
      <c r="B1140" s="6" t="s">
        <v>4876</v>
      </c>
      <c r="C1140" s="6" t="s">
        <v>5623</v>
      </c>
      <c r="D1140" s="6" t="s">
        <v>109</v>
      </c>
      <c r="E1140" s="6" t="s">
        <v>26</v>
      </c>
      <c r="F1140" s="6" t="s">
        <v>4882</v>
      </c>
      <c r="G1140" s="6" t="s">
        <v>3472</v>
      </c>
      <c r="H1140" s="6">
        <v>1</v>
      </c>
      <c r="I1140" s="18">
        <v>120.62</v>
      </c>
      <c r="J1140" s="19">
        <v>46160.6541660069</v>
      </c>
      <c r="K1140" s="6" t="s">
        <v>4880</v>
      </c>
      <c r="L1140" t="str">
        <f t="shared" si="17"/>
        <v>DETERGENTE GREASE  5LITRO|46161</v>
      </c>
    </row>
    <row r="1141" ht="13.5" customHeight="1" spans="1:12">
      <c r="A1141" s="17">
        <v>46160.6545717593</v>
      </c>
      <c r="B1141" s="6" t="s">
        <v>4876</v>
      </c>
      <c r="C1141" s="6" t="s">
        <v>5624</v>
      </c>
      <c r="D1141" s="6" t="s">
        <v>5625</v>
      </c>
      <c r="E1141" s="6" t="s">
        <v>26</v>
      </c>
      <c r="F1141" s="6" t="s">
        <v>4882</v>
      </c>
      <c r="G1141" s="6" t="s">
        <v>413</v>
      </c>
      <c r="H1141" s="6">
        <v>50</v>
      </c>
      <c r="I1141" s="18">
        <v>344.5</v>
      </c>
      <c r="J1141" s="19">
        <v>46160.6593705208</v>
      </c>
      <c r="K1141" s="6" t="s">
        <v>4880</v>
      </c>
      <c r="L1141" t="str">
        <f t="shared" si="17"/>
        <v>GASOLINA COMUM 01|46161</v>
      </c>
    </row>
    <row r="1142" ht="13.5" customHeight="1" spans="1:12">
      <c r="A1142" s="17">
        <v>46160.6595486111</v>
      </c>
      <c r="B1142" s="6" t="s">
        <v>4876</v>
      </c>
      <c r="C1142" s="6" t="s">
        <v>5626</v>
      </c>
      <c r="D1142" s="6" t="s">
        <v>5224</v>
      </c>
      <c r="E1142" s="6" t="s">
        <v>26</v>
      </c>
      <c r="F1142" s="6" t="s">
        <v>4882</v>
      </c>
      <c r="G1142" s="6" t="s">
        <v>635</v>
      </c>
      <c r="H1142" s="6">
        <v>1</v>
      </c>
      <c r="I1142" s="18">
        <v>147</v>
      </c>
      <c r="J1142" s="19">
        <v>46160.6602371528</v>
      </c>
      <c r="K1142" s="6" t="s">
        <v>4880</v>
      </c>
      <c r="L1142" t="str">
        <f t="shared" si="17"/>
        <v>RAÇÃO P/ PEIXE (LAGUNA)|46161</v>
      </c>
    </row>
    <row r="1143" ht="13.5" customHeight="1" spans="1:12">
      <c r="A1143" s="17">
        <v>46160.6605208333</v>
      </c>
      <c r="B1143" s="6" t="s">
        <v>4876</v>
      </c>
      <c r="C1143" s="6" t="s">
        <v>5155</v>
      </c>
      <c r="D1143" s="6" t="s">
        <v>4894</v>
      </c>
      <c r="E1143" s="6" t="s">
        <v>26</v>
      </c>
      <c r="F1143" s="6" t="s">
        <v>4882</v>
      </c>
      <c r="G1143" s="6" t="s">
        <v>40</v>
      </c>
      <c r="H1143" s="6">
        <v>10</v>
      </c>
      <c r="I1143" s="18">
        <v>1391.3</v>
      </c>
      <c r="J1143" s="19">
        <v>46160.6622668634</v>
      </c>
      <c r="K1143" s="6" t="s">
        <v>4880</v>
      </c>
      <c r="L1143" t="str">
        <f t="shared" si="17"/>
        <v>RODA COLSON PNEUMATICA 350-4 R.7|46161</v>
      </c>
    </row>
    <row r="1144" ht="13.5" customHeight="1" spans="1:12">
      <c r="A1144" s="17">
        <v>46160.6623032407</v>
      </c>
      <c r="B1144" s="6" t="s">
        <v>4876</v>
      </c>
      <c r="C1144" s="6" t="s">
        <v>5155</v>
      </c>
      <c r="D1144" s="6" t="s">
        <v>4894</v>
      </c>
      <c r="E1144" s="6" t="s">
        <v>26</v>
      </c>
      <c r="F1144" s="6" t="s">
        <v>4882</v>
      </c>
      <c r="G1144" s="6" t="s">
        <v>1936</v>
      </c>
      <c r="H1144" s="6">
        <v>50</v>
      </c>
      <c r="I1144" s="18">
        <v>94</v>
      </c>
      <c r="J1144" s="19">
        <v>46160.6652565162</v>
      </c>
      <c r="K1144" s="6" t="s">
        <v>4880</v>
      </c>
      <c r="L1144" t="str">
        <f t="shared" si="17"/>
        <v>PORCA AUTO TRAVANTE 12|46161</v>
      </c>
    </row>
    <row r="1145" ht="13.5" customHeight="1" spans="1:12">
      <c r="A1145" s="17">
        <v>46160.6623032407</v>
      </c>
      <c r="B1145" s="6" t="s">
        <v>4876</v>
      </c>
      <c r="C1145" s="6" t="s">
        <v>5155</v>
      </c>
      <c r="D1145" s="6" t="s">
        <v>4894</v>
      </c>
      <c r="E1145" s="6" t="s">
        <v>26</v>
      </c>
      <c r="F1145" s="6" t="s">
        <v>4882</v>
      </c>
      <c r="G1145" s="6" t="s">
        <v>4529</v>
      </c>
      <c r="H1145" s="6">
        <v>50</v>
      </c>
      <c r="I1145" s="18">
        <v>19.5</v>
      </c>
      <c r="J1145" s="19">
        <v>46160.665255787</v>
      </c>
      <c r="K1145" s="6" t="s">
        <v>4880</v>
      </c>
      <c r="L1145" t="str">
        <f t="shared" si="17"/>
        <v>ARRUELA PRESSAO 14MM|46161</v>
      </c>
    </row>
    <row r="1146" ht="13.5" customHeight="1" spans="1:12">
      <c r="A1146" s="17">
        <v>46160.6623032407</v>
      </c>
      <c r="B1146" s="6" t="s">
        <v>4876</v>
      </c>
      <c r="C1146" s="6" t="s">
        <v>5155</v>
      </c>
      <c r="D1146" s="6" t="s">
        <v>4894</v>
      </c>
      <c r="E1146" s="6" t="s">
        <v>26</v>
      </c>
      <c r="F1146" s="6" t="s">
        <v>4882</v>
      </c>
      <c r="G1146" s="6" t="s">
        <v>1963</v>
      </c>
      <c r="H1146" s="6">
        <v>50</v>
      </c>
      <c r="I1146" s="18">
        <v>121</v>
      </c>
      <c r="J1146" s="19">
        <v>46160.6652539699</v>
      </c>
      <c r="K1146" s="6" t="s">
        <v>4880</v>
      </c>
      <c r="L1146" t="str">
        <f t="shared" si="17"/>
        <v>PO SEXT AT MA 12MM|46161</v>
      </c>
    </row>
    <row r="1147" ht="13.5" customHeight="1" spans="1:12">
      <c r="A1147" s="17">
        <v>46161.4104166667</v>
      </c>
      <c r="B1147" s="6" t="s">
        <v>4876</v>
      </c>
      <c r="C1147" s="6" t="s">
        <v>5627</v>
      </c>
      <c r="D1147" s="6" t="s">
        <v>5220</v>
      </c>
      <c r="E1147" s="6" t="s">
        <v>26</v>
      </c>
      <c r="F1147" s="6" t="s">
        <v>4882</v>
      </c>
      <c r="G1147" s="6" t="s">
        <v>785</v>
      </c>
      <c r="H1147" s="6">
        <v>2</v>
      </c>
      <c r="I1147" s="18">
        <v>14.98</v>
      </c>
      <c r="J1147" s="19">
        <v>46162.4272128472</v>
      </c>
      <c r="K1147" s="6" t="s">
        <v>4880</v>
      </c>
      <c r="L1147" t="str">
        <f t="shared" si="17"/>
        <v>PORTA CRACHA HORIZ. E VERT. BGE-547 TRANSPARENTE - C/10|46161</v>
      </c>
    </row>
    <row r="1148" ht="13.5" customHeight="1" spans="1:12">
      <c r="A1148" s="17">
        <v>46161.4104166667</v>
      </c>
      <c r="B1148" s="6" t="s">
        <v>4876</v>
      </c>
      <c r="C1148" s="6" t="s">
        <v>5627</v>
      </c>
      <c r="D1148" s="6" t="s">
        <v>5220</v>
      </c>
      <c r="E1148" s="6" t="s">
        <v>26</v>
      </c>
      <c r="F1148" s="6" t="s">
        <v>4882</v>
      </c>
      <c r="G1148" s="6" t="s">
        <v>784</v>
      </c>
      <c r="H1148" s="6">
        <v>3</v>
      </c>
      <c r="I1148" s="18">
        <v>22.47</v>
      </c>
      <c r="J1148" s="19">
        <v>46162.4272123032</v>
      </c>
      <c r="K1148" s="6" t="s">
        <v>4880</v>
      </c>
      <c r="L1148" t="str">
        <f t="shared" si="17"/>
        <v>PORTA CRACHA HORIZ. E VERT. BGE-547 AZUL - C/10|46161</v>
      </c>
    </row>
    <row r="1149" ht="13.5" customHeight="1" spans="1:12">
      <c r="A1149" s="17">
        <v>46161.4104166667</v>
      </c>
      <c r="B1149" s="6" t="s">
        <v>4876</v>
      </c>
      <c r="C1149" s="6" t="s">
        <v>5627</v>
      </c>
      <c r="D1149" s="6" t="s">
        <v>5220</v>
      </c>
      <c r="E1149" s="6" t="s">
        <v>26</v>
      </c>
      <c r="F1149" s="6" t="s">
        <v>4882</v>
      </c>
      <c r="G1149" s="6" t="s">
        <v>2217</v>
      </c>
      <c r="H1149" s="6">
        <v>2</v>
      </c>
      <c r="I1149" s="18">
        <v>59.98</v>
      </c>
      <c r="J1149" s="19">
        <v>46162.4272121528</v>
      </c>
      <c r="K1149" s="6" t="s">
        <v>4880</v>
      </c>
      <c r="L1149" t="str">
        <f t="shared" si="17"/>
        <v>PAPEL FILIPAPER DIPLOMATA 180GRS|46161</v>
      </c>
    </row>
    <row r="1150" ht="13.5" customHeight="1" spans="1:12">
      <c r="A1150" s="17">
        <v>46161.4104166667</v>
      </c>
      <c r="B1150" s="6" t="s">
        <v>4876</v>
      </c>
      <c r="C1150" s="6" t="s">
        <v>5627</v>
      </c>
      <c r="D1150" s="6" t="s">
        <v>5220</v>
      </c>
      <c r="E1150" s="6" t="s">
        <v>26</v>
      </c>
      <c r="F1150" s="6" t="s">
        <v>4882</v>
      </c>
      <c r="G1150" s="6" t="s">
        <v>3277</v>
      </c>
      <c r="H1150" s="6">
        <v>2</v>
      </c>
      <c r="I1150" s="18">
        <v>21.98</v>
      </c>
      <c r="J1150" s="19">
        <v>46162.4272117708</v>
      </c>
      <c r="K1150" s="6" t="s">
        <v>4880</v>
      </c>
      <c r="L1150" t="str">
        <f t="shared" si="17"/>
        <v>ESPANADOR DE PENA 25CM|46161</v>
      </c>
    </row>
    <row r="1151" ht="13.5" customHeight="1" spans="1:12">
      <c r="A1151" s="17">
        <v>46161.4104166667</v>
      </c>
      <c r="B1151" s="6" t="s">
        <v>4876</v>
      </c>
      <c r="C1151" s="6" t="s">
        <v>5627</v>
      </c>
      <c r="D1151" s="6" t="s">
        <v>5220</v>
      </c>
      <c r="E1151" s="6" t="s">
        <v>26</v>
      </c>
      <c r="F1151" s="6" t="s">
        <v>4882</v>
      </c>
      <c r="G1151" s="6" t="s">
        <v>3886</v>
      </c>
      <c r="H1151" s="6">
        <v>2</v>
      </c>
      <c r="I1151" s="18">
        <v>51.98</v>
      </c>
      <c r="J1151" s="19">
        <v>46162.4272108796</v>
      </c>
      <c r="K1151" s="6" t="s">
        <v>4880</v>
      </c>
      <c r="L1151" t="str">
        <f t="shared" si="17"/>
        <v>CESTO P/LIXO ARAMADO PRETO|46161</v>
      </c>
    </row>
    <row r="1152" ht="13.5" customHeight="1" spans="1:12">
      <c r="A1152" s="17">
        <v>46161.4270833333</v>
      </c>
      <c r="B1152" s="6" t="s">
        <v>4876</v>
      </c>
      <c r="C1152" s="6" t="s">
        <v>5628</v>
      </c>
      <c r="D1152" s="6" t="s">
        <v>5127</v>
      </c>
      <c r="E1152" s="6" t="s">
        <v>26</v>
      </c>
      <c r="F1152" s="6" t="s">
        <v>4882</v>
      </c>
      <c r="G1152" s="6" t="s">
        <v>2635</v>
      </c>
      <c r="H1152" s="6">
        <v>1</v>
      </c>
      <c r="I1152" s="18">
        <v>599</v>
      </c>
      <c r="J1152" s="19">
        <v>46162.4303702894</v>
      </c>
      <c r="K1152" s="6" t="s">
        <v>4880</v>
      </c>
      <c r="L1152" t="str">
        <f t="shared" si="17"/>
        <v>LIXADEIRA PNEUMATICA ORBITAL|46161</v>
      </c>
    </row>
    <row r="1153" ht="13.5" customHeight="1" spans="1:12">
      <c r="A1153" s="17">
        <v>46161.4354166667</v>
      </c>
      <c r="B1153" s="6" t="s">
        <v>4876</v>
      </c>
      <c r="C1153" s="6" t="s">
        <v>5629</v>
      </c>
      <c r="D1153" s="6" t="s">
        <v>4907</v>
      </c>
      <c r="E1153" s="6" t="s">
        <v>182</v>
      </c>
      <c r="F1153" s="6" t="s">
        <v>4879</v>
      </c>
      <c r="G1153" s="6" t="s">
        <v>501</v>
      </c>
      <c r="H1153" s="6">
        <v>40</v>
      </c>
      <c r="I1153" s="18">
        <v>110.4</v>
      </c>
      <c r="J1153" s="19">
        <v>46162.4507503125</v>
      </c>
      <c r="K1153" s="6" t="s">
        <v>4880</v>
      </c>
      <c r="L1153" t="str">
        <f t="shared" si="17"/>
        <v>FITA EMBALAGEM DUREX 45M|46161</v>
      </c>
    </row>
    <row r="1154" ht="13.5" customHeight="1" spans="1:12">
      <c r="A1154" s="17">
        <v>46161.4354166667</v>
      </c>
      <c r="B1154" s="6" t="s">
        <v>4876</v>
      </c>
      <c r="C1154" s="6" t="s">
        <v>5629</v>
      </c>
      <c r="D1154" s="6" t="s">
        <v>4907</v>
      </c>
      <c r="E1154" s="6" t="s">
        <v>182</v>
      </c>
      <c r="F1154" s="6" t="s">
        <v>4879</v>
      </c>
      <c r="G1154" s="6" t="s">
        <v>2216</v>
      </c>
      <c r="H1154" s="6">
        <v>20</v>
      </c>
      <c r="I1154" s="18">
        <v>370.8</v>
      </c>
      <c r="J1154" s="19">
        <v>46162.4507495718</v>
      </c>
      <c r="K1154" s="6" t="s">
        <v>4880</v>
      </c>
      <c r="L1154" t="str">
        <f t="shared" ref="L1154:L1217" si="18">IF(G1154="","",G1154&amp;"|"&amp;TEXT(A1154,"0"))</f>
        <v>PAPEL GLOSSY 180GR A4 PCT C/50|46161</v>
      </c>
    </row>
    <row r="1155" ht="13.5" customHeight="1" spans="1:12">
      <c r="A1155" s="17">
        <v>46161.4354166667</v>
      </c>
      <c r="B1155" s="6" t="s">
        <v>4876</v>
      </c>
      <c r="C1155" s="6" t="s">
        <v>5629</v>
      </c>
      <c r="D1155" s="6" t="s">
        <v>4907</v>
      </c>
      <c r="E1155" s="6" t="s">
        <v>182</v>
      </c>
      <c r="F1155" s="6" t="s">
        <v>4879</v>
      </c>
      <c r="G1155" s="6" t="s">
        <v>261</v>
      </c>
      <c r="H1155" s="6">
        <v>8</v>
      </c>
      <c r="I1155" s="18">
        <v>132.16</v>
      </c>
      <c r="J1155" s="19">
        <v>46162.4507486921</v>
      </c>
      <c r="K1155" s="6" t="s">
        <v>4880</v>
      </c>
      <c r="L1155" t="str">
        <f t="shared" si="18"/>
        <v>INSETICIDA/SBP 360ML|46161</v>
      </c>
    </row>
    <row r="1156" ht="13.5" customHeight="1" spans="1:12">
      <c r="A1156" s="17">
        <v>46161.4354166667</v>
      </c>
      <c r="B1156" s="6" t="s">
        <v>4876</v>
      </c>
      <c r="C1156" s="6" t="s">
        <v>5629</v>
      </c>
      <c r="D1156" s="6" t="s">
        <v>4907</v>
      </c>
      <c r="E1156" s="6" t="s">
        <v>38</v>
      </c>
      <c r="F1156" s="6" t="s">
        <v>4879</v>
      </c>
      <c r="G1156" s="6" t="s">
        <v>258</v>
      </c>
      <c r="H1156" s="6">
        <v>24</v>
      </c>
      <c r="I1156" s="18">
        <v>249.6</v>
      </c>
      <c r="J1156" s="19">
        <v>46162.4507476042</v>
      </c>
      <c r="K1156" s="6" t="s">
        <v>4880</v>
      </c>
      <c r="L1156" t="str">
        <f t="shared" si="18"/>
        <v>ÁLCOOL 70% 1 LITRO|46161</v>
      </c>
    </row>
    <row r="1157" ht="13.5" customHeight="1" spans="1:12">
      <c r="A1157" s="17">
        <v>46161.4354166667</v>
      </c>
      <c r="B1157" s="6" t="s">
        <v>4876</v>
      </c>
      <c r="C1157" s="6" t="s">
        <v>5629</v>
      </c>
      <c r="D1157" s="6" t="s">
        <v>4907</v>
      </c>
      <c r="E1157" s="6" t="s">
        <v>38</v>
      </c>
      <c r="F1157" s="6" t="s">
        <v>4879</v>
      </c>
      <c r="G1157" s="6" t="s">
        <v>451</v>
      </c>
      <c r="H1157" s="6">
        <v>80</v>
      </c>
      <c r="I1157" s="18">
        <v>301.6</v>
      </c>
      <c r="J1157" s="19">
        <v>46162.450746331</v>
      </c>
      <c r="K1157" s="6" t="s">
        <v>4880</v>
      </c>
      <c r="L1157" t="str">
        <f t="shared" si="18"/>
        <v>PEDRA SANITARIA 25GR FLORAL|46161</v>
      </c>
    </row>
    <row r="1158" ht="13.5" customHeight="1" spans="1:12">
      <c r="A1158" s="17">
        <v>46161.4354166667</v>
      </c>
      <c r="B1158" s="6" t="s">
        <v>4876</v>
      </c>
      <c r="C1158" s="6" t="s">
        <v>5629</v>
      </c>
      <c r="D1158" s="6" t="s">
        <v>4907</v>
      </c>
      <c r="E1158" s="6" t="s">
        <v>38</v>
      </c>
      <c r="F1158" s="6" t="s">
        <v>4879</v>
      </c>
      <c r="G1158" s="6" t="s">
        <v>685</v>
      </c>
      <c r="H1158" s="6">
        <v>20</v>
      </c>
      <c r="I1158" s="18">
        <v>219.6</v>
      </c>
      <c r="J1158" s="19">
        <v>46162.4507452546</v>
      </c>
      <c r="K1158" s="6" t="s">
        <v>4880</v>
      </c>
      <c r="L1158" t="str">
        <f t="shared" si="18"/>
        <v>BOM AR TALCO 360ML|46161</v>
      </c>
    </row>
    <row r="1159" ht="13.5" customHeight="1" spans="1:12">
      <c r="A1159" s="17">
        <v>46161.4354166667</v>
      </c>
      <c r="B1159" s="6" t="s">
        <v>4876</v>
      </c>
      <c r="C1159" s="6" t="s">
        <v>5629</v>
      </c>
      <c r="D1159" s="6" t="s">
        <v>4907</v>
      </c>
      <c r="E1159" s="6" t="s">
        <v>38</v>
      </c>
      <c r="F1159" s="6" t="s">
        <v>4879</v>
      </c>
      <c r="G1159" s="6" t="s">
        <v>439</v>
      </c>
      <c r="H1159" s="6">
        <v>4</v>
      </c>
      <c r="I1159" s="18">
        <v>24.48</v>
      </c>
      <c r="J1159" s="19">
        <v>46162.4507443287</v>
      </c>
      <c r="K1159" s="6" t="s">
        <v>4880</v>
      </c>
      <c r="L1159" t="str">
        <f t="shared" si="18"/>
        <v>ESPONJA MULTIUSO|46161</v>
      </c>
    </row>
    <row r="1160" ht="13.5" customHeight="1" spans="1:12">
      <c r="A1160" s="17">
        <v>46161.4354166667</v>
      </c>
      <c r="B1160" s="6" t="s">
        <v>4876</v>
      </c>
      <c r="C1160" s="6" t="s">
        <v>5629</v>
      </c>
      <c r="D1160" s="6" t="s">
        <v>4907</v>
      </c>
      <c r="E1160" s="6" t="s">
        <v>38</v>
      </c>
      <c r="F1160" s="6" t="s">
        <v>4879</v>
      </c>
      <c r="G1160" s="6" t="s">
        <v>425</v>
      </c>
      <c r="H1160" s="6">
        <v>6</v>
      </c>
      <c r="I1160" s="18">
        <v>181.2</v>
      </c>
      <c r="J1160" s="19">
        <v>46162.4507436343</v>
      </c>
      <c r="K1160" s="6" t="s">
        <v>4880</v>
      </c>
      <c r="L1160" t="str">
        <f t="shared" si="18"/>
        <v>PANO DE CHÃO ALVEJADO 100% ALGODÃO |46161</v>
      </c>
    </row>
    <row r="1161" ht="13.5" customHeight="1" spans="1:12">
      <c r="A1161" s="17">
        <v>46161.4354166667</v>
      </c>
      <c r="B1161" s="6" t="s">
        <v>4876</v>
      </c>
      <c r="C1161" s="6" t="s">
        <v>5629</v>
      </c>
      <c r="D1161" s="6" t="s">
        <v>4907</v>
      </c>
      <c r="E1161" s="6" t="s">
        <v>38</v>
      </c>
      <c r="F1161" s="6" t="s">
        <v>4879</v>
      </c>
      <c r="G1161" s="6" t="s">
        <v>262</v>
      </c>
      <c r="H1161" s="6">
        <v>40</v>
      </c>
      <c r="I1161" s="18">
        <v>95.6</v>
      </c>
      <c r="J1161" s="19">
        <v>46162.4507430903</v>
      </c>
      <c r="K1161" s="6" t="s">
        <v>4880</v>
      </c>
      <c r="L1161" t="str">
        <f t="shared" si="18"/>
        <v>DETERGENTE LAVA LOUÇA 500ML|46161</v>
      </c>
    </row>
    <row r="1162" ht="13.5" customHeight="1" spans="1:12">
      <c r="A1162" s="17">
        <v>46161.4354166667</v>
      </c>
      <c r="B1162" s="6" t="s">
        <v>4876</v>
      </c>
      <c r="C1162" s="6" t="s">
        <v>5629</v>
      </c>
      <c r="D1162" s="6" t="s">
        <v>4907</v>
      </c>
      <c r="E1162" s="6" t="s">
        <v>182</v>
      </c>
      <c r="F1162" s="6" t="s">
        <v>4879</v>
      </c>
      <c r="G1162" s="6" t="s">
        <v>907</v>
      </c>
      <c r="H1162" s="6">
        <v>20</v>
      </c>
      <c r="I1162" s="18">
        <v>237.8</v>
      </c>
      <c r="J1162" s="19">
        <v>46162.4507425579</v>
      </c>
      <c r="K1162" s="6" t="s">
        <v>4880</v>
      </c>
      <c r="L1162" t="str">
        <f t="shared" si="18"/>
        <v>PILHA ALCALINA NORMAL (AA)|46161</v>
      </c>
    </row>
    <row r="1163" ht="13.5" customHeight="1" spans="1:12">
      <c r="A1163" s="17">
        <v>46161.4354166667</v>
      </c>
      <c r="B1163" s="6" t="s">
        <v>4876</v>
      </c>
      <c r="C1163" s="6" t="s">
        <v>5629</v>
      </c>
      <c r="D1163" s="6" t="s">
        <v>4907</v>
      </c>
      <c r="E1163" s="6" t="s">
        <v>182</v>
      </c>
      <c r="F1163" s="6" t="s">
        <v>4879</v>
      </c>
      <c r="G1163" s="6" t="s">
        <v>896</v>
      </c>
      <c r="H1163" s="6">
        <v>20</v>
      </c>
      <c r="I1163" s="18">
        <v>237.8</v>
      </c>
      <c r="J1163" s="19">
        <v>46162.4507419792</v>
      </c>
      <c r="K1163" s="6" t="s">
        <v>4880</v>
      </c>
      <c r="L1163" t="str">
        <f t="shared" si="18"/>
        <v>PILHA ALCALINA PALITO (AAA)|46161</v>
      </c>
    </row>
    <row r="1164" ht="13.5" customHeight="1" spans="1:12">
      <c r="A1164" s="17">
        <v>46161.4354166667</v>
      </c>
      <c r="B1164" s="6" t="s">
        <v>4876</v>
      </c>
      <c r="C1164" s="6" t="s">
        <v>5629</v>
      </c>
      <c r="D1164" s="6" t="s">
        <v>4907</v>
      </c>
      <c r="E1164" s="6" t="s">
        <v>182</v>
      </c>
      <c r="F1164" s="6" t="s">
        <v>4879</v>
      </c>
      <c r="G1164" s="6" t="s">
        <v>269</v>
      </c>
      <c r="H1164" s="6">
        <v>15</v>
      </c>
      <c r="I1164" s="18">
        <v>30.3</v>
      </c>
      <c r="J1164" s="19">
        <v>46162.4507414352</v>
      </c>
      <c r="K1164" s="6" t="s">
        <v>4880</v>
      </c>
      <c r="L1164" t="str">
        <f t="shared" si="18"/>
        <v>ESTILETE LARGO|46161</v>
      </c>
    </row>
    <row r="1165" ht="13.5" customHeight="1" spans="1:12">
      <c r="A1165" s="17">
        <v>46161.4354166667</v>
      </c>
      <c r="B1165" s="6" t="s">
        <v>4876</v>
      </c>
      <c r="C1165" s="6" t="s">
        <v>5629</v>
      </c>
      <c r="D1165" s="6" t="s">
        <v>4907</v>
      </c>
      <c r="E1165" s="6" t="s">
        <v>182</v>
      </c>
      <c r="F1165" s="6" t="s">
        <v>4879</v>
      </c>
      <c r="G1165" s="6" t="s">
        <v>616</v>
      </c>
      <c r="H1165" s="6">
        <v>10</v>
      </c>
      <c r="I1165" s="18">
        <v>46.8</v>
      </c>
      <c r="J1165" s="19">
        <v>46162.450741088</v>
      </c>
      <c r="K1165" s="6" t="s">
        <v>4880</v>
      </c>
      <c r="L1165" t="str">
        <f t="shared" si="18"/>
        <v>POSTITE BLOCO ADESIVO MAXPRINT NEON PEQUENO|46161</v>
      </c>
    </row>
    <row r="1166" ht="13.5" customHeight="1" spans="1:12">
      <c r="A1166" s="17">
        <v>46161.4354166667</v>
      </c>
      <c r="B1166" s="6" t="s">
        <v>4876</v>
      </c>
      <c r="C1166" s="6" t="s">
        <v>5629</v>
      </c>
      <c r="D1166" s="6" t="s">
        <v>4907</v>
      </c>
      <c r="E1166" s="6" t="s">
        <v>182</v>
      </c>
      <c r="F1166" s="6" t="s">
        <v>4879</v>
      </c>
      <c r="G1166" s="6" t="s">
        <v>534</v>
      </c>
      <c r="H1166" s="6">
        <v>20</v>
      </c>
      <c r="I1166" s="18">
        <v>89.4</v>
      </c>
      <c r="J1166" s="19">
        <v>46162.4507407407</v>
      </c>
      <c r="K1166" s="6" t="s">
        <v>4880</v>
      </c>
      <c r="L1166" t="str">
        <f t="shared" si="18"/>
        <v>GRAMPO 26/6 CX C/5000|46161</v>
      </c>
    </row>
    <row r="1167" ht="13.5" customHeight="1" spans="1:12">
      <c r="A1167" s="17">
        <v>46161.4354166667</v>
      </c>
      <c r="B1167" s="6" t="s">
        <v>4876</v>
      </c>
      <c r="C1167" s="6" t="s">
        <v>5629</v>
      </c>
      <c r="D1167" s="6" t="s">
        <v>4907</v>
      </c>
      <c r="E1167" s="6" t="s">
        <v>182</v>
      </c>
      <c r="F1167" s="6" t="s">
        <v>4879</v>
      </c>
      <c r="G1167" s="6" t="s">
        <v>546</v>
      </c>
      <c r="H1167" s="6">
        <v>50</v>
      </c>
      <c r="I1167" s="18">
        <v>59</v>
      </c>
      <c r="J1167" s="19">
        <v>46162.450740544</v>
      </c>
      <c r="K1167" s="6" t="s">
        <v>4880</v>
      </c>
      <c r="L1167" t="str">
        <f t="shared" si="18"/>
        <v>CANETA ESFEROGRÁFICA 07 VERMELHA|46161</v>
      </c>
    </row>
    <row r="1168" ht="13.5" customHeight="1" spans="1:12">
      <c r="A1168" s="17">
        <v>46161.4354166667</v>
      </c>
      <c r="B1168" s="6" t="s">
        <v>4876</v>
      </c>
      <c r="C1168" s="6" t="s">
        <v>5629</v>
      </c>
      <c r="D1168" s="6" t="s">
        <v>4907</v>
      </c>
      <c r="E1168" s="6" t="s">
        <v>182</v>
      </c>
      <c r="F1168" s="6" t="s">
        <v>4879</v>
      </c>
      <c r="G1168" s="6" t="s">
        <v>476</v>
      </c>
      <c r="H1168" s="6">
        <v>100</v>
      </c>
      <c r="I1168" s="18">
        <v>118</v>
      </c>
      <c r="J1168" s="19">
        <v>46162.4507401968</v>
      </c>
      <c r="K1168" s="6" t="s">
        <v>4880</v>
      </c>
      <c r="L1168" t="str">
        <f t="shared" si="18"/>
        <v>CANETA ESFEROGRÁFICA 07 AZUL|46161</v>
      </c>
    </row>
    <row r="1169" ht="13.5" customHeight="1" spans="1:12">
      <c r="A1169" s="17">
        <v>46161.4354166667</v>
      </c>
      <c r="B1169" s="6" t="s">
        <v>4876</v>
      </c>
      <c r="C1169" s="6" t="s">
        <v>5629</v>
      </c>
      <c r="D1169" s="6" t="s">
        <v>4907</v>
      </c>
      <c r="E1169" s="6" t="s">
        <v>182</v>
      </c>
      <c r="F1169" s="6" t="s">
        <v>4879</v>
      </c>
      <c r="G1169" s="6" t="s">
        <v>431</v>
      </c>
      <c r="H1169" s="6">
        <v>200</v>
      </c>
      <c r="I1169" s="18">
        <v>4698</v>
      </c>
      <c r="J1169" s="19">
        <v>46162.4507398148</v>
      </c>
      <c r="K1169" s="6" t="s">
        <v>4880</v>
      </c>
      <c r="L1169" t="str">
        <f t="shared" si="18"/>
        <v>PACOTE DE FOLHA A4 CHAMEX|46161</v>
      </c>
    </row>
    <row r="1170" ht="13.5" customHeight="1" spans="1:12">
      <c r="A1170" s="17">
        <v>46161.4354166667</v>
      </c>
      <c r="B1170" s="6" t="s">
        <v>4876</v>
      </c>
      <c r="C1170" s="6" t="s">
        <v>5629</v>
      </c>
      <c r="D1170" s="6" t="s">
        <v>4907</v>
      </c>
      <c r="E1170" s="6" t="s">
        <v>38</v>
      </c>
      <c r="F1170" s="6" t="s">
        <v>4879</v>
      </c>
      <c r="G1170" s="6" t="s">
        <v>815</v>
      </c>
      <c r="H1170" s="6">
        <v>10</v>
      </c>
      <c r="I1170" s="18">
        <v>176.1</v>
      </c>
      <c r="J1170" s="19">
        <v>46162.4507396644</v>
      </c>
      <c r="K1170" s="6" t="s">
        <v>4880</v>
      </c>
      <c r="L1170" t="str">
        <f t="shared" si="18"/>
        <v>DIFUSOR DE AROMAS 100ML BAMBU|46161</v>
      </c>
    </row>
    <row r="1171" ht="13.5" customHeight="1" spans="1:12">
      <c r="A1171" s="17">
        <v>46161.4354166667</v>
      </c>
      <c r="B1171" s="6" t="s">
        <v>4876</v>
      </c>
      <c r="C1171" s="6" t="s">
        <v>5629</v>
      </c>
      <c r="D1171" s="6" t="s">
        <v>4907</v>
      </c>
      <c r="E1171" s="6" t="s">
        <v>38</v>
      </c>
      <c r="F1171" s="6" t="s">
        <v>4879</v>
      </c>
      <c r="G1171" s="6" t="s">
        <v>491</v>
      </c>
      <c r="H1171" s="6">
        <v>10</v>
      </c>
      <c r="I1171" s="18">
        <v>176.1</v>
      </c>
      <c r="J1171" s="19">
        <v>46162.4507390857</v>
      </c>
      <c r="K1171" s="6" t="s">
        <v>4880</v>
      </c>
      <c r="L1171" t="str">
        <f t="shared" si="18"/>
        <v>DIFUSOR DE AROMAS 100ML LAVANDA|46161</v>
      </c>
    </row>
    <row r="1172" ht="13.5" customHeight="1" spans="1:12">
      <c r="A1172" s="17">
        <v>46161.5909722222</v>
      </c>
      <c r="B1172" s="6" t="s">
        <v>4876</v>
      </c>
      <c r="C1172" s="6" t="s">
        <v>5630</v>
      </c>
      <c r="D1172" s="6" t="s">
        <v>5631</v>
      </c>
      <c r="E1172" s="6" t="s">
        <v>390</v>
      </c>
      <c r="F1172" s="6" t="s">
        <v>4879</v>
      </c>
      <c r="G1172" s="6" t="s">
        <v>3214</v>
      </c>
      <c r="H1172" s="6">
        <v>6</v>
      </c>
      <c r="I1172" s="18">
        <v>360</v>
      </c>
      <c r="J1172" s="19">
        <v>46168.5950466435</v>
      </c>
      <c r="K1172" s="6" t="s">
        <v>5449</v>
      </c>
      <c r="L1172" t="str">
        <f t="shared" si="18"/>
        <v>FACA BRANCA MUNDIAL 15,2CM|46162</v>
      </c>
    </row>
    <row r="1173" ht="13.5" customHeight="1" spans="1:12">
      <c r="A1173" s="17">
        <v>46161.5979166667</v>
      </c>
      <c r="B1173" s="6" t="s">
        <v>4876</v>
      </c>
      <c r="C1173" s="6" t="s">
        <v>5632</v>
      </c>
      <c r="D1173" s="6" t="s">
        <v>4979</v>
      </c>
      <c r="E1173" s="6" t="s">
        <v>35</v>
      </c>
      <c r="F1173" s="6" t="s">
        <v>4879</v>
      </c>
      <c r="G1173" s="6" t="s">
        <v>271</v>
      </c>
      <c r="H1173" s="6">
        <v>5</v>
      </c>
      <c r="I1173" s="18">
        <v>1045</v>
      </c>
      <c r="J1173" s="19">
        <v>46163.6002044792</v>
      </c>
      <c r="K1173" s="6" t="s">
        <v>4880</v>
      </c>
      <c r="L1173" t="str">
        <f t="shared" si="18"/>
        <v>COPO DO FILTRO DE COMBUSTIVEL-RACOR A3760927104|46162</v>
      </c>
    </row>
    <row r="1174" ht="13.5" customHeight="1" spans="1:12">
      <c r="A1174" s="17">
        <v>46161.6037847222</v>
      </c>
      <c r="B1174" s="6" t="s">
        <v>4876</v>
      </c>
      <c r="C1174" s="6" t="s">
        <v>5633</v>
      </c>
      <c r="D1174" s="6" t="s">
        <v>5065</v>
      </c>
      <c r="E1174" s="6" t="s">
        <v>26</v>
      </c>
      <c r="F1174" s="6" t="s">
        <v>4882</v>
      </c>
      <c r="G1174" s="6" t="s">
        <v>266</v>
      </c>
      <c r="H1174" s="6">
        <v>3</v>
      </c>
      <c r="I1174" s="18">
        <v>105</v>
      </c>
      <c r="J1174" s="19">
        <v>46161.6048952546</v>
      </c>
      <c r="K1174" s="6" t="s">
        <v>4880</v>
      </c>
      <c r="L1174" t="str">
        <f t="shared" si="18"/>
        <v>LAMINA 2 PONTAS 350MM FURO 20MM AÇO (ROÇADEIRA)|46162</v>
      </c>
    </row>
    <row r="1175" ht="13.5" customHeight="1" spans="1:12">
      <c r="A1175" s="17">
        <v>46161.6051736111</v>
      </c>
      <c r="B1175" s="6" t="s">
        <v>4876</v>
      </c>
      <c r="C1175" s="6" t="s">
        <v>5634</v>
      </c>
      <c r="D1175" s="6" t="s">
        <v>5358</v>
      </c>
      <c r="E1175" s="6" t="s">
        <v>26</v>
      </c>
      <c r="F1175" s="6" t="s">
        <v>4882</v>
      </c>
      <c r="G1175" s="6" t="s">
        <v>3615</v>
      </c>
      <c r="H1175" s="6">
        <v>1</v>
      </c>
      <c r="I1175" s="18">
        <v>11</v>
      </c>
      <c r="J1175" s="19">
        <v>46161.6060274306</v>
      </c>
      <c r="K1175" s="6" t="s">
        <v>4880</v>
      </c>
      <c r="L1175" t="str">
        <f t="shared" si="18"/>
        <v>COPIAS DE CHAVE |46162</v>
      </c>
    </row>
    <row r="1176" ht="13.5" customHeight="1" spans="1:12">
      <c r="A1176" s="17">
        <v>46161.60625</v>
      </c>
      <c r="B1176" s="6" t="s">
        <v>4876</v>
      </c>
      <c r="C1176" s="6" t="s">
        <v>5613</v>
      </c>
      <c r="D1176" s="6" t="s">
        <v>5127</v>
      </c>
      <c r="E1176" s="6" t="s">
        <v>26</v>
      </c>
      <c r="F1176" s="6" t="s">
        <v>4882</v>
      </c>
      <c r="G1176" s="6" t="s">
        <v>1366</v>
      </c>
      <c r="H1176" s="6">
        <v>1</v>
      </c>
      <c r="I1176" s="18">
        <v>17.9</v>
      </c>
      <c r="J1176" s="19">
        <v>46161.6082126157</v>
      </c>
      <c r="K1176" s="6" t="s">
        <v>4880</v>
      </c>
      <c r="L1176" t="str">
        <f t="shared" si="18"/>
        <v>SOQUETE ESTRIADO LONGO ENCAIXE 1/2 10MM|46162</v>
      </c>
    </row>
    <row r="1177" ht="13.5" customHeight="1" spans="1:12">
      <c r="A1177" s="17">
        <v>46161.60625</v>
      </c>
      <c r="B1177" s="6" t="s">
        <v>4876</v>
      </c>
      <c r="C1177" s="6" t="s">
        <v>5613</v>
      </c>
      <c r="D1177" s="6" t="s">
        <v>5127</v>
      </c>
      <c r="E1177" s="6" t="s">
        <v>26</v>
      </c>
      <c r="F1177" s="6" t="s">
        <v>4882</v>
      </c>
      <c r="G1177" s="6" t="s">
        <v>1367</v>
      </c>
      <c r="H1177" s="6">
        <v>1</v>
      </c>
      <c r="I1177" s="18">
        <v>28.9</v>
      </c>
      <c r="J1177" s="19">
        <v>46161.6082122685</v>
      </c>
      <c r="K1177" s="6" t="s">
        <v>4880</v>
      </c>
      <c r="L1177" t="str">
        <f t="shared" si="18"/>
        <v>SOQUETE ESTRIADO 10MM ENCAIXE 1/2|46162</v>
      </c>
    </row>
    <row r="1178" ht="13.5" customHeight="1" spans="1:12">
      <c r="A1178" s="17">
        <v>46161.6085069445</v>
      </c>
      <c r="B1178" s="6" t="s">
        <v>4876</v>
      </c>
      <c r="C1178" s="6" t="s">
        <v>5635</v>
      </c>
      <c r="D1178" s="6" t="s">
        <v>4919</v>
      </c>
      <c r="E1178" s="6" t="s">
        <v>26</v>
      </c>
      <c r="F1178" s="6" t="s">
        <v>4882</v>
      </c>
      <c r="G1178" s="6" t="s">
        <v>855</v>
      </c>
      <c r="H1178" s="6">
        <v>1</v>
      </c>
      <c r="I1178" s="18">
        <v>201.9</v>
      </c>
      <c r="J1178" s="19">
        <v>46161.6143681713</v>
      </c>
      <c r="K1178" s="6" t="s">
        <v>4880</v>
      </c>
      <c r="L1178" t="str">
        <f t="shared" si="18"/>
        <v>THINNER 5L MONTANA|46162</v>
      </c>
    </row>
    <row r="1179" ht="13.5" customHeight="1" spans="1:12">
      <c r="A1179" s="17">
        <v>46161.6085069445</v>
      </c>
      <c r="B1179" s="6" t="s">
        <v>4876</v>
      </c>
      <c r="C1179" s="6" t="s">
        <v>5635</v>
      </c>
      <c r="D1179" s="6" t="s">
        <v>4919</v>
      </c>
      <c r="E1179" s="6" t="s">
        <v>26</v>
      </c>
      <c r="F1179" s="6" t="s">
        <v>4882</v>
      </c>
      <c r="G1179" s="6" t="s">
        <v>1426</v>
      </c>
      <c r="H1179" s="6">
        <v>10</v>
      </c>
      <c r="I1179" s="18">
        <v>592.6</v>
      </c>
      <c r="J1179" s="19">
        <v>46161.6143674421</v>
      </c>
      <c r="K1179" s="6" t="s">
        <v>4880</v>
      </c>
      <c r="L1179" t="str">
        <f t="shared" si="18"/>
        <v>SKY CATALISADOR P/ESMALTE PU 450ML|46162</v>
      </c>
    </row>
    <row r="1180" ht="13.5" customHeight="1" spans="1:12">
      <c r="A1180" s="17">
        <v>46161.6085069445</v>
      </c>
      <c r="B1180" s="6" t="s">
        <v>4876</v>
      </c>
      <c r="C1180" s="6" t="s">
        <v>5635</v>
      </c>
      <c r="D1180" s="6" t="s">
        <v>4919</v>
      </c>
      <c r="E1180" s="6" t="s">
        <v>26</v>
      </c>
      <c r="F1180" s="6" t="s">
        <v>4882</v>
      </c>
      <c r="G1180" s="6" t="s">
        <v>1429</v>
      </c>
      <c r="H1180" s="6">
        <v>3</v>
      </c>
      <c r="I1180" s="18">
        <v>207.12</v>
      </c>
      <c r="J1180" s="19">
        <v>46161.6143670486</v>
      </c>
      <c r="K1180" s="6" t="s">
        <v>4880</v>
      </c>
      <c r="L1180" t="str">
        <f t="shared" si="18"/>
        <v>SKY BP PRETO NINJA LISA VW 95|46162</v>
      </c>
    </row>
    <row r="1181" ht="13.5" customHeight="1" spans="1:12">
      <c r="A1181" s="17">
        <v>46161.6085069445</v>
      </c>
      <c r="B1181" s="6" t="s">
        <v>4876</v>
      </c>
      <c r="C1181" s="6" t="s">
        <v>5635</v>
      </c>
      <c r="D1181" s="6" t="s">
        <v>4919</v>
      </c>
      <c r="E1181" s="6" t="s">
        <v>26</v>
      </c>
      <c r="F1181" s="6" t="s">
        <v>4882</v>
      </c>
      <c r="G1181" s="6" t="s">
        <v>2639</v>
      </c>
      <c r="H1181" s="6">
        <v>10</v>
      </c>
      <c r="I1181" s="18">
        <v>28</v>
      </c>
      <c r="J1181" s="19">
        <v>46161.6143667014</v>
      </c>
      <c r="K1181" s="6" t="s">
        <v>4880</v>
      </c>
      <c r="L1181" t="str">
        <f t="shared" si="18"/>
        <v>LIXA DE AGUA 400|46162</v>
      </c>
    </row>
    <row r="1182" ht="13.5" customHeight="1" spans="1:12">
      <c r="A1182" s="17">
        <v>46161.6149421296</v>
      </c>
      <c r="B1182" s="6" t="s">
        <v>4876</v>
      </c>
      <c r="C1182" s="6" t="s">
        <v>5636</v>
      </c>
      <c r="D1182" s="6" t="s">
        <v>4954</v>
      </c>
      <c r="E1182" s="6" t="s">
        <v>26</v>
      </c>
      <c r="F1182" s="6" t="s">
        <v>4882</v>
      </c>
      <c r="G1182" s="6" t="s">
        <v>3578</v>
      </c>
      <c r="H1182" s="6">
        <v>2</v>
      </c>
      <c r="I1182" s="18">
        <v>244</v>
      </c>
      <c r="J1182" s="19">
        <v>46161.6156402431</v>
      </c>
      <c r="K1182" s="6" t="s">
        <v>4880</v>
      </c>
      <c r="L1182" t="str">
        <f t="shared" si="18"/>
        <v>CORREIA ALTERNADOR 8PK 2002|46162</v>
      </c>
    </row>
    <row r="1183" ht="13.5" customHeight="1" spans="1:12">
      <c r="A1183" s="17">
        <v>46161.6176851852</v>
      </c>
      <c r="B1183" s="6" t="s">
        <v>4876</v>
      </c>
      <c r="C1183" s="6" t="s">
        <v>5155</v>
      </c>
      <c r="D1183" s="6" t="s">
        <v>4894</v>
      </c>
      <c r="E1183" s="6" t="s">
        <v>26</v>
      </c>
      <c r="F1183" s="6" t="s">
        <v>4882</v>
      </c>
      <c r="G1183" s="6" t="s">
        <v>881</v>
      </c>
      <c r="H1183" s="6">
        <v>10</v>
      </c>
      <c r="I1183" s="18">
        <v>41.6</v>
      </c>
      <c r="J1183" s="19">
        <v>46161.6230101042</v>
      </c>
      <c r="K1183" s="6" t="s">
        <v>4880</v>
      </c>
      <c r="L1183" t="str">
        <f t="shared" si="18"/>
        <v>CLIPS CABO AÇO 1/4 C02 PSÇ |46162</v>
      </c>
    </row>
    <row r="1184" ht="13.5" customHeight="1" spans="1:12">
      <c r="A1184" s="17">
        <v>46161.6176851852</v>
      </c>
      <c r="B1184" s="6" t="s">
        <v>4876</v>
      </c>
      <c r="C1184" s="6" t="s">
        <v>5155</v>
      </c>
      <c r="D1184" s="6" t="s">
        <v>4894</v>
      </c>
      <c r="E1184" s="6" t="s">
        <v>26</v>
      </c>
      <c r="F1184" s="6" t="s">
        <v>4882</v>
      </c>
      <c r="G1184" s="6" t="s">
        <v>4141</v>
      </c>
      <c r="H1184" s="6">
        <v>10</v>
      </c>
      <c r="I1184" s="18">
        <v>73.2</v>
      </c>
      <c r="J1184" s="19">
        <v>46161.6230095718</v>
      </c>
      <c r="K1184" s="6" t="s">
        <v>4880</v>
      </c>
      <c r="L1184" t="str">
        <f t="shared" si="18"/>
        <v>CABO DE AÇO GALV 1/8 |46162</v>
      </c>
    </row>
    <row r="1185" ht="13.5" customHeight="1" spans="1:12">
      <c r="A1185" s="17">
        <v>46161.6232638889</v>
      </c>
      <c r="B1185" s="6" t="s">
        <v>4876</v>
      </c>
      <c r="C1185" s="6" t="s">
        <v>5637</v>
      </c>
      <c r="D1185" s="6" t="s">
        <v>5127</v>
      </c>
      <c r="E1185" s="6" t="s">
        <v>26</v>
      </c>
      <c r="F1185" s="6" t="s">
        <v>4882</v>
      </c>
      <c r="G1185" s="6" t="s">
        <v>3865</v>
      </c>
      <c r="H1185" s="6">
        <v>1</v>
      </c>
      <c r="I1185" s="18">
        <v>30.9</v>
      </c>
      <c r="J1185" s="19">
        <v>46161.6250366088</v>
      </c>
      <c r="K1185" s="6" t="s">
        <v>4880</v>
      </c>
      <c r="L1185" t="str">
        <f t="shared" si="18"/>
        <v>CHAVE COMBINADA 13MM GEDORE RED|46162</v>
      </c>
    </row>
    <row r="1186" ht="13.5" customHeight="1" spans="1:12">
      <c r="A1186" s="17">
        <v>46162.5518402778</v>
      </c>
      <c r="B1186" s="6" t="s">
        <v>4876</v>
      </c>
      <c r="C1186" s="6" t="s">
        <v>5638</v>
      </c>
      <c r="D1186" s="6" t="s">
        <v>4954</v>
      </c>
      <c r="E1186" s="6" t="s">
        <v>26</v>
      </c>
      <c r="F1186" s="6" t="s">
        <v>4882</v>
      </c>
      <c r="G1186" s="6" t="s">
        <v>1332</v>
      </c>
      <c r="H1186" s="6">
        <v>1</v>
      </c>
      <c r="I1186" s="18">
        <v>239</v>
      </c>
      <c r="J1186" s="19">
        <v>46162.5547372338</v>
      </c>
      <c r="K1186" s="6" t="s">
        <v>4880</v>
      </c>
      <c r="L1186" t="str">
        <f t="shared" si="18"/>
        <v>SUPORTE DO ESTABILIZADOR TRASEIRO MBB 0979320037|46163</v>
      </c>
    </row>
    <row r="1187" ht="13.5" customHeight="1" spans="1:12">
      <c r="A1187" s="17">
        <v>46162.5518402778</v>
      </c>
      <c r="B1187" s="6" t="s">
        <v>4876</v>
      </c>
      <c r="C1187" s="6" t="s">
        <v>5638</v>
      </c>
      <c r="D1187" s="6" t="s">
        <v>4954</v>
      </c>
      <c r="E1187" s="6" t="s">
        <v>26</v>
      </c>
      <c r="F1187" s="6" t="s">
        <v>4882</v>
      </c>
      <c r="G1187" s="6" t="s">
        <v>196</v>
      </c>
      <c r="H1187" s="6">
        <v>12</v>
      </c>
      <c r="I1187" s="18">
        <v>552</v>
      </c>
      <c r="J1187" s="19">
        <v>46162.5547368403</v>
      </c>
      <c r="K1187" s="6" t="s">
        <v>4880</v>
      </c>
      <c r="L1187" t="str">
        <f t="shared" si="18"/>
        <v>ANTI-FERRUGEM WD-40 300ML|46163</v>
      </c>
    </row>
    <row r="1188" ht="13.5" customHeight="1" spans="1:12">
      <c r="A1188" s="17">
        <v>46162.5555555556</v>
      </c>
      <c r="B1188" s="6" t="s">
        <v>4876</v>
      </c>
      <c r="C1188" s="6" t="s">
        <v>5639</v>
      </c>
      <c r="D1188" s="6" t="s">
        <v>5220</v>
      </c>
      <c r="E1188" s="6" t="s">
        <v>26</v>
      </c>
      <c r="F1188" s="6" t="s">
        <v>4882</v>
      </c>
      <c r="G1188" s="6" t="s">
        <v>748</v>
      </c>
      <c r="H1188" s="6">
        <v>4</v>
      </c>
      <c r="I1188" s="18">
        <v>231.96</v>
      </c>
      <c r="J1188" s="19">
        <v>46162.559753044</v>
      </c>
      <c r="K1188" s="6" t="s">
        <v>4880</v>
      </c>
      <c r="L1188" t="str">
        <f t="shared" si="18"/>
        <v>APOIO P/DIGITACAO EM GEL P/TECLADO|46163</v>
      </c>
    </row>
    <row r="1189" ht="13.5" customHeight="1" spans="1:12">
      <c r="A1189" s="17">
        <v>46162.5602546296</v>
      </c>
      <c r="B1189" s="6" t="s">
        <v>4876</v>
      </c>
      <c r="C1189" s="6" t="s">
        <v>5640</v>
      </c>
      <c r="D1189" s="6" t="s">
        <v>4971</v>
      </c>
      <c r="E1189" s="6" t="s">
        <v>26</v>
      </c>
      <c r="F1189" s="6" t="s">
        <v>4882</v>
      </c>
      <c r="G1189" s="6" t="s">
        <v>1726</v>
      </c>
      <c r="H1189" s="6">
        <v>4</v>
      </c>
      <c r="I1189" s="18">
        <v>150.12</v>
      </c>
      <c r="J1189" s="19">
        <v>46162.5625860301</v>
      </c>
      <c r="K1189" s="6" t="s">
        <v>4880</v>
      </c>
      <c r="L1189" t="str">
        <f t="shared" si="18"/>
        <v>RESISTENCIA 055A 220V 5500W MD/J3/T43 LORENZETTI|46163</v>
      </c>
    </row>
    <row r="1190" ht="13.5" customHeight="1" spans="1:12">
      <c r="A1190" s="17">
        <v>46162.5633680556</v>
      </c>
      <c r="B1190" s="6" t="s">
        <v>4876</v>
      </c>
      <c r="C1190" s="6" t="s">
        <v>5641</v>
      </c>
      <c r="D1190" s="6" t="s">
        <v>5642</v>
      </c>
      <c r="E1190" s="6" t="s">
        <v>26</v>
      </c>
      <c r="F1190" s="6" t="s">
        <v>4882</v>
      </c>
      <c r="G1190" s="6" t="s">
        <v>3965</v>
      </c>
      <c r="H1190" s="6">
        <v>2</v>
      </c>
      <c r="I1190" s="18">
        <v>42</v>
      </c>
      <c r="J1190" s="19">
        <v>46162.5680180556</v>
      </c>
      <c r="K1190" s="6" t="s">
        <v>4880</v>
      </c>
      <c r="L1190" t="str">
        <f t="shared" si="18"/>
        <v>CANETA FIXA CORRENTE POLIDA|46163</v>
      </c>
    </row>
    <row r="1191" ht="13.5" customHeight="1" spans="1:12">
      <c r="A1191" s="17">
        <v>46162.5633680556</v>
      </c>
      <c r="B1191" s="6" t="s">
        <v>4876</v>
      </c>
      <c r="C1191" s="6" t="s">
        <v>5641</v>
      </c>
      <c r="D1191" s="6" t="s">
        <v>5642</v>
      </c>
      <c r="E1191" s="6" t="s">
        <v>26</v>
      </c>
      <c r="F1191" s="6" t="s">
        <v>4882</v>
      </c>
      <c r="G1191" s="6" t="s">
        <v>3969</v>
      </c>
      <c r="H1191" s="6">
        <v>2</v>
      </c>
      <c r="I1191" s="18">
        <v>54.4</v>
      </c>
      <c r="J1191" s="19">
        <v>46162.5680175116</v>
      </c>
      <c r="K1191" s="6" t="s">
        <v>4880</v>
      </c>
      <c r="L1191" t="str">
        <f t="shared" si="18"/>
        <v>CANETA BALCÃO|46163</v>
      </c>
    </row>
    <row r="1192" ht="13.5" customHeight="1" spans="1:12">
      <c r="A1192" s="17">
        <v>46163.5867361111</v>
      </c>
      <c r="B1192" s="6" t="s">
        <v>4876</v>
      </c>
      <c r="C1192" s="6" t="s">
        <v>5643</v>
      </c>
      <c r="D1192" s="6" t="s">
        <v>110</v>
      </c>
      <c r="E1192" s="6" t="s">
        <v>35</v>
      </c>
      <c r="F1192" s="6" t="s">
        <v>4879</v>
      </c>
      <c r="G1192" s="6" t="s">
        <v>395</v>
      </c>
      <c r="H1192" s="6">
        <v>30</v>
      </c>
      <c r="I1192" s="18">
        <v>180</v>
      </c>
      <c r="J1192" s="19">
        <v>46163.5919183681</v>
      </c>
      <c r="K1192" s="6" t="s">
        <v>4880</v>
      </c>
      <c r="L1192" t="str">
        <f t="shared" si="18"/>
        <v>CAPA PORCA CROMADA 33|46164</v>
      </c>
    </row>
    <row r="1193" ht="13.5" customHeight="1" spans="1:12">
      <c r="A1193" s="17">
        <v>46163.5867361111</v>
      </c>
      <c r="B1193" s="6" t="s">
        <v>4876</v>
      </c>
      <c r="C1193" s="6" t="s">
        <v>5643</v>
      </c>
      <c r="D1193" s="6" t="s">
        <v>110</v>
      </c>
      <c r="E1193" s="6" t="s">
        <v>35</v>
      </c>
      <c r="F1193" s="6" t="s">
        <v>4879</v>
      </c>
      <c r="G1193" s="6" t="s">
        <v>3023</v>
      </c>
      <c r="H1193" s="6">
        <v>4</v>
      </c>
      <c r="I1193" s="18">
        <v>132</v>
      </c>
      <c r="J1193" s="19">
        <v>46163.5919164005</v>
      </c>
      <c r="K1193" s="6" t="s">
        <v>4880</v>
      </c>
      <c r="L1193" t="str">
        <f t="shared" si="18"/>
        <v>FLUIDO FREIO DOT4 500 ML|46164</v>
      </c>
    </row>
    <row r="1194" ht="13.5" customHeight="1" spans="1:12">
      <c r="A1194" s="17">
        <v>46163.6006944445</v>
      </c>
      <c r="B1194" s="6" t="s">
        <v>4876</v>
      </c>
      <c r="C1194" s="6" t="s">
        <v>5644</v>
      </c>
      <c r="D1194" s="6" t="s">
        <v>4905</v>
      </c>
      <c r="E1194" s="6" t="s">
        <v>26</v>
      </c>
      <c r="F1194" s="6" t="s">
        <v>4882</v>
      </c>
      <c r="G1194" s="6" t="s">
        <v>1075</v>
      </c>
      <c r="H1194" s="6">
        <v>1</v>
      </c>
      <c r="I1194" s="18">
        <v>83.96</v>
      </c>
      <c r="J1194" s="19">
        <v>46163.6467498032</v>
      </c>
      <c r="K1194" s="6" t="s">
        <v>4880</v>
      </c>
      <c r="L1194" t="str">
        <f t="shared" si="18"/>
        <v>TUBO IND GALV.30X30 P18 AL.FCP 2,00 VL FCP 6,37|46164</v>
      </c>
    </row>
    <row r="1195" ht="13.5" customHeight="1" spans="1:12">
      <c r="A1195" s="17">
        <v>46163.6471875</v>
      </c>
      <c r="B1195" s="6" t="s">
        <v>4876</v>
      </c>
      <c r="C1195" s="6" t="s">
        <v>5645</v>
      </c>
      <c r="D1195" s="6" t="s">
        <v>4971</v>
      </c>
      <c r="E1195" s="6" t="s">
        <v>26</v>
      </c>
      <c r="F1195" s="6" t="s">
        <v>4882</v>
      </c>
      <c r="G1195" s="6" t="s">
        <v>1725</v>
      </c>
      <c r="H1195" s="6">
        <v>2</v>
      </c>
      <c r="I1195" s="18">
        <v>105.64</v>
      </c>
      <c r="J1195" s="19">
        <v>46163.6566737616</v>
      </c>
      <c r="K1195" s="6" t="s">
        <v>4880</v>
      </c>
      <c r="L1195" t="str">
        <f t="shared" si="18"/>
        <v>RESISTENCIA 127 V/550W|46164</v>
      </c>
    </row>
    <row r="1196" ht="13.5" customHeight="1" spans="1:12">
      <c r="A1196" s="17">
        <v>46163.6471875</v>
      </c>
      <c r="B1196" s="6" t="s">
        <v>4876</v>
      </c>
      <c r="C1196" s="6" t="s">
        <v>5645</v>
      </c>
      <c r="D1196" s="6" t="s">
        <v>4971</v>
      </c>
      <c r="E1196" s="6" t="s">
        <v>26</v>
      </c>
      <c r="F1196" s="6" t="s">
        <v>4882</v>
      </c>
      <c r="G1196" s="6" t="s">
        <v>1726</v>
      </c>
      <c r="H1196" s="6">
        <v>4</v>
      </c>
      <c r="I1196" s="18">
        <v>133.16</v>
      </c>
      <c r="J1196" s="19">
        <v>46163.6566730324</v>
      </c>
      <c r="K1196" s="6" t="s">
        <v>4880</v>
      </c>
      <c r="L1196" t="str">
        <f t="shared" si="18"/>
        <v>RESISTENCIA 055A 220V 5500W MD/J3/T43 LORENZETTI|46164</v>
      </c>
    </row>
    <row r="1197" ht="13.5" customHeight="1" spans="1:12">
      <c r="A1197" s="17">
        <v>46163.6570486111</v>
      </c>
      <c r="B1197" s="6" t="s">
        <v>4876</v>
      </c>
      <c r="C1197" s="6" t="s">
        <v>5646</v>
      </c>
      <c r="D1197" s="6" t="s">
        <v>5647</v>
      </c>
      <c r="E1197" s="6" t="s">
        <v>26</v>
      </c>
      <c r="F1197" s="6" t="s">
        <v>4882</v>
      </c>
      <c r="G1197" s="6" t="s">
        <v>1429</v>
      </c>
      <c r="H1197" s="6">
        <v>3</v>
      </c>
      <c r="I1197" s="18">
        <v>152.58</v>
      </c>
      <c r="J1197" s="19">
        <v>46163.6617981829</v>
      </c>
      <c r="K1197" s="6" t="s">
        <v>4880</v>
      </c>
      <c r="L1197" t="str">
        <f t="shared" si="18"/>
        <v>SKY BP PRETO NINJA LISA VW 95|46164</v>
      </c>
    </row>
    <row r="1198" ht="13.5" customHeight="1" spans="1:12">
      <c r="A1198" s="17">
        <v>46163.6570486111</v>
      </c>
      <c r="B1198" s="6" t="s">
        <v>4876</v>
      </c>
      <c r="C1198" s="6" t="s">
        <v>5646</v>
      </c>
      <c r="D1198" s="6" t="s">
        <v>5647</v>
      </c>
      <c r="E1198" s="6" t="s">
        <v>26</v>
      </c>
      <c r="F1198" s="6" t="s">
        <v>4882</v>
      </c>
      <c r="G1198" s="6" t="s">
        <v>1418</v>
      </c>
      <c r="H1198" s="6">
        <v>1</v>
      </c>
      <c r="I1198" s="18">
        <v>189.06</v>
      </c>
      <c r="J1198" s="19">
        <v>46163.6617976505</v>
      </c>
      <c r="K1198" s="6" t="s">
        <v>4880</v>
      </c>
      <c r="L1198" t="str">
        <f t="shared" si="18"/>
        <v>SKY THINNER PU P/POLIESTER|46164</v>
      </c>
    </row>
    <row r="1199" ht="13.5" customHeight="1" spans="1:12">
      <c r="A1199" s="17">
        <v>46163.6570486111</v>
      </c>
      <c r="B1199" s="6" t="s">
        <v>4876</v>
      </c>
      <c r="C1199" s="6" t="s">
        <v>5646</v>
      </c>
      <c r="D1199" s="6" t="s">
        <v>5647</v>
      </c>
      <c r="E1199" s="6" t="s">
        <v>26</v>
      </c>
      <c r="F1199" s="6" t="s">
        <v>4882</v>
      </c>
      <c r="G1199" s="6" t="s">
        <v>2473</v>
      </c>
      <c r="H1199" s="6">
        <v>4</v>
      </c>
      <c r="I1199" s="18">
        <v>133.12</v>
      </c>
      <c r="J1199" s="19">
        <v>46163.6617952894</v>
      </c>
      <c r="K1199" s="6" t="s">
        <v>4880</v>
      </c>
      <c r="L1199" t="str">
        <f t="shared" si="18"/>
        <v>MAXI RUBBER MAXI LIGHT(MASSA POLIESTER)900G|46164</v>
      </c>
    </row>
    <row r="1200" ht="13.5" customHeight="1" spans="1:12">
      <c r="A1200" s="17">
        <v>46163.6836921296</v>
      </c>
      <c r="B1200" s="6" t="s">
        <v>4876</v>
      </c>
      <c r="C1200" s="6" t="s">
        <v>5648</v>
      </c>
      <c r="D1200" s="6" t="s">
        <v>5065</v>
      </c>
      <c r="E1200" s="6" t="s">
        <v>26</v>
      </c>
      <c r="F1200" s="6" t="s">
        <v>4882</v>
      </c>
      <c r="G1200" s="6" t="s">
        <v>2353</v>
      </c>
      <c r="H1200" s="6">
        <v>3</v>
      </c>
      <c r="I1200" s="18">
        <v>114.18</v>
      </c>
      <c r="J1200" s="19">
        <v>46163.6863400116</v>
      </c>
      <c r="K1200" s="6" t="s">
        <v>4880</v>
      </c>
      <c r="L1200" t="str">
        <f t="shared" si="18"/>
        <v>OLEO 2T |46164</v>
      </c>
    </row>
    <row r="1201" ht="13.5" customHeight="1" spans="1:12">
      <c r="A1201" s="17">
        <v>46164.5444212963</v>
      </c>
      <c r="B1201" s="6" t="s">
        <v>4876</v>
      </c>
      <c r="C1201" s="6" t="s">
        <v>5649</v>
      </c>
      <c r="D1201" s="6" t="s">
        <v>4894</v>
      </c>
      <c r="E1201" s="6" t="s">
        <v>26</v>
      </c>
      <c r="F1201" s="6" t="s">
        <v>4882</v>
      </c>
      <c r="G1201" s="6" t="s">
        <v>2269</v>
      </c>
      <c r="H1201" s="6">
        <v>1</v>
      </c>
      <c r="I1201" s="18">
        <v>8.4</v>
      </c>
      <c r="J1201" s="19">
        <v>46164.5481778588</v>
      </c>
      <c r="K1201" s="6" t="s">
        <v>4880</v>
      </c>
      <c r="L1201" t="str">
        <f t="shared" si="18"/>
        <v>P.MDF 4,0 X 35 100 PÇS|46165</v>
      </c>
    </row>
    <row r="1202" ht="13.5" customHeight="1" spans="1:12">
      <c r="A1202" s="17">
        <v>46164.5444212963</v>
      </c>
      <c r="B1202" s="6" t="s">
        <v>4876</v>
      </c>
      <c r="C1202" s="6" t="s">
        <v>5649</v>
      </c>
      <c r="D1202" s="6" t="s">
        <v>4894</v>
      </c>
      <c r="E1202" s="6" t="s">
        <v>26</v>
      </c>
      <c r="F1202" s="6" t="s">
        <v>4882</v>
      </c>
      <c r="G1202" s="6" t="s">
        <v>422</v>
      </c>
      <c r="H1202" s="6">
        <v>10</v>
      </c>
      <c r="I1202" s="18">
        <v>93</v>
      </c>
      <c r="J1202" s="19">
        <v>46164.548177662</v>
      </c>
      <c r="K1202" s="6" t="s">
        <v>4880</v>
      </c>
      <c r="L1202" t="str">
        <f t="shared" si="18"/>
        <v>ESTOPA 400G MARCA POLIUM|46165</v>
      </c>
    </row>
    <row r="1203" ht="13.5" customHeight="1" spans="1:12">
      <c r="A1203" s="17">
        <v>46164.5444212963</v>
      </c>
      <c r="B1203" s="6" t="s">
        <v>4876</v>
      </c>
      <c r="C1203" s="6" t="s">
        <v>5649</v>
      </c>
      <c r="D1203" s="6" t="s">
        <v>4894</v>
      </c>
      <c r="E1203" s="6" t="s">
        <v>26</v>
      </c>
      <c r="F1203" s="6" t="s">
        <v>4882</v>
      </c>
      <c r="G1203" s="6" t="s">
        <v>3443</v>
      </c>
      <c r="H1203" s="6">
        <v>10</v>
      </c>
      <c r="I1203" s="18">
        <v>60.9</v>
      </c>
      <c r="J1203" s="19">
        <v>46164.5481774653</v>
      </c>
      <c r="K1203" s="6" t="s">
        <v>4880</v>
      </c>
      <c r="L1203" t="str">
        <f t="shared" si="18"/>
        <v>DISCO FLAP 4 1/2X40 CORTAG |46165</v>
      </c>
    </row>
    <row r="1204" ht="13.5" customHeight="1" spans="1:12">
      <c r="A1204" s="17">
        <v>46164.5444212963</v>
      </c>
      <c r="B1204" s="6" t="s">
        <v>4876</v>
      </c>
      <c r="C1204" s="6" t="s">
        <v>5649</v>
      </c>
      <c r="D1204" s="6" t="s">
        <v>4894</v>
      </c>
      <c r="E1204" s="6" t="s">
        <v>26</v>
      </c>
      <c r="F1204" s="6" t="s">
        <v>4882</v>
      </c>
      <c r="G1204" s="6" t="s">
        <v>2280</v>
      </c>
      <c r="H1204" s="6">
        <v>50</v>
      </c>
      <c r="I1204" s="18">
        <v>11</v>
      </c>
      <c r="J1204" s="19">
        <v>46164.5481769329</v>
      </c>
      <c r="K1204" s="6" t="s">
        <v>4880</v>
      </c>
      <c r="L1204" t="str">
        <f t="shared" si="18"/>
        <v>P.AA.CH.INOX PH 1 1/2 X 10 |46165</v>
      </c>
    </row>
    <row r="1205" ht="13.5" customHeight="1" spans="1:12">
      <c r="A1205" s="17">
        <v>46164.5487037037</v>
      </c>
      <c r="B1205" s="6" t="s">
        <v>4876</v>
      </c>
      <c r="C1205" s="6" t="s">
        <v>5650</v>
      </c>
      <c r="D1205" s="6" t="s">
        <v>110</v>
      </c>
      <c r="E1205" s="6" t="s">
        <v>26</v>
      </c>
      <c r="F1205" s="6" t="s">
        <v>4882</v>
      </c>
      <c r="G1205" s="6" t="s">
        <v>1866</v>
      </c>
      <c r="H1205" s="6">
        <v>30</v>
      </c>
      <c r="I1205" s="18">
        <v>60</v>
      </c>
      <c r="J1205" s="19">
        <v>46164.5623110301</v>
      </c>
      <c r="K1205" s="6" t="s">
        <v>4880</v>
      </c>
      <c r="L1205" t="str">
        <f t="shared" si="18"/>
        <v>PRESILHA RAPIDA|46165</v>
      </c>
    </row>
    <row r="1206" ht="13.5" customHeight="1" spans="1:12">
      <c r="A1206" s="17">
        <v>46164.5487037037</v>
      </c>
      <c r="B1206" s="6" t="s">
        <v>4876</v>
      </c>
      <c r="C1206" s="6" t="s">
        <v>5650</v>
      </c>
      <c r="D1206" s="6" t="s">
        <v>110</v>
      </c>
      <c r="E1206" s="6" t="s">
        <v>26</v>
      </c>
      <c r="F1206" s="6" t="s">
        <v>4882</v>
      </c>
      <c r="G1206" s="6" t="s">
        <v>446</v>
      </c>
      <c r="H1206" s="6">
        <v>3</v>
      </c>
      <c r="I1206" s="18">
        <v>780</v>
      </c>
      <c r="J1206" s="19">
        <v>46164.5623108449</v>
      </c>
      <c r="K1206" s="6" t="s">
        <v>4880</v>
      </c>
      <c r="L1206" t="str">
        <f t="shared" si="18"/>
        <v>LANTERNA DIANTEIRA MB ACCELO (LE)|46165</v>
      </c>
    </row>
    <row r="1207" ht="13.5" customHeight="1" spans="1:12">
      <c r="A1207" s="17">
        <v>46164.5487037037</v>
      </c>
      <c r="B1207" s="6" t="s">
        <v>4876</v>
      </c>
      <c r="C1207" s="6" t="s">
        <v>5650</v>
      </c>
      <c r="D1207" s="6" t="s">
        <v>110</v>
      </c>
      <c r="E1207" s="6" t="s">
        <v>26</v>
      </c>
      <c r="F1207" s="6" t="s">
        <v>4882</v>
      </c>
      <c r="G1207" s="6" t="s">
        <v>179</v>
      </c>
      <c r="H1207" s="6">
        <v>4</v>
      </c>
      <c r="I1207" s="18">
        <v>1040</v>
      </c>
      <c r="J1207" s="19">
        <v>46164.5623103009</v>
      </c>
      <c r="K1207" s="6" t="s">
        <v>4880</v>
      </c>
      <c r="L1207" t="str">
        <f t="shared" si="18"/>
        <v>LANTERNA DIANTEIRA MB ACCELO (LD)|46165</v>
      </c>
    </row>
    <row r="1208" ht="13.5" customHeight="1" spans="1:12">
      <c r="A1208" s="17">
        <v>46164.5487037037</v>
      </c>
      <c r="B1208" s="6" t="s">
        <v>4876</v>
      </c>
      <c r="C1208" s="6" t="s">
        <v>5650</v>
      </c>
      <c r="D1208" s="6" t="s">
        <v>110</v>
      </c>
      <c r="E1208" s="6" t="s">
        <v>26</v>
      </c>
      <c r="F1208" s="6" t="s">
        <v>4882</v>
      </c>
      <c r="G1208" s="6" t="s">
        <v>247</v>
      </c>
      <c r="H1208" s="6">
        <v>10</v>
      </c>
      <c r="I1208" s="18">
        <v>250</v>
      </c>
      <c r="J1208" s="19">
        <v>46164.5623101505</v>
      </c>
      <c r="K1208" s="6" t="s">
        <v>4880</v>
      </c>
      <c r="L1208" t="str">
        <f t="shared" si="18"/>
        <v>LENTE LANTERNA ,  TRAZEIRA MODERNA / BICOLOR|46165</v>
      </c>
    </row>
    <row r="1209" ht="13.5" customHeight="1" spans="1:12">
      <c r="A1209" s="17">
        <v>46164.5487037037</v>
      </c>
      <c r="B1209" s="6" t="s">
        <v>4876</v>
      </c>
      <c r="C1209" s="6" t="s">
        <v>5650</v>
      </c>
      <c r="D1209" s="6" t="s">
        <v>110</v>
      </c>
      <c r="E1209" s="6" t="s">
        <v>26</v>
      </c>
      <c r="F1209" s="6" t="s">
        <v>4882</v>
      </c>
      <c r="G1209" s="6" t="s">
        <v>447</v>
      </c>
      <c r="H1209" s="6">
        <v>20</v>
      </c>
      <c r="I1209" s="18">
        <v>120</v>
      </c>
      <c r="J1209" s="19">
        <v>46164.5623099537</v>
      </c>
      <c r="K1209" s="6" t="s">
        <v>4880</v>
      </c>
      <c r="L1209" t="str">
        <f t="shared" si="18"/>
        <v>LAMPADA 1141 24V|46165</v>
      </c>
    </row>
    <row r="1210" ht="13.5" customHeight="1" spans="1:12">
      <c r="A1210" s="17">
        <v>46164.5487037037</v>
      </c>
      <c r="B1210" s="6" t="s">
        <v>4876</v>
      </c>
      <c r="C1210" s="6" t="s">
        <v>5650</v>
      </c>
      <c r="D1210" s="6" t="s">
        <v>110</v>
      </c>
      <c r="E1210" s="6" t="s">
        <v>26</v>
      </c>
      <c r="F1210" s="6" t="s">
        <v>4882</v>
      </c>
      <c r="G1210" s="6" t="s">
        <v>401</v>
      </c>
      <c r="H1210" s="6">
        <v>4</v>
      </c>
      <c r="I1210" s="18">
        <v>180</v>
      </c>
      <c r="J1210" s="19">
        <v>46164.5623094097</v>
      </c>
      <c r="K1210" s="6" t="s">
        <v>4880</v>
      </c>
      <c r="L1210" t="str">
        <f t="shared" si="18"/>
        <v>REPARO CUICA FREIO AR (FERRO)|46165</v>
      </c>
    </row>
    <row r="1211" ht="13.5" customHeight="1" spans="1:12">
      <c r="A1211" s="17">
        <v>46164.5487037037</v>
      </c>
      <c r="B1211" s="6" t="s">
        <v>4876</v>
      </c>
      <c r="C1211" s="6" t="s">
        <v>5650</v>
      </c>
      <c r="D1211" s="6" t="s">
        <v>110</v>
      </c>
      <c r="E1211" s="6" t="s">
        <v>26</v>
      </c>
      <c r="F1211" s="6" t="s">
        <v>4882</v>
      </c>
      <c r="G1211" s="6" t="s">
        <v>191</v>
      </c>
      <c r="H1211" s="6">
        <v>3</v>
      </c>
      <c r="I1211" s="18">
        <v>600</v>
      </c>
      <c r="J1211" s="19">
        <v>46164.5623090278</v>
      </c>
      <c r="K1211" s="6" t="s">
        <v>4880</v>
      </c>
      <c r="L1211" t="str">
        <f t="shared" si="18"/>
        <v>ROLAMENTO - 45M |46165</v>
      </c>
    </row>
    <row r="1212" ht="13.5" customHeight="1" spans="1:12">
      <c r="A1212" s="17">
        <v>46164.5487037037</v>
      </c>
      <c r="B1212" s="6" t="s">
        <v>4876</v>
      </c>
      <c r="C1212" s="6" t="s">
        <v>5650</v>
      </c>
      <c r="D1212" s="6" t="s">
        <v>110</v>
      </c>
      <c r="E1212" s="6" t="s">
        <v>26</v>
      </c>
      <c r="F1212" s="6" t="s">
        <v>4882</v>
      </c>
      <c r="G1212" s="6" t="s">
        <v>433</v>
      </c>
      <c r="H1212" s="6">
        <v>10</v>
      </c>
      <c r="I1212" s="18">
        <v>200</v>
      </c>
      <c r="J1212" s="19">
        <v>46164.5623085648</v>
      </c>
      <c r="K1212" s="6" t="s">
        <v>4880</v>
      </c>
      <c r="L1212" t="str">
        <f t="shared" si="18"/>
        <v>LANTERNA TOPO BAU BRANCA H37146|46165</v>
      </c>
    </row>
    <row r="1213" ht="13.5" customHeight="1" spans="1:12">
      <c r="A1213" s="17">
        <v>46164.5487037037</v>
      </c>
      <c r="B1213" s="6" t="s">
        <v>4876</v>
      </c>
      <c r="C1213" s="6" t="s">
        <v>5650</v>
      </c>
      <c r="D1213" s="6" t="s">
        <v>110</v>
      </c>
      <c r="E1213" s="6" t="s">
        <v>26</v>
      </c>
      <c r="F1213" s="6" t="s">
        <v>4882</v>
      </c>
      <c r="G1213" s="6" t="s">
        <v>2719</v>
      </c>
      <c r="H1213" s="6">
        <v>20</v>
      </c>
      <c r="I1213" s="18">
        <v>160</v>
      </c>
      <c r="J1213" s="19">
        <v>46164.5623081019</v>
      </c>
      <c r="K1213" s="6" t="s">
        <v>4880</v>
      </c>
      <c r="L1213" t="str">
        <f t="shared" si="18"/>
        <v>LAMPADA 67 LED 24V|46165</v>
      </c>
    </row>
    <row r="1214" ht="13.5" customHeight="1" spans="1:12">
      <c r="A1214" s="17">
        <v>46164.5734606482</v>
      </c>
      <c r="B1214" s="6" t="s">
        <v>4876</v>
      </c>
      <c r="C1214" s="6" t="s">
        <v>5651</v>
      </c>
      <c r="D1214" s="6" t="s">
        <v>4954</v>
      </c>
      <c r="E1214" s="6" t="s">
        <v>26</v>
      </c>
      <c r="F1214" s="6" t="s">
        <v>4882</v>
      </c>
      <c r="G1214" s="6" t="s">
        <v>401</v>
      </c>
      <c r="H1214" s="6">
        <v>6</v>
      </c>
      <c r="I1214" s="18">
        <v>234</v>
      </c>
      <c r="J1214" s="19">
        <v>46164.5762218403</v>
      </c>
      <c r="K1214" s="6" t="s">
        <v>4880</v>
      </c>
      <c r="L1214" t="str">
        <f t="shared" si="18"/>
        <v>REPARO CUICA FREIO AR (FERRO)|46165</v>
      </c>
    </row>
    <row r="1215" ht="13.5" customHeight="1" spans="1:12">
      <c r="A1215" s="17">
        <v>46164.5734606482</v>
      </c>
      <c r="B1215" s="6" t="s">
        <v>4876</v>
      </c>
      <c r="C1215" s="6" t="s">
        <v>5651</v>
      </c>
      <c r="D1215" s="6" t="s">
        <v>4954</v>
      </c>
      <c r="E1215" s="6" t="s">
        <v>26</v>
      </c>
      <c r="F1215" s="6" t="s">
        <v>4882</v>
      </c>
      <c r="G1215" s="6" t="s">
        <v>233</v>
      </c>
      <c r="H1215" s="6">
        <v>20</v>
      </c>
      <c r="I1215" s="18">
        <v>158</v>
      </c>
      <c r="J1215" s="19">
        <v>46164.5762214931</v>
      </c>
      <c r="K1215" s="6" t="s">
        <v>4880</v>
      </c>
      <c r="L1215" t="str">
        <f t="shared" si="18"/>
        <v>LAMPADA LED ESMAGADA 24V|46165</v>
      </c>
    </row>
    <row r="1216" ht="13.5" customHeight="1" spans="1:12">
      <c r="A1216" s="17">
        <v>46164.5766550926</v>
      </c>
      <c r="B1216" s="6" t="s">
        <v>4876</v>
      </c>
      <c r="C1216" s="6" t="s">
        <v>5652</v>
      </c>
      <c r="D1216" s="6" t="s">
        <v>4971</v>
      </c>
      <c r="E1216" s="6" t="s">
        <v>26</v>
      </c>
      <c r="F1216" s="6" t="s">
        <v>4882</v>
      </c>
      <c r="G1216" s="6" t="s">
        <v>3446</v>
      </c>
      <c r="H1216" s="6">
        <v>10</v>
      </c>
      <c r="I1216" s="18">
        <v>72.9</v>
      </c>
      <c r="J1216" s="19">
        <v>46164.5793418982</v>
      </c>
      <c r="K1216" s="6" t="s">
        <v>4880</v>
      </c>
      <c r="L1216" t="str">
        <f t="shared" si="18"/>
        <v>DISCO FLAP 115M G40 WURTH|46165</v>
      </c>
    </row>
    <row r="1217" ht="13.5" customHeight="1" spans="1:12">
      <c r="A1217" s="17">
        <v>46164.5766550926</v>
      </c>
      <c r="B1217" s="6" t="s">
        <v>4876</v>
      </c>
      <c r="C1217" s="6" t="s">
        <v>5652</v>
      </c>
      <c r="D1217" s="6" t="s">
        <v>4971</v>
      </c>
      <c r="E1217" s="6" t="s">
        <v>26</v>
      </c>
      <c r="F1217" s="6" t="s">
        <v>4882</v>
      </c>
      <c r="G1217" s="6" t="s">
        <v>590</v>
      </c>
      <c r="H1217" s="6">
        <v>10</v>
      </c>
      <c r="I1217" s="18">
        <v>245.9</v>
      </c>
      <c r="J1217" s="19">
        <v>46164.5793415509</v>
      </c>
      <c r="K1217" s="6" t="s">
        <v>4880</v>
      </c>
      <c r="L1217" t="str">
        <f t="shared" si="18"/>
        <v>CONDULETE CURVA ELETRODUTO 90 TOP 3/4 TIGRE|46165</v>
      </c>
    </row>
    <row r="1218" ht="13.5" customHeight="1" spans="1:12">
      <c r="A1218" s="17">
        <v>46164.5800231482</v>
      </c>
      <c r="B1218" s="6" t="s">
        <v>4876</v>
      </c>
      <c r="C1218" s="6" t="s">
        <v>5653</v>
      </c>
      <c r="D1218" s="6" t="s">
        <v>5582</v>
      </c>
      <c r="E1218" s="6" t="s">
        <v>182</v>
      </c>
      <c r="F1218" s="6" t="s">
        <v>4879</v>
      </c>
      <c r="G1218" s="6" t="s">
        <v>533</v>
      </c>
      <c r="H1218" s="6">
        <v>20</v>
      </c>
      <c r="I1218" s="18">
        <v>1198</v>
      </c>
      <c r="J1218" s="19">
        <v>46164.585766007</v>
      </c>
      <c r="K1218" s="6" t="s">
        <v>4880</v>
      </c>
      <c r="L1218" t="str">
        <f t="shared" ref="L1218:L1281" si="19">IF(G1218="","",G1218&amp;"|"&amp;TEXT(A1218,"0"))</f>
        <v>SACOLA VERDE REFORÇADA 50x60 5 KG|46165</v>
      </c>
    </row>
    <row r="1219" ht="13.5" customHeight="1" spans="1:12">
      <c r="A1219" s="17">
        <v>46164.5800231482</v>
      </c>
      <c r="B1219" s="6" t="s">
        <v>4876</v>
      </c>
      <c r="C1219" s="6" t="s">
        <v>5653</v>
      </c>
      <c r="D1219" s="6" t="s">
        <v>5582</v>
      </c>
      <c r="E1219" s="6" t="s">
        <v>182</v>
      </c>
      <c r="F1219" s="6" t="s">
        <v>4879</v>
      </c>
      <c r="G1219" s="6" t="s">
        <v>181</v>
      </c>
      <c r="H1219" s="6">
        <v>625</v>
      </c>
      <c r="I1219" s="18">
        <v>2925</v>
      </c>
      <c r="J1219" s="19">
        <v>46164.585765625</v>
      </c>
      <c r="K1219" s="6" t="s">
        <v>4880</v>
      </c>
      <c r="L1219" t="str">
        <f t="shared" si="19"/>
        <v>COPO DESCARTÁVEL 200ML COPOMAIS|46165</v>
      </c>
    </row>
    <row r="1220" ht="13.5" customHeight="1" spans="1:12">
      <c r="A1220" s="17">
        <v>46167.4527777778</v>
      </c>
      <c r="B1220" s="6" t="s">
        <v>4876</v>
      </c>
      <c r="C1220" s="6" t="s">
        <v>5654</v>
      </c>
      <c r="D1220" s="6" t="s">
        <v>4971</v>
      </c>
      <c r="E1220" s="6" t="s">
        <v>26</v>
      </c>
      <c r="F1220" s="6" t="s">
        <v>4882</v>
      </c>
      <c r="G1220" s="6" t="s">
        <v>3684</v>
      </c>
      <c r="H1220" s="6">
        <v>30</v>
      </c>
      <c r="I1220" s="18">
        <v>455.4</v>
      </c>
      <c r="J1220" s="19">
        <v>46168.454009757</v>
      </c>
      <c r="K1220" s="6" t="s">
        <v>4880</v>
      </c>
      <c r="L1220" t="str">
        <f t="shared" si="19"/>
        <v>CONDULETE BRAÇADEIRA FECH.TOP 1|46167</v>
      </c>
    </row>
    <row r="1221" ht="13.5" customHeight="1" spans="1:12">
      <c r="A1221" s="17">
        <v>46167.4548611111</v>
      </c>
      <c r="B1221" s="6" t="s">
        <v>4876</v>
      </c>
      <c r="C1221" s="6" t="s">
        <v>5655</v>
      </c>
      <c r="D1221" s="6" t="s">
        <v>5656</v>
      </c>
      <c r="E1221" s="6" t="s">
        <v>26</v>
      </c>
      <c r="F1221" s="6" t="s">
        <v>4882</v>
      </c>
      <c r="G1221" s="6" t="s">
        <v>3158</v>
      </c>
      <c r="H1221" s="6">
        <v>1</v>
      </c>
      <c r="I1221" s="18">
        <v>9.99</v>
      </c>
      <c r="J1221" s="19">
        <v>46168.4559210995</v>
      </c>
      <c r="K1221" s="6" t="s">
        <v>4880</v>
      </c>
      <c r="L1221" t="str">
        <f t="shared" si="19"/>
        <v>FERMENTO EM PÓ ROYAL|46167</v>
      </c>
    </row>
    <row r="1222" ht="13.5" customHeight="1" spans="1:12">
      <c r="A1222" s="17">
        <v>46168.3527777778</v>
      </c>
      <c r="B1222" s="6" t="s">
        <v>4876</v>
      </c>
      <c r="C1222" s="6" t="s">
        <v>5657</v>
      </c>
      <c r="D1222" s="6" t="s">
        <v>4916</v>
      </c>
      <c r="E1222" s="6" t="s">
        <v>26</v>
      </c>
      <c r="F1222" s="6" t="s">
        <v>4882</v>
      </c>
      <c r="G1222" s="6" t="s">
        <v>3908</v>
      </c>
      <c r="H1222" s="6">
        <v>2</v>
      </c>
      <c r="I1222" s="18">
        <v>459.8</v>
      </c>
      <c r="J1222" s="19">
        <v>46169.3599402431</v>
      </c>
      <c r="K1222" s="6" t="s">
        <v>4880</v>
      </c>
      <c r="L1222" t="str">
        <f t="shared" si="19"/>
        <v>CARTÂO MICRO SD 32GB 16TBW P/ SEG|46168</v>
      </c>
    </row>
    <row r="1223" ht="13.5" customHeight="1" spans="1:12">
      <c r="A1223" s="17">
        <v>46168.3527777778</v>
      </c>
      <c r="B1223" s="6" t="s">
        <v>4876</v>
      </c>
      <c r="C1223" s="6" t="s">
        <v>5657</v>
      </c>
      <c r="D1223" s="6" t="s">
        <v>4916</v>
      </c>
      <c r="E1223" s="6" t="s">
        <v>26</v>
      </c>
      <c r="F1223" s="6" t="s">
        <v>4882</v>
      </c>
      <c r="G1223" s="6" t="s">
        <v>4421</v>
      </c>
      <c r="H1223" s="6">
        <v>5</v>
      </c>
      <c r="I1223" s="18">
        <v>619.8</v>
      </c>
      <c r="J1223" s="19">
        <v>46169.3599395023</v>
      </c>
      <c r="K1223" s="6" t="s">
        <v>4880</v>
      </c>
      <c r="L1223" t="str">
        <f t="shared" si="19"/>
        <v>BATERIA VRLA 12V 7AH XB 1270 |46168</v>
      </c>
    </row>
    <row r="1224" ht="13.5" customHeight="1" spans="1:12">
      <c r="A1224" s="17">
        <v>46168.5675</v>
      </c>
      <c r="B1224" s="6" t="s">
        <v>4876</v>
      </c>
      <c r="C1224" s="6" t="s">
        <v>5658</v>
      </c>
      <c r="D1224" s="6" t="s">
        <v>4971</v>
      </c>
      <c r="E1224" s="6" t="s">
        <v>26</v>
      </c>
      <c r="F1224" s="6" t="s">
        <v>4882</v>
      </c>
      <c r="G1224" s="6" t="s">
        <v>1440</v>
      </c>
      <c r="H1224" s="6">
        <v>6</v>
      </c>
      <c r="I1224" s="18">
        <v>401.64</v>
      </c>
      <c r="J1224" s="19">
        <v>46168.5713826389</v>
      </c>
      <c r="K1224" s="6" t="s">
        <v>4880</v>
      </c>
      <c r="L1224" t="str">
        <f t="shared" si="19"/>
        <v>SIKA FLEX 300ML BRANCO|46169</v>
      </c>
    </row>
    <row r="1225" ht="13.5" customHeight="1" spans="1:12">
      <c r="A1225" s="17">
        <v>46168.6651851852</v>
      </c>
      <c r="B1225" s="6" t="s">
        <v>4876</v>
      </c>
      <c r="C1225" s="6" t="s">
        <v>5659</v>
      </c>
      <c r="D1225" s="6" t="s">
        <v>4892</v>
      </c>
      <c r="E1225" s="6" t="s">
        <v>26</v>
      </c>
      <c r="F1225" s="6" t="s">
        <v>4882</v>
      </c>
      <c r="G1225" s="6" t="s">
        <v>4396</v>
      </c>
      <c r="H1225" s="6">
        <v>4</v>
      </c>
      <c r="I1225" s="18">
        <v>200</v>
      </c>
      <c r="J1225" s="19">
        <v>46168.6708770023</v>
      </c>
      <c r="K1225" s="6" t="s">
        <v>4880</v>
      </c>
      <c r="L1225" t="str">
        <f t="shared" si="19"/>
        <v>BICO UNIVERSAL|46169</v>
      </c>
    </row>
    <row r="1226" ht="13.5" customHeight="1" spans="1:12">
      <c r="A1226" s="17">
        <v>46168.6651851852</v>
      </c>
      <c r="B1226" s="6" t="s">
        <v>4876</v>
      </c>
      <c r="C1226" s="6" t="s">
        <v>5659</v>
      </c>
      <c r="D1226" s="6" t="s">
        <v>4892</v>
      </c>
      <c r="E1226" s="6" t="s">
        <v>26</v>
      </c>
      <c r="F1226" s="6" t="s">
        <v>4882</v>
      </c>
      <c r="G1226" s="6" t="s">
        <v>1116</v>
      </c>
      <c r="H1226" s="6">
        <v>8</v>
      </c>
      <c r="I1226" s="18">
        <v>80</v>
      </c>
      <c r="J1226" s="19">
        <v>46168.6708764699</v>
      </c>
      <c r="K1226" s="6" t="s">
        <v>4880</v>
      </c>
      <c r="L1226" t="str">
        <f t="shared" si="19"/>
        <v>TRAVA DE BICO |46169</v>
      </c>
    </row>
    <row r="1227" ht="13.5" customHeight="1" spans="1:12">
      <c r="A1227" s="17">
        <v>46168.6724421296</v>
      </c>
      <c r="B1227" s="6" t="s">
        <v>4876</v>
      </c>
      <c r="C1227" s="6" t="s">
        <v>5660</v>
      </c>
      <c r="D1227" s="6" t="s">
        <v>4935</v>
      </c>
      <c r="E1227" s="6" t="s">
        <v>26</v>
      </c>
      <c r="F1227" s="6" t="s">
        <v>4882</v>
      </c>
      <c r="G1227" s="6" t="s">
        <v>4087</v>
      </c>
      <c r="H1227" s="6">
        <v>6</v>
      </c>
      <c r="I1227" s="18">
        <v>232.26</v>
      </c>
      <c r="J1227" s="19">
        <v>46168.6738431366</v>
      </c>
      <c r="K1227" s="6" t="s">
        <v>4880</v>
      </c>
      <c r="L1227" t="str">
        <f t="shared" si="19"/>
        <v>CAIXA DE PESCA BRANCA|46169</v>
      </c>
    </row>
    <row r="1228" ht="13.5" customHeight="1" spans="1:12">
      <c r="A1228" s="17">
        <v>46169.3608680556</v>
      </c>
      <c r="B1228" s="6" t="s">
        <v>4876</v>
      </c>
      <c r="C1228" s="6" t="s">
        <v>5661</v>
      </c>
      <c r="D1228" s="6" t="s">
        <v>4907</v>
      </c>
      <c r="E1228" s="6" t="s">
        <v>38</v>
      </c>
      <c r="F1228" s="6" t="s">
        <v>4879</v>
      </c>
      <c r="G1228" s="6" t="s">
        <v>491</v>
      </c>
      <c r="H1228" s="6">
        <v>20</v>
      </c>
      <c r="I1228" s="18">
        <v>352.2</v>
      </c>
      <c r="J1228" s="19">
        <v>46169.3684806713</v>
      </c>
      <c r="K1228" s="6" t="s">
        <v>4880</v>
      </c>
      <c r="L1228" t="str">
        <f t="shared" si="19"/>
        <v>DIFUSOR DE AROMAS 100ML LAVANDA|46169</v>
      </c>
    </row>
    <row r="1229" ht="13.5" customHeight="1" spans="1:12">
      <c r="A1229" s="17">
        <v>46169.3608680556</v>
      </c>
      <c r="B1229" s="6" t="s">
        <v>4876</v>
      </c>
      <c r="C1229" s="6" t="s">
        <v>5661</v>
      </c>
      <c r="D1229" s="6" t="s">
        <v>4907</v>
      </c>
      <c r="E1229" s="6" t="s">
        <v>182</v>
      </c>
      <c r="F1229" s="6" t="s">
        <v>4879</v>
      </c>
      <c r="G1229" s="6" t="s">
        <v>545</v>
      </c>
      <c r="H1229" s="6">
        <v>50</v>
      </c>
      <c r="I1229" s="18">
        <v>59</v>
      </c>
      <c r="J1229" s="19">
        <v>46169.3684797801</v>
      </c>
      <c r="K1229" s="6" t="s">
        <v>4880</v>
      </c>
      <c r="L1229" t="str">
        <f t="shared" si="19"/>
        <v>CANETA ESFEROGRÁFICA 07 PRETA|46169</v>
      </c>
    </row>
    <row r="1230" ht="13.5" customHeight="1" spans="1:12">
      <c r="A1230" s="17">
        <v>46169.3608680556</v>
      </c>
      <c r="B1230" s="6" t="s">
        <v>4876</v>
      </c>
      <c r="C1230" s="6" t="s">
        <v>5661</v>
      </c>
      <c r="D1230" s="6" t="s">
        <v>4907</v>
      </c>
      <c r="E1230" s="6" t="s">
        <v>35</v>
      </c>
      <c r="F1230" s="6" t="s">
        <v>4879</v>
      </c>
      <c r="G1230" s="6" t="s">
        <v>815</v>
      </c>
      <c r="H1230" s="6">
        <v>20</v>
      </c>
      <c r="I1230" s="18">
        <v>352.2</v>
      </c>
      <c r="J1230" s="19">
        <v>46169.3684787037</v>
      </c>
      <c r="K1230" s="6" t="s">
        <v>4880</v>
      </c>
      <c r="L1230" t="str">
        <f t="shared" si="19"/>
        <v>DIFUSOR DE AROMAS 100ML BAMBU|46169</v>
      </c>
    </row>
    <row r="1231" ht="13.5" customHeight="1" spans="1:12">
      <c r="A1231" s="17">
        <v>46169.4051157407</v>
      </c>
      <c r="B1231" s="6" t="s">
        <v>4876</v>
      </c>
      <c r="C1231" s="6" t="s">
        <v>5662</v>
      </c>
      <c r="D1231" s="6" t="s">
        <v>5003</v>
      </c>
      <c r="E1231" s="6" t="s">
        <v>26</v>
      </c>
      <c r="F1231" s="6" t="s">
        <v>4882</v>
      </c>
      <c r="G1231" s="6" t="s">
        <v>413</v>
      </c>
      <c r="H1231" s="6">
        <v>1</v>
      </c>
      <c r="I1231" s="18">
        <v>6.99</v>
      </c>
      <c r="J1231" s="19">
        <v>46169.4075402778</v>
      </c>
      <c r="K1231" s="6" t="s">
        <v>4880</v>
      </c>
      <c r="L1231" t="str">
        <f t="shared" si="19"/>
        <v>GASOLINA COMUM 01|46169</v>
      </c>
    </row>
    <row r="1232" ht="13.5" customHeight="1" spans="1:12">
      <c r="A1232" s="17">
        <v>46169.55</v>
      </c>
      <c r="B1232" s="6" t="s">
        <v>4876</v>
      </c>
      <c r="C1232" s="6" t="s">
        <v>5663</v>
      </c>
      <c r="D1232" s="6" t="s">
        <v>5061</v>
      </c>
      <c r="E1232" s="6" t="s">
        <v>390</v>
      </c>
      <c r="F1232" s="6" t="s">
        <v>4879</v>
      </c>
      <c r="G1232" s="6" t="s">
        <v>389</v>
      </c>
      <c r="H1232" s="6">
        <v>5</v>
      </c>
      <c r="I1232" s="18">
        <v>1562.3</v>
      </c>
      <c r="J1232" s="19">
        <v>46174.557346875</v>
      </c>
      <c r="K1232" s="6" t="s">
        <v>4880</v>
      </c>
      <c r="L1232" t="str">
        <f t="shared" si="19"/>
        <v>SH 5000|46170</v>
      </c>
    </row>
    <row r="1233" ht="13.5" customHeight="1" spans="1:12">
      <c r="A1233" s="17">
        <v>46169.55</v>
      </c>
      <c r="B1233" s="6" t="s">
        <v>4876</v>
      </c>
      <c r="C1233" s="6" t="s">
        <v>5663</v>
      </c>
      <c r="D1233" s="6" t="s">
        <v>5061</v>
      </c>
      <c r="E1233" s="6" t="s">
        <v>390</v>
      </c>
      <c r="F1233" s="6" t="s">
        <v>4879</v>
      </c>
      <c r="G1233" s="6" t="s">
        <v>4699</v>
      </c>
      <c r="H1233" s="6">
        <v>4</v>
      </c>
      <c r="I1233" s="18">
        <v>675.12</v>
      </c>
      <c r="J1233" s="19">
        <v>46174.5573450579</v>
      </c>
      <c r="K1233" s="6" t="s">
        <v>4880</v>
      </c>
      <c r="L1233" t="str">
        <f t="shared" si="19"/>
        <v>ACIDO PERACETICO 15% 5L QUALIMILK|46170</v>
      </c>
    </row>
    <row r="1234" ht="13.5" customHeight="1" spans="1:12">
      <c r="A1234" s="17">
        <v>46169.5611458333</v>
      </c>
      <c r="B1234" s="6" t="s">
        <v>4876</v>
      </c>
      <c r="C1234" s="6" t="s">
        <v>5664</v>
      </c>
      <c r="D1234" s="6" t="s">
        <v>4971</v>
      </c>
      <c r="E1234" s="6" t="s">
        <v>26</v>
      </c>
      <c r="F1234" s="6" t="s">
        <v>4882</v>
      </c>
      <c r="G1234" s="6" t="s">
        <v>2233</v>
      </c>
      <c r="H1234" s="6">
        <v>2</v>
      </c>
      <c r="I1234" s="18">
        <v>150.36</v>
      </c>
      <c r="J1234" s="19">
        <v>46169.5948381945</v>
      </c>
      <c r="K1234" s="6" t="s">
        <v>4880</v>
      </c>
      <c r="L1234" t="str">
        <f t="shared" si="19"/>
        <v>PA QUADRADA COM CABO|46170</v>
      </c>
    </row>
    <row r="1235" ht="13.5" customHeight="1" spans="1:12">
      <c r="A1235" s="17">
        <v>46169.5611458333</v>
      </c>
      <c r="B1235" s="6" t="s">
        <v>4876</v>
      </c>
      <c r="C1235" s="6" t="s">
        <v>5664</v>
      </c>
      <c r="D1235" s="6" t="s">
        <v>4971</v>
      </c>
      <c r="E1235" s="6" t="s">
        <v>26</v>
      </c>
      <c r="F1235" s="6" t="s">
        <v>4882</v>
      </c>
      <c r="G1235" s="6" t="s">
        <v>755</v>
      </c>
      <c r="H1235" s="6">
        <v>1</v>
      </c>
      <c r="I1235" s="18">
        <v>173.2</v>
      </c>
      <c r="J1235" s="19">
        <v>46169.5948376505</v>
      </c>
      <c r="K1235" s="6" t="s">
        <v>4880</v>
      </c>
      <c r="L1235" t="str">
        <f t="shared" si="19"/>
        <v>CARRINHO DE MÃO 55L|46170</v>
      </c>
    </row>
    <row r="1236" ht="13.5" customHeight="1" spans="1:12">
      <c r="A1236" s="17">
        <v>46169.5847222222</v>
      </c>
      <c r="B1236" s="6" t="s">
        <v>4876</v>
      </c>
      <c r="C1236" s="6" t="s">
        <v>5665</v>
      </c>
      <c r="D1236" s="6" t="s">
        <v>5411</v>
      </c>
      <c r="E1236" s="6" t="s">
        <v>35</v>
      </c>
      <c r="F1236" s="6" t="s">
        <v>4879</v>
      </c>
      <c r="G1236" s="6" t="s">
        <v>394</v>
      </c>
      <c r="H1236" s="6">
        <v>1</v>
      </c>
      <c r="I1236" s="18">
        <v>3163.98</v>
      </c>
      <c r="J1236" s="19">
        <v>46170.5882194792</v>
      </c>
      <c r="K1236" s="6" t="s">
        <v>4880</v>
      </c>
      <c r="L1236" t="str">
        <f t="shared" si="19"/>
        <v>ADITIVO RADIADOR 200ML ADITECH HT-E 35R |46170</v>
      </c>
    </row>
    <row r="1237" ht="13.5" customHeight="1" spans="1:12">
      <c r="A1237" s="17">
        <v>46169.5954976852</v>
      </c>
      <c r="B1237" s="6" t="s">
        <v>4876</v>
      </c>
      <c r="C1237" s="6" t="s">
        <v>5666</v>
      </c>
      <c r="D1237" s="6" t="s">
        <v>5129</v>
      </c>
      <c r="E1237" s="6" t="s">
        <v>26</v>
      </c>
      <c r="F1237" s="6" t="s">
        <v>4882</v>
      </c>
      <c r="G1237" s="6" t="s">
        <v>2023</v>
      </c>
      <c r="H1237" s="6">
        <v>5</v>
      </c>
      <c r="I1237" s="18">
        <v>12.5</v>
      </c>
      <c r="J1237" s="19">
        <v>46169.5989351852</v>
      </c>
      <c r="K1237" s="6" t="s">
        <v>4880</v>
      </c>
      <c r="L1237" t="str">
        <f t="shared" si="19"/>
        <v>PINO UNIFORT ELASTICO 4 X 60 |46170</v>
      </c>
    </row>
    <row r="1238" ht="13.5" customHeight="1" spans="1:12">
      <c r="A1238" s="17">
        <v>46169.5992476852</v>
      </c>
      <c r="B1238" s="6" t="s">
        <v>4876</v>
      </c>
      <c r="C1238" s="6" t="s">
        <v>5667</v>
      </c>
      <c r="D1238" s="6" t="s">
        <v>4905</v>
      </c>
      <c r="E1238" s="6" t="s">
        <v>26</v>
      </c>
      <c r="F1238" s="6" t="s">
        <v>4882</v>
      </c>
      <c r="G1238" s="6" t="s">
        <v>4242</v>
      </c>
      <c r="H1238" s="6">
        <v>2</v>
      </c>
      <c r="I1238" s="18">
        <v>26.76</v>
      </c>
      <c r="J1238" s="19">
        <v>46169.6117685995</v>
      </c>
      <c r="K1238" s="6" t="s">
        <v>4880</v>
      </c>
      <c r="L1238" t="str">
        <f t="shared" si="19"/>
        <v>BROCA AÇO RÁPIDO 1/4 (6,35MM)|46170</v>
      </c>
    </row>
    <row r="1239" ht="13.5" customHeight="1" spans="1:12">
      <c r="A1239" s="17">
        <v>46169.5992476852</v>
      </c>
      <c r="B1239" s="6" t="s">
        <v>4876</v>
      </c>
      <c r="C1239" s="6" t="s">
        <v>5667</v>
      </c>
      <c r="D1239" s="6" t="s">
        <v>4905</v>
      </c>
      <c r="E1239" s="6" t="s">
        <v>26</v>
      </c>
      <c r="F1239" s="6" t="s">
        <v>4882</v>
      </c>
      <c r="G1239" s="6" t="s">
        <v>1799</v>
      </c>
      <c r="H1239" s="6">
        <v>2</v>
      </c>
      <c r="I1239" s="18">
        <v>127.12</v>
      </c>
      <c r="J1239" s="19">
        <v>46169.6117680208</v>
      </c>
      <c r="K1239" s="6" t="s">
        <v>4880</v>
      </c>
      <c r="L1239" t="str">
        <f t="shared" si="19"/>
        <v>REBITE A-625/8100 100PÇS|46170</v>
      </c>
    </row>
    <row r="1240" ht="13.5" customHeight="1" spans="1:12">
      <c r="A1240" s="17">
        <v>46169.6148263889</v>
      </c>
      <c r="B1240" s="6" t="s">
        <v>4876</v>
      </c>
      <c r="C1240" s="6" t="s">
        <v>5668</v>
      </c>
      <c r="D1240" s="6" t="s">
        <v>4894</v>
      </c>
      <c r="E1240" s="6" t="s">
        <v>26</v>
      </c>
      <c r="F1240" s="6" t="s">
        <v>4882</v>
      </c>
      <c r="G1240" s="6" t="s">
        <v>4237</v>
      </c>
      <c r="H1240" s="6">
        <v>2</v>
      </c>
      <c r="I1240" s="18">
        <v>12.3</v>
      </c>
      <c r="J1240" s="19">
        <v>46169.6182372338</v>
      </c>
      <c r="K1240" s="6" t="s">
        <v>4880</v>
      </c>
      <c r="L1240" t="str">
        <f t="shared" si="19"/>
        <v>BROCA AÇO RÁPIDO 3/16|46170</v>
      </c>
    </row>
    <row r="1241" ht="13.5" customHeight="1" spans="1:12">
      <c r="A1241" s="17">
        <v>46169.6148263889</v>
      </c>
      <c r="B1241" s="6" t="s">
        <v>4876</v>
      </c>
      <c r="C1241" s="6" t="s">
        <v>5668</v>
      </c>
      <c r="D1241" s="6" t="s">
        <v>4894</v>
      </c>
      <c r="E1241" s="6" t="s">
        <v>26</v>
      </c>
      <c r="F1241" s="6" t="s">
        <v>4882</v>
      </c>
      <c r="G1241" s="6" t="s">
        <v>4573</v>
      </c>
      <c r="H1241" s="6">
        <v>10</v>
      </c>
      <c r="I1241" s="18">
        <v>360</v>
      </c>
      <c r="J1241" s="19">
        <v>46169.6182361458</v>
      </c>
      <c r="K1241" s="6" t="s">
        <v>4880</v>
      </c>
      <c r="L1241" t="str">
        <f t="shared" si="19"/>
        <v>ARREBITE A-525/6100 100 PÇS|46170</v>
      </c>
    </row>
    <row r="1242" ht="13.5" customHeight="1" spans="1:12">
      <c r="A1242" s="17">
        <v>46169.6458101852</v>
      </c>
      <c r="B1242" s="6" t="s">
        <v>4876</v>
      </c>
      <c r="C1242" s="6" t="s">
        <v>5669</v>
      </c>
      <c r="D1242" s="6" t="s">
        <v>110</v>
      </c>
      <c r="E1242" s="6" t="s">
        <v>26</v>
      </c>
      <c r="F1242" s="6" t="s">
        <v>4882</v>
      </c>
      <c r="G1242" s="6" t="s">
        <v>375</v>
      </c>
      <c r="H1242" s="6">
        <v>3</v>
      </c>
      <c r="I1242" s="18">
        <v>237</v>
      </c>
      <c r="J1242" s="19">
        <v>46169.6467559838</v>
      </c>
      <c r="K1242" s="6" t="s">
        <v>4880</v>
      </c>
      <c r="L1242" t="str">
        <f t="shared" si="19"/>
        <v>CAPA DE VOLANTE ACCELO|46170</v>
      </c>
    </row>
    <row r="1243" ht="13.5" customHeight="1" spans="1:12">
      <c r="A1243" s="17">
        <v>46169.6471064815</v>
      </c>
      <c r="B1243" s="6" t="s">
        <v>4876</v>
      </c>
      <c r="C1243" s="6" t="s">
        <v>5670</v>
      </c>
      <c r="D1243" s="6" t="s">
        <v>4923</v>
      </c>
      <c r="E1243" s="6" t="s">
        <v>26</v>
      </c>
      <c r="F1243" s="6" t="s">
        <v>4882</v>
      </c>
      <c r="G1243" s="6" t="s">
        <v>4374</v>
      </c>
      <c r="H1243" s="6">
        <v>45</v>
      </c>
      <c r="I1243" s="18">
        <v>2070</v>
      </c>
      <c r="J1243" s="19">
        <v>46169.6515474884</v>
      </c>
      <c r="K1243" s="6" t="s">
        <v>4880</v>
      </c>
      <c r="L1243" t="str">
        <f t="shared" si="19"/>
        <v>BLUSA POLO GRAFITE VENDEDOR (M)|46170</v>
      </c>
    </row>
    <row r="1244" ht="13.5" customHeight="1" spans="1:12">
      <c r="A1244" s="17">
        <v>46169.6471064815</v>
      </c>
      <c r="B1244" s="6" t="s">
        <v>4876</v>
      </c>
      <c r="C1244" s="6" t="s">
        <v>5670</v>
      </c>
      <c r="D1244" s="6" t="s">
        <v>4923</v>
      </c>
      <c r="E1244" s="6" t="s">
        <v>26</v>
      </c>
      <c r="F1244" s="6" t="s">
        <v>4882</v>
      </c>
      <c r="G1244" s="6" t="s">
        <v>4061</v>
      </c>
      <c r="H1244" s="6">
        <v>10</v>
      </c>
      <c r="I1244" s="18">
        <v>600</v>
      </c>
      <c r="J1244" s="19">
        <v>46169.6515471412</v>
      </c>
      <c r="K1244" s="6" t="s">
        <v>4880</v>
      </c>
      <c r="L1244" t="str">
        <f t="shared" si="19"/>
        <v>CALÇA BRIM AZUL COBALTO (M)|46170</v>
      </c>
    </row>
    <row r="1245" ht="13.5" customHeight="1" spans="1:12">
      <c r="A1245" s="17">
        <v>46169.6471064815</v>
      </c>
      <c r="B1245" s="6" t="s">
        <v>4876</v>
      </c>
      <c r="C1245" s="6" t="s">
        <v>5670</v>
      </c>
      <c r="D1245" s="6" t="s">
        <v>4923</v>
      </c>
      <c r="E1245" s="6" t="s">
        <v>26</v>
      </c>
      <c r="F1245" s="6" t="s">
        <v>4882</v>
      </c>
      <c r="G1245" s="6" t="s">
        <v>872</v>
      </c>
      <c r="H1245" s="6">
        <v>30</v>
      </c>
      <c r="I1245" s="18">
        <v>1200</v>
      </c>
      <c r="J1245" s="19">
        <v>46169.6515467593</v>
      </c>
      <c r="K1245" s="6" t="s">
        <v>4880</v>
      </c>
      <c r="L1245" t="str">
        <f t="shared" si="19"/>
        <v>CAMISA BRANCA CARECA SIPAT MASCULINO (M)|46170</v>
      </c>
    </row>
    <row r="1246" ht="13.5" customHeight="1" spans="1:12">
      <c r="A1246" s="17">
        <v>46169.6519560185</v>
      </c>
      <c r="B1246" s="6" t="s">
        <v>4876</v>
      </c>
      <c r="C1246" s="6" t="s">
        <v>5671</v>
      </c>
      <c r="D1246" s="6" t="s">
        <v>5615</v>
      </c>
      <c r="E1246" s="6" t="s">
        <v>390</v>
      </c>
      <c r="F1246" s="6" t="s">
        <v>4879</v>
      </c>
      <c r="G1246" s="6" t="s">
        <v>3452</v>
      </c>
      <c r="H1246" s="6">
        <v>2</v>
      </c>
      <c r="I1246" s="18">
        <v>798</v>
      </c>
      <c r="J1246" s="19">
        <v>46169.6614736111</v>
      </c>
      <c r="K1246" s="6" t="s">
        <v>4880</v>
      </c>
      <c r="L1246" t="str">
        <f t="shared" si="19"/>
        <v>DISCO DE CORTE PARA MOEDO DE CARNE |46170</v>
      </c>
    </row>
    <row r="1247" ht="13.5" customHeight="1" spans="1:12">
      <c r="A1247" s="17">
        <v>46170.3909722222</v>
      </c>
      <c r="B1247" s="6" t="s">
        <v>4876</v>
      </c>
      <c r="C1247" s="6" t="s">
        <v>5672</v>
      </c>
      <c r="D1247" s="6" t="s">
        <v>4894</v>
      </c>
      <c r="E1247" s="6" t="s">
        <v>26</v>
      </c>
      <c r="F1247" s="6" t="s">
        <v>4882</v>
      </c>
      <c r="G1247" s="6" t="s">
        <v>3476</v>
      </c>
      <c r="H1247" s="6">
        <v>6</v>
      </c>
      <c r="I1247" s="18">
        <v>130.2</v>
      </c>
      <c r="J1247" s="19">
        <v>46171.3921537037</v>
      </c>
      <c r="K1247" s="6" t="s">
        <v>4880</v>
      </c>
      <c r="L1247" t="str">
        <f t="shared" si="19"/>
        <v>DESINGRIPANTE SPRAY 300ML|46170</v>
      </c>
    </row>
    <row r="1248" ht="13.5" customHeight="1" spans="1:12">
      <c r="A1248" s="17">
        <v>46170.3916666667</v>
      </c>
      <c r="B1248" s="6" t="s">
        <v>4876</v>
      </c>
      <c r="C1248" s="6" t="s">
        <v>5673</v>
      </c>
      <c r="D1248" s="6" t="s">
        <v>5674</v>
      </c>
      <c r="E1248" s="6" t="s">
        <v>26</v>
      </c>
      <c r="F1248" s="6" t="s">
        <v>4882</v>
      </c>
      <c r="G1248" s="6" t="s">
        <v>4473</v>
      </c>
      <c r="H1248" s="6">
        <v>4</v>
      </c>
      <c r="I1248" s="18">
        <v>215.6</v>
      </c>
      <c r="J1248" s="19">
        <v>46171.3930111921</v>
      </c>
      <c r="K1248" s="6" t="s">
        <v>4880</v>
      </c>
      <c r="L1248" t="str">
        <f t="shared" si="19"/>
        <v>BARBANTE 1.800KG ROLO|46170</v>
      </c>
    </row>
    <row r="1249" ht="13.5" customHeight="1" spans="1:12">
      <c r="A1249" s="17">
        <v>46170.3930555556</v>
      </c>
      <c r="B1249" s="6" t="s">
        <v>4876</v>
      </c>
      <c r="C1249" s="6" t="s">
        <v>5675</v>
      </c>
      <c r="D1249" s="6" t="s">
        <v>4971</v>
      </c>
      <c r="E1249" s="6" t="s">
        <v>26</v>
      </c>
      <c r="F1249" s="6" t="s">
        <v>4882</v>
      </c>
      <c r="G1249" s="6" t="s">
        <v>849</v>
      </c>
      <c r="H1249" s="6">
        <v>6</v>
      </c>
      <c r="I1249" s="18">
        <v>302.82</v>
      </c>
      <c r="J1249" s="19">
        <v>46171.3939822917</v>
      </c>
      <c r="K1249" s="6" t="s">
        <v>4880</v>
      </c>
      <c r="L1249" t="str">
        <f t="shared" si="19"/>
        <v>REFLETOR LED TR SLIM 50W 6500K PRETO|46170</v>
      </c>
    </row>
    <row r="1250" ht="13.5" customHeight="1" spans="1:12">
      <c r="A1250" s="17">
        <v>46170.3951388889</v>
      </c>
      <c r="B1250" s="6" t="s">
        <v>4876</v>
      </c>
      <c r="C1250" s="6" t="s">
        <v>5676</v>
      </c>
      <c r="D1250" s="6" t="s">
        <v>4884</v>
      </c>
      <c r="E1250" s="6" t="s">
        <v>26</v>
      </c>
      <c r="F1250" s="6" t="s">
        <v>4882</v>
      </c>
      <c r="G1250" s="6" t="s">
        <v>850</v>
      </c>
      <c r="H1250" s="6">
        <v>6</v>
      </c>
      <c r="I1250" s="18">
        <v>1313.4</v>
      </c>
      <c r="J1250" s="19">
        <v>46171.3963139699</v>
      </c>
      <c r="K1250" s="6" t="s">
        <v>4880</v>
      </c>
      <c r="L1250" t="str">
        <f t="shared" si="19"/>
        <v>REFLETOR LED TR 200W 6500K PRETO|46170</v>
      </c>
    </row>
    <row r="1251" ht="13.5" customHeight="1" spans="1:12">
      <c r="A1251" s="17">
        <v>46170.5729166667</v>
      </c>
      <c r="B1251" s="6" t="s">
        <v>4876</v>
      </c>
      <c r="C1251" s="6" t="s">
        <v>5677</v>
      </c>
      <c r="D1251" s="6" t="s">
        <v>4982</v>
      </c>
      <c r="E1251" s="6" t="s">
        <v>26</v>
      </c>
      <c r="F1251" s="6" t="s">
        <v>4882</v>
      </c>
      <c r="G1251" s="6" t="s">
        <v>2940</v>
      </c>
      <c r="H1251" s="6">
        <v>1</v>
      </c>
      <c r="I1251" s="18">
        <v>14</v>
      </c>
      <c r="J1251" s="19">
        <v>46171.5759532407</v>
      </c>
      <c r="K1251" s="6" t="s">
        <v>4880</v>
      </c>
      <c r="L1251" t="str">
        <f t="shared" si="19"/>
        <v>GATILHO PULVERIZADOR C4|46171</v>
      </c>
    </row>
    <row r="1252" ht="13.5" customHeight="1" spans="1:12">
      <c r="A1252" s="17">
        <v>46170.5762384259</v>
      </c>
      <c r="B1252" s="6" t="s">
        <v>4876</v>
      </c>
      <c r="C1252" s="6" t="s">
        <v>5678</v>
      </c>
      <c r="D1252" s="6" t="s">
        <v>5679</v>
      </c>
      <c r="E1252" s="6" t="s">
        <v>26</v>
      </c>
      <c r="F1252" s="6" t="s">
        <v>4882</v>
      </c>
      <c r="G1252" s="6" t="s">
        <v>3189</v>
      </c>
      <c r="H1252" s="6">
        <v>1</v>
      </c>
      <c r="I1252" s="18">
        <v>279.45</v>
      </c>
      <c r="J1252" s="19">
        <v>46170.5778613079</v>
      </c>
      <c r="K1252" s="6" t="s">
        <v>4880</v>
      </c>
      <c r="L1252" t="str">
        <f t="shared" si="19"/>
        <v>FAROL GOL SAVEIRO VOYAGE G6 13 14 15 2016 FOCO SIMPLES LD |46171</v>
      </c>
    </row>
    <row r="1253" ht="13.5" customHeight="1" spans="1:12">
      <c r="A1253" s="17">
        <v>46170.5762384259</v>
      </c>
      <c r="B1253" s="6" t="s">
        <v>4876</v>
      </c>
      <c r="C1253" s="6" t="s">
        <v>5678</v>
      </c>
      <c r="D1253" s="6" t="s">
        <v>5679</v>
      </c>
      <c r="E1253" s="6" t="s">
        <v>26</v>
      </c>
      <c r="F1253" s="6" t="s">
        <v>4882</v>
      </c>
      <c r="G1253" s="6" t="s">
        <v>3190</v>
      </c>
      <c r="H1253" s="6">
        <v>1</v>
      </c>
      <c r="I1253" s="18">
        <v>279.45</v>
      </c>
      <c r="J1253" s="19">
        <v>46170.5778605671</v>
      </c>
      <c r="K1253" s="6" t="s">
        <v>4880</v>
      </c>
      <c r="L1253" t="str">
        <f t="shared" si="19"/>
        <v>FAROL GOL SAVEIRO VOUYAGE G6 13 14 15 2016 FOCO SIMPLES LE|46171</v>
      </c>
    </row>
    <row r="1254" ht="13.5" customHeight="1" spans="1:12">
      <c r="A1254" s="17">
        <v>46170.6090277778</v>
      </c>
      <c r="B1254" s="6" t="s">
        <v>4876</v>
      </c>
      <c r="C1254" s="6" t="s">
        <v>5680</v>
      </c>
      <c r="D1254" s="6" t="s">
        <v>4988</v>
      </c>
      <c r="E1254" s="6" t="s">
        <v>26</v>
      </c>
      <c r="F1254" s="6" t="s">
        <v>4882</v>
      </c>
      <c r="G1254" s="6" t="s">
        <v>392</v>
      </c>
      <c r="H1254" s="6">
        <v>1</v>
      </c>
      <c r="I1254" s="18">
        <v>150</v>
      </c>
      <c r="J1254" s="19">
        <v>46171.61374375</v>
      </c>
      <c r="K1254" s="6" t="s">
        <v>4880</v>
      </c>
      <c r="L1254" t="str">
        <f t="shared" si="19"/>
        <v>MANGUEIRA PREMIUM R22|46171</v>
      </c>
    </row>
    <row r="1255" ht="13.5" customHeight="1" spans="1:12">
      <c r="A1255" s="17">
        <v>46171.5915277778</v>
      </c>
      <c r="B1255" s="6" t="s">
        <v>4876</v>
      </c>
      <c r="C1255" s="6" t="s">
        <v>5681</v>
      </c>
      <c r="D1255" s="6" t="s">
        <v>4954</v>
      </c>
      <c r="E1255" s="6" t="s">
        <v>26</v>
      </c>
      <c r="F1255" s="6" t="s">
        <v>4882</v>
      </c>
      <c r="G1255" s="6" t="s">
        <v>1639</v>
      </c>
      <c r="H1255" s="6">
        <v>4</v>
      </c>
      <c r="I1255" s="18">
        <v>116</v>
      </c>
      <c r="J1255" s="19">
        <v>46171.5926864583</v>
      </c>
      <c r="K1255" s="6" t="s">
        <v>4880</v>
      </c>
      <c r="L1255" t="str">
        <f t="shared" si="19"/>
        <v>ROLAMENTO 6302 SCUD |46172</v>
      </c>
    </row>
    <row r="1256" ht="13.5" customHeight="1" spans="1:12">
      <c r="A1256" s="17">
        <v>46171.5930092593</v>
      </c>
      <c r="B1256" s="6" t="s">
        <v>4876</v>
      </c>
      <c r="C1256" s="6" t="s">
        <v>5682</v>
      </c>
      <c r="D1256" s="6" t="s">
        <v>4971</v>
      </c>
      <c r="E1256" s="6" t="s">
        <v>26</v>
      </c>
      <c r="F1256" s="6" t="s">
        <v>4882</v>
      </c>
      <c r="G1256" s="6" t="s">
        <v>1192</v>
      </c>
      <c r="H1256" s="6">
        <v>3</v>
      </c>
      <c r="I1256" s="18">
        <v>50.61</v>
      </c>
      <c r="J1256" s="19">
        <v>46171.6082320602</v>
      </c>
      <c r="K1256" s="6" t="s">
        <v>4880</v>
      </c>
      <c r="L1256" t="str">
        <f t="shared" si="19"/>
        <v>TIGRE SOLDA CAP 60MM 22080601|46172</v>
      </c>
    </row>
    <row r="1257" ht="13.5" customHeight="1" spans="1:12">
      <c r="A1257" s="17">
        <v>46171.5930092593</v>
      </c>
      <c r="B1257" s="6" t="s">
        <v>4876</v>
      </c>
      <c r="C1257" s="6" t="s">
        <v>5682</v>
      </c>
      <c r="D1257" s="6" t="s">
        <v>4971</v>
      </c>
      <c r="E1257" s="6" t="s">
        <v>26</v>
      </c>
      <c r="F1257" s="6" t="s">
        <v>4882</v>
      </c>
      <c r="G1257" s="6" t="s">
        <v>1195</v>
      </c>
      <c r="H1257" s="6">
        <v>2</v>
      </c>
      <c r="I1257" s="18">
        <v>13.88</v>
      </c>
      <c r="J1257" s="19">
        <v>46171.6082318634</v>
      </c>
      <c r="K1257" s="6" t="s">
        <v>4880</v>
      </c>
      <c r="L1257" t="str">
        <f t="shared" si="19"/>
        <v>TIGRE ESG. CAP 50MM 26060508 |46172</v>
      </c>
    </row>
    <row r="1258" ht="13.5" customHeight="1" spans="1:12">
      <c r="A1258" s="17">
        <v>46171.5930092593</v>
      </c>
      <c r="B1258" s="6" t="s">
        <v>4876</v>
      </c>
      <c r="C1258" s="6" t="s">
        <v>5682</v>
      </c>
      <c r="D1258" s="6" t="s">
        <v>4971</v>
      </c>
      <c r="E1258" s="6" t="s">
        <v>26</v>
      </c>
      <c r="F1258" s="6" t="s">
        <v>4882</v>
      </c>
      <c r="G1258" s="6" t="s">
        <v>1194</v>
      </c>
      <c r="H1258" s="6">
        <v>3</v>
      </c>
      <c r="I1258" s="18">
        <v>9.45</v>
      </c>
      <c r="J1258" s="19">
        <v>46171.608231713</v>
      </c>
      <c r="K1258" s="6" t="s">
        <v>4880</v>
      </c>
      <c r="L1258" t="str">
        <f t="shared" si="19"/>
        <v>TIGRE ESG. JOELHO 90 40 27560440|46172</v>
      </c>
    </row>
    <row r="1259" ht="13.5" customHeight="1" spans="1:12">
      <c r="A1259" s="17">
        <v>46171.5930092593</v>
      </c>
      <c r="B1259" s="6" t="s">
        <v>4876</v>
      </c>
      <c r="C1259" s="6" t="s">
        <v>5682</v>
      </c>
      <c r="D1259" s="6" t="s">
        <v>4971</v>
      </c>
      <c r="E1259" s="6" t="s">
        <v>26</v>
      </c>
      <c r="F1259" s="6" t="s">
        <v>4882</v>
      </c>
      <c r="G1259" s="6" t="s">
        <v>4647</v>
      </c>
      <c r="H1259" s="6">
        <v>20</v>
      </c>
      <c r="I1259" s="18">
        <v>138.8</v>
      </c>
      <c r="J1259" s="19">
        <v>46171.6082306366</v>
      </c>
      <c r="K1259" s="6" t="s">
        <v>4880</v>
      </c>
      <c r="L1259" t="str">
        <f t="shared" si="19"/>
        <v>ALUMB PLUG 2P+T 10A BR 2731|46172</v>
      </c>
    </row>
    <row r="1260" ht="13.5" customHeight="1" spans="1:12">
      <c r="A1260" s="17">
        <v>46171.5930092593</v>
      </c>
      <c r="B1260" s="6" t="s">
        <v>4876</v>
      </c>
      <c r="C1260" s="6" t="s">
        <v>5682</v>
      </c>
      <c r="D1260" s="6" t="s">
        <v>4971</v>
      </c>
      <c r="E1260" s="6" t="s">
        <v>26</v>
      </c>
      <c r="F1260" s="6" t="s">
        <v>4882</v>
      </c>
      <c r="G1260" s="6" t="s">
        <v>4646</v>
      </c>
      <c r="H1260" s="6">
        <v>5</v>
      </c>
      <c r="I1260" s="18">
        <v>64.1</v>
      </c>
      <c r="J1260" s="19">
        <v>46171.6082302431</v>
      </c>
      <c r="K1260" s="6" t="s">
        <v>4880</v>
      </c>
      <c r="L1260" t="str">
        <f t="shared" si="19"/>
        <v>ALUMB PLUG 2P+T 20A BR 2734|46172</v>
      </c>
    </row>
    <row r="1261" ht="13.5" customHeight="1" spans="1:12">
      <c r="A1261" s="17">
        <v>46171.5930092593</v>
      </c>
      <c r="B1261" s="6" t="s">
        <v>4876</v>
      </c>
      <c r="C1261" s="6" t="s">
        <v>5682</v>
      </c>
      <c r="D1261" s="6" t="s">
        <v>4971</v>
      </c>
      <c r="E1261" s="6" t="s">
        <v>26</v>
      </c>
      <c r="F1261" s="6" t="s">
        <v>4882</v>
      </c>
      <c r="G1261" s="6" t="s">
        <v>1986</v>
      </c>
      <c r="H1261" s="6">
        <v>12</v>
      </c>
      <c r="I1261" s="18">
        <v>125.64</v>
      </c>
      <c r="J1261" s="19">
        <v>46171.6082298958</v>
      </c>
      <c r="K1261" s="6" t="s">
        <v>4880</v>
      </c>
      <c r="L1261" t="str">
        <f t="shared" si="19"/>
        <v>PLUG MACHO 2P+T 20A |46172</v>
      </c>
    </row>
    <row r="1262" ht="13.5" customHeight="1" spans="1:12">
      <c r="A1262" s="17">
        <v>46171.6154050926</v>
      </c>
      <c r="B1262" s="6" t="s">
        <v>4876</v>
      </c>
      <c r="C1262" s="6" t="s">
        <v>5683</v>
      </c>
      <c r="D1262" s="6" t="s">
        <v>5392</v>
      </c>
      <c r="E1262" s="6" t="s">
        <v>26</v>
      </c>
      <c r="F1262" s="6" t="s">
        <v>4882</v>
      </c>
      <c r="G1262" s="6" t="s">
        <v>2925</v>
      </c>
      <c r="H1262" s="6">
        <v>1</v>
      </c>
      <c r="I1262" s="18">
        <v>19</v>
      </c>
      <c r="J1262" s="19">
        <v>46171.6240788542</v>
      </c>
      <c r="K1262" s="6" t="s">
        <v>4880</v>
      </c>
      <c r="L1262" t="str">
        <f t="shared" si="19"/>
        <v>GRADE PCH GOL 12 LE|46172</v>
      </c>
    </row>
    <row r="1263" ht="13.5" customHeight="1" spans="1:12">
      <c r="A1263" s="17">
        <v>46171.6154050926</v>
      </c>
      <c r="B1263" s="6" t="s">
        <v>4876</v>
      </c>
      <c r="C1263" s="6" t="s">
        <v>5683</v>
      </c>
      <c r="D1263" s="6" t="s">
        <v>5392</v>
      </c>
      <c r="E1263" s="6" t="s">
        <v>26</v>
      </c>
      <c r="F1263" s="6" t="s">
        <v>4882</v>
      </c>
      <c r="G1263" s="6" t="s">
        <v>2924</v>
      </c>
      <c r="H1263" s="6">
        <v>1</v>
      </c>
      <c r="I1263" s="18">
        <v>19</v>
      </c>
      <c r="J1263" s="19">
        <v>46171.624078125</v>
      </c>
      <c r="K1263" s="6" t="s">
        <v>4880</v>
      </c>
      <c r="L1263" t="str">
        <f t="shared" si="19"/>
        <v>GRADE PCH GOL 12... LD|46172</v>
      </c>
    </row>
    <row r="1264" ht="13.5" customHeight="1" spans="1:12">
      <c r="A1264" s="17">
        <v>46171.652650463</v>
      </c>
      <c r="B1264" s="6" t="s">
        <v>4876</v>
      </c>
      <c r="C1264" s="6" t="s">
        <v>5684</v>
      </c>
      <c r="D1264" s="6" t="s">
        <v>5118</v>
      </c>
      <c r="E1264" s="6" t="s">
        <v>26</v>
      </c>
      <c r="F1264" s="6" t="s">
        <v>4882</v>
      </c>
      <c r="G1264" s="6" t="s">
        <v>3145</v>
      </c>
      <c r="H1264" s="6">
        <v>1</v>
      </c>
      <c r="I1264" s="18">
        <v>15.9</v>
      </c>
      <c r="J1264" s="19">
        <v>46171.6636533565</v>
      </c>
      <c r="K1264" s="6" t="s">
        <v>4880</v>
      </c>
      <c r="L1264" t="str">
        <f t="shared" si="19"/>
        <v>FILTRO AR REFIL FAZER 250 2005/15|46172</v>
      </c>
    </row>
    <row r="1265" ht="13.5" customHeight="1" spans="1:12">
      <c r="A1265" s="17">
        <v>46171.652650463</v>
      </c>
      <c r="B1265" s="6" t="s">
        <v>4876</v>
      </c>
      <c r="C1265" s="6" t="s">
        <v>5684</v>
      </c>
      <c r="D1265" s="6" t="s">
        <v>5118</v>
      </c>
      <c r="E1265" s="6" t="s">
        <v>26</v>
      </c>
      <c r="F1265" s="6" t="s">
        <v>4882</v>
      </c>
      <c r="G1265" s="6" t="s">
        <v>3144</v>
      </c>
      <c r="H1265" s="6">
        <v>2</v>
      </c>
      <c r="I1265" s="18">
        <v>39.8</v>
      </c>
      <c r="J1265" s="19">
        <v>46171.6636531597</v>
      </c>
      <c r="K1265" s="6" t="s">
        <v>4880</v>
      </c>
      <c r="L1265" t="str">
        <f t="shared" si="19"/>
        <v>FILTRO AR TITAN 150 2014 RT|46172</v>
      </c>
    </row>
    <row r="1266" ht="13.5" customHeight="1" spans="1:12">
      <c r="A1266" s="17">
        <v>46171.652650463</v>
      </c>
      <c r="B1266" s="6" t="s">
        <v>4876</v>
      </c>
      <c r="C1266" s="6" t="s">
        <v>5684</v>
      </c>
      <c r="D1266" s="6" t="s">
        <v>5118</v>
      </c>
      <c r="E1266" s="6" t="s">
        <v>26</v>
      </c>
      <c r="F1266" s="6" t="s">
        <v>4882</v>
      </c>
      <c r="G1266" s="6" t="s">
        <v>972</v>
      </c>
      <c r="H1266" s="6">
        <v>1</v>
      </c>
      <c r="I1266" s="18">
        <v>24.5</v>
      </c>
      <c r="J1266" s="19">
        <v>46171.6636531597</v>
      </c>
      <c r="K1266" s="6" t="s">
        <v>4880</v>
      </c>
      <c r="L1266" t="str">
        <f t="shared" si="19"/>
        <v>VELA DR8EA-N FAZER/ LANDER 2012 E.|46172</v>
      </c>
    </row>
    <row r="1267" ht="13.5" customHeight="1" spans="1:12">
      <c r="A1267" s="17">
        <v>46171.652650463</v>
      </c>
      <c r="B1267" s="6" t="s">
        <v>4876</v>
      </c>
      <c r="C1267" s="6" t="s">
        <v>5684</v>
      </c>
      <c r="D1267" s="6" t="s">
        <v>5118</v>
      </c>
      <c r="E1267" s="6" t="s">
        <v>26</v>
      </c>
      <c r="F1267" s="6" t="s">
        <v>4882</v>
      </c>
      <c r="G1267" s="6" t="s">
        <v>969</v>
      </c>
      <c r="H1267" s="6">
        <v>2</v>
      </c>
      <c r="I1267" s="18">
        <v>59.8</v>
      </c>
      <c r="J1267" s="19">
        <v>46171.6636529745</v>
      </c>
      <c r="K1267" s="6" t="s">
        <v>4880</v>
      </c>
      <c r="L1267" t="str">
        <f t="shared" si="19"/>
        <v>VELA TITAN / FAN 150 /BROS NGK|46172</v>
      </c>
    </row>
    <row r="1268" ht="13.5" customHeight="1" spans="1:12">
      <c r="A1268" s="17">
        <v>46171.6664467593</v>
      </c>
      <c r="B1268" s="6" t="s">
        <v>4876</v>
      </c>
      <c r="C1268" s="6" t="s">
        <v>5685</v>
      </c>
      <c r="D1268" s="6" t="s">
        <v>5271</v>
      </c>
      <c r="E1268" s="6" t="s">
        <v>26</v>
      </c>
      <c r="F1268" s="6" t="s">
        <v>4882</v>
      </c>
      <c r="G1268" s="6" t="s">
        <v>3135</v>
      </c>
      <c r="H1268" s="6">
        <v>2</v>
      </c>
      <c r="I1268" s="18">
        <v>54</v>
      </c>
      <c r="J1268" s="19">
        <v>46171.6745869213</v>
      </c>
      <c r="K1268" s="6" t="s">
        <v>4880</v>
      </c>
      <c r="L1268" t="str">
        <f t="shared" si="19"/>
        <v>FILTRO COMBUSTIVEL TITAN 150-160/FAN/START150-160/BROS160 BICO FINOO MARCA FILTRAN.|46172</v>
      </c>
    </row>
    <row r="1269" ht="13.5" customHeight="1" spans="1:12">
      <c r="A1269" s="17">
        <v>46171.6844675926</v>
      </c>
      <c r="B1269" s="6" t="s">
        <v>4876</v>
      </c>
      <c r="C1269" s="6" t="s">
        <v>5686</v>
      </c>
      <c r="D1269" s="6" t="s">
        <v>4905</v>
      </c>
      <c r="E1269" s="6" t="s">
        <v>26</v>
      </c>
      <c r="F1269" s="6" t="s">
        <v>4882</v>
      </c>
      <c r="G1269" s="6" t="s">
        <v>4106</v>
      </c>
      <c r="H1269" s="6">
        <v>6</v>
      </c>
      <c r="I1269" s="18">
        <v>86.7</v>
      </c>
      <c r="J1269" s="19">
        <v>46171.6879701389</v>
      </c>
      <c r="K1269" s="6" t="s">
        <v>4880</v>
      </c>
      <c r="L1269" t="str">
        <f t="shared" si="19"/>
        <v>CADEADO 20MM|46172</v>
      </c>
    </row>
    <row r="1270" ht="13.5" customHeight="1" spans="1:12">
      <c r="A1270" s="17">
        <v>46171.6844675926</v>
      </c>
      <c r="B1270" s="6" t="s">
        <v>4876</v>
      </c>
      <c r="C1270" s="6" t="s">
        <v>5686</v>
      </c>
      <c r="D1270" s="6" t="s">
        <v>4905</v>
      </c>
      <c r="E1270" s="6" t="s">
        <v>26</v>
      </c>
      <c r="F1270" s="6" t="s">
        <v>4882</v>
      </c>
      <c r="G1270" s="6" t="s">
        <v>3382</v>
      </c>
      <c r="H1270" s="6">
        <v>5</v>
      </c>
      <c r="I1270" s="18">
        <v>133.65</v>
      </c>
      <c r="J1270" s="19">
        <v>46171.6879697917</v>
      </c>
      <c r="K1270" s="6" t="s">
        <v>4880</v>
      </c>
      <c r="L1270" t="str">
        <f t="shared" si="19"/>
        <v>ELETRODO 2,50MM E- 6013 GERDAU|46172</v>
      </c>
    </row>
    <row r="1271" ht="13.5" customHeight="1" spans="1:12">
      <c r="A1271" s="17">
        <v>46174.558275463</v>
      </c>
      <c r="B1271" s="6" t="s">
        <v>4876</v>
      </c>
      <c r="C1271" s="6" t="s">
        <v>5687</v>
      </c>
      <c r="D1271" s="6" t="s">
        <v>5647</v>
      </c>
      <c r="E1271" s="6" t="s">
        <v>26</v>
      </c>
      <c r="F1271" s="6" t="s">
        <v>4882</v>
      </c>
      <c r="G1271" s="6" t="s">
        <v>423</v>
      </c>
      <c r="H1271" s="6">
        <v>6</v>
      </c>
      <c r="I1271" s="18">
        <v>198.12</v>
      </c>
      <c r="J1271" s="19">
        <v>46174.5655845718</v>
      </c>
      <c r="K1271" s="6" t="s">
        <v>4880</v>
      </c>
      <c r="L1271" t="str">
        <f t="shared" si="19"/>
        <v>SOLUÇAO DESENGRAXANTE SKY|46175</v>
      </c>
    </row>
    <row r="1272" ht="13.5" customHeight="1" spans="1:12">
      <c r="A1272" s="17">
        <v>46174.5658680556</v>
      </c>
      <c r="B1272" s="6" t="s">
        <v>4876</v>
      </c>
      <c r="C1272" s="6" t="s">
        <v>5687</v>
      </c>
      <c r="D1272" s="6" t="s">
        <v>4894</v>
      </c>
      <c r="E1272" s="6" t="s">
        <v>26</v>
      </c>
      <c r="F1272" s="6" t="s">
        <v>4882</v>
      </c>
      <c r="G1272" s="6" t="s">
        <v>2163</v>
      </c>
      <c r="H1272" s="6">
        <v>100</v>
      </c>
      <c r="I1272" s="18">
        <v>51</v>
      </c>
      <c r="J1272" s="19">
        <v>46174.5696636921</v>
      </c>
      <c r="K1272" s="6" t="s">
        <v>4880</v>
      </c>
      <c r="L1272" t="str">
        <f t="shared" si="19"/>
        <v>PARAFUSO AUTOBROCANTE SEXT 12X1 1/2|46175</v>
      </c>
    </row>
    <row r="1273" ht="13.5" customHeight="1" spans="1:12">
      <c r="A1273" s="17">
        <v>46174.5658680556</v>
      </c>
      <c r="B1273" s="6" t="s">
        <v>4876</v>
      </c>
      <c r="C1273" s="6" t="s">
        <v>5687</v>
      </c>
      <c r="D1273" s="6" t="s">
        <v>4894</v>
      </c>
      <c r="E1273" s="6" t="s">
        <v>26</v>
      </c>
      <c r="F1273" s="6" t="s">
        <v>4882</v>
      </c>
      <c r="G1273" s="6" t="s">
        <v>4106</v>
      </c>
      <c r="H1273" s="6">
        <v>10</v>
      </c>
      <c r="I1273" s="18">
        <v>210.7</v>
      </c>
      <c r="J1273" s="19">
        <v>46174.5696633449</v>
      </c>
      <c r="K1273" s="6" t="s">
        <v>4880</v>
      </c>
      <c r="L1273" t="str">
        <f t="shared" si="19"/>
        <v>CADEADO 20MM|46175</v>
      </c>
    </row>
    <row r="1274" ht="13.5" customHeight="1" spans="1:12">
      <c r="A1274" s="17">
        <v>46174.5703125</v>
      </c>
      <c r="B1274" s="6" t="s">
        <v>4876</v>
      </c>
      <c r="C1274" s="6" t="s">
        <v>5688</v>
      </c>
      <c r="D1274" s="6" t="s">
        <v>5109</v>
      </c>
      <c r="E1274" s="6" t="s">
        <v>26</v>
      </c>
      <c r="F1274" s="6" t="s">
        <v>4882</v>
      </c>
      <c r="G1274" s="6" t="s">
        <v>4128</v>
      </c>
      <c r="H1274" s="6">
        <v>1</v>
      </c>
      <c r="I1274" s="18">
        <v>32.62</v>
      </c>
      <c r="J1274" s="19">
        <v>46174.5778001157</v>
      </c>
      <c r="K1274" s="6" t="s">
        <v>4880</v>
      </c>
      <c r="L1274" t="str">
        <f t="shared" si="19"/>
        <v>CABO FLEX 25MM 750V PRETO METRO |46175</v>
      </c>
    </row>
    <row r="1275" ht="13.5" customHeight="1" spans="1:12">
      <c r="A1275" s="17">
        <v>46174.5790509259</v>
      </c>
      <c r="B1275" s="6" t="s">
        <v>4876</v>
      </c>
      <c r="C1275" s="6" t="s">
        <v>5689</v>
      </c>
      <c r="D1275" s="6" t="s">
        <v>110</v>
      </c>
      <c r="E1275" s="6" t="s">
        <v>26</v>
      </c>
      <c r="F1275" s="6" t="s">
        <v>4882</v>
      </c>
      <c r="G1275" s="6" t="s">
        <v>395</v>
      </c>
      <c r="H1275" s="6">
        <v>20</v>
      </c>
      <c r="I1275" s="18">
        <v>60</v>
      </c>
      <c r="J1275" s="19">
        <v>46174.5826230671</v>
      </c>
      <c r="K1275" s="6" t="s">
        <v>4880</v>
      </c>
      <c r="L1275" t="str">
        <f t="shared" si="19"/>
        <v>CAPA PORCA CROMADA 33|46175</v>
      </c>
    </row>
    <row r="1276" ht="13.5" customHeight="1" spans="1:12">
      <c r="A1276" s="17">
        <v>46175.5439236111</v>
      </c>
      <c r="B1276" s="6" t="s">
        <v>4876</v>
      </c>
      <c r="C1276" s="6" t="s">
        <v>5690</v>
      </c>
      <c r="D1276" s="6" t="s">
        <v>110</v>
      </c>
      <c r="E1276" s="6" t="s">
        <v>26</v>
      </c>
      <c r="F1276" s="6" t="s">
        <v>4882</v>
      </c>
      <c r="G1276" s="6" t="s">
        <v>3935</v>
      </c>
      <c r="H1276" s="6">
        <v>20</v>
      </c>
      <c r="I1276" s="18">
        <v>120</v>
      </c>
      <c r="J1276" s="19">
        <v>46175.5464613079</v>
      </c>
      <c r="K1276" s="6" t="s">
        <v>4880</v>
      </c>
      <c r="L1276" t="str">
        <f t="shared" si="19"/>
        <v>CAPA PORCA CROMADA BELGA 33|46176</v>
      </c>
    </row>
    <row r="1277" ht="13.5" customHeight="1" spans="1:12">
      <c r="A1277" s="17">
        <v>46175.5487152778</v>
      </c>
      <c r="B1277" s="6" t="s">
        <v>4876</v>
      </c>
      <c r="C1277" s="6" t="s">
        <v>5691</v>
      </c>
      <c r="D1277" s="6" t="s">
        <v>4971</v>
      </c>
      <c r="E1277" s="6" t="s">
        <v>26</v>
      </c>
      <c r="F1277" s="6" t="s">
        <v>4882</v>
      </c>
      <c r="G1277" s="6" t="s">
        <v>1189</v>
      </c>
      <c r="H1277" s="6">
        <v>1</v>
      </c>
      <c r="I1277" s="18">
        <v>6.59</v>
      </c>
      <c r="J1277" s="19">
        <v>46175.5625170139</v>
      </c>
      <c r="K1277" s="6" t="s">
        <v>4880</v>
      </c>
      <c r="L1277" t="str">
        <f t="shared" si="19"/>
        <v>TIGRE SOLDA LUVA REDUÇÃO 32X25|46176</v>
      </c>
    </row>
    <row r="1278" ht="13.5" customHeight="1" spans="1:12">
      <c r="A1278" s="17">
        <v>46175.5487152778</v>
      </c>
      <c r="B1278" s="6" t="s">
        <v>4876</v>
      </c>
      <c r="C1278" s="6" t="s">
        <v>5691</v>
      </c>
      <c r="D1278" s="6" t="s">
        <v>4971</v>
      </c>
      <c r="E1278" s="6" t="s">
        <v>26</v>
      </c>
      <c r="F1278" s="6" t="s">
        <v>4882</v>
      </c>
      <c r="G1278" s="6" t="s">
        <v>1400</v>
      </c>
      <c r="H1278" s="6">
        <v>2</v>
      </c>
      <c r="I1278" s="18">
        <v>4.4</v>
      </c>
      <c r="J1278" s="19">
        <v>46175.5625168171</v>
      </c>
      <c r="K1278" s="6" t="s">
        <v>4880</v>
      </c>
      <c r="L1278" t="str">
        <f t="shared" si="19"/>
        <v>SOLDA BUCHA RED.CURTA 32X25|46176</v>
      </c>
    </row>
    <row r="1279" ht="13.5" customHeight="1" spans="1:12">
      <c r="A1279" s="17">
        <v>46175.5487152778</v>
      </c>
      <c r="B1279" s="6" t="s">
        <v>4876</v>
      </c>
      <c r="C1279" s="6" t="s">
        <v>5691</v>
      </c>
      <c r="D1279" s="6" t="s">
        <v>4971</v>
      </c>
      <c r="E1279" s="6" t="s">
        <v>26</v>
      </c>
      <c r="F1279" s="6" t="s">
        <v>4882</v>
      </c>
      <c r="G1279" s="6" t="s">
        <v>1406</v>
      </c>
      <c r="H1279" s="6">
        <v>1</v>
      </c>
      <c r="I1279" s="18">
        <v>1.6</v>
      </c>
      <c r="J1279" s="19">
        <v>46175.5625166667</v>
      </c>
      <c r="K1279" s="6" t="s">
        <v>4880</v>
      </c>
      <c r="L1279" t="str">
        <f t="shared" si="19"/>
        <v>SOLDA ADAPTADA CURTO 25x3/4 TIGRE	|46176</v>
      </c>
    </row>
    <row r="1280" ht="13.5" customHeight="1" spans="1:12">
      <c r="A1280" s="17">
        <v>46175.5487152778</v>
      </c>
      <c r="B1280" s="6" t="s">
        <v>4876</v>
      </c>
      <c r="C1280" s="6" t="s">
        <v>5691</v>
      </c>
      <c r="D1280" s="6" t="s">
        <v>4971</v>
      </c>
      <c r="E1280" s="6" t="s">
        <v>26</v>
      </c>
      <c r="F1280" s="6" t="s">
        <v>4882</v>
      </c>
      <c r="G1280" s="6" t="s">
        <v>1402</v>
      </c>
      <c r="H1280" s="6">
        <v>1</v>
      </c>
      <c r="I1280" s="18">
        <v>4.05</v>
      </c>
      <c r="J1280" s="19">
        <v>46175.5625164699</v>
      </c>
      <c r="K1280" s="6" t="s">
        <v>4880</v>
      </c>
      <c r="L1280" t="str">
        <f t="shared" si="19"/>
        <v>SOLDA ADAPTADOR CURTO 32X1 TIGRE|46176</v>
      </c>
    </row>
    <row r="1281" ht="13.5" customHeight="1" spans="1:12">
      <c r="A1281" s="17">
        <v>46175.5487152778</v>
      </c>
      <c r="B1281" s="6" t="s">
        <v>4876</v>
      </c>
      <c r="C1281" s="6" t="s">
        <v>5691</v>
      </c>
      <c r="D1281" s="6" t="s">
        <v>4971</v>
      </c>
      <c r="E1281" s="6" t="s">
        <v>26</v>
      </c>
      <c r="F1281" s="6" t="s">
        <v>4882</v>
      </c>
      <c r="G1281" s="6" t="s">
        <v>1188</v>
      </c>
      <c r="H1281" s="6">
        <v>1</v>
      </c>
      <c r="I1281" s="18">
        <v>2.57</v>
      </c>
      <c r="J1281" s="19">
        <v>46175.5625162847</v>
      </c>
      <c r="K1281" s="6" t="s">
        <v>4880</v>
      </c>
      <c r="L1281" t="str">
        <f t="shared" si="19"/>
        <v>TIGRE SOLDA REDUÇÃO 25X20|46176</v>
      </c>
    </row>
    <row r="1282" ht="13.5" customHeight="1" spans="1:12">
      <c r="A1282" s="17">
        <v>46175.5487152778</v>
      </c>
      <c r="B1282" s="6" t="s">
        <v>4876</v>
      </c>
      <c r="C1282" s="6" t="s">
        <v>5691</v>
      </c>
      <c r="D1282" s="6" t="s">
        <v>4971</v>
      </c>
      <c r="E1282" s="6" t="s">
        <v>26</v>
      </c>
      <c r="F1282" s="6" t="s">
        <v>4882</v>
      </c>
      <c r="G1282" s="6" t="s">
        <v>1186</v>
      </c>
      <c r="H1282" s="6">
        <v>1</v>
      </c>
      <c r="I1282" s="18">
        <v>7.32</v>
      </c>
      <c r="J1282" s="19">
        <v>46175.5625159375</v>
      </c>
      <c r="K1282" s="6" t="s">
        <v>4880</v>
      </c>
      <c r="L1282" t="str">
        <f t="shared" ref="L1282:L1345" si="20">IF(G1282="","",G1282&amp;"|"&amp;TEXT(A1282,"0"))</f>
        <v>TIGRE SOLDA TE B.LATAO 25X1/2|46176</v>
      </c>
    </row>
    <row r="1283" ht="13.5" customHeight="1" spans="1:12">
      <c r="A1283" s="17">
        <v>46175.5633449074</v>
      </c>
      <c r="B1283" s="6" t="s">
        <v>4876</v>
      </c>
      <c r="C1283" s="6" t="s">
        <v>5692</v>
      </c>
      <c r="D1283" s="6" t="s">
        <v>4919</v>
      </c>
      <c r="E1283" s="6" t="s">
        <v>26</v>
      </c>
      <c r="F1283" s="6" t="s">
        <v>4882</v>
      </c>
      <c r="G1283" s="6" t="s">
        <v>2465</v>
      </c>
      <c r="H1283" s="6">
        <v>3</v>
      </c>
      <c r="I1283" s="18">
        <v>166.68</v>
      </c>
      <c r="J1283" s="19">
        <v>46175.5667197106</v>
      </c>
      <c r="K1283" s="6" t="s">
        <v>4880</v>
      </c>
      <c r="L1283" t="str">
        <f t="shared" si="20"/>
        <v>MAZA SELADORA P/ PLASTICO -1/4 5371|46176</v>
      </c>
    </row>
    <row r="1284" ht="13.5" customHeight="1" spans="1:12">
      <c r="A1284" s="17">
        <v>46175.5672106482</v>
      </c>
      <c r="B1284" s="6" t="s">
        <v>4876</v>
      </c>
      <c r="C1284" s="6" t="s">
        <v>5693</v>
      </c>
      <c r="D1284" s="6" t="s">
        <v>5065</v>
      </c>
      <c r="E1284" s="6" t="s">
        <v>26</v>
      </c>
      <c r="F1284" s="6" t="s">
        <v>4882</v>
      </c>
      <c r="G1284" s="6" t="s">
        <v>1549</v>
      </c>
      <c r="H1284" s="6">
        <v>1</v>
      </c>
      <c r="I1284" s="18">
        <v>49</v>
      </c>
      <c r="J1284" s="19">
        <v>46175.581037581</v>
      </c>
      <c r="K1284" s="6" t="s">
        <v>4880</v>
      </c>
      <c r="L1284" t="str">
        <f t="shared" si="20"/>
        <v>SACHO 2 PONTAS 60CM TRAMONTINA|46176</v>
      </c>
    </row>
    <row r="1285" ht="13.5" customHeight="1" spans="1:12">
      <c r="A1285" s="17">
        <v>46175.5672106482</v>
      </c>
      <c r="B1285" s="6" t="s">
        <v>4876</v>
      </c>
      <c r="C1285" s="6" t="s">
        <v>5693</v>
      </c>
      <c r="D1285" s="6" t="s">
        <v>5065</v>
      </c>
      <c r="E1285" s="6" t="s">
        <v>26</v>
      </c>
      <c r="F1285" s="6" t="s">
        <v>4882</v>
      </c>
      <c r="G1285" s="6" t="s">
        <v>2353</v>
      </c>
      <c r="H1285" s="6">
        <v>1</v>
      </c>
      <c r="I1285" s="18">
        <v>60</v>
      </c>
      <c r="J1285" s="19">
        <v>46175.5810373843</v>
      </c>
      <c r="K1285" s="6" t="s">
        <v>4880</v>
      </c>
      <c r="L1285" t="str">
        <f t="shared" si="20"/>
        <v>OLEO 2T |46176</v>
      </c>
    </row>
    <row r="1286" ht="13.5" customHeight="1" spans="1:12">
      <c r="A1286" s="17">
        <v>46175.5672106482</v>
      </c>
      <c r="B1286" s="6" t="s">
        <v>4876</v>
      </c>
      <c r="C1286" s="6" t="s">
        <v>5693</v>
      </c>
      <c r="D1286" s="6" t="s">
        <v>5065</v>
      </c>
      <c r="E1286" s="6" t="s">
        <v>26</v>
      </c>
      <c r="F1286" s="6" t="s">
        <v>4882</v>
      </c>
      <c r="G1286" s="6" t="s">
        <v>1548</v>
      </c>
      <c r="H1286" s="6">
        <v>1</v>
      </c>
      <c r="I1286" s="18">
        <v>55</v>
      </c>
      <c r="J1286" s="19">
        <v>46175.5810372338</v>
      </c>
      <c r="K1286" s="6" t="s">
        <v>4880</v>
      </c>
      <c r="L1286" t="str">
        <f t="shared" si="20"/>
        <v>SACHO CORAÇÃO C/CABO|46176</v>
      </c>
    </row>
    <row r="1287" ht="13.5" customHeight="1" spans="1:12">
      <c r="A1287" s="17">
        <v>46175.5672106482</v>
      </c>
      <c r="B1287" s="6" t="s">
        <v>4876</v>
      </c>
      <c r="C1287" s="6" t="s">
        <v>5693</v>
      </c>
      <c r="D1287" s="6" t="s">
        <v>5065</v>
      </c>
      <c r="E1287" s="6" t="s">
        <v>26</v>
      </c>
      <c r="F1287" s="6" t="s">
        <v>4882</v>
      </c>
      <c r="G1287" s="6" t="s">
        <v>2749</v>
      </c>
      <c r="H1287" s="6">
        <v>1</v>
      </c>
      <c r="I1287" s="18">
        <v>43</v>
      </c>
      <c r="J1287" s="19">
        <v>46175.581037037</v>
      </c>
      <c r="K1287" s="6" t="s">
        <v>4880</v>
      </c>
      <c r="L1287" t="str">
        <f t="shared" si="20"/>
        <v>KIT JARDINAGEM 3 PEÇAS|46176</v>
      </c>
    </row>
    <row r="1288" ht="13.5" customHeight="1" spans="1:12">
      <c r="A1288" s="17">
        <v>46175.5672106482</v>
      </c>
      <c r="B1288" s="6" t="s">
        <v>4876</v>
      </c>
      <c r="C1288" s="6" t="s">
        <v>5693</v>
      </c>
      <c r="D1288" s="6" t="s">
        <v>5065</v>
      </c>
      <c r="E1288" s="6" t="s">
        <v>26</v>
      </c>
      <c r="F1288" s="6" t="s">
        <v>4882</v>
      </c>
      <c r="G1288" s="6" t="s">
        <v>4668</v>
      </c>
      <c r="H1288" s="6">
        <v>1</v>
      </c>
      <c r="I1288" s="18">
        <v>30</v>
      </c>
      <c r="J1288" s="19">
        <v>46175.5810364931</v>
      </c>
      <c r="K1288" s="6" t="s">
        <v>4880</v>
      </c>
      <c r="L1288" t="str">
        <f t="shared" si="20"/>
        <v>AFIACAO DE CORRENTE |46176</v>
      </c>
    </row>
    <row r="1289" ht="13.5" customHeight="1" spans="1:12">
      <c r="A1289" s="17">
        <v>46175.5815162037</v>
      </c>
      <c r="B1289" s="6" t="s">
        <v>4876</v>
      </c>
      <c r="C1289" s="6" t="s">
        <v>5694</v>
      </c>
      <c r="D1289" s="6" t="s">
        <v>4888</v>
      </c>
      <c r="E1289" s="6" t="s">
        <v>26</v>
      </c>
      <c r="F1289" s="6" t="s">
        <v>4882</v>
      </c>
      <c r="G1289" s="6" t="s">
        <v>646</v>
      </c>
      <c r="H1289" s="6">
        <v>1</v>
      </c>
      <c r="I1289" s="18">
        <v>23</v>
      </c>
      <c r="J1289" s="19">
        <v>46175.5837496528</v>
      </c>
      <c r="K1289" s="6" t="s">
        <v>4880</v>
      </c>
      <c r="L1289" t="str">
        <f t="shared" si="20"/>
        <v>COMPOSTO VEGETAL|46176</v>
      </c>
    </row>
    <row r="1290" ht="13.5" customHeight="1" spans="1:12">
      <c r="A1290" s="17">
        <v>46175.5815162037</v>
      </c>
      <c r="B1290" s="6" t="s">
        <v>4876</v>
      </c>
      <c r="C1290" s="6" t="s">
        <v>5694</v>
      </c>
      <c r="D1290" s="6" t="s">
        <v>4888</v>
      </c>
      <c r="E1290" s="6" t="s">
        <v>26</v>
      </c>
      <c r="F1290" s="6" t="s">
        <v>4882</v>
      </c>
      <c r="G1290" s="6" t="s">
        <v>3904</v>
      </c>
      <c r="H1290" s="6">
        <v>2</v>
      </c>
      <c r="I1290" s="18">
        <v>104</v>
      </c>
      <c r="J1290" s="19">
        <v>46175.5837372685</v>
      </c>
      <c r="K1290" s="6" t="s">
        <v>4880</v>
      </c>
      <c r="L1290" t="str">
        <f t="shared" si="20"/>
        <v>CASCA DE PINUS MEDIA POLIDIA 40 LT|46176</v>
      </c>
    </row>
    <row r="1291" ht="13.5" customHeight="1" spans="1:12">
      <c r="A1291" s="17">
        <v>46175.5815162037</v>
      </c>
      <c r="B1291" s="6" t="s">
        <v>4876</v>
      </c>
      <c r="C1291" s="6" t="s">
        <v>5694</v>
      </c>
      <c r="D1291" s="6" t="s">
        <v>4888</v>
      </c>
      <c r="E1291" s="6" t="s">
        <v>26</v>
      </c>
      <c r="F1291" s="6" t="s">
        <v>4882</v>
      </c>
      <c r="G1291" s="6" t="s">
        <v>1545</v>
      </c>
      <c r="H1291" s="6">
        <v>7</v>
      </c>
      <c r="I1291" s="18">
        <v>84</v>
      </c>
      <c r="J1291" s="19">
        <v>46175.5837285069</v>
      </c>
      <c r="K1291" s="6" t="s">
        <v>4880</v>
      </c>
      <c r="L1291" t="str">
        <f t="shared" si="20"/>
        <v>SACO DE TERRA ADUBADA GR 20KL|46176</v>
      </c>
    </row>
    <row r="1292" ht="13.5" customHeight="1" spans="1:12">
      <c r="A1292" s="17">
        <v>46175.5841782407</v>
      </c>
      <c r="B1292" s="6" t="s">
        <v>4876</v>
      </c>
      <c r="C1292" s="6" t="s">
        <v>5695</v>
      </c>
      <c r="D1292" s="6" t="s">
        <v>4986</v>
      </c>
      <c r="E1292" s="6" t="s">
        <v>26</v>
      </c>
      <c r="F1292" s="6" t="s">
        <v>4882</v>
      </c>
      <c r="G1292" s="6" t="s">
        <v>3763</v>
      </c>
      <c r="H1292" s="6">
        <v>5</v>
      </c>
      <c r="I1292" s="18">
        <v>214.95</v>
      </c>
      <c r="J1292" s="19">
        <v>46175.5925260764</v>
      </c>
      <c r="K1292" s="6" t="s">
        <v>4880</v>
      </c>
      <c r="L1292" t="str">
        <f t="shared" si="20"/>
        <v>CINTO ERGONOMICO VOLK EEG (11)|46176</v>
      </c>
    </row>
    <row r="1293" ht="13.5" customHeight="1" spans="1:12">
      <c r="A1293" s="17">
        <v>46175.5841782407</v>
      </c>
      <c r="B1293" s="6" t="s">
        <v>4876</v>
      </c>
      <c r="C1293" s="6" t="s">
        <v>5695</v>
      </c>
      <c r="D1293" s="6" t="s">
        <v>4986</v>
      </c>
      <c r="E1293" s="6" t="s">
        <v>26</v>
      </c>
      <c r="F1293" s="6" t="s">
        <v>4882</v>
      </c>
      <c r="G1293" s="6" t="s">
        <v>866</v>
      </c>
      <c r="H1293" s="6">
        <v>1</v>
      </c>
      <c r="I1293" s="18">
        <v>217.21</v>
      </c>
      <c r="J1293" s="19">
        <v>46175.5925256945</v>
      </c>
      <c r="K1293" s="6" t="s">
        <v>4880</v>
      </c>
      <c r="L1293" t="str">
        <f t="shared" si="20"/>
        <v>BOTA COURO TERMICA BRACOL Nº42 |46176</v>
      </c>
    </row>
    <row r="1294" ht="13.5" customHeight="1" spans="1:12">
      <c r="A1294" s="17">
        <v>46175.5841782407</v>
      </c>
      <c r="B1294" s="6" t="s">
        <v>4876</v>
      </c>
      <c r="C1294" s="6" t="s">
        <v>5695</v>
      </c>
      <c r="D1294" s="6" t="s">
        <v>4986</v>
      </c>
      <c r="E1294" s="6" t="s">
        <v>26</v>
      </c>
      <c r="F1294" s="6" t="s">
        <v>4882</v>
      </c>
      <c r="G1294" s="6" t="s">
        <v>4310</v>
      </c>
      <c r="H1294" s="6">
        <v>1</v>
      </c>
      <c r="I1294" s="18">
        <v>217.21</v>
      </c>
      <c r="J1294" s="19">
        <v>46175.5925248032</v>
      </c>
      <c r="K1294" s="6" t="s">
        <v>4880</v>
      </c>
      <c r="L1294" t="str">
        <f t="shared" si="20"/>
        <v>BOTA DE COURO TERMICA BRACOL Nº46|46176</v>
      </c>
    </row>
    <row r="1295" ht="13.5" customHeight="1" spans="1:12">
      <c r="A1295" s="17">
        <v>46175.8038078704</v>
      </c>
      <c r="B1295" s="6" t="s">
        <v>4876</v>
      </c>
      <c r="C1295" s="6" t="s">
        <v>5696</v>
      </c>
      <c r="D1295" s="6" t="s">
        <v>4935</v>
      </c>
      <c r="E1295" s="6" t="s">
        <v>26</v>
      </c>
      <c r="F1295" s="6" t="s">
        <v>4882</v>
      </c>
      <c r="G1295" s="6" t="s">
        <v>1525</v>
      </c>
      <c r="H1295" s="6">
        <v>1</v>
      </c>
      <c r="I1295" s="18">
        <v>96.56</v>
      </c>
      <c r="J1295" s="19">
        <v>46175.8080804745</v>
      </c>
      <c r="K1295" s="6" t="s">
        <v>4880</v>
      </c>
      <c r="L1295" t="str">
        <f t="shared" si="20"/>
        <v>SAPATO BRANCO BB80 Nº 34|46176</v>
      </c>
    </row>
    <row r="1296" ht="13.5" customHeight="1" spans="1:12">
      <c r="A1296" s="17">
        <v>46175.808587963</v>
      </c>
      <c r="B1296" s="6" t="s">
        <v>4876</v>
      </c>
      <c r="C1296" s="6" t="s">
        <v>5697</v>
      </c>
      <c r="D1296" s="6" t="s">
        <v>5109</v>
      </c>
      <c r="E1296" s="6" t="s">
        <v>26</v>
      </c>
      <c r="F1296" s="6" t="s">
        <v>4882</v>
      </c>
      <c r="G1296" s="6" t="s">
        <v>3055</v>
      </c>
      <c r="H1296" s="6">
        <v>1</v>
      </c>
      <c r="I1296" s="18">
        <v>52.4</v>
      </c>
      <c r="J1296" s="19">
        <v>46175.8171337616</v>
      </c>
      <c r="K1296" s="6" t="s">
        <v>4880</v>
      </c>
      <c r="L1296" t="str">
        <f t="shared" si="20"/>
        <v>FITA ALUMINIO AUTO ADESIVA 20CM X10X0, 60MM DRIKO|46176</v>
      </c>
    </row>
    <row r="1297" ht="13.5" customHeight="1" spans="1:12">
      <c r="A1297" s="17">
        <v>46175.808587963</v>
      </c>
      <c r="B1297" s="6" t="s">
        <v>4876</v>
      </c>
      <c r="C1297" s="6" t="s">
        <v>5697</v>
      </c>
      <c r="D1297" s="6" t="s">
        <v>5109</v>
      </c>
      <c r="E1297" s="6" t="s">
        <v>26</v>
      </c>
      <c r="F1297" s="6" t="s">
        <v>4882</v>
      </c>
      <c r="G1297" s="6" t="s">
        <v>442</v>
      </c>
      <c r="H1297" s="6">
        <v>6</v>
      </c>
      <c r="I1297" s="18">
        <v>207</v>
      </c>
      <c r="J1297" s="19">
        <v>46175.8171335648</v>
      </c>
      <c r="K1297" s="6" t="s">
        <v>4880</v>
      </c>
      <c r="L1297" t="str">
        <f t="shared" si="20"/>
        <v>LAMPADA INFRAVERMELHO SECAGEM 250W|46176</v>
      </c>
    </row>
    <row r="1298" ht="13.5" customHeight="1" spans="1:12">
      <c r="A1298" s="17">
        <v>46175.808587963</v>
      </c>
      <c r="B1298" s="6" t="s">
        <v>4876</v>
      </c>
      <c r="C1298" s="6" t="s">
        <v>5697</v>
      </c>
      <c r="D1298" s="6" t="s">
        <v>5109</v>
      </c>
      <c r="E1298" s="6" t="s">
        <v>26</v>
      </c>
      <c r="F1298" s="6" t="s">
        <v>4882</v>
      </c>
      <c r="G1298" s="6" t="s">
        <v>1874</v>
      </c>
      <c r="H1298" s="6">
        <v>3</v>
      </c>
      <c r="I1298" s="18">
        <v>100.2</v>
      </c>
      <c r="J1298" s="19">
        <v>46175.8171334144</v>
      </c>
      <c r="K1298" s="6" t="s">
        <v>4880</v>
      </c>
      <c r="L1298" t="str">
        <f t="shared" si="20"/>
        <v>PREGO C/CABEÇA 17X27 DURABEM|46176</v>
      </c>
    </row>
    <row r="1299" ht="13.5" customHeight="1" spans="1:12">
      <c r="A1299" s="17">
        <v>46175.808587963</v>
      </c>
      <c r="B1299" s="6" t="s">
        <v>4876</v>
      </c>
      <c r="C1299" s="6" t="s">
        <v>5697</v>
      </c>
      <c r="D1299" s="6" t="s">
        <v>5109</v>
      </c>
      <c r="E1299" s="6" t="s">
        <v>26</v>
      </c>
      <c r="F1299" s="6" t="s">
        <v>4882</v>
      </c>
      <c r="G1299" s="6" t="s">
        <v>2706</v>
      </c>
      <c r="H1299" s="6">
        <v>10</v>
      </c>
      <c r="I1299" s="18">
        <v>69</v>
      </c>
      <c r="J1299" s="19">
        <v>46175.8171330208</v>
      </c>
      <c r="K1299" s="6" t="s">
        <v>4880</v>
      </c>
      <c r="L1299" t="str">
        <f t="shared" si="20"/>
        <v>LAMPADA LE TKL 90 15W 6500K|46176</v>
      </c>
    </row>
    <row r="1300" ht="13.5" customHeight="1" spans="1:12">
      <c r="A1300" s="17">
        <v>46175.8311921296</v>
      </c>
      <c r="B1300" s="6" t="s">
        <v>4876</v>
      </c>
      <c r="C1300" s="6" t="s">
        <v>5698</v>
      </c>
      <c r="D1300" s="6" t="s">
        <v>4954</v>
      </c>
      <c r="E1300" s="6" t="s">
        <v>26</v>
      </c>
      <c r="F1300" s="6" t="s">
        <v>4882</v>
      </c>
      <c r="G1300" s="6" t="s">
        <v>4485</v>
      </c>
      <c r="H1300" s="6">
        <v>1</v>
      </c>
      <c r="I1300" s="18">
        <v>349</v>
      </c>
      <c r="J1300" s="19">
        <v>46175.8331165857</v>
      </c>
      <c r="K1300" s="6" t="s">
        <v>4880</v>
      </c>
      <c r="L1300" t="str">
        <f t="shared" si="20"/>
        <v>BALDE DE ÓLEO 68 20 LT|46176</v>
      </c>
    </row>
    <row r="1301" ht="13.5" customHeight="1" spans="1:12">
      <c r="A1301" s="17">
        <v>46175.8311921296</v>
      </c>
      <c r="B1301" s="6" t="s">
        <v>4876</v>
      </c>
      <c r="C1301" s="6" t="s">
        <v>5698</v>
      </c>
      <c r="D1301" s="6" t="s">
        <v>4954</v>
      </c>
      <c r="E1301" s="6" t="s">
        <v>26</v>
      </c>
      <c r="F1301" s="6" t="s">
        <v>4882</v>
      </c>
      <c r="G1301" s="6" t="s">
        <v>4769</v>
      </c>
      <c r="H1301" s="6">
        <v>2</v>
      </c>
      <c r="I1301" s="18">
        <v>44</v>
      </c>
      <c r="J1301" s="19">
        <v>46175.8331162037</v>
      </c>
      <c r="K1301" s="6" t="s">
        <v>4880</v>
      </c>
      <c r="L1301" t="str">
        <f t="shared" si="20"/>
        <v>ABRACADEIRA CANELETA 60X70|46176</v>
      </c>
    </row>
    <row r="1302" ht="13.5" customHeight="1" spans="1:12">
      <c r="A1302" s="17">
        <v>46175.8388425926</v>
      </c>
      <c r="B1302" s="6" t="s">
        <v>4876</v>
      </c>
      <c r="C1302" s="6" t="s">
        <v>5699</v>
      </c>
      <c r="D1302" s="6" t="s">
        <v>5394</v>
      </c>
      <c r="E1302" s="6" t="s">
        <v>26</v>
      </c>
      <c r="F1302" s="6" t="s">
        <v>4882</v>
      </c>
      <c r="G1302" s="6" t="s">
        <v>4867</v>
      </c>
      <c r="H1302" s="6">
        <v>1</v>
      </c>
      <c r="I1302" s="18">
        <v>55</v>
      </c>
      <c r="J1302" s="19">
        <v>46175.8426581366</v>
      </c>
      <c r="K1302" s="6" t="s">
        <v>4880</v>
      </c>
      <c r="L1302" t="str">
        <f t="shared" si="20"/>
        <v>001 29759218 EMBLEMA VW |46176</v>
      </c>
    </row>
    <row r="1303" ht="13.5" customHeight="1" spans="1:12">
      <c r="A1303" s="17">
        <v>46176.7325925926</v>
      </c>
      <c r="B1303" s="6" t="s">
        <v>4876</v>
      </c>
      <c r="C1303" s="6" t="s">
        <v>5700</v>
      </c>
      <c r="D1303" s="6" t="s">
        <v>110</v>
      </c>
      <c r="E1303" s="6" t="s">
        <v>26</v>
      </c>
      <c r="F1303" s="6" t="s">
        <v>4882</v>
      </c>
      <c r="G1303" s="6" t="s">
        <v>4279</v>
      </c>
      <c r="H1303" s="6">
        <v>7</v>
      </c>
      <c r="I1303" s="18">
        <v>273</v>
      </c>
      <c r="J1303" s="19">
        <v>46176.7341247685</v>
      </c>
      <c r="K1303" s="6" t="s">
        <v>4880</v>
      </c>
      <c r="L1303" t="str">
        <f t="shared" si="20"/>
        <v>BOTAO VIDRO SIMPLES|46177</v>
      </c>
    </row>
    <row r="1304" ht="13.5" customHeight="1" spans="1:12">
      <c r="A1304" s="17">
        <v>46176.7348611111</v>
      </c>
      <c r="B1304" s="6" t="s">
        <v>4876</v>
      </c>
      <c r="C1304" s="6" t="s">
        <v>5701</v>
      </c>
      <c r="D1304" s="6" t="s">
        <v>4905</v>
      </c>
      <c r="E1304" s="6" t="s">
        <v>26</v>
      </c>
      <c r="F1304" s="6" t="s">
        <v>4882</v>
      </c>
      <c r="G1304" s="6" t="s">
        <v>1614</v>
      </c>
      <c r="H1304" s="6">
        <v>2</v>
      </c>
      <c r="I1304" s="18">
        <v>36.18</v>
      </c>
      <c r="J1304" s="19">
        <v>46176.740325463</v>
      </c>
      <c r="K1304" s="6" t="s">
        <v>4880</v>
      </c>
      <c r="L1304" t="str">
        <f t="shared" si="20"/>
        <v>ROLDANA CANTONEIRA 2" CX ABERTA ZINCADA AL.|46177</v>
      </c>
    </row>
    <row r="1305" ht="13.5" customHeight="1" spans="1:12">
      <c r="A1305" s="17">
        <v>46176.7348611111</v>
      </c>
      <c r="B1305" s="6" t="s">
        <v>4876</v>
      </c>
      <c r="C1305" s="6" t="s">
        <v>5701</v>
      </c>
      <c r="D1305" s="6" t="s">
        <v>4905</v>
      </c>
      <c r="E1305" s="6" t="s">
        <v>26</v>
      </c>
      <c r="F1305" s="6" t="s">
        <v>4882</v>
      </c>
      <c r="G1305" s="6" t="s">
        <v>3956</v>
      </c>
      <c r="H1305" s="6">
        <v>3</v>
      </c>
      <c r="I1305" s="18">
        <v>192.66</v>
      </c>
      <c r="J1305" s="19">
        <v>46176.740325081</v>
      </c>
      <c r="K1305" s="6" t="s">
        <v>4880</v>
      </c>
      <c r="L1305" t="str">
        <f t="shared" si="20"/>
        <v>CANTONEIRA 1X1/8 ASTM A-36 |46177</v>
      </c>
    </row>
    <row r="1306" ht="13.5" customHeight="1" spans="1:12">
      <c r="A1306" s="17">
        <v>46178.7129513889</v>
      </c>
      <c r="B1306" s="6" t="s">
        <v>4876</v>
      </c>
      <c r="C1306" s="6" t="s">
        <v>5702</v>
      </c>
      <c r="D1306" s="6" t="s">
        <v>5199</v>
      </c>
      <c r="E1306" s="6" t="s">
        <v>26</v>
      </c>
      <c r="F1306" s="6" t="s">
        <v>4882</v>
      </c>
      <c r="G1306" s="6" t="s">
        <v>3737</v>
      </c>
      <c r="H1306" s="6">
        <v>40</v>
      </c>
      <c r="I1306" s="18">
        <v>51.2</v>
      </c>
      <c r="J1306" s="19">
        <v>46178.8198561343</v>
      </c>
      <c r="K1306" s="6" t="s">
        <v>4880</v>
      </c>
      <c r="L1306" t="str">
        <f t="shared" si="20"/>
        <v>COADOR USO GERAL TINTA/PRIMER VERNIZ|46179</v>
      </c>
    </row>
    <row r="1307" ht="13.5" customHeight="1" spans="1:12">
      <c r="A1307" s="17">
        <v>46178.7129513889</v>
      </c>
      <c r="B1307" s="6" t="s">
        <v>4876</v>
      </c>
      <c r="C1307" s="6" t="s">
        <v>5702</v>
      </c>
      <c r="D1307" s="6" t="s">
        <v>5199</v>
      </c>
      <c r="E1307" s="6" t="s">
        <v>26</v>
      </c>
      <c r="F1307" s="6" t="s">
        <v>4882</v>
      </c>
      <c r="G1307" s="6" t="s">
        <v>594</v>
      </c>
      <c r="H1307" s="6">
        <v>4</v>
      </c>
      <c r="I1307" s="18">
        <v>399.32</v>
      </c>
      <c r="J1307" s="19">
        <v>46178.8198559375</v>
      </c>
      <c r="K1307" s="6" t="s">
        <v>4880</v>
      </c>
      <c r="L1307" t="str">
        <f t="shared" si="20"/>
        <v>PASTA DESENGRAXANTE 3 KG MARCA WURTH|46179</v>
      </c>
    </row>
    <row r="1308" ht="13.5" customHeight="1" spans="1:12">
      <c r="A1308" s="17">
        <v>46178.7129513889</v>
      </c>
      <c r="B1308" s="6" t="s">
        <v>4876</v>
      </c>
      <c r="C1308" s="6" t="s">
        <v>5702</v>
      </c>
      <c r="D1308" s="6" t="s">
        <v>5199</v>
      </c>
      <c r="E1308" s="6" t="s">
        <v>26</v>
      </c>
      <c r="F1308" s="6" t="s">
        <v>4882</v>
      </c>
      <c r="G1308" s="6" t="s">
        <v>802</v>
      </c>
      <c r="H1308" s="6">
        <v>30</v>
      </c>
      <c r="I1308" s="18">
        <v>627</v>
      </c>
      <c r="J1308" s="19">
        <v>46178.8198557523</v>
      </c>
      <c r="K1308" s="6" t="s">
        <v>4880</v>
      </c>
      <c r="L1308" t="str">
        <f t="shared" si="20"/>
        <v>LIMPA CONTATO 300ML|46179</v>
      </c>
    </row>
    <row r="1309" ht="13.5" customHeight="1" spans="1:12">
      <c r="A1309" s="17">
        <v>46178.7129513889</v>
      </c>
      <c r="B1309" s="6" t="s">
        <v>4876</v>
      </c>
      <c r="C1309" s="6" t="s">
        <v>5702</v>
      </c>
      <c r="D1309" s="6" t="s">
        <v>5199</v>
      </c>
      <c r="E1309" s="6" t="s">
        <v>26</v>
      </c>
      <c r="F1309" s="6" t="s">
        <v>4882</v>
      </c>
      <c r="G1309" s="6" t="s">
        <v>600</v>
      </c>
      <c r="H1309" s="6">
        <v>2</v>
      </c>
      <c r="I1309" s="18">
        <v>53.6</v>
      </c>
      <c r="J1309" s="19">
        <v>46178.8198552083</v>
      </c>
      <c r="K1309" s="6" t="s">
        <v>4880</v>
      </c>
      <c r="L1309" t="str">
        <f t="shared" si="20"/>
        <v>ADESIVO WURTH BONDER PLUS 100G|46179</v>
      </c>
    </row>
    <row r="1310" ht="13.5" customHeight="1" spans="1:12">
      <c r="A1310" s="17">
        <v>46178.7129513889</v>
      </c>
      <c r="B1310" s="6" t="s">
        <v>4876</v>
      </c>
      <c r="C1310" s="6" t="s">
        <v>5702</v>
      </c>
      <c r="D1310" s="6" t="s">
        <v>5199</v>
      </c>
      <c r="E1310" s="6" t="s">
        <v>26</v>
      </c>
      <c r="F1310" s="6" t="s">
        <v>4882</v>
      </c>
      <c r="G1310" s="6" t="s">
        <v>715</v>
      </c>
      <c r="H1310" s="6">
        <v>2</v>
      </c>
      <c r="I1310" s="18">
        <v>68.58</v>
      </c>
      <c r="J1310" s="19">
        <v>46178.8198550579</v>
      </c>
      <c r="K1310" s="6" t="s">
        <v>4880</v>
      </c>
      <c r="L1310" t="str">
        <f t="shared" si="20"/>
        <v>ANTI DESLIZANTE P/CORREIAS 220ML|46179</v>
      </c>
    </row>
    <row r="1311" ht="13.5" customHeight="1" spans="1:12">
      <c r="A1311" s="17">
        <v>46178.7129513889</v>
      </c>
      <c r="B1311" s="6" t="s">
        <v>4876</v>
      </c>
      <c r="C1311" s="6" t="s">
        <v>5702</v>
      </c>
      <c r="D1311" s="6" t="s">
        <v>5199</v>
      </c>
      <c r="E1311" s="6" t="s">
        <v>26</v>
      </c>
      <c r="F1311" s="6" t="s">
        <v>4882</v>
      </c>
      <c r="G1311" s="6" t="s">
        <v>2917</v>
      </c>
      <c r="H1311" s="6">
        <v>2</v>
      </c>
      <c r="I1311" s="18">
        <v>57.24</v>
      </c>
      <c r="J1311" s="19">
        <v>46178.8198548611</v>
      </c>
      <c r="K1311" s="6" t="s">
        <v>4880</v>
      </c>
      <c r="L1311" t="str">
        <f t="shared" si="20"/>
        <v>GRAXA BRANCA DE CAVIDADE SPRAY 200 ML 150G|46179</v>
      </c>
    </row>
    <row r="1312" ht="13.5" customHeight="1" spans="1:12">
      <c r="A1312" s="17">
        <v>46178.7129513889</v>
      </c>
      <c r="B1312" s="6" t="s">
        <v>4876</v>
      </c>
      <c r="C1312" s="6" t="s">
        <v>5702</v>
      </c>
      <c r="D1312" s="6" t="s">
        <v>5199</v>
      </c>
      <c r="E1312" s="6" t="s">
        <v>26</v>
      </c>
      <c r="F1312" s="6" t="s">
        <v>4882</v>
      </c>
      <c r="G1312" s="6" t="s">
        <v>1592</v>
      </c>
      <c r="H1312" s="6">
        <v>10</v>
      </c>
      <c r="I1312" s="18">
        <v>149.9</v>
      </c>
      <c r="J1312" s="19">
        <v>46178.8198545139</v>
      </c>
      <c r="K1312" s="6" t="s">
        <v>4880</v>
      </c>
      <c r="L1312" t="str">
        <f t="shared" si="20"/>
        <v>ROST OFF MECHANIC 300ML /200G|46179</v>
      </c>
    </row>
    <row r="1313" ht="13.5" customHeight="1" spans="1:12">
      <c r="A1313" s="17">
        <v>46178.7129513889</v>
      </c>
      <c r="B1313" s="6" t="s">
        <v>4876</v>
      </c>
      <c r="C1313" s="6" t="s">
        <v>5702</v>
      </c>
      <c r="D1313" s="6" t="s">
        <v>5199</v>
      </c>
      <c r="E1313" s="6" t="s">
        <v>26</v>
      </c>
      <c r="F1313" s="6" t="s">
        <v>4882</v>
      </c>
      <c r="G1313" s="6" t="s">
        <v>3456</v>
      </c>
      <c r="H1313" s="6">
        <v>10</v>
      </c>
      <c r="I1313" s="18">
        <v>449</v>
      </c>
      <c r="J1313" s="19">
        <v>46178.8198541319</v>
      </c>
      <c r="K1313" s="6" t="s">
        <v>4880</v>
      </c>
      <c r="L1313" t="str">
        <f t="shared" si="20"/>
        <v>DISCO CORTE PREMIUM CUT 115X1,0X22,2|46179</v>
      </c>
    </row>
    <row r="1314" ht="13.5" customHeight="1" spans="1:12">
      <c r="A1314" s="17">
        <v>46178.7129513889</v>
      </c>
      <c r="B1314" s="6" t="s">
        <v>4876</v>
      </c>
      <c r="C1314" s="6" t="s">
        <v>5702</v>
      </c>
      <c r="D1314" s="6" t="s">
        <v>5199</v>
      </c>
      <c r="E1314" s="6" t="s">
        <v>26</v>
      </c>
      <c r="F1314" s="6" t="s">
        <v>4882</v>
      </c>
      <c r="G1314" s="6" t="s">
        <v>4726</v>
      </c>
      <c r="H1314" s="6">
        <v>1</v>
      </c>
      <c r="I1314" s="18">
        <v>158.7</v>
      </c>
      <c r="J1314" s="19">
        <v>46178.8198537847</v>
      </c>
      <c r="K1314" s="6" t="s">
        <v>4880</v>
      </c>
      <c r="L1314" t="str">
        <f t="shared" si="20"/>
        <v>ABRAÇADEIRA NYLON 7,8 X 540|46179</v>
      </c>
    </row>
    <row r="1315" ht="13.5" customHeight="1" spans="1:12">
      <c r="A1315" s="17">
        <v>46178.7129513889</v>
      </c>
      <c r="B1315" s="6" t="s">
        <v>4876</v>
      </c>
      <c r="C1315" s="6" t="s">
        <v>5702</v>
      </c>
      <c r="D1315" s="6" t="s">
        <v>5199</v>
      </c>
      <c r="E1315" s="6" t="s">
        <v>26</v>
      </c>
      <c r="F1315" s="6" t="s">
        <v>4882</v>
      </c>
      <c r="G1315" s="6" t="s">
        <v>4766</v>
      </c>
      <c r="H1315" s="6">
        <v>4</v>
      </c>
      <c r="I1315" s="18">
        <v>237.52</v>
      </c>
      <c r="J1315" s="19">
        <v>46178.819853588</v>
      </c>
      <c r="K1315" s="6" t="s">
        <v>4880</v>
      </c>
      <c r="L1315" t="str">
        <f t="shared" si="20"/>
        <v>ABRAÇADEIRA 6.6 4,8X360|46179</v>
      </c>
    </row>
    <row r="1316" ht="13.5" customHeight="1" spans="1:12">
      <c r="A1316" s="17">
        <v>46178.7129513889</v>
      </c>
      <c r="B1316" s="6" t="s">
        <v>4876</v>
      </c>
      <c r="C1316" s="6" t="s">
        <v>5702</v>
      </c>
      <c r="D1316" s="6" t="s">
        <v>5199</v>
      </c>
      <c r="E1316" s="6" t="s">
        <v>26</v>
      </c>
      <c r="F1316" s="6" t="s">
        <v>4882</v>
      </c>
      <c r="G1316" s="6" t="s">
        <v>4728</v>
      </c>
      <c r="H1316" s="6">
        <v>4</v>
      </c>
      <c r="I1316" s="18">
        <v>162.8</v>
      </c>
      <c r="J1316" s="19">
        <v>46178.8198533912</v>
      </c>
      <c r="K1316" s="6" t="s">
        <v>4880</v>
      </c>
      <c r="L1316" t="str">
        <f t="shared" si="20"/>
        <v>ABRAÇADEIRA NYLON 6.6 4,8X280|46179</v>
      </c>
    </row>
    <row r="1317" ht="13.5" customHeight="1" spans="1:12">
      <c r="A1317" s="17">
        <v>46178.7129513889</v>
      </c>
      <c r="B1317" s="6" t="s">
        <v>4876</v>
      </c>
      <c r="C1317" s="6" t="s">
        <v>5702</v>
      </c>
      <c r="D1317" s="6" t="s">
        <v>5199</v>
      </c>
      <c r="E1317" s="6" t="s">
        <v>26</v>
      </c>
      <c r="F1317" s="6" t="s">
        <v>4882</v>
      </c>
      <c r="G1317" s="6" t="s">
        <v>4729</v>
      </c>
      <c r="H1317" s="6">
        <v>4</v>
      </c>
      <c r="I1317" s="18">
        <v>114.8</v>
      </c>
      <c r="J1317" s="19">
        <v>46178.819853044</v>
      </c>
      <c r="K1317" s="6" t="s">
        <v>4880</v>
      </c>
      <c r="L1317" t="str">
        <f t="shared" si="20"/>
        <v>ABRAÇADEIRA NYLON 6.6 3,6 X 280MM PRETA|46179</v>
      </c>
    </row>
    <row r="1318" ht="13.5" customHeight="1" spans="1:12">
      <c r="A1318" s="17">
        <v>46178.7129513889</v>
      </c>
      <c r="B1318" s="6" t="s">
        <v>4876</v>
      </c>
      <c r="C1318" s="6" t="s">
        <v>5702</v>
      </c>
      <c r="D1318" s="6" t="s">
        <v>5199</v>
      </c>
      <c r="E1318" s="6" t="s">
        <v>26</v>
      </c>
      <c r="F1318" s="6" t="s">
        <v>4882</v>
      </c>
      <c r="G1318" s="6" t="s">
        <v>4736</v>
      </c>
      <c r="H1318" s="6">
        <v>4</v>
      </c>
      <c r="I1318" s="18">
        <v>139.96</v>
      </c>
      <c r="J1318" s="19">
        <v>46178.8198519676</v>
      </c>
      <c r="K1318" s="6" t="s">
        <v>4880</v>
      </c>
      <c r="L1318" t="str">
        <f t="shared" si="20"/>
        <v>ABRAÇADEIRA NYLOM 6.6 BRANCA |46179</v>
      </c>
    </row>
    <row r="1319" ht="13.5" customHeight="1" spans="1:12">
      <c r="A1319" s="17">
        <v>46181.7475462963</v>
      </c>
      <c r="B1319" s="6" t="s">
        <v>4876</v>
      </c>
      <c r="C1319" s="6" t="s">
        <v>5703</v>
      </c>
      <c r="D1319" s="6" t="s">
        <v>5224</v>
      </c>
      <c r="E1319" s="6" t="s">
        <v>26</v>
      </c>
      <c r="F1319" s="6" t="s">
        <v>4882</v>
      </c>
      <c r="G1319" s="6" t="s">
        <v>635</v>
      </c>
      <c r="H1319" s="6">
        <v>1</v>
      </c>
      <c r="I1319" s="18">
        <v>135</v>
      </c>
      <c r="J1319" s="19">
        <v>46181.7490702546</v>
      </c>
      <c r="K1319" s="6" t="s">
        <v>4880</v>
      </c>
      <c r="L1319" t="str">
        <f t="shared" si="20"/>
        <v>RAÇÃO P/ PEIXE (LAGUNA)|46182</v>
      </c>
    </row>
    <row r="1320" ht="13.5" customHeight="1" spans="1:12">
      <c r="A1320" s="17">
        <v>46181.7496064815</v>
      </c>
      <c r="B1320" s="6" t="s">
        <v>4876</v>
      </c>
      <c r="C1320" s="6" t="s">
        <v>5704</v>
      </c>
      <c r="D1320" s="6" t="s">
        <v>109</v>
      </c>
      <c r="E1320" s="6" t="s">
        <v>26</v>
      </c>
      <c r="F1320" s="6" t="s">
        <v>4882</v>
      </c>
      <c r="G1320" s="6" t="s">
        <v>471</v>
      </c>
      <c r="H1320" s="6">
        <v>20</v>
      </c>
      <c r="I1320" s="18">
        <v>1560</v>
      </c>
      <c r="J1320" s="19">
        <v>46181.8273237269</v>
      </c>
      <c r="K1320" s="6" t="s">
        <v>4880</v>
      </c>
      <c r="L1320" t="str">
        <f t="shared" si="20"/>
        <v>PAPEL TOALHA BOBINA CARIOCA GOLD 58|46182</v>
      </c>
    </row>
    <row r="1321" ht="13.5" customHeight="1" spans="1:12">
      <c r="A1321" s="17">
        <v>46181.8289814815</v>
      </c>
      <c r="B1321" s="6" t="s">
        <v>4876</v>
      </c>
      <c r="C1321" s="6" t="s">
        <v>5705</v>
      </c>
      <c r="D1321" s="6" t="s">
        <v>5647</v>
      </c>
      <c r="E1321" s="6" t="s">
        <v>26</v>
      </c>
      <c r="F1321" s="6" t="s">
        <v>4882</v>
      </c>
      <c r="G1321" s="6" t="s">
        <v>556</v>
      </c>
      <c r="H1321" s="6">
        <v>2</v>
      </c>
      <c r="I1321" s="18">
        <v>59.8</v>
      </c>
      <c r="J1321" s="19">
        <v>46181.8351023958</v>
      </c>
      <c r="K1321" s="6" t="s">
        <v>4880</v>
      </c>
      <c r="L1321" t="str">
        <f t="shared" si="20"/>
        <v>PER CERA PRETA PEROLA 250ML ESTETICA |46182</v>
      </c>
    </row>
    <row r="1322" ht="13.5" customHeight="1" spans="1:12">
      <c r="A1322" s="17">
        <v>46181.8289814815</v>
      </c>
      <c r="B1322" s="6" t="s">
        <v>4876</v>
      </c>
      <c r="C1322" s="6" t="s">
        <v>5705</v>
      </c>
      <c r="D1322" s="6" t="s">
        <v>5647</v>
      </c>
      <c r="E1322" s="6" t="s">
        <v>26</v>
      </c>
      <c r="F1322" s="6" t="s">
        <v>4882</v>
      </c>
      <c r="G1322" s="6" t="s">
        <v>4499</v>
      </c>
      <c r="H1322" s="6">
        <v>2</v>
      </c>
      <c r="I1322" s="18">
        <v>28.96</v>
      </c>
      <c r="J1322" s="19">
        <v>46181.8351020486</v>
      </c>
      <c r="K1322" s="6" t="s">
        <v>4880</v>
      </c>
      <c r="L1322" t="str">
        <f t="shared" si="20"/>
        <v>AUT FLANELA AMARELA 60X40 S/COSTURA ESTETICA|46182</v>
      </c>
    </row>
    <row r="1323" ht="13.5" customHeight="1" spans="1:12">
      <c r="A1323" s="17">
        <v>46182.6152777778</v>
      </c>
      <c r="B1323" s="6" t="s">
        <v>4876</v>
      </c>
      <c r="C1323" s="6" t="s">
        <v>5706</v>
      </c>
      <c r="D1323" s="6" t="s">
        <v>4926</v>
      </c>
      <c r="E1323" s="6" t="s">
        <v>26</v>
      </c>
      <c r="F1323" s="6" t="s">
        <v>4882</v>
      </c>
      <c r="G1323" s="6" t="s">
        <v>674</v>
      </c>
      <c r="H1323" s="6">
        <v>2</v>
      </c>
      <c r="I1323" s="18">
        <v>898</v>
      </c>
      <c r="J1323" s="19">
        <v>46188.6177860301</v>
      </c>
      <c r="K1323" s="6" t="s">
        <v>4880</v>
      </c>
      <c r="L1323" t="str">
        <f t="shared" si="20"/>
        <v>FITA DBA 9MM ROLOS COM 4.000MTS|46183</v>
      </c>
    </row>
    <row r="1324" ht="13.5" customHeight="1" spans="1:12">
      <c r="A1324" s="17">
        <v>46182.6180555556</v>
      </c>
      <c r="B1324" s="6" t="s">
        <v>4876</v>
      </c>
      <c r="C1324" s="6" t="s">
        <v>5707</v>
      </c>
      <c r="D1324" s="6" t="s">
        <v>5708</v>
      </c>
      <c r="E1324" s="6" t="s">
        <v>26</v>
      </c>
      <c r="F1324" s="6" t="s">
        <v>4882</v>
      </c>
      <c r="G1324" s="6" t="s">
        <v>675</v>
      </c>
      <c r="H1324" s="6">
        <v>2</v>
      </c>
      <c r="I1324" s="18">
        <v>115.78</v>
      </c>
      <c r="J1324" s="19">
        <v>46188.628184375</v>
      </c>
      <c r="K1324" s="6" t="s">
        <v>4880</v>
      </c>
      <c r="L1324" t="str">
        <f t="shared" si="20"/>
        <v>BANDEJA AÇOUGUE CAIXA VERMELHA 40L|46183</v>
      </c>
    </row>
    <row r="1325" ht="13.5" customHeight="1" spans="1:12">
      <c r="A1325" s="17">
        <v>46182.6715740741</v>
      </c>
      <c r="B1325" s="6" t="s">
        <v>4876</v>
      </c>
      <c r="C1325" s="6" t="s">
        <v>5709</v>
      </c>
      <c r="D1325" s="6" t="s">
        <v>5710</v>
      </c>
      <c r="E1325" s="6" t="s">
        <v>26</v>
      </c>
      <c r="F1325" s="6" t="s">
        <v>4882</v>
      </c>
      <c r="G1325" s="6" t="s">
        <v>33</v>
      </c>
      <c r="H1325" s="6">
        <v>4</v>
      </c>
      <c r="I1325" s="18">
        <v>968</v>
      </c>
      <c r="J1325" s="19">
        <v>46182.6855526968</v>
      </c>
      <c r="K1325" s="6" t="s">
        <v>4880</v>
      </c>
      <c r="L1325" t="str">
        <f t="shared" si="20"/>
        <v>OLEO 175PZ DANFOS 160PZ|46183</v>
      </c>
    </row>
    <row r="1326" ht="13.5" customHeight="1" spans="1:12">
      <c r="A1326" s="17">
        <v>46182.6862152778</v>
      </c>
      <c r="B1326" s="6" t="s">
        <v>4876</v>
      </c>
      <c r="C1326" s="6" t="s">
        <v>5711</v>
      </c>
      <c r="D1326" s="6" t="s">
        <v>5147</v>
      </c>
      <c r="E1326" s="6" t="s">
        <v>35</v>
      </c>
      <c r="F1326" s="6" t="s">
        <v>4879</v>
      </c>
      <c r="G1326" s="6" t="s">
        <v>836</v>
      </c>
      <c r="H1326" s="6">
        <v>29.9</v>
      </c>
      <c r="I1326" s="18">
        <v>13305.5</v>
      </c>
      <c r="J1326" s="19">
        <v>46182.6909549421</v>
      </c>
      <c r="K1326" s="6" t="s">
        <v>4880</v>
      </c>
      <c r="L1326" t="str">
        <f t="shared" si="20"/>
        <v>SCS PLAST 20.0 X30.0 790013|46183</v>
      </c>
    </row>
    <row r="1327" ht="13.5" customHeight="1" spans="1:12">
      <c r="A1327" s="17">
        <v>46182.6928703704</v>
      </c>
      <c r="B1327" s="6" t="s">
        <v>4876</v>
      </c>
      <c r="C1327" s="6" t="s">
        <v>5712</v>
      </c>
      <c r="D1327" s="6" t="s">
        <v>5411</v>
      </c>
      <c r="E1327" s="6" t="s">
        <v>35</v>
      </c>
      <c r="F1327" s="6" t="s">
        <v>4879</v>
      </c>
      <c r="G1327" s="6" t="s">
        <v>393</v>
      </c>
      <c r="H1327" s="6">
        <v>200</v>
      </c>
      <c r="I1327" s="18">
        <v>4632</v>
      </c>
      <c r="J1327" s="19">
        <v>46182.6950805208</v>
      </c>
      <c r="K1327" s="6" t="s">
        <v>4880</v>
      </c>
      <c r="L1327" t="str">
        <f t="shared" si="20"/>
        <v>OLEO M-DELVAC MODERN 15W40 SD V3 MARCA M-DELVAC|46183</v>
      </c>
    </row>
    <row r="1328" ht="13.5" customHeight="1" spans="1:12">
      <c r="A1328" s="17">
        <v>46182.6954282407</v>
      </c>
      <c r="B1328" s="6" t="s">
        <v>4876</v>
      </c>
      <c r="C1328" s="6" t="s">
        <v>5713</v>
      </c>
      <c r="D1328" s="6" t="s">
        <v>4919</v>
      </c>
      <c r="E1328" s="6" t="s">
        <v>26</v>
      </c>
      <c r="F1328" s="6" t="s">
        <v>4882</v>
      </c>
      <c r="G1328" s="6" t="s">
        <v>1421</v>
      </c>
      <c r="H1328" s="6">
        <v>5</v>
      </c>
      <c r="I1328" s="18">
        <v>345.5</v>
      </c>
      <c r="J1328" s="19">
        <v>46182.6969037037</v>
      </c>
      <c r="K1328" s="6" t="s">
        <v>4880</v>
      </c>
      <c r="L1328" t="str">
        <f t="shared" si="20"/>
        <v>SKY PRIMER PU CINZA |46183</v>
      </c>
    </row>
    <row r="1329" ht="13.5" customHeight="1" spans="1:12">
      <c r="A1329" s="17">
        <v>46182.6971759259</v>
      </c>
      <c r="B1329" s="6" t="s">
        <v>4876</v>
      </c>
      <c r="C1329" s="6" t="s">
        <v>5714</v>
      </c>
      <c r="D1329" s="6" t="s">
        <v>110</v>
      </c>
      <c r="E1329" s="6" t="s">
        <v>26</v>
      </c>
      <c r="F1329" s="6" t="s">
        <v>4882</v>
      </c>
      <c r="G1329" s="6" t="s">
        <v>2411</v>
      </c>
      <c r="H1329" s="6">
        <v>10</v>
      </c>
      <c r="I1329" s="18">
        <v>700</v>
      </c>
      <c r="J1329" s="19">
        <v>46182.7051734144</v>
      </c>
      <c r="K1329" s="6" t="s">
        <v>4880</v>
      </c>
      <c r="L1329" t="str">
        <f t="shared" si="20"/>
        <v>MOLA CUICA FREIO 16X24|46183</v>
      </c>
    </row>
    <row r="1330" ht="13.5" customHeight="1" spans="1:12">
      <c r="A1330" s="17">
        <v>46182.6971759259</v>
      </c>
      <c r="B1330" s="6" t="s">
        <v>4876</v>
      </c>
      <c r="C1330" s="6" t="s">
        <v>5714</v>
      </c>
      <c r="D1330" s="6" t="s">
        <v>110</v>
      </c>
      <c r="E1330" s="6" t="s">
        <v>26</v>
      </c>
      <c r="F1330" s="6" t="s">
        <v>4882</v>
      </c>
      <c r="G1330" s="6" t="s">
        <v>3465</v>
      </c>
      <c r="H1330" s="6">
        <v>10</v>
      </c>
      <c r="I1330" s="18">
        <v>280</v>
      </c>
      <c r="J1330" s="19">
        <v>46182.7051730671</v>
      </c>
      <c r="K1330" s="6" t="s">
        <v>4880</v>
      </c>
      <c r="L1330" t="str">
        <f t="shared" si="20"/>
        <v>DIAFRAGMA 7|46183</v>
      </c>
    </row>
    <row r="1331" ht="13.5" customHeight="1" spans="1:12">
      <c r="A1331" s="17">
        <v>46182.6971759259</v>
      </c>
      <c r="B1331" s="6" t="s">
        <v>4876</v>
      </c>
      <c r="C1331" s="6" t="s">
        <v>5714</v>
      </c>
      <c r="D1331" s="6" t="s">
        <v>110</v>
      </c>
      <c r="E1331" s="6" t="s">
        <v>26</v>
      </c>
      <c r="F1331" s="6" t="s">
        <v>4882</v>
      </c>
      <c r="G1331" s="6" t="s">
        <v>3466</v>
      </c>
      <c r="H1331" s="6">
        <v>10</v>
      </c>
      <c r="I1331" s="18">
        <v>280</v>
      </c>
      <c r="J1331" s="19">
        <v>46182.7051721412</v>
      </c>
      <c r="K1331" s="6" t="s">
        <v>4880</v>
      </c>
      <c r="L1331" t="str">
        <f t="shared" si="20"/>
        <v>DIAFRAGMA 6/12|46183</v>
      </c>
    </row>
    <row r="1332" ht="13.5" customHeight="1" spans="1:12">
      <c r="A1332" s="17">
        <v>46183.8169212963</v>
      </c>
      <c r="B1332" s="6" t="s">
        <v>4876</v>
      </c>
      <c r="C1332" s="6" t="s">
        <v>5715</v>
      </c>
      <c r="D1332" s="6" t="s">
        <v>4971</v>
      </c>
      <c r="E1332" s="6" t="s">
        <v>26</v>
      </c>
      <c r="F1332" s="6" t="s">
        <v>4882</v>
      </c>
      <c r="G1332" s="6" t="s">
        <v>2902</v>
      </c>
      <c r="H1332" s="6">
        <v>3</v>
      </c>
      <c r="I1332" s="18">
        <v>140.82</v>
      </c>
      <c r="J1332" s="19">
        <v>46183.8194338773</v>
      </c>
      <c r="K1332" s="6" t="s">
        <v>4880</v>
      </c>
      <c r="L1332" t="str">
        <f t="shared" si="20"/>
        <v>HAGA 32021 CADEADO HIGH SECURITY 35  LONGO ZCR BRLIST N/C|46184</v>
      </c>
    </row>
    <row r="1333" ht="13.5" customHeight="1" spans="1:12">
      <c r="A1333" s="17">
        <v>46183.8239930556</v>
      </c>
      <c r="B1333" s="6" t="s">
        <v>4876</v>
      </c>
      <c r="C1333" s="6" t="s">
        <v>5716</v>
      </c>
      <c r="D1333" s="6" t="s">
        <v>4971</v>
      </c>
      <c r="E1333" s="6" t="s">
        <v>26</v>
      </c>
      <c r="F1333" s="6" t="s">
        <v>4882</v>
      </c>
      <c r="G1333" s="6" t="s">
        <v>3603</v>
      </c>
      <c r="H1333" s="6">
        <v>408</v>
      </c>
      <c r="I1333" s="18">
        <v>408</v>
      </c>
      <c r="J1333" s="19">
        <v>46183.830362581</v>
      </c>
      <c r="K1333" s="6" t="s">
        <v>4880</v>
      </c>
      <c r="L1333" t="str">
        <f t="shared" si="20"/>
        <v>CORDA TROPICAL BRANCA 4MM|46184</v>
      </c>
    </row>
    <row r="1334" ht="13.5" customHeight="1" spans="1:12">
      <c r="A1334" s="17">
        <v>46183.8239930556</v>
      </c>
      <c r="B1334" s="6" t="s">
        <v>4876</v>
      </c>
      <c r="C1334" s="6" t="s">
        <v>5716</v>
      </c>
      <c r="D1334" s="6" t="s">
        <v>4971</v>
      </c>
      <c r="E1334" s="6" t="s">
        <v>26</v>
      </c>
      <c r="F1334" s="6" t="s">
        <v>4882</v>
      </c>
      <c r="G1334" s="6" t="s">
        <v>3602</v>
      </c>
      <c r="H1334" s="6">
        <v>58</v>
      </c>
      <c r="I1334" s="18">
        <v>68.44</v>
      </c>
      <c r="J1334" s="19">
        <v>46183.8303623843</v>
      </c>
      <c r="K1334" s="6" t="s">
        <v>4880</v>
      </c>
      <c r="L1334" t="str">
        <f t="shared" si="20"/>
        <v>CORDA TROPICAL COLORIDA 4MM|46184</v>
      </c>
    </row>
    <row r="1335" ht="13.5" customHeight="1" spans="1:12">
      <c r="A1335" s="17">
        <v>46183.8239930556</v>
      </c>
      <c r="B1335" s="6" t="s">
        <v>4876</v>
      </c>
      <c r="C1335" s="6" t="s">
        <v>5716</v>
      </c>
      <c r="D1335" s="6" t="s">
        <v>4971</v>
      </c>
      <c r="E1335" s="6" t="s">
        <v>26</v>
      </c>
      <c r="F1335" s="6" t="s">
        <v>4882</v>
      </c>
      <c r="G1335" s="6" t="s">
        <v>3559</v>
      </c>
      <c r="H1335" s="6">
        <v>190</v>
      </c>
      <c r="I1335" s="18">
        <v>241.3</v>
      </c>
      <c r="J1335" s="19">
        <v>46183.8303621875</v>
      </c>
      <c r="K1335" s="6" t="s">
        <v>4880</v>
      </c>
      <c r="L1335" t="str">
        <f t="shared" si="20"/>
        <v>CORTAG 63041 CORDA TROPICAL BRANCA 5MM|46184</v>
      </c>
    </row>
    <row r="1336" ht="13.5" customHeight="1" spans="1:12">
      <c r="A1336" s="17">
        <v>46183.8307060185</v>
      </c>
      <c r="B1336" s="6" t="s">
        <v>4876</v>
      </c>
      <c r="C1336" s="6" t="s">
        <v>5717</v>
      </c>
      <c r="D1336" s="6" t="s">
        <v>4884</v>
      </c>
      <c r="E1336" s="6" t="s">
        <v>26</v>
      </c>
      <c r="F1336" s="6" t="s">
        <v>4882</v>
      </c>
      <c r="G1336" s="6" t="s">
        <v>4497</v>
      </c>
      <c r="H1336" s="6">
        <v>2</v>
      </c>
      <c r="I1336" s="18">
        <v>799.9</v>
      </c>
      <c r="J1336" s="19">
        <v>46183.8322182523</v>
      </c>
      <c r="K1336" s="6" t="s">
        <v>4880</v>
      </c>
      <c r="L1336" t="str">
        <f t="shared" si="20"/>
        <v>AUTOJET PL 2CV|46184</v>
      </c>
    </row>
    <row r="1337" ht="13.5" customHeight="1" spans="1:12">
      <c r="A1337" s="17">
        <v>46183.8328240741</v>
      </c>
      <c r="B1337" s="6" t="s">
        <v>4876</v>
      </c>
      <c r="C1337" s="6" t="s">
        <v>5718</v>
      </c>
      <c r="D1337" s="6" t="s">
        <v>5175</v>
      </c>
      <c r="E1337" s="6" t="s">
        <v>26</v>
      </c>
      <c r="F1337" s="6" t="s">
        <v>4882</v>
      </c>
      <c r="G1337" s="6" t="s">
        <v>405</v>
      </c>
      <c r="H1337" s="6">
        <v>1</v>
      </c>
      <c r="I1337" s="18">
        <v>610</v>
      </c>
      <c r="J1337" s="19">
        <v>46183.8397711458</v>
      </c>
      <c r="K1337" s="6" t="s">
        <v>4880</v>
      </c>
      <c r="L1337" t="str">
        <f t="shared" si="20"/>
        <v>VALVULA ABS VW|46184</v>
      </c>
    </row>
    <row r="1338" ht="13.5" customHeight="1" spans="1:12">
      <c r="A1338" s="17">
        <v>46184.6373958333</v>
      </c>
      <c r="B1338" s="6" t="s">
        <v>4876</v>
      </c>
      <c r="C1338" s="6" t="s">
        <v>5719</v>
      </c>
      <c r="D1338" s="6" t="s">
        <v>109</v>
      </c>
      <c r="E1338" s="6" t="s">
        <v>26</v>
      </c>
      <c r="F1338" s="6" t="s">
        <v>4882</v>
      </c>
      <c r="G1338" s="6" t="s">
        <v>1450</v>
      </c>
      <c r="H1338" s="6">
        <v>1</v>
      </c>
      <c r="I1338" s="18">
        <v>1143.03</v>
      </c>
      <c r="J1338" s="19">
        <v>46184.6471294329</v>
      </c>
      <c r="K1338" s="6" t="s">
        <v>4880</v>
      </c>
      <c r="L1338" t="str">
        <f t="shared" si="20"/>
        <v>SEVEN AMACIANTE EL PASSO 50LTS|46185</v>
      </c>
    </row>
    <row r="1339" ht="13.5" customHeight="1" spans="1:12">
      <c r="A1339" s="17">
        <v>46184.6373958333</v>
      </c>
      <c r="B1339" s="6" t="s">
        <v>4876</v>
      </c>
      <c r="C1339" s="6" t="s">
        <v>5719</v>
      </c>
      <c r="D1339" s="6" t="s">
        <v>109</v>
      </c>
      <c r="E1339" s="6" t="s">
        <v>26</v>
      </c>
      <c r="F1339" s="6" t="s">
        <v>4882</v>
      </c>
      <c r="G1339" s="6" t="s">
        <v>2660</v>
      </c>
      <c r="H1339" s="6">
        <v>1</v>
      </c>
      <c r="I1339" s="18">
        <v>944.48</v>
      </c>
      <c r="J1339" s="19">
        <v>46184.6471292477</v>
      </c>
      <c r="K1339" s="6" t="s">
        <v>4880</v>
      </c>
      <c r="L1339" t="str">
        <f t="shared" si="20"/>
        <v>LIM+ DETERGENTELAVA ROUPAS 50L|46185</v>
      </c>
    </row>
    <row r="1340" ht="13.5" customHeight="1" spans="1:12">
      <c r="A1340" s="17">
        <v>46184.6373958333</v>
      </c>
      <c r="B1340" s="6" t="s">
        <v>4876</v>
      </c>
      <c r="C1340" s="6" t="s">
        <v>5719</v>
      </c>
      <c r="D1340" s="6" t="s">
        <v>109</v>
      </c>
      <c r="E1340" s="6" t="s">
        <v>26</v>
      </c>
      <c r="F1340" s="6" t="s">
        <v>4882</v>
      </c>
      <c r="G1340" s="6" t="s">
        <v>1449</v>
      </c>
      <c r="H1340" s="6">
        <v>1</v>
      </c>
      <c r="I1340" s="18">
        <v>1357.19</v>
      </c>
      <c r="J1340" s="19">
        <v>46184.6471285532</v>
      </c>
      <c r="K1340" s="6" t="s">
        <v>4880</v>
      </c>
      <c r="L1340" t="str">
        <f t="shared" si="20"/>
        <v>SEVEN DETERGENTE ACIDO CHX 50LTS LAVA ROUPA|46185</v>
      </c>
    </row>
    <row r="1341" ht="13.5" customHeight="1" spans="1:12">
      <c r="A1341" s="17">
        <v>46184.6832986111</v>
      </c>
      <c r="B1341" s="6" t="s">
        <v>4876</v>
      </c>
      <c r="C1341" s="6" t="s">
        <v>5720</v>
      </c>
      <c r="D1341" s="6" t="s">
        <v>5721</v>
      </c>
      <c r="E1341" s="6" t="s">
        <v>26</v>
      </c>
      <c r="F1341" s="6" t="s">
        <v>4882</v>
      </c>
      <c r="G1341" s="6" t="s">
        <v>677</v>
      </c>
      <c r="H1341" s="6">
        <v>1</v>
      </c>
      <c r="I1341" s="18">
        <v>175.34</v>
      </c>
      <c r="J1341" s="19">
        <v>46184.6945935185</v>
      </c>
      <c r="K1341" s="6" t="s">
        <v>4880</v>
      </c>
      <c r="L1341" t="str">
        <f t="shared" si="20"/>
        <v>SEGURANÇA E MEDICINA DO TRABALHO-93ª EDIÇÃO 2026|46185</v>
      </c>
    </row>
    <row r="1342" ht="13.5" customHeight="1" spans="1:12">
      <c r="A1342" s="17">
        <v>46184.7000925926</v>
      </c>
      <c r="B1342" s="6" t="s">
        <v>4876</v>
      </c>
      <c r="C1342" s="6" t="s">
        <v>5722</v>
      </c>
      <c r="D1342" s="6" t="s">
        <v>4956</v>
      </c>
      <c r="E1342" s="6" t="s">
        <v>26</v>
      </c>
      <c r="F1342" s="6" t="s">
        <v>4882</v>
      </c>
      <c r="G1342" s="6" t="s">
        <v>1037</v>
      </c>
      <c r="H1342" s="6">
        <v>3</v>
      </c>
      <c r="I1342" s="18">
        <v>18</v>
      </c>
      <c r="J1342" s="19">
        <v>46184.7018091782</v>
      </c>
      <c r="K1342" s="6" t="s">
        <v>4880</v>
      </c>
      <c r="L1342" t="str">
        <f t="shared" si="20"/>
        <v>UNIÃO PU DE 4MM|46185</v>
      </c>
    </row>
    <row r="1343" ht="13.5" customHeight="1" spans="1:12">
      <c r="A1343" s="17">
        <v>46184.7131712963</v>
      </c>
      <c r="B1343" s="6" t="s">
        <v>4876</v>
      </c>
      <c r="C1343" s="6" t="s">
        <v>5723</v>
      </c>
      <c r="D1343" s="6" t="s">
        <v>4954</v>
      </c>
      <c r="E1343" s="6" t="s">
        <v>26</v>
      </c>
      <c r="F1343" s="6" t="s">
        <v>4882</v>
      </c>
      <c r="G1343" s="6" t="s">
        <v>1261</v>
      </c>
      <c r="H1343" s="6">
        <v>1</v>
      </c>
      <c r="I1343" s="18">
        <v>33</v>
      </c>
      <c r="J1343" s="19">
        <v>46184.715727581</v>
      </c>
      <c r="K1343" s="6" t="s">
        <v>4880</v>
      </c>
      <c r="L1343" t="str">
        <f t="shared" si="20"/>
        <v>TANQUE TAMPA EXPANSÃO - CONTSTEL. (07...) / 2871|46185</v>
      </c>
    </row>
    <row r="1344" ht="13.5" customHeight="1" spans="1:12">
      <c r="A1344" s="17">
        <v>46184.7207523148</v>
      </c>
      <c r="B1344" s="6" t="s">
        <v>4876</v>
      </c>
      <c r="C1344" s="6" t="s">
        <v>5724</v>
      </c>
      <c r="D1344" s="6" t="s">
        <v>5118</v>
      </c>
      <c r="E1344" s="6" t="s">
        <v>26</v>
      </c>
      <c r="F1344" s="6" t="s">
        <v>4882</v>
      </c>
      <c r="G1344" s="6" t="s">
        <v>564</v>
      </c>
      <c r="H1344" s="6">
        <v>1</v>
      </c>
      <c r="I1344" s="18">
        <v>177.5</v>
      </c>
      <c r="J1344" s="19">
        <v>46184.7309739583</v>
      </c>
      <c r="K1344" s="6" t="s">
        <v>4880</v>
      </c>
      <c r="L1344" t="str">
        <f t="shared" si="20"/>
        <v>PNEU 90/90 -18 MR5 C/CAMARA PREDA|46185</v>
      </c>
    </row>
    <row r="1345" ht="13.5" customHeight="1" spans="1:12">
      <c r="A1345" s="17">
        <v>46184.7207523148</v>
      </c>
      <c r="B1345" s="6" t="s">
        <v>4876</v>
      </c>
      <c r="C1345" s="6" t="s">
        <v>5724</v>
      </c>
      <c r="D1345" s="6" t="s">
        <v>5118</v>
      </c>
      <c r="E1345" s="6" t="s">
        <v>26</v>
      </c>
      <c r="F1345" s="6" t="s">
        <v>4882</v>
      </c>
      <c r="G1345" s="6" t="s">
        <v>4032</v>
      </c>
      <c r="H1345" s="6">
        <v>1</v>
      </c>
      <c r="I1345" s="18">
        <v>20.9</v>
      </c>
      <c r="J1345" s="19">
        <v>46184.7309730671</v>
      </c>
      <c r="K1345" s="6" t="s">
        <v>4880</v>
      </c>
      <c r="L1345" t="str">
        <f t="shared" si="20"/>
        <v>CAMARA VG 18 VULCAN BOR|46185</v>
      </c>
    </row>
    <row r="1346" ht="13.5" customHeight="1" spans="1:12">
      <c r="A1346" s="17">
        <v>46184.733912037</v>
      </c>
      <c r="B1346" s="6" t="s">
        <v>4876</v>
      </c>
      <c r="C1346" s="6" t="s">
        <v>5725</v>
      </c>
      <c r="D1346" s="6" t="s">
        <v>4979</v>
      </c>
      <c r="E1346" s="6" t="s">
        <v>35</v>
      </c>
      <c r="F1346" s="6" t="s">
        <v>4879</v>
      </c>
      <c r="G1346" s="6" t="s">
        <v>2621</v>
      </c>
      <c r="H1346" s="6">
        <v>1</v>
      </c>
      <c r="I1346" s="18">
        <v>610</v>
      </c>
      <c r="J1346" s="19">
        <v>46184.8065385764</v>
      </c>
      <c r="K1346" s="6" t="s">
        <v>4880</v>
      </c>
      <c r="L1346" t="str">
        <f t="shared" ref="L1346:L1409" si="21">IF(G1346="","",G1346&amp;"|"&amp;TEXT(A1346,"0"))</f>
        <v>LU CHICOTE|46185</v>
      </c>
    </row>
    <row r="1347" ht="13.5" customHeight="1" spans="1:12">
      <c r="A1347" s="17">
        <v>46184.733912037</v>
      </c>
      <c r="B1347" s="6" t="s">
        <v>4876</v>
      </c>
      <c r="C1347" s="6" t="s">
        <v>5725</v>
      </c>
      <c r="D1347" s="6" t="s">
        <v>4979</v>
      </c>
      <c r="E1347" s="6" t="s">
        <v>35</v>
      </c>
      <c r="F1347" s="6" t="s">
        <v>4879</v>
      </c>
      <c r="G1347" s="6" t="s">
        <v>1283</v>
      </c>
      <c r="H1347" s="6">
        <v>5</v>
      </c>
      <c r="I1347" s="18">
        <v>55</v>
      </c>
      <c r="J1347" s="19">
        <v>46184.8065382292</v>
      </c>
      <c r="K1347" s="6" t="s">
        <v>4880</v>
      </c>
      <c r="L1347" t="str">
        <f t="shared" si="21"/>
        <v>TAMPA DE FECHAMENTO|46185</v>
      </c>
    </row>
    <row r="1348" ht="13.5" customHeight="1" spans="1:12">
      <c r="A1348" s="17">
        <v>46184.733912037</v>
      </c>
      <c r="B1348" s="6" t="s">
        <v>4876</v>
      </c>
      <c r="C1348" s="6" t="s">
        <v>5725</v>
      </c>
      <c r="D1348" s="6" t="s">
        <v>4979</v>
      </c>
      <c r="E1348" s="6" t="s">
        <v>35</v>
      </c>
      <c r="F1348" s="6" t="s">
        <v>4879</v>
      </c>
      <c r="G1348" s="6" t="s">
        <v>2619</v>
      </c>
      <c r="H1348" s="6">
        <v>5</v>
      </c>
      <c r="I1348" s="18">
        <v>1445</v>
      </c>
      <c r="J1348" s="19">
        <v>46184.8065378472</v>
      </c>
      <c r="K1348" s="6" t="s">
        <v>4880</v>
      </c>
      <c r="L1348" t="str">
        <f t="shared" si="21"/>
        <v>LU PUNHO PARA ALAVANCA DE MUDANÇAS |46185</v>
      </c>
    </row>
    <row r="1349" ht="13.5" customHeight="1" spans="1:12">
      <c r="A1349" s="17">
        <v>46185.5869675926</v>
      </c>
      <c r="B1349" s="6" t="s">
        <v>4876</v>
      </c>
      <c r="C1349" s="6" t="s">
        <v>5726</v>
      </c>
      <c r="D1349" s="6" t="s">
        <v>4971</v>
      </c>
      <c r="E1349" s="6" t="s">
        <v>26</v>
      </c>
      <c r="F1349" s="6" t="s">
        <v>4882</v>
      </c>
      <c r="G1349" s="6" t="s">
        <v>3772</v>
      </c>
      <c r="H1349" s="6">
        <v>1</v>
      </c>
      <c r="I1349" s="18">
        <v>36.35</v>
      </c>
      <c r="J1349" s="19">
        <v>46185.6082325579</v>
      </c>
      <c r="K1349" s="6" t="s">
        <v>4880</v>
      </c>
      <c r="L1349" t="str">
        <f t="shared" si="21"/>
        <v>CIMENTO MIZU CPIII 40 RS 50KG|46186</v>
      </c>
    </row>
    <row r="1350" ht="13.5" customHeight="1" spans="1:12">
      <c r="A1350" s="17">
        <v>46185.6097222222</v>
      </c>
      <c r="B1350" s="6" t="s">
        <v>4876</v>
      </c>
      <c r="C1350" s="6" t="s">
        <v>5727</v>
      </c>
      <c r="D1350" s="6" t="s">
        <v>5063</v>
      </c>
      <c r="E1350" s="6" t="s">
        <v>26</v>
      </c>
      <c r="F1350" s="6" t="s">
        <v>4882</v>
      </c>
      <c r="G1350" s="6" t="s">
        <v>3373</v>
      </c>
      <c r="H1350" s="6">
        <v>2</v>
      </c>
      <c r="I1350" s="18">
        <v>401</v>
      </c>
      <c r="J1350" s="19">
        <v>46188.6147415162</v>
      </c>
      <c r="K1350" s="6" t="s">
        <v>4880</v>
      </c>
      <c r="L1350" t="str">
        <f t="shared" si="21"/>
        <v>ELITE TOALHA DE PAP BOBINA PLUS F. SIMPLES 6X200|46186</v>
      </c>
    </row>
    <row r="1351" ht="13.5" customHeight="1" spans="1:12">
      <c r="A1351" s="17">
        <v>46185.6130902778</v>
      </c>
      <c r="B1351" s="6" t="s">
        <v>4876</v>
      </c>
      <c r="C1351" s="6" t="s">
        <v>5728</v>
      </c>
      <c r="D1351" s="6" t="s">
        <v>4986</v>
      </c>
      <c r="E1351" s="6" t="s">
        <v>26</v>
      </c>
      <c r="F1351" s="6" t="s">
        <v>4882</v>
      </c>
      <c r="G1351" s="6" t="s">
        <v>639</v>
      </c>
      <c r="H1351" s="6">
        <v>200</v>
      </c>
      <c r="I1351" s="18">
        <v>3798</v>
      </c>
      <c r="J1351" s="19">
        <v>46185.6170977662</v>
      </c>
      <c r="K1351" s="6" t="s">
        <v>4880</v>
      </c>
      <c r="L1351" t="str">
        <f t="shared" si="21"/>
        <v>LUVA NITRILICA VERO MEDICAL TAM G|46186</v>
      </c>
    </row>
    <row r="1352" ht="13.5" customHeight="1" spans="1:12">
      <c r="A1352" s="17">
        <v>46185.6625810185</v>
      </c>
      <c r="B1352" s="6" t="s">
        <v>4876</v>
      </c>
      <c r="C1352" s="6" t="s">
        <v>5729</v>
      </c>
      <c r="D1352" s="6" t="s">
        <v>110</v>
      </c>
      <c r="E1352" s="6" t="s">
        <v>26</v>
      </c>
      <c r="F1352" s="6" t="s">
        <v>4882</v>
      </c>
      <c r="G1352" s="6" t="s">
        <v>375</v>
      </c>
      <c r="H1352" s="6">
        <v>1</v>
      </c>
      <c r="I1352" s="18">
        <v>80</v>
      </c>
      <c r="J1352" s="19">
        <v>46185.665549537</v>
      </c>
      <c r="K1352" s="6" t="s">
        <v>4880</v>
      </c>
      <c r="L1352" t="str">
        <f t="shared" si="21"/>
        <v>CAPA DE VOLANTE ACCELO|46186</v>
      </c>
    </row>
    <row r="1353" ht="13.5" customHeight="1" spans="1:12">
      <c r="A1353" s="17">
        <v>46185.6625810185</v>
      </c>
      <c r="B1353" s="6" t="s">
        <v>4876</v>
      </c>
      <c r="C1353" s="6" t="s">
        <v>5729</v>
      </c>
      <c r="D1353" s="6" t="s">
        <v>110</v>
      </c>
      <c r="E1353" s="6" t="s">
        <v>26</v>
      </c>
      <c r="F1353" s="6" t="s">
        <v>4882</v>
      </c>
      <c r="G1353" s="6" t="s">
        <v>404</v>
      </c>
      <c r="H1353" s="6">
        <v>1</v>
      </c>
      <c r="I1353" s="18">
        <v>95</v>
      </c>
      <c r="J1353" s="19">
        <v>46185.6655488079</v>
      </c>
      <c r="K1353" s="6" t="s">
        <v>4880</v>
      </c>
      <c r="L1353" t="str">
        <f t="shared" si="21"/>
        <v>MAÇANETA EXTERNA DA PORTA SPRINTER|46186</v>
      </c>
    </row>
    <row r="1354" ht="13.5" customHeight="1" spans="1:12">
      <c r="A1354" s="17">
        <v>46185.6670601852</v>
      </c>
      <c r="B1354" s="6" t="s">
        <v>4876</v>
      </c>
      <c r="C1354" s="6" t="s">
        <v>5730</v>
      </c>
      <c r="D1354" s="6" t="s">
        <v>5731</v>
      </c>
      <c r="E1354" s="6" t="s">
        <v>26</v>
      </c>
      <c r="F1354" s="6" t="s">
        <v>4882</v>
      </c>
      <c r="G1354" s="6" t="s">
        <v>894</v>
      </c>
      <c r="H1354" s="6">
        <v>9</v>
      </c>
      <c r="I1354" s="18">
        <v>88.65</v>
      </c>
      <c r="J1354" s="19">
        <v>46185.6694980324</v>
      </c>
      <c r="K1354" s="6" t="s">
        <v>4880</v>
      </c>
      <c r="L1354" t="str">
        <f t="shared" si="21"/>
        <v>DIPIRONA SODICA 500MG C/10|46186</v>
      </c>
    </row>
    <row r="1355" ht="13.5" customHeight="1" spans="1:12">
      <c r="A1355" s="17">
        <v>46185.669525463</v>
      </c>
      <c r="B1355" s="6" t="s">
        <v>4876</v>
      </c>
      <c r="C1355" s="6" t="s">
        <v>5732</v>
      </c>
      <c r="D1355" s="6" t="s">
        <v>5733</v>
      </c>
      <c r="E1355" s="6" t="s">
        <v>26</v>
      </c>
      <c r="F1355" s="6" t="s">
        <v>4882</v>
      </c>
      <c r="G1355" s="6" t="s">
        <v>2052</v>
      </c>
      <c r="H1355" s="6">
        <v>3.8</v>
      </c>
      <c r="I1355" s="18">
        <v>159.98</v>
      </c>
      <c r="J1355" s="19">
        <v>46185.6716046644</v>
      </c>
      <c r="K1355" s="6" t="s">
        <v>4880</v>
      </c>
      <c r="L1355" t="str">
        <f t="shared" si="21"/>
        <v>PERFIL DE ALUMINIO COM 6METROS|46186</v>
      </c>
    </row>
    <row r="1356" ht="13.5" customHeight="1" spans="1:12">
      <c r="A1356" s="17">
        <v>46188.6330671296</v>
      </c>
      <c r="B1356" s="6" t="s">
        <v>4876</v>
      </c>
      <c r="C1356" s="6" t="s">
        <v>5734</v>
      </c>
      <c r="D1356" s="6" t="s">
        <v>4988</v>
      </c>
      <c r="E1356" s="6" t="s">
        <v>26</v>
      </c>
      <c r="F1356" s="6" t="s">
        <v>4882</v>
      </c>
      <c r="G1356" s="6" t="s">
        <v>3929</v>
      </c>
      <c r="H1356" s="6">
        <v>10</v>
      </c>
      <c r="I1356" s="18">
        <v>80</v>
      </c>
      <c r="J1356" s="19">
        <v>46188.6343180208</v>
      </c>
      <c r="K1356" s="6" t="s">
        <v>4880</v>
      </c>
      <c r="L1356" t="str">
        <f t="shared" si="21"/>
        <v>CAPACITOR 8 440V |46189</v>
      </c>
    </row>
    <row r="1357" ht="13.5" customHeight="1" spans="1:12">
      <c r="A1357" s="17">
        <v>46188.6695949074</v>
      </c>
      <c r="B1357" s="6" t="s">
        <v>4876</v>
      </c>
      <c r="C1357" s="6" t="s">
        <v>5735</v>
      </c>
      <c r="D1357" s="6" t="s">
        <v>4954</v>
      </c>
      <c r="E1357" s="6" t="s">
        <v>26</v>
      </c>
      <c r="F1357" s="6" t="s">
        <v>4882</v>
      </c>
      <c r="G1357" s="6" t="s">
        <v>1651</v>
      </c>
      <c r="H1357" s="6">
        <v>2</v>
      </c>
      <c r="I1357" s="18">
        <v>79.4</v>
      </c>
      <c r="J1357" s="19">
        <v>46188.6913800926</v>
      </c>
      <c r="K1357" s="6" t="s">
        <v>4880</v>
      </c>
      <c r="L1357" t="str">
        <f t="shared" si="21"/>
        <v>ROLAMENTO 6.304 - DIVERSOS /3534|46189</v>
      </c>
    </row>
    <row r="1358" ht="13.5" customHeight="1" spans="1:12">
      <c r="A1358" s="17">
        <v>46188.6695949074</v>
      </c>
      <c r="B1358" s="6" t="s">
        <v>4876</v>
      </c>
      <c r="C1358" s="6" t="s">
        <v>5735</v>
      </c>
      <c r="D1358" s="6" t="s">
        <v>4954</v>
      </c>
      <c r="E1358" s="6" t="s">
        <v>26</v>
      </c>
      <c r="F1358" s="6" t="s">
        <v>4882</v>
      </c>
      <c r="G1358" s="6" t="s">
        <v>3281</v>
      </c>
      <c r="H1358" s="6">
        <v>25</v>
      </c>
      <c r="I1358" s="18">
        <v>50</v>
      </c>
      <c r="J1358" s="19">
        <v>46188.6913795139</v>
      </c>
      <c r="K1358" s="6" t="s">
        <v>4880</v>
      </c>
      <c r="L1358" t="str">
        <f t="shared" si="21"/>
        <v>ESPAGUETE CORRUGADO C/CORTE - 3/16 (05MM) /5774|46189</v>
      </c>
    </row>
    <row r="1359" ht="13.5" customHeight="1" spans="1:12">
      <c r="A1359" s="17">
        <v>46188.6695949074</v>
      </c>
      <c r="B1359" s="6" t="s">
        <v>4876</v>
      </c>
      <c r="C1359" s="6" t="s">
        <v>5735</v>
      </c>
      <c r="D1359" s="6" t="s">
        <v>4954</v>
      </c>
      <c r="E1359" s="6" t="s">
        <v>26</v>
      </c>
      <c r="F1359" s="6" t="s">
        <v>4882</v>
      </c>
      <c r="G1359" s="6" t="s">
        <v>1961</v>
      </c>
      <c r="H1359" s="6">
        <v>1</v>
      </c>
      <c r="I1359" s="18">
        <v>118</v>
      </c>
      <c r="J1359" s="19">
        <v>46188.6913789699</v>
      </c>
      <c r="K1359" s="6" t="s">
        <v>4880</v>
      </c>
      <c r="L1359" t="str">
        <f t="shared" si="21"/>
        <v>POLIA TENSIONADORA |46189</v>
      </c>
    </row>
    <row r="1360" ht="13.5" customHeight="1" spans="1:12">
      <c r="A1360" s="17">
        <v>46188.6868055556</v>
      </c>
      <c r="B1360" s="6" t="s">
        <v>4876</v>
      </c>
      <c r="C1360" s="6" t="s">
        <v>5736</v>
      </c>
      <c r="D1360" s="6" t="s">
        <v>5180</v>
      </c>
      <c r="E1360" s="6" t="s">
        <v>35</v>
      </c>
      <c r="F1360" s="6" t="s">
        <v>4879</v>
      </c>
      <c r="G1360" s="6" t="s">
        <v>3312</v>
      </c>
      <c r="H1360" s="6">
        <v>2</v>
      </c>
      <c r="I1360" s="18">
        <v>920</v>
      </c>
      <c r="J1360" s="19">
        <v>46189.689825</v>
      </c>
      <c r="K1360" s="6" t="s">
        <v>4880</v>
      </c>
      <c r="L1360" t="str">
        <f t="shared" si="21"/>
        <v>ESCOVA DE CARBONO DO CONJUNTO STILL|46189</v>
      </c>
    </row>
    <row r="1361" ht="13.5" customHeight="1" spans="1:12">
      <c r="A1361" s="17">
        <v>46188.6917476852</v>
      </c>
      <c r="B1361" s="6" t="s">
        <v>4876</v>
      </c>
      <c r="C1361" s="6" t="s">
        <v>5737</v>
      </c>
      <c r="D1361" s="6" t="s">
        <v>4971</v>
      </c>
      <c r="E1361" s="6" t="s">
        <v>26</v>
      </c>
      <c r="F1361" s="6" t="s">
        <v>4882</v>
      </c>
      <c r="G1361" s="6" t="s">
        <v>1029</v>
      </c>
      <c r="H1361" s="6">
        <v>12</v>
      </c>
      <c r="I1361" s="18">
        <v>94.8</v>
      </c>
      <c r="J1361" s="19">
        <v>46188.6937362269</v>
      </c>
      <c r="K1361" s="6" t="s">
        <v>4880</v>
      </c>
      <c r="L1361" t="str">
        <f t="shared" si="21"/>
        <v>VALEPLAST AMARELA REFORÇADA 4X1M 24KG METRO|46189</v>
      </c>
    </row>
    <row r="1362" ht="13.5" customHeight="1" spans="1:12">
      <c r="A1362" s="17">
        <v>46188.694224537</v>
      </c>
      <c r="B1362" s="6" t="s">
        <v>4876</v>
      </c>
      <c r="C1362" s="6" t="s">
        <v>5738</v>
      </c>
      <c r="D1362" s="6" t="s">
        <v>5118</v>
      </c>
      <c r="E1362" s="6" t="s">
        <v>26</v>
      </c>
      <c r="F1362" s="6" t="s">
        <v>4882</v>
      </c>
      <c r="G1362" s="6" t="s">
        <v>523</v>
      </c>
      <c r="H1362" s="6">
        <v>1</v>
      </c>
      <c r="I1362" s="18">
        <v>29.5</v>
      </c>
      <c r="J1362" s="19">
        <v>46188.7014672107</v>
      </c>
      <c r="K1362" s="6" t="s">
        <v>4880</v>
      </c>
      <c r="L1362" t="str">
        <f t="shared" si="21"/>
        <v>BUZINA TITAN 125/150 SCUD |46189</v>
      </c>
    </row>
    <row r="1363" ht="13.5" customHeight="1" spans="1:12">
      <c r="A1363" s="17">
        <v>46188.694224537</v>
      </c>
      <c r="B1363" s="6" t="s">
        <v>4876</v>
      </c>
      <c r="C1363" s="6" t="s">
        <v>5738</v>
      </c>
      <c r="D1363" s="6" t="s">
        <v>5118</v>
      </c>
      <c r="E1363" s="6" t="s">
        <v>26</v>
      </c>
      <c r="F1363" s="6" t="s">
        <v>4882</v>
      </c>
      <c r="G1363" s="6" t="s">
        <v>998</v>
      </c>
      <c r="H1363" s="6">
        <v>1</v>
      </c>
      <c r="I1363" s="18">
        <v>81.9</v>
      </c>
      <c r="J1363" s="19">
        <v>46188.7014664699</v>
      </c>
      <c r="K1363" s="6" t="s">
        <v>4880</v>
      </c>
      <c r="L1363" t="str">
        <f t="shared" si="21"/>
        <v>VASELINA BALDE 3KG GITANES|46189</v>
      </c>
    </row>
    <row r="1364" ht="13.5" customHeight="1" spans="1:12">
      <c r="A1364" s="17">
        <v>46188.7017361111</v>
      </c>
      <c r="B1364" s="6" t="s">
        <v>4876</v>
      </c>
      <c r="C1364" s="6" t="s">
        <v>5739</v>
      </c>
      <c r="D1364" s="6" t="s">
        <v>5314</v>
      </c>
      <c r="E1364" s="6" t="s">
        <v>26</v>
      </c>
      <c r="F1364" s="6" t="s">
        <v>4882</v>
      </c>
      <c r="G1364" s="6" t="s">
        <v>406</v>
      </c>
      <c r="H1364" s="6">
        <v>1</v>
      </c>
      <c r="I1364" s="18">
        <v>102</v>
      </c>
      <c r="J1364" s="19">
        <v>46188.7046542824</v>
      </c>
      <c r="K1364" s="6" t="s">
        <v>4880</v>
      </c>
      <c r="L1364" t="str">
        <f t="shared" si="21"/>
        <v>CORREA 6PK1230|46189</v>
      </c>
    </row>
    <row r="1365" ht="13.5" customHeight="1" spans="1:12">
      <c r="A1365" s="17">
        <v>46189.5742476852</v>
      </c>
      <c r="B1365" s="6" t="s">
        <v>4876</v>
      </c>
      <c r="C1365" s="6" t="s">
        <v>5740</v>
      </c>
      <c r="D1365" s="6" t="s">
        <v>4894</v>
      </c>
      <c r="E1365" s="6" t="s">
        <v>26</v>
      </c>
      <c r="F1365" s="6" t="s">
        <v>4882</v>
      </c>
      <c r="G1365" s="6" t="s">
        <v>40</v>
      </c>
      <c r="H1365" s="6">
        <v>20</v>
      </c>
      <c r="I1365" s="18">
        <v>2782.6</v>
      </c>
      <c r="J1365" s="19">
        <v>46189.6004957176</v>
      </c>
      <c r="K1365" s="6" t="s">
        <v>4880</v>
      </c>
      <c r="L1365" t="str">
        <f t="shared" si="21"/>
        <v>RODA COLSON PNEUMATICA 350-4 R.7|46190</v>
      </c>
    </row>
    <row r="1366" ht="13.5" customHeight="1" spans="1:12">
      <c r="A1366" s="17">
        <v>46189.5742476852</v>
      </c>
      <c r="B1366" s="6" t="s">
        <v>4876</v>
      </c>
      <c r="C1366" s="6" t="s">
        <v>5740</v>
      </c>
      <c r="D1366" s="6" t="s">
        <v>4894</v>
      </c>
      <c r="E1366" s="6" t="s">
        <v>26</v>
      </c>
      <c r="F1366" s="6" t="s">
        <v>4882</v>
      </c>
      <c r="G1366" s="6" t="s">
        <v>2292</v>
      </c>
      <c r="H1366" s="6">
        <v>1</v>
      </c>
      <c r="I1366" s="18">
        <v>10.95</v>
      </c>
      <c r="J1366" s="19">
        <v>46189.6004950232</v>
      </c>
      <c r="K1366" s="6" t="s">
        <v>4880</v>
      </c>
      <c r="L1366" t="str">
        <f t="shared" si="21"/>
        <v>P. FLANGEADO P. BROCA 4,2 X 19 EMB|46190</v>
      </c>
    </row>
    <row r="1367" ht="13.5" customHeight="1" spans="1:12">
      <c r="A1367" s="17">
        <v>46189.5742476852</v>
      </c>
      <c r="B1367" s="6" t="s">
        <v>4876</v>
      </c>
      <c r="C1367" s="6" t="s">
        <v>5740</v>
      </c>
      <c r="D1367" s="6" t="s">
        <v>4894</v>
      </c>
      <c r="E1367" s="6" t="s">
        <v>26</v>
      </c>
      <c r="F1367" s="6" t="s">
        <v>4882</v>
      </c>
      <c r="G1367" s="6" t="s">
        <v>2290</v>
      </c>
      <c r="H1367" s="6">
        <v>10</v>
      </c>
      <c r="I1367" s="18">
        <v>20.6</v>
      </c>
      <c r="J1367" s="19">
        <v>46189.6004940972</v>
      </c>
      <c r="K1367" s="6" t="s">
        <v>4880</v>
      </c>
      <c r="L1367" t="str">
        <f t="shared" si="21"/>
        <v>P. SEXT. UNC INOX 1/4 X 3/4 |46190</v>
      </c>
    </row>
    <row r="1368" ht="13.5" customHeight="1" spans="1:12">
      <c r="A1368" s="17">
        <v>46189.6087268519</v>
      </c>
      <c r="B1368" s="6" t="s">
        <v>4876</v>
      </c>
      <c r="C1368" s="6" t="s">
        <v>5741</v>
      </c>
      <c r="D1368" s="6" t="s">
        <v>4954</v>
      </c>
      <c r="E1368" s="6" t="s">
        <v>26</v>
      </c>
      <c r="F1368" s="6" t="s">
        <v>4882</v>
      </c>
      <c r="G1368" s="6" t="s">
        <v>1070</v>
      </c>
      <c r="H1368" s="6">
        <v>2</v>
      </c>
      <c r="I1368" s="18">
        <v>37.6</v>
      </c>
      <c r="J1368" s="19">
        <v>46189.6160199421</v>
      </c>
      <c r="K1368" s="6" t="s">
        <v>4880</v>
      </c>
      <c r="L1368" t="str">
        <f t="shared" si="21"/>
        <v>TUBO LIGAÇÃO BOMBA D'AGUA - 904/906|46190</v>
      </c>
    </row>
    <row r="1369" ht="13.5" customHeight="1" spans="1:12">
      <c r="A1369" s="17">
        <v>46189.6087268519</v>
      </c>
      <c r="B1369" s="6" t="s">
        <v>4876</v>
      </c>
      <c r="C1369" s="6" t="s">
        <v>5741</v>
      </c>
      <c r="D1369" s="6" t="s">
        <v>4954</v>
      </c>
      <c r="E1369" s="6" t="s">
        <v>26</v>
      </c>
      <c r="F1369" s="6" t="s">
        <v>4882</v>
      </c>
      <c r="G1369" s="6" t="s">
        <v>2776</v>
      </c>
      <c r="H1369" s="6">
        <v>5</v>
      </c>
      <c r="I1369" s="18">
        <v>143</v>
      </c>
      <c r="J1369" s="19">
        <v>46189.6160124653</v>
      </c>
      <c r="K1369" s="6" t="s">
        <v>4880</v>
      </c>
      <c r="L1369" t="str">
        <f t="shared" si="21"/>
        <v>JUNTA VALV. TERMOSTATICA - 0M 904 (ALUMINIO) /1061|46190</v>
      </c>
    </row>
    <row r="1370" ht="13.5" customHeight="1" spans="1:12">
      <c r="A1370" s="17">
        <v>46189.6163194445</v>
      </c>
      <c r="B1370" s="6" t="s">
        <v>4876</v>
      </c>
      <c r="C1370" s="6" t="s">
        <v>5742</v>
      </c>
      <c r="D1370" s="6" t="s">
        <v>5642</v>
      </c>
      <c r="E1370" s="6" t="s">
        <v>26</v>
      </c>
      <c r="F1370" s="6" t="s">
        <v>4882</v>
      </c>
      <c r="G1370" s="6" t="s">
        <v>2087</v>
      </c>
      <c r="H1370" s="6">
        <v>10</v>
      </c>
      <c r="I1370" s="18">
        <v>249</v>
      </c>
      <c r="J1370" s="19">
        <v>46189.6259168982</v>
      </c>
      <c r="K1370" s="6" t="s">
        <v>4880</v>
      </c>
      <c r="L1370" t="str">
        <f t="shared" si="21"/>
        <v>PASTA CATALOGO C/50 PLASTICO |46190</v>
      </c>
    </row>
    <row r="1371" ht="13.5" customHeight="1" spans="1:12">
      <c r="A1371" s="17">
        <v>46189.6163194445</v>
      </c>
      <c r="B1371" s="6" t="s">
        <v>4876</v>
      </c>
      <c r="C1371" s="6" t="s">
        <v>5742</v>
      </c>
      <c r="D1371" s="6" t="s">
        <v>5642</v>
      </c>
      <c r="E1371" s="6" t="s">
        <v>26</v>
      </c>
      <c r="F1371" s="6" t="s">
        <v>4882</v>
      </c>
      <c r="G1371" s="6" t="s">
        <v>895</v>
      </c>
      <c r="H1371" s="6">
        <v>10</v>
      </c>
      <c r="I1371" s="18">
        <v>54</v>
      </c>
      <c r="J1371" s="19">
        <v>46189.6259098032</v>
      </c>
      <c r="K1371" s="6" t="s">
        <v>4880</v>
      </c>
      <c r="L1371" t="str">
        <f t="shared" si="21"/>
        <v>PASTA CELAST. POLIP. A4 TRANSPARENTE LINE A02 PLASE|46190</v>
      </c>
    </row>
    <row r="1372" ht="13.5" customHeight="1" spans="1:12">
      <c r="A1372" s="17">
        <v>46189.6163194445</v>
      </c>
      <c r="B1372" s="6" t="s">
        <v>4876</v>
      </c>
      <c r="C1372" s="6" t="s">
        <v>5742</v>
      </c>
      <c r="D1372" s="6" t="s">
        <v>5642</v>
      </c>
      <c r="E1372" s="6" t="s">
        <v>26</v>
      </c>
      <c r="F1372" s="6" t="s">
        <v>4882</v>
      </c>
      <c r="G1372" s="6" t="s">
        <v>2086</v>
      </c>
      <c r="H1372" s="6">
        <v>10</v>
      </c>
      <c r="I1372" s="18">
        <v>85</v>
      </c>
      <c r="J1372" s="19">
        <v>46189.625906713</v>
      </c>
      <c r="K1372" s="6" t="s">
        <v>4880</v>
      </c>
      <c r="L1372" t="str">
        <f t="shared" si="21"/>
        <v>PASTA CELAST.POLIP. OFICIO - SUPER LINE20MM TRANSP|46190</v>
      </c>
    </row>
    <row r="1373" ht="13.5" customHeight="1" spans="1:12">
      <c r="A1373" s="17">
        <v>46189.6262384259</v>
      </c>
      <c r="B1373" s="6" t="s">
        <v>4876</v>
      </c>
      <c r="C1373" s="6" t="s">
        <v>5743</v>
      </c>
      <c r="D1373" s="6" t="s">
        <v>5236</v>
      </c>
      <c r="E1373" s="6" t="s">
        <v>390</v>
      </c>
      <c r="F1373" s="6" t="s">
        <v>4879</v>
      </c>
      <c r="G1373" s="6" t="s">
        <v>3499</v>
      </c>
      <c r="H1373" s="6">
        <v>315</v>
      </c>
      <c r="I1373" s="18">
        <v>12861.45</v>
      </c>
      <c r="J1373" s="19">
        <v>46189.6372565625</v>
      </c>
      <c r="K1373" s="6" t="s">
        <v>4880</v>
      </c>
      <c r="L1373" t="str">
        <f t="shared" si="21"/>
        <v>CX CV 15KG FUNDO|46190</v>
      </c>
    </row>
    <row r="1374" ht="13.5" customHeight="1" spans="1:12">
      <c r="A1374" s="17">
        <v>46189.6262384259</v>
      </c>
      <c r="B1374" s="6" t="s">
        <v>4876</v>
      </c>
      <c r="C1374" s="6" t="s">
        <v>5743</v>
      </c>
      <c r="D1374" s="6" t="s">
        <v>5236</v>
      </c>
      <c r="E1374" s="6" t="s">
        <v>390</v>
      </c>
      <c r="F1374" s="6" t="s">
        <v>4879</v>
      </c>
      <c r="G1374" s="6" t="s">
        <v>3498</v>
      </c>
      <c r="H1374" s="6">
        <v>28</v>
      </c>
      <c r="I1374" s="18">
        <v>11020.8</v>
      </c>
      <c r="J1374" s="19">
        <v>46189.6372558218</v>
      </c>
      <c r="K1374" s="6" t="s">
        <v>4880</v>
      </c>
      <c r="L1374" t="str">
        <f t="shared" si="21"/>
        <v>CX CV 15KG TAMPA|46190</v>
      </c>
    </row>
    <row r="1375" ht="13.5" customHeight="1" spans="1:12">
      <c r="A1375" s="17">
        <v>46190.5886689815</v>
      </c>
      <c r="B1375" s="6" t="s">
        <v>4876</v>
      </c>
      <c r="C1375" s="6" t="s">
        <v>5744</v>
      </c>
      <c r="D1375" s="6" t="s">
        <v>4971</v>
      </c>
      <c r="E1375" s="6" t="s">
        <v>26</v>
      </c>
      <c r="F1375" s="6" t="s">
        <v>4882</v>
      </c>
      <c r="G1375" s="6" t="s">
        <v>1254</v>
      </c>
      <c r="H1375" s="6">
        <v>10</v>
      </c>
      <c r="I1375" s="18">
        <v>69.4</v>
      </c>
      <c r="J1375" s="19">
        <v>46190.5916896991</v>
      </c>
      <c r="K1375" s="6" t="s">
        <v>4880</v>
      </c>
      <c r="L1375" t="str">
        <f t="shared" si="21"/>
        <v>TASCH PLAFON ECONOMIC E 27 SACO PLASTICO BRANCA|46191</v>
      </c>
    </row>
    <row r="1376" ht="13.5" customHeight="1" spans="1:12">
      <c r="A1376" s="17">
        <v>46190.5922685185</v>
      </c>
      <c r="B1376" s="6" t="s">
        <v>4876</v>
      </c>
      <c r="C1376" s="6" t="s">
        <v>5745</v>
      </c>
      <c r="D1376" s="6" t="s">
        <v>5746</v>
      </c>
      <c r="E1376" s="6" t="s">
        <v>26</v>
      </c>
      <c r="F1376" s="6" t="s">
        <v>4882</v>
      </c>
      <c r="G1376" s="6" t="s">
        <v>2670</v>
      </c>
      <c r="H1376" s="6">
        <v>1</v>
      </c>
      <c r="I1376" s="18">
        <v>339</v>
      </c>
      <c r="J1376" s="19">
        <v>46190.595899537</v>
      </c>
      <c r="K1376" s="6" t="s">
        <v>4880</v>
      </c>
      <c r="L1376" t="str">
        <f t="shared" si="21"/>
        <v>LD CONJUNTO SUPORTE ESPELHO MB ACCELO 2020 2021 2022 PAR |46191</v>
      </c>
    </row>
    <row r="1377" ht="13.5" customHeight="1" spans="1:12">
      <c r="A1377" s="17">
        <v>46190.6121643519</v>
      </c>
      <c r="B1377" s="6" t="s">
        <v>4876</v>
      </c>
      <c r="C1377" s="6" t="s">
        <v>5747</v>
      </c>
      <c r="D1377" s="6" t="s">
        <v>5746</v>
      </c>
      <c r="E1377" s="6" t="s">
        <v>26</v>
      </c>
      <c r="F1377" s="6" t="s">
        <v>4882</v>
      </c>
      <c r="G1377" s="6" t="s">
        <v>418</v>
      </c>
      <c r="H1377" s="6">
        <v>1</v>
      </c>
      <c r="I1377" s="18">
        <v>339</v>
      </c>
      <c r="J1377" s="19">
        <v>46190.6129222222</v>
      </c>
      <c r="K1377" s="6" t="s">
        <v>4880</v>
      </c>
      <c r="L1377" t="str">
        <f t="shared" si="21"/>
        <v>LE CONJUNTO SUPORTE ESPELHO MB ACCELO 2020 2021 2022 PAR|46191</v>
      </c>
    </row>
    <row r="1378" ht="13.5" customHeight="1" spans="1:12">
      <c r="A1378" s="17">
        <v>46190.6131944444</v>
      </c>
      <c r="B1378" s="6" t="s">
        <v>4876</v>
      </c>
      <c r="C1378" s="6" t="s">
        <v>5748</v>
      </c>
      <c r="D1378" s="6" t="s">
        <v>5353</v>
      </c>
      <c r="E1378" s="6" t="s">
        <v>26</v>
      </c>
      <c r="F1378" s="6" t="s">
        <v>4882</v>
      </c>
      <c r="G1378" s="6" t="s">
        <v>692</v>
      </c>
      <c r="H1378" s="6">
        <v>4</v>
      </c>
      <c r="I1378" s="18">
        <v>491.08</v>
      </c>
      <c r="J1378" s="19">
        <v>46192.6148085301</v>
      </c>
      <c r="K1378" s="6" t="s">
        <v>4880</v>
      </c>
      <c r="L1378" t="str">
        <f t="shared" si="21"/>
        <v>LUVA SKI PROFISSIONAL NEVE SNOW|46191</v>
      </c>
    </row>
    <row r="1379" ht="13.5" customHeight="1" spans="1:12">
      <c r="A1379" s="17">
        <v>46190.6597222222</v>
      </c>
      <c r="B1379" s="6" t="s">
        <v>4876</v>
      </c>
      <c r="C1379" s="6" t="s">
        <v>5749</v>
      </c>
      <c r="D1379" s="6" t="s">
        <v>5708</v>
      </c>
      <c r="E1379" s="6" t="s">
        <v>26</v>
      </c>
      <c r="F1379" s="6" t="s">
        <v>4882</v>
      </c>
      <c r="G1379" s="6" t="s">
        <v>675</v>
      </c>
      <c r="H1379" s="6">
        <v>2</v>
      </c>
      <c r="I1379" s="18">
        <v>115.78</v>
      </c>
      <c r="J1379" s="19">
        <v>46195.6616743056</v>
      </c>
      <c r="K1379" s="6" t="s">
        <v>4880</v>
      </c>
      <c r="L1379" t="str">
        <f t="shared" si="21"/>
        <v>BANDEJA AÇOUGUE CAIXA VERMELHA 40L|46191</v>
      </c>
    </row>
    <row r="1380" ht="13.5" customHeight="1" spans="1:12">
      <c r="A1380" s="17">
        <v>46190.6868055556</v>
      </c>
      <c r="B1380" s="6" t="s">
        <v>4876</v>
      </c>
      <c r="C1380" s="6" t="s">
        <v>5750</v>
      </c>
      <c r="D1380" s="6" t="s">
        <v>4898</v>
      </c>
      <c r="E1380" s="6" t="s">
        <v>51</v>
      </c>
      <c r="F1380" s="6" t="s">
        <v>4879</v>
      </c>
      <c r="G1380" s="6" t="s">
        <v>499</v>
      </c>
      <c r="H1380" s="6">
        <v>801.5</v>
      </c>
      <c r="I1380" s="18">
        <v>15228.5</v>
      </c>
      <c r="J1380" s="19">
        <v>46191.6896366898</v>
      </c>
      <c r="K1380" s="6" t="s">
        <v>4880</v>
      </c>
      <c r="L1380" t="str">
        <f t="shared" si="21"/>
        <v>STRETCH MANUAL 500MM X 25 MICRA X 3|46191</v>
      </c>
    </row>
    <row r="1381" ht="13.5" customHeight="1" spans="1:12">
      <c r="A1381" s="17">
        <v>46190.6957986111</v>
      </c>
      <c r="B1381" s="6" t="s">
        <v>4876</v>
      </c>
      <c r="C1381" s="6" t="s">
        <v>5751</v>
      </c>
      <c r="D1381" s="6" t="s">
        <v>5109</v>
      </c>
      <c r="E1381" s="6" t="s">
        <v>26</v>
      </c>
      <c r="F1381" s="6" t="s">
        <v>4882</v>
      </c>
      <c r="G1381" s="6" t="s">
        <v>1872</v>
      </c>
      <c r="H1381" s="6">
        <v>6</v>
      </c>
      <c r="I1381" s="18">
        <v>414</v>
      </c>
      <c r="J1381" s="19">
        <v>46190.7013922801</v>
      </c>
      <c r="K1381" s="6" t="s">
        <v>4880</v>
      </c>
      <c r="L1381" t="str">
        <f t="shared" si="21"/>
        <v>PREND F.C. S/LAMPADA C/PINO 127V 5 METROS 00666|46191</v>
      </c>
    </row>
    <row r="1382" ht="13.5" customHeight="1" spans="1:12">
      <c r="A1382" s="17">
        <v>46190.7021064815</v>
      </c>
      <c r="B1382" s="6" t="s">
        <v>4876</v>
      </c>
      <c r="C1382" s="6" t="s">
        <v>5752</v>
      </c>
      <c r="D1382" s="6" t="s">
        <v>110</v>
      </c>
      <c r="E1382" s="6" t="s">
        <v>26</v>
      </c>
      <c r="F1382" s="6" t="s">
        <v>4882</v>
      </c>
      <c r="G1382" s="6" t="s">
        <v>4836</v>
      </c>
      <c r="H1382" s="6">
        <v>200</v>
      </c>
      <c r="I1382" s="18">
        <v>600</v>
      </c>
      <c r="J1382" s="19">
        <v>46190.718787882</v>
      </c>
      <c r="K1382" s="6" t="s">
        <v>4880</v>
      </c>
      <c r="L1382" t="str">
        <f t="shared" si="21"/>
        <v>200MTS FIO 1 MM|46191</v>
      </c>
    </row>
    <row r="1383" ht="13.5" customHeight="1" spans="1:12">
      <c r="A1383" s="17">
        <v>46190.7021064815</v>
      </c>
      <c r="B1383" s="6" t="s">
        <v>4876</v>
      </c>
      <c r="C1383" s="6" t="s">
        <v>5752</v>
      </c>
      <c r="D1383" s="6" t="s">
        <v>110</v>
      </c>
      <c r="E1383" s="6" t="s">
        <v>26</v>
      </c>
      <c r="F1383" s="6" t="s">
        <v>4882</v>
      </c>
      <c r="G1383" s="6" t="s">
        <v>4274</v>
      </c>
      <c r="H1383" s="6">
        <v>10</v>
      </c>
      <c r="I1383" s="18">
        <v>250</v>
      </c>
      <c r="J1383" s="19">
        <v>46190.7187876968</v>
      </c>
      <c r="K1383" s="6" t="s">
        <v>4880</v>
      </c>
      <c r="L1383" t="str">
        <f t="shared" si="21"/>
        <v>BOTÃO LIGA/DESLIGA|46191</v>
      </c>
    </row>
    <row r="1384" ht="13.5" customHeight="1" spans="1:12">
      <c r="A1384" s="17">
        <v>46190.7021064815</v>
      </c>
      <c r="B1384" s="6" t="s">
        <v>4876</v>
      </c>
      <c r="C1384" s="6" t="s">
        <v>5752</v>
      </c>
      <c r="D1384" s="6" t="s">
        <v>110</v>
      </c>
      <c r="E1384" s="6" t="s">
        <v>26</v>
      </c>
      <c r="F1384" s="6" t="s">
        <v>4882</v>
      </c>
      <c r="G1384" s="6" t="s">
        <v>246</v>
      </c>
      <c r="H1384" s="6">
        <v>20</v>
      </c>
      <c r="I1384" s="18">
        <v>90</v>
      </c>
      <c r="J1384" s="19">
        <v>46190.7187873495</v>
      </c>
      <c r="K1384" s="6" t="s">
        <v>4880</v>
      </c>
      <c r="L1384" t="str">
        <f t="shared" si="21"/>
        <v>LAMPADA 1 POLO LED 12V/24V|46191</v>
      </c>
    </row>
    <row r="1385" ht="13.5" customHeight="1" spans="1:12">
      <c r="A1385" s="17">
        <v>46190.7021064815</v>
      </c>
      <c r="B1385" s="6" t="s">
        <v>4876</v>
      </c>
      <c r="C1385" s="6" t="s">
        <v>5752</v>
      </c>
      <c r="D1385" s="6" t="s">
        <v>110</v>
      </c>
      <c r="E1385" s="6" t="s">
        <v>26</v>
      </c>
      <c r="F1385" s="6" t="s">
        <v>4882</v>
      </c>
      <c r="G1385" s="6" t="s">
        <v>3186</v>
      </c>
      <c r="H1385" s="6">
        <v>5</v>
      </c>
      <c r="I1385" s="18">
        <v>300</v>
      </c>
      <c r="J1385" s="19">
        <v>46190.718786956</v>
      </c>
      <c r="K1385" s="6" t="s">
        <v>4880</v>
      </c>
      <c r="L1385" t="str">
        <f t="shared" si="21"/>
        <v>FAROL MILHA PEQ RED|46191</v>
      </c>
    </row>
    <row r="1386" ht="13.5" customHeight="1" spans="1:12">
      <c r="A1386" s="17">
        <v>46190.7021064815</v>
      </c>
      <c r="B1386" s="6" t="s">
        <v>4876</v>
      </c>
      <c r="C1386" s="6" t="s">
        <v>5752</v>
      </c>
      <c r="D1386" s="6" t="s">
        <v>110</v>
      </c>
      <c r="E1386" s="6" t="s">
        <v>26</v>
      </c>
      <c r="F1386" s="6" t="s">
        <v>4882</v>
      </c>
      <c r="G1386" s="6" t="s">
        <v>172</v>
      </c>
      <c r="H1386" s="6">
        <v>5</v>
      </c>
      <c r="I1386" s="18">
        <v>190</v>
      </c>
      <c r="J1386" s="19">
        <v>46190.7187866088</v>
      </c>
      <c r="K1386" s="6" t="s">
        <v>4880</v>
      </c>
      <c r="L1386" t="str">
        <f t="shared" si="21"/>
        <v>SIRENE DE RÉ |46191</v>
      </c>
    </row>
    <row r="1387" ht="13.5" customHeight="1" spans="1:12">
      <c r="A1387" s="17">
        <v>46190.7198032407</v>
      </c>
      <c r="B1387" s="6" t="s">
        <v>4876</v>
      </c>
      <c r="C1387" s="6" t="s">
        <v>5753</v>
      </c>
      <c r="D1387" s="6" t="s">
        <v>4954</v>
      </c>
      <c r="E1387" s="6" t="s">
        <v>26</v>
      </c>
      <c r="F1387" s="6" t="s">
        <v>4882</v>
      </c>
      <c r="G1387" s="6" t="s">
        <v>1658</v>
      </c>
      <c r="H1387" s="6">
        <v>2</v>
      </c>
      <c r="I1387" s="18">
        <v>33.6</v>
      </c>
      <c r="J1387" s="19">
        <v>46190.7241121875</v>
      </c>
      <c r="K1387" s="6" t="s">
        <v>4880</v>
      </c>
      <c r="L1387" t="str">
        <f t="shared" si="21"/>
        <v>ROLAMENTO 2002 DIVERSOS/ 3502|46191</v>
      </c>
    </row>
    <row r="1388" ht="13.5" customHeight="1" spans="1:12">
      <c r="A1388" s="17">
        <v>46190.7198032407</v>
      </c>
      <c r="B1388" s="6" t="s">
        <v>4876</v>
      </c>
      <c r="C1388" s="6" t="s">
        <v>5753</v>
      </c>
      <c r="D1388" s="6" t="s">
        <v>4954</v>
      </c>
      <c r="E1388" s="6" t="s">
        <v>26</v>
      </c>
      <c r="F1388" s="6" t="s">
        <v>4882</v>
      </c>
      <c r="G1388" s="6" t="s">
        <v>231</v>
      </c>
      <c r="H1388" s="6">
        <v>1</v>
      </c>
      <c r="I1388" s="18">
        <v>66</v>
      </c>
      <c r="J1388" s="19">
        <v>46190.7241118403</v>
      </c>
      <c r="K1388" s="6" t="s">
        <v>4880</v>
      </c>
      <c r="L1388" t="str">
        <f t="shared" si="21"/>
        <v>LANTERNA INTERNA FURGAO -6 LEDS|46191</v>
      </c>
    </row>
    <row r="1389" ht="13.5" customHeight="1" spans="1:12">
      <c r="A1389" s="17">
        <v>46190.7198032407</v>
      </c>
      <c r="B1389" s="6" t="s">
        <v>4876</v>
      </c>
      <c r="C1389" s="6" t="s">
        <v>5753</v>
      </c>
      <c r="D1389" s="6" t="s">
        <v>4954</v>
      </c>
      <c r="E1389" s="6" t="s">
        <v>26</v>
      </c>
      <c r="F1389" s="6" t="s">
        <v>4882</v>
      </c>
      <c r="G1389" s="6" t="s">
        <v>3187</v>
      </c>
      <c r="H1389" s="6">
        <v>1</v>
      </c>
      <c r="I1389" s="18">
        <v>318</v>
      </c>
      <c r="J1389" s="19">
        <v>46190.7241105671</v>
      </c>
      <c r="K1389" s="6" t="s">
        <v>4880</v>
      </c>
      <c r="L1389" t="str">
        <f t="shared" si="21"/>
        <v>FAROL H1/H7 ESQ. - ACCELO 08.../4617-A|46191</v>
      </c>
    </row>
    <row r="1390" ht="13.5" customHeight="1" spans="1:12">
      <c r="A1390" s="17">
        <v>46190.7198032407</v>
      </c>
      <c r="B1390" s="6" t="s">
        <v>4876</v>
      </c>
      <c r="C1390" s="6" t="s">
        <v>5753</v>
      </c>
      <c r="D1390" s="6" t="s">
        <v>4954</v>
      </c>
      <c r="E1390" s="6" t="s">
        <v>26</v>
      </c>
      <c r="F1390" s="6" t="s">
        <v>4882</v>
      </c>
      <c r="G1390" s="6" t="s">
        <v>3188</v>
      </c>
      <c r="H1390" s="6">
        <v>1</v>
      </c>
      <c r="I1390" s="18">
        <v>318</v>
      </c>
      <c r="J1390" s="19">
        <v>46190.7241100347</v>
      </c>
      <c r="K1390" s="6" t="s">
        <v>4880</v>
      </c>
      <c r="L1390" t="str">
        <f t="shared" si="21"/>
        <v>FAROL H1/H7 DIR. - ACCELO 08.../4617|46191</v>
      </c>
    </row>
    <row r="1391" ht="13.5" customHeight="1" spans="1:12">
      <c r="A1391" s="17">
        <v>46190.7244212963</v>
      </c>
      <c r="B1391" s="6" t="s">
        <v>4876</v>
      </c>
      <c r="C1391" s="6" t="s">
        <v>5754</v>
      </c>
      <c r="D1391" s="6" t="s">
        <v>5037</v>
      </c>
      <c r="E1391" s="6" t="s">
        <v>26</v>
      </c>
      <c r="F1391" s="6" t="s">
        <v>4882</v>
      </c>
      <c r="G1391" s="6" t="s">
        <v>989</v>
      </c>
      <c r="H1391" s="6">
        <v>6</v>
      </c>
      <c r="I1391" s="18">
        <v>117.6</v>
      </c>
      <c r="J1391" s="19">
        <v>46190.7268644676</v>
      </c>
      <c r="K1391" s="6" t="s">
        <v>4880</v>
      </c>
      <c r="L1391" t="str">
        <f t="shared" si="21"/>
        <v>VASSOURA DE PIAÇAVA |46191</v>
      </c>
    </row>
    <row r="1392" ht="13.5" customHeight="1" spans="1:12">
      <c r="A1392" s="17">
        <v>46191.6010185185</v>
      </c>
      <c r="B1392" s="6" t="s">
        <v>4876</v>
      </c>
      <c r="C1392" s="6" t="s">
        <v>5755</v>
      </c>
      <c r="D1392" s="6" t="s">
        <v>5003</v>
      </c>
      <c r="E1392" s="6" t="s">
        <v>26</v>
      </c>
      <c r="F1392" s="6" t="s">
        <v>4882</v>
      </c>
      <c r="G1392" s="6" t="s">
        <v>413</v>
      </c>
      <c r="H1392" s="6">
        <v>15</v>
      </c>
      <c r="I1392" s="18">
        <v>104.85</v>
      </c>
      <c r="J1392" s="19">
        <v>46191.6021394676</v>
      </c>
      <c r="K1392" s="6" t="s">
        <v>4880</v>
      </c>
      <c r="L1392" t="str">
        <f t="shared" si="21"/>
        <v>GASOLINA COMUM 01|46192</v>
      </c>
    </row>
    <row r="1393" ht="13.5" customHeight="1" spans="1:12">
      <c r="A1393" s="17">
        <v>46191.6028356482</v>
      </c>
      <c r="B1393" s="6" t="s">
        <v>4876</v>
      </c>
      <c r="C1393" s="6" t="s">
        <v>5756</v>
      </c>
      <c r="D1393" s="6" t="s">
        <v>110</v>
      </c>
      <c r="E1393" s="6" t="s">
        <v>26</v>
      </c>
      <c r="F1393" s="6" t="s">
        <v>4882</v>
      </c>
      <c r="G1393" s="6" t="s">
        <v>2462</v>
      </c>
      <c r="H1393" s="6">
        <v>1</v>
      </c>
      <c r="I1393" s="18">
        <v>95</v>
      </c>
      <c r="J1393" s="19">
        <v>46191.607815706</v>
      </c>
      <c r="K1393" s="6" t="s">
        <v>4880</v>
      </c>
      <c r="L1393" t="str">
        <f t="shared" si="21"/>
        <v>MAÇANETA EXTERNA ATEGO 97A12 LE|46192</v>
      </c>
    </row>
    <row r="1394" ht="13.5" customHeight="1" spans="1:12">
      <c r="A1394" s="17">
        <v>46191.6028356482</v>
      </c>
      <c r="B1394" s="6" t="s">
        <v>4876</v>
      </c>
      <c r="C1394" s="6" t="s">
        <v>5756</v>
      </c>
      <c r="D1394" s="6" t="s">
        <v>110</v>
      </c>
      <c r="E1394" s="6" t="s">
        <v>26</v>
      </c>
      <c r="F1394" s="6" t="s">
        <v>4882</v>
      </c>
      <c r="G1394" s="6" t="s">
        <v>2461</v>
      </c>
      <c r="H1394" s="6">
        <v>1</v>
      </c>
      <c r="I1394" s="18">
        <v>95</v>
      </c>
      <c r="J1394" s="19">
        <v>46191.6078149653</v>
      </c>
      <c r="K1394" s="6" t="s">
        <v>4880</v>
      </c>
      <c r="L1394" t="str">
        <f t="shared" si="21"/>
        <v>MAÇANETA EXTERNA PORTA ATEGO 97A12 LD|46192</v>
      </c>
    </row>
    <row r="1395" ht="13.5" customHeight="1" spans="1:12">
      <c r="A1395" s="17">
        <v>46191.6083333333</v>
      </c>
      <c r="B1395" s="6" t="s">
        <v>4876</v>
      </c>
      <c r="C1395" s="6" t="s">
        <v>5757</v>
      </c>
      <c r="D1395" s="6" t="s">
        <v>5109</v>
      </c>
      <c r="E1395" s="6" t="s">
        <v>26</v>
      </c>
      <c r="F1395" s="6" t="s">
        <v>4882</v>
      </c>
      <c r="G1395" s="6" t="s">
        <v>466</v>
      </c>
      <c r="H1395" s="6">
        <v>10</v>
      </c>
      <c r="I1395" s="18">
        <v>390</v>
      </c>
      <c r="J1395" s="19">
        <v>46191.651612037</v>
      </c>
      <c r="K1395" s="6" t="s">
        <v>4880</v>
      </c>
      <c r="L1395" t="str">
        <f t="shared" si="21"/>
        <v>REFLETOR LED 50W 6500K BIV RLT MGC|46192</v>
      </c>
    </row>
    <row r="1396" ht="13.5" customHeight="1" spans="1:12">
      <c r="A1396" s="17">
        <v>46191.6083333333</v>
      </c>
      <c r="B1396" s="6" t="s">
        <v>4876</v>
      </c>
      <c r="C1396" s="6" t="s">
        <v>5757</v>
      </c>
      <c r="D1396" s="6" t="s">
        <v>5109</v>
      </c>
      <c r="E1396" s="6" t="s">
        <v>26</v>
      </c>
      <c r="F1396" s="6" t="s">
        <v>4882</v>
      </c>
      <c r="G1396" s="6" t="s">
        <v>4353</v>
      </c>
      <c r="H1396" s="6">
        <v>8</v>
      </c>
      <c r="I1396" s="18">
        <v>31.2</v>
      </c>
      <c r="J1396" s="19">
        <v>46191.6516106134</v>
      </c>
      <c r="K1396" s="6" t="s">
        <v>4880</v>
      </c>
      <c r="L1396" t="str">
        <f t="shared" si="21"/>
        <v>BOCAL LOUCA EMBUT PORCELANA|46192</v>
      </c>
    </row>
    <row r="1397" ht="13.5" customHeight="1" spans="1:12">
      <c r="A1397" s="17">
        <v>46191.6926851852</v>
      </c>
      <c r="B1397" s="6" t="s">
        <v>4876</v>
      </c>
      <c r="C1397" s="6" t="s">
        <v>5758</v>
      </c>
      <c r="D1397" s="6" t="s">
        <v>109</v>
      </c>
      <c r="E1397" s="6" t="s">
        <v>26</v>
      </c>
      <c r="F1397" s="6" t="s">
        <v>4882</v>
      </c>
      <c r="G1397" s="6" t="s">
        <v>1446</v>
      </c>
      <c r="H1397" s="6">
        <v>4</v>
      </c>
      <c r="I1397" s="18">
        <v>205.44</v>
      </c>
      <c r="J1397" s="19">
        <v>46191.7006824884</v>
      </c>
      <c r="K1397" s="6" t="s">
        <v>4880</v>
      </c>
      <c r="L1397" t="str">
        <f t="shared" si="21"/>
        <v>SEVEN SANT BAC SANITIZANTE FLVS 5L|46192</v>
      </c>
    </row>
    <row r="1398" ht="13.5" customHeight="1" spans="1:12">
      <c r="A1398" s="17">
        <v>46191.6926851852</v>
      </c>
      <c r="B1398" s="6" t="s">
        <v>4876</v>
      </c>
      <c r="C1398" s="6" t="s">
        <v>5758</v>
      </c>
      <c r="D1398" s="6" t="s">
        <v>109</v>
      </c>
      <c r="E1398" s="6" t="s">
        <v>26</v>
      </c>
      <c r="F1398" s="6" t="s">
        <v>4882</v>
      </c>
      <c r="G1398" s="6" t="s">
        <v>3477</v>
      </c>
      <c r="H1398" s="6">
        <v>4</v>
      </c>
      <c r="I1398" s="18">
        <v>431.72</v>
      </c>
      <c r="J1398" s="19">
        <v>46191.7006822917</v>
      </c>
      <c r="K1398" s="6" t="s">
        <v>4880</v>
      </c>
      <c r="L1398" t="str">
        <f t="shared" si="21"/>
        <v>DESINFETANTE CIF HORTIFRUTI 4.76L|46192</v>
      </c>
    </row>
    <row r="1399" ht="13.5" customHeight="1" spans="1:12">
      <c r="A1399" s="17">
        <v>46191.6926851852</v>
      </c>
      <c r="B1399" s="6" t="s">
        <v>4876</v>
      </c>
      <c r="C1399" s="6" t="s">
        <v>5758</v>
      </c>
      <c r="D1399" s="6" t="s">
        <v>109</v>
      </c>
      <c r="E1399" s="6" t="s">
        <v>26</v>
      </c>
      <c r="F1399" s="6" t="s">
        <v>4882</v>
      </c>
      <c r="G1399" s="6" t="s">
        <v>830</v>
      </c>
      <c r="H1399" s="6">
        <v>5</v>
      </c>
      <c r="I1399" s="18">
        <v>908.7</v>
      </c>
      <c r="J1399" s="19">
        <v>46191.7006819097</v>
      </c>
      <c r="K1399" s="6" t="s">
        <v>4880</v>
      </c>
      <c r="L1399" t="str">
        <f t="shared" si="21"/>
        <v>ALCOOL LIQUIDO 70 GL COLMEIA S/ VALVULA CX(O6 X 600ML) |46192</v>
      </c>
    </row>
    <row r="1400" ht="13.5" customHeight="1" spans="1:12">
      <c r="A1400" s="17">
        <v>46191.7256944445</v>
      </c>
      <c r="B1400" s="6" t="s">
        <v>4876</v>
      </c>
      <c r="C1400" s="6" t="s">
        <v>5759</v>
      </c>
      <c r="D1400" s="6" t="s">
        <v>5213</v>
      </c>
      <c r="E1400" s="6" t="s">
        <v>35</v>
      </c>
      <c r="F1400" s="6" t="s">
        <v>4879</v>
      </c>
      <c r="G1400" s="6" t="s">
        <v>3021</v>
      </c>
      <c r="H1400" s="6">
        <v>163.5</v>
      </c>
      <c r="I1400" s="18">
        <v>13956.36</v>
      </c>
      <c r="J1400" s="19">
        <v>46196.7277879977</v>
      </c>
      <c r="K1400" s="6" t="s">
        <v>4880</v>
      </c>
      <c r="L1400" t="str">
        <f t="shared" si="21"/>
        <v>FLUIDO REF R404A HP62 ONU 3337 |46192</v>
      </c>
    </row>
    <row r="1401" ht="13.5" customHeight="1" spans="1:12">
      <c r="A1401" s="17">
        <v>46191.7298611111</v>
      </c>
      <c r="B1401" s="6" t="s">
        <v>4876</v>
      </c>
      <c r="C1401" s="6" t="s">
        <v>5760</v>
      </c>
      <c r="D1401" s="6" t="s">
        <v>4986</v>
      </c>
      <c r="E1401" s="6" t="s">
        <v>26</v>
      </c>
      <c r="F1401" s="6" t="s">
        <v>4882</v>
      </c>
      <c r="G1401" s="6" t="s">
        <v>4310</v>
      </c>
      <c r="H1401" s="6">
        <v>3</v>
      </c>
      <c r="I1401" s="18">
        <v>651.63</v>
      </c>
      <c r="J1401" s="19">
        <v>46196.734096412</v>
      </c>
      <c r="K1401" s="6" t="s">
        <v>4880</v>
      </c>
      <c r="L1401" t="str">
        <f t="shared" si="21"/>
        <v>BOTA DE COURO TERMICA BRACOL Nº46|46192</v>
      </c>
    </row>
    <row r="1402" ht="13.5" customHeight="1" spans="1:12">
      <c r="A1402" s="17">
        <v>46192.5547106482</v>
      </c>
      <c r="B1402" s="6" t="s">
        <v>4876</v>
      </c>
      <c r="C1402" s="6" t="s">
        <v>5761</v>
      </c>
      <c r="D1402" s="6" t="s">
        <v>4971</v>
      </c>
      <c r="E1402" s="6" t="s">
        <v>26</v>
      </c>
      <c r="F1402" s="6" t="s">
        <v>4882</v>
      </c>
      <c r="G1402" s="6" t="s">
        <v>2934</v>
      </c>
      <c r="H1402" s="6">
        <v>1</v>
      </c>
      <c r="I1402" s="18">
        <v>18.87</v>
      </c>
      <c r="J1402" s="19">
        <v>46192.5584482639</v>
      </c>
      <c r="K1402" s="6" t="s">
        <v>4880</v>
      </c>
      <c r="L1402" t="str">
        <f t="shared" si="21"/>
        <v>GERDAU PREGO 18X27 CC 1KG|46193</v>
      </c>
    </row>
    <row r="1403" ht="13.5" customHeight="1" spans="1:12">
      <c r="A1403" s="17">
        <v>46192.5584606482</v>
      </c>
      <c r="B1403" s="6" t="s">
        <v>4876</v>
      </c>
      <c r="C1403" s="6" t="s">
        <v>5762</v>
      </c>
      <c r="D1403" s="6" t="s">
        <v>4919</v>
      </c>
      <c r="E1403" s="6" t="s">
        <v>26</v>
      </c>
      <c r="F1403" s="6" t="s">
        <v>4882</v>
      </c>
      <c r="G1403" s="6" t="s">
        <v>477</v>
      </c>
      <c r="H1403" s="6">
        <v>12</v>
      </c>
      <c r="I1403" s="18">
        <v>514.92</v>
      </c>
      <c r="J1403" s="19">
        <v>46192.5743153588</v>
      </c>
      <c r="K1403" s="6" t="s">
        <v>4880</v>
      </c>
      <c r="L1403" t="str">
        <f t="shared" si="21"/>
        <v>COLORGIN PRETO RAPIDO |46193</v>
      </c>
    </row>
    <row r="1404" ht="13.5" customHeight="1" spans="1:12">
      <c r="A1404" s="17">
        <v>46192.5584606482</v>
      </c>
      <c r="B1404" s="6" t="s">
        <v>4876</v>
      </c>
      <c r="C1404" s="6" t="s">
        <v>5762</v>
      </c>
      <c r="D1404" s="6" t="s">
        <v>4919</v>
      </c>
      <c r="E1404" s="6" t="s">
        <v>26</v>
      </c>
      <c r="F1404" s="6" t="s">
        <v>4882</v>
      </c>
      <c r="G1404" s="6" t="s">
        <v>4517</v>
      </c>
      <c r="H1404" s="6">
        <v>2</v>
      </c>
      <c r="I1404" s="18">
        <v>34</v>
      </c>
      <c r="J1404" s="19">
        <v>46192.5743133912</v>
      </c>
      <c r="K1404" s="6" t="s">
        <v>4880</v>
      </c>
      <c r="L1404" t="str">
        <f t="shared" si="21"/>
        <v>ATLAS BROXA 800/2|46193</v>
      </c>
    </row>
    <row r="1405" ht="13.5" customHeight="1" spans="1:12">
      <c r="A1405" s="17">
        <v>46192.575</v>
      </c>
      <c r="B1405" s="6" t="s">
        <v>4876</v>
      </c>
      <c r="C1405" s="6" t="s">
        <v>5763</v>
      </c>
      <c r="D1405" s="6" t="s">
        <v>5129</v>
      </c>
      <c r="E1405" s="6" t="s">
        <v>26</v>
      </c>
      <c r="F1405" s="6" t="s">
        <v>4882</v>
      </c>
      <c r="G1405" s="6" t="s">
        <v>4864</v>
      </c>
      <c r="H1405" s="6">
        <v>1</v>
      </c>
      <c r="I1405" s="18">
        <v>25</v>
      </c>
      <c r="J1405" s="19">
        <v>46192.5785602662</v>
      </c>
      <c r="K1405" s="6" t="s">
        <v>4880</v>
      </c>
      <c r="L1405" t="str">
        <f t="shared" si="21"/>
        <v>002 313 AR LI ZB 1/4|46193</v>
      </c>
    </row>
    <row r="1406" ht="13.5" customHeight="1" spans="1:12">
      <c r="A1406" s="17">
        <v>46192.575</v>
      </c>
      <c r="B1406" s="6" t="s">
        <v>4876</v>
      </c>
      <c r="C1406" s="6" t="s">
        <v>5763</v>
      </c>
      <c r="D1406" s="6" t="s">
        <v>5129</v>
      </c>
      <c r="E1406" s="6" t="s">
        <v>26</v>
      </c>
      <c r="F1406" s="6" t="s">
        <v>4882</v>
      </c>
      <c r="G1406" s="6" t="s">
        <v>2232</v>
      </c>
      <c r="H1406" s="6">
        <v>1</v>
      </c>
      <c r="I1406" s="18">
        <v>154</v>
      </c>
      <c r="J1406" s="19">
        <v>46192.578559919</v>
      </c>
      <c r="K1406" s="6" t="s">
        <v>4880</v>
      </c>
      <c r="L1406" t="str">
        <f t="shared" si="21"/>
        <v>PA SX INOX 504 10X25|46193</v>
      </c>
    </row>
    <row r="1407" ht="13.5" customHeight="1" spans="1:12">
      <c r="A1407" s="17">
        <v>46192.578587963</v>
      </c>
      <c r="B1407" s="6" t="s">
        <v>4876</v>
      </c>
      <c r="C1407" s="6" t="s">
        <v>5764</v>
      </c>
      <c r="D1407" s="6" t="s">
        <v>5035</v>
      </c>
      <c r="E1407" s="6" t="s">
        <v>26</v>
      </c>
      <c r="F1407" s="6" t="s">
        <v>4882</v>
      </c>
      <c r="G1407" s="6" t="s">
        <v>610</v>
      </c>
      <c r="H1407" s="6">
        <v>6</v>
      </c>
      <c r="I1407" s="18">
        <v>113.4</v>
      </c>
      <c r="J1407" s="19">
        <v>46192.580575081</v>
      </c>
      <c r="K1407" s="6" t="s">
        <v>4880</v>
      </c>
      <c r="L1407" t="str">
        <f t="shared" si="21"/>
        <v>CAL CREM CAL 8KG|46193</v>
      </c>
    </row>
    <row r="1408" ht="13.5" customHeight="1" spans="1:12">
      <c r="A1408" s="17">
        <v>46192.6153819444</v>
      </c>
      <c r="B1408" s="6" t="s">
        <v>4876</v>
      </c>
      <c r="C1408" s="6" t="s">
        <v>5765</v>
      </c>
      <c r="D1408" s="6" t="s">
        <v>5766</v>
      </c>
      <c r="E1408" s="6" t="s">
        <v>26</v>
      </c>
      <c r="F1408" s="6" t="s">
        <v>4882</v>
      </c>
      <c r="G1408" s="6" t="s">
        <v>4862</v>
      </c>
      <c r="H1408" s="6">
        <v>1</v>
      </c>
      <c r="I1408" s="18">
        <v>143</v>
      </c>
      <c r="J1408" s="19">
        <v>46192.6175296296</v>
      </c>
      <c r="K1408" s="6" t="s">
        <v>4880</v>
      </c>
      <c r="L1408" t="str">
        <f t="shared" si="21"/>
        <v>002394 JG DE REPARO 058402 H4|46193</v>
      </c>
    </row>
    <row r="1409" ht="13.5" customHeight="1" spans="1:12">
      <c r="A1409" s="17">
        <v>46195.6233449074</v>
      </c>
      <c r="B1409" s="6" t="s">
        <v>4876</v>
      </c>
      <c r="C1409" s="6" t="s">
        <v>5767</v>
      </c>
      <c r="D1409" s="6" t="s">
        <v>5606</v>
      </c>
      <c r="E1409" s="6" t="s">
        <v>26</v>
      </c>
      <c r="F1409" s="6" t="s">
        <v>4882</v>
      </c>
      <c r="G1409" s="6" t="s">
        <v>629</v>
      </c>
      <c r="H1409" s="6">
        <v>10</v>
      </c>
      <c r="I1409" s="18">
        <v>50</v>
      </c>
      <c r="J1409" s="19">
        <v>46195.6529226505</v>
      </c>
      <c r="K1409" s="6" t="s">
        <v>4880</v>
      </c>
      <c r="L1409" t="str">
        <f t="shared" si="21"/>
        <v>001 000061 BATERIA|46196</v>
      </c>
    </row>
    <row r="1410" ht="13.5" customHeight="1" spans="1:12">
      <c r="A1410" s="17">
        <v>46195.6534375</v>
      </c>
      <c r="B1410" s="6" t="s">
        <v>4876</v>
      </c>
      <c r="C1410" s="6" t="s">
        <v>5768</v>
      </c>
      <c r="D1410" s="6" t="s">
        <v>5769</v>
      </c>
      <c r="E1410" s="6" t="s">
        <v>26</v>
      </c>
      <c r="F1410" s="6" t="s">
        <v>4882</v>
      </c>
      <c r="G1410" s="6" t="s">
        <v>4853</v>
      </c>
      <c r="H1410" s="6">
        <v>1</v>
      </c>
      <c r="I1410" s="18">
        <v>11.05</v>
      </c>
      <c r="J1410" s="19">
        <v>46195.6594175579</v>
      </c>
      <c r="K1410" s="6" t="s">
        <v>4880</v>
      </c>
      <c r="L1410" t="str">
        <f t="shared" ref="L1410:L1473" si="22">IF(G1410="","",G1410&amp;"|"&amp;TEXT(A1410,"0"))</f>
        <v>013583 MANGUEIRA COMB INJEÇÃO 7 MM M149|46196</v>
      </c>
    </row>
    <row r="1411" ht="13.5" customHeight="1" spans="1:12">
      <c r="A1411" s="17">
        <v>46195.6534375</v>
      </c>
      <c r="B1411" s="6" t="s">
        <v>4876</v>
      </c>
      <c r="C1411" s="6" t="s">
        <v>5768</v>
      </c>
      <c r="D1411" s="6" t="s">
        <v>5769</v>
      </c>
      <c r="E1411" s="6" t="s">
        <v>26</v>
      </c>
      <c r="F1411" s="6" t="s">
        <v>4882</v>
      </c>
      <c r="G1411" s="6" t="s">
        <v>415</v>
      </c>
      <c r="H1411" s="6">
        <v>1</v>
      </c>
      <c r="I1411" s="18">
        <v>58.8</v>
      </c>
      <c r="J1411" s="19">
        <v>46195.6594173611</v>
      </c>
      <c r="K1411" s="6" t="s">
        <v>4880</v>
      </c>
      <c r="L1411" t="str">
        <f t="shared" si="22"/>
        <v>001 013615 RESERV.RAD.VW.GOL/SAV/PRT/SANT 00/G-1006|46196</v>
      </c>
    </row>
    <row r="1412" ht="13.5" customHeight="1" spans="1:12">
      <c r="A1412" s="17">
        <v>46195.7373148148</v>
      </c>
      <c r="B1412" s="6" t="s">
        <v>4876</v>
      </c>
      <c r="C1412" s="6" t="s">
        <v>5770</v>
      </c>
      <c r="D1412" s="6" t="s">
        <v>4954</v>
      </c>
      <c r="E1412" s="6" t="s">
        <v>26</v>
      </c>
      <c r="F1412" s="6" t="s">
        <v>4882</v>
      </c>
      <c r="G1412" s="6" t="s">
        <v>196</v>
      </c>
      <c r="H1412" s="6">
        <v>12</v>
      </c>
      <c r="I1412" s="18">
        <v>552</v>
      </c>
      <c r="J1412" s="19">
        <v>46195.7387512384</v>
      </c>
      <c r="K1412" s="6" t="s">
        <v>4880</v>
      </c>
      <c r="L1412" t="str">
        <f t="shared" si="22"/>
        <v>ANTI-FERRUGEM WD-40 300ML|46196</v>
      </c>
    </row>
    <row r="1413" ht="13.5" customHeight="1" spans="1:12">
      <c r="A1413" s="17">
        <v>46195.7390393519</v>
      </c>
      <c r="B1413" s="6" t="s">
        <v>4876</v>
      </c>
      <c r="C1413" s="6" t="s">
        <v>5771</v>
      </c>
      <c r="D1413" s="6" t="s">
        <v>4971</v>
      </c>
      <c r="E1413" s="6" t="s">
        <v>26</v>
      </c>
      <c r="F1413" s="6" t="s">
        <v>4882</v>
      </c>
      <c r="G1413" s="6" t="s">
        <v>470</v>
      </c>
      <c r="H1413" s="6">
        <v>10</v>
      </c>
      <c r="I1413" s="18">
        <v>187.1</v>
      </c>
      <c r="J1413" s="19">
        <v>46195.7413567477</v>
      </c>
      <c r="K1413" s="6" t="s">
        <v>4880</v>
      </c>
      <c r="L1413" t="str">
        <f t="shared" si="22"/>
        <v>FITA ISOLANTE 19x20M TIGRE|46196</v>
      </c>
    </row>
    <row r="1414" ht="13.5" customHeight="1" spans="1:12">
      <c r="A1414" s="17">
        <v>46195.7577199074</v>
      </c>
      <c r="B1414" s="6" t="s">
        <v>4876</v>
      </c>
      <c r="C1414" s="6" t="s">
        <v>5772</v>
      </c>
      <c r="D1414" s="6" t="s">
        <v>5392</v>
      </c>
      <c r="E1414" s="6" t="s">
        <v>26</v>
      </c>
      <c r="F1414" s="6" t="s">
        <v>4882</v>
      </c>
      <c r="G1414" s="6" t="s">
        <v>2555</v>
      </c>
      <c r="H1414" s="6">
        <v>1</v>
      </c>
      <c r="I1414" s="18">
        <v>45</v>
      </c>
      <c r="J1414" s="19">
        <v>46195.7607919329</v>
      </c>
      <c r="K1414" s="6" t="s">
        <v>4880</v>
      </c>
      <c r="L1414" t="str">
        <f t="shared" si="22"/>
        <v>MANG RESERV GOL/SAV/VOY G5 1.0/1.6 10...(FINA)|46196</v>
      </c>
    </row>
    <row r="1415" ht="13.5" customHeight="1" spans="1:12">
      <c r="A1415" s="17">
        <v>46195.761087963</v>
      </c>
      <c r="B1415" s="6" t="s">
        <v>4876</v>
      </c>
      <c r="C1415" s="6" t="s">
        <v>5773</v>
      </c>
      <c r="D1415" s="6" t="s">
        <v>5132</v>
      </c>
      <c r="E1415" s="6" t="s">
        <v>26</v>
      </c>
      <c r="F1415" s="6" t="s">
        <v>4882</v>
      </c>
      <c r="G1415" s="6" t="s">
        <v>420</v>
      </c>
      <c r="H1415" s="6">
        <v>1</v>
      </c>
      <c r="I1415" s="18">
        <v>150</v>
      </c>
      <c r="J1415" s="19">
        <v>46195.7640875347</v>
      </c>
      <c r="K1415" s="6" t="s">
        <v>4880</v>
      </c>
      <c r="L1415" t="str">
        <f t="shared" si="22"/>
        <v>RESIS CAMINHÃO VW DELIVERY|46196</v>
      </c>
    </row>
    <row r="1416" ht="13.5" customHeight="1" spans="1:12">
      <c r="A1416" s="17">
        <v>46195.761087963</v>
      </c>
      <c r="B1416" s="6" t="s">
        <v>4876</v>
      </c>
      <c r="C1416" s="6" t="s">
        <v>5773</v>
      </c>
      <c r="D1416" s="6" t="s">
        <v>5132</v>
      </c>
      <c r="E1416" s="6" t="s">
        <v>26</v>
      </c>
      <c r="F1416" s="6" t="s">
        <v>4882</v>
      </c>
      <c r="G1416" s="6" t="s">
        <v>421</v>
      </c>
      <c r="H1416" s="6">
        <v>1</v>
      </c>
      <c r="I1416" s="18">
        <v>899</v>
      </c>
      <c r="J1416" s="19">
        <v>46195.7640871528</v>
      </c>
      <c r="K1416" s="6" t="s">
        <v>4880</v>
      </c>
      <c r="L1416" t="str">
        <f t="shared" si="22"/>
        <v>EVAP CAMINHÃO VW DELIVERY|46196</v>
      </c>
    </row>
    <row r="1417" ht="13.5" customHeight="1" spans="1:12">
      <c r="A1417" s="17">
        <v>46196.5875</v>
      </c>
      <c r="B1417" s="6" t="s">
        <v>4876</v>
      </c>
      <c r="C1417" s="6" t="s">
        <v>5774</v>
      </c>
      <c r="D1417" s="6" t="s">
        <v>4986</v>
      </c>
      <c r="E1417" s="6" t="s">
        <v>26</v>
      </c>
      <c r="F1417" s="6" t="s">
        <v>4882</v>
      </c>
      <c r="G1417" s="6" t="s">
        <v>906</v>
      </c>
      <c r="H1417" s="6">
        <v>10</v>
      </c>
      <c r="I1417" s="18">
        <v>857.5</v>
      </c>
      <c r="J1417" s="19">
        <v>46205.5936581019</v>
      </c>
      <c r="K1417" s="6" t="s">
        <v>4880</v>
      </c>
      <c r="L1417" t="str">
        <f t="shared" si="22"/>
        <v>BOTA DE COURO N/42|46197</v>
      </c>
    </row>
    <row r="1418" ht="13.5" customHeight="1" spans="1:12">
      <c r="A1418" s="17">
        <v>46196.5875</v>
      </c>
      <c r="B1418" s="6" t="s">
        <v>4876</v>
      </c>
      <c r="C1418" s="6" t="s">
        <v>5774</v>
      </c>
      <c r="D1418" s="6" t="s">
        <v>4986</v>
      </c>
      <c r="E1418" s="6" t="s">
        <v>26</v>
      </c>
      <c r="F1418" s="6" t="s">
        <v>4882</v>
      </c>
      <c r="G1418" s="6" t="s">
        <v>852</v>
      </c>
      <c r="H1418" s="6">
        <v>10</v>
      </c>
      <c r="I1418" s="18">
        <v>857.5</v>
      </c>
      <c r="J1418" s="19">
        <v>46205.5936575579</v>
      </c>
      <c r="K1418" s="6" t="s">
        <v>4880</v>
      </c>
      <c r="L1418" t="str">
        <f t="shared" si="22"/>
        <v>BOTA DE COURO N/41|46197</v>
      </c>
    </row>
    <row r="1419" ht="13.5" customHeight="1" spans="1:12">
      <c r="A1419" s="17">
        <v>46196.5875</v>
      </c>
      <c r="B1419" s="6" t="s">
        <v>4876</v>
      </c>
      <c r="C1419" s="6" t="s">
        <v>5774</v>
      </c>
      <c r="D1419" s="6" t="s">
        <v>4986</v>
      </c>
      <c r="E1419" s="6" t="s">
        <v>26</v>
      </c>
      <c r="F1419" s="6" t="s">
        <v>4882</v>
      </c>
      <c r="G1419" s="6" t="s">
        <v>887</v>
      </c>
      <c r="H1419" s="6">
        <v>10</v>
      </c>
      <c r="I1419" s="18">
        <v>857.5</v>
      </c>
      <c r="J1419" s="19">
        <v>46205.5936566782</v>
      </c>
      <c r="K1419" s="6" t="s">
        <v>4880</v>
      </c>
      <c r="L1419" t="str">
        <f t="shared" si="22"/>
        <v>BOTA DE COURO N/40|46197</v>
      </c>
    </row>
    <row r="1420" ht="13.5" customHeight="1" spans="1:12">
      <c r="A1420" s="17">
        <v>46196.5875</v>
      </c>
      <c r="B1420" s="6" t="s">
        <v>4876</v>
      </c>
      <c r="C1420" s="6" t="s">
        <v>5774</v>
      </c>
      <c r="D1420" s="6" t="s">
        <v>4986</v>
      </c>
      <c r="E1420" s="6" t="s">
        <v>26</v>
      </c>
      <c r="F1420" s="6" t="s">
        <v>4882</v>
      </c>
      <c r="G1420" s="6" t="s">
        <v>4319</v>
      </c>
      <c r="H1420" s="6">
        <v>8</v>
      </c>
      <c r="I1420" s="18">
        <v>685.76</v>
      </c>
      <c r="J1420" s="19">
        <v>46205.5936559375</v>
      </c>
      <c r="K1420" s="6" t="s">
        <v>4880</v>
      </c>
      <c r="L1420" t="str">
        <f t="shared" si="22"/>
        <v>BOTA DE COURO N/39|46197</v>
      </c>
    </row>
    <row r="1421" ht="13.5" customHeight="1" spans="1:12">
      <c r="A1421" s="17">
        <v>46196.5875</v>
      </c>
      <c r="B1421" s="6" t="s">
        <v>4876</v>
      </c>
      <c r="C1421" s="6" t="s">
        <v>5774</v>
      </c>
      <c r="D1421" s="6" t="s">
        <v>4986</v>
      </c>
      <c r="E1421" s="6" t="s">
        <v>26</v>
      </c>
      <c r="F1421" s="6" t="s">
        <v>4882</v>
      </c>
      <c r="G1421" s="6" t="s">
        <v>4321</v>
      </c>
      <c r="H1421" s="6">
        <v>10</v>
      </c>
      <c r="I1421" s="18">
        <v>559</v>
      </c>
      <c r="J1421" s="19">
        <v>46205.5936555903</v>
      </c>
      <c r="K1421" s="6" t="s">
        <v>4880</v>
      </c>
      <c r="L1421" t="str">
        <f t="shared" si="22"/>
        <v>BOTA BRANCA C/CURTO C/F VULCABRAS 44-5 |46197</v>
      </c>
    </row>
    <row r="1422" ht="13.5" customHeight="1" spans="1:12">
      <c r="A1422" s="17">
        <v>46196.5875</v>
      </c>
      <c r="B1422" s="6" t="s">
        <v>4876</v>
      </c>
      <c r="C1422" s="6" t="s">
        <v>5774</v>
      </c>
      <c r="D1422" s="6" t="s">
        <v>4986</v>
      </c>
      <c r="E1422" s="6" t="s">
        <v>26</v>
      </c>
      <c r="F1422" s="6" t="s">
        <v>4882</v>
      </c>
      <c r="G1422" s="6" t="s">
        <v>4308</v>
      </c>
      <c r="H1422" s="6">
        <v>8</v>
      </c>
      <c r="I1422" s="18">
        <v>447.2</v>
      </c>
      <c r="J1422" s="19">
        <v>46205.5936552083</v>
      </c>
      <c r="K1422" s="6" t="s">
        <v>4880</v>
      </c>
      <c r="L1422" t="str">
        <f t="shared" si="22"/>
        <v>BOTA DE PVC BRANCA N/39|46197</v>
      </c>
    </row>
    <row r="1423" ht="13.5" customHeight="1" spans="1:12">
      <c r="A1423" s="17">
        <v>46196.623587963</v>
      </c>
      <c r="B1423" s="6" t="s">
        <v>4876</v>
      </c>
      <c r="C1423" s="6" t="s">
        <v>5775</v>
      </c>
      <c r="D1423" s="6" t="s">
        <v>5109</v>
      </c>
      <c r="E1423" s="6" t="s">
        <v>26</v>
      </c>
      <c r="F1423" s="6" t="s">
        <v>4882</v>
      </c>
      <c r="G1423" s="6" t="s">
        <v>772</v>
      </c>
      <c r="H1423" s="6">
        <v>2</v>
      </c>
      <c r="I1423" s="18">
        <v>54</v>
      </c>
      <c r="J1423" s="19">
        <v>46196.6331649653</v>
      </c>
      <c r="K1423" s="6" t="s">
        <v>4880</v>
      </c>
      <c r="L1423" t="str">
        <f t="shared" si="22"/>
        <v>755131 TORNEIRA ESFERA JARDIM C/ALAVANCA 7005|46197</v>
      </c>
    </row>
    <row r="1424" ht="13.5" customHeight="1" spans="1:12">
      <c r="A1424" s="17">
        <v>46196.623587963</v>
      </c>
      <c r="B1424" s="6" t="s">
        <v>4876</v>
      </c>
      <c r="C1424" s="6" t="s">
        <v>5775</v>
      </c>
      <c r="D1424" s="6" t="s">
        <v>5109</v>
      </c>
      <c r="E1424" s="6" t="s">
        <v>26</v>
      </c>
      <c r="F1424" s="6" t="s">
        <v>4882</v>
      </c>
      <c r="G1424" s="6" t="s">
        <v>1392</v>
      </c>
      <c r="H1424" s="6">
        <v>2</v>
      </c>
      <c r="I1424" s="18">
        <v>6.9</v>
      </c>
      <c r="J1424" s="19">
        <v>46196.6331646181</v>
      </c>
      <c r="K1424" s="6" t="s">
        <v>4880</v>
      </c>
      <c r="L1424" t="str">
        <f t="shared" si="22"/>
        <v>SOLDA JOELHO 25 X 1/2 TIGRE|46197</v>
      </c>
    </row>
    <row r="1425" ht="13.5" customHeight="1" spans="1:12">
      <c r="A1425" s="17">
        <v>46196.623587963</v>
      </c>
      <c r="B1425" s="6" t="s">
        <v>4876</v>
      </c>
      <c r="C1425" s="6" t="s">
        <v>5775</v>
      </c>
      <c r="D1425" s="6" t="s">
        <v>5109</v>
      </c>
      <c r="E1425" s="6" t="s">
        <v>26</v>
      </c>
      <c r="F1425" s="6" t="s">
        <v>4882</v>
      </c>
      <c r="G1425" s="6" t="s">
        <v>4809</v>
      </c>
      <c r="H1425" s="6">
        <v>10</v>
      </c>
      <c r="I1425" s="18">
        <v>1173</v>
      </c>
      <c r="J1425" s="19">
        <v>46196.6331642708</v>
      </c>
      <c r="K1425" s="6" t="s">
        <v>4880</v>
      </c>
      <c r="L1425" t="str">
        <f t="shared" si="22"/>
        <v>755214 CHAVE DE FIM DE CURSO METAL PISTÃO C/ROLDANA LXK-102 JNK|46197</v>
      </c>
    </row>
    <row r="1426" ht="13.5" customHeight="1" spans="1:12">
      <c r="A1426" s="17">
        <v>46196.647662037</v>
      </c>
      <c r="B1426" s="6" t="s">
        <v>4876</v>
      </c>
      <c r="C1426" s="6" t="s">
        <v>5776</v>
      </c>
      <c r="D1426" s="6" t="s">
        <v>109</v>
      </c>
      <c r="E1426" s="6" t="s">
        <v>26</v>
      </c>
      <c r="F1426" s="6" t="s">
        <v>4882</v>
      </c>
      <c r="G1426" s="6" t="s">
        <v>3483</v>
      </c>
      <c r="H1426" s="6">
        <v>4</v>
      </c>
      <c r="I1426" s="18">
        <v>603.88</v>
      </c>
      <c r="J1426" s="19">
        <v>46196.6649428588</v>
      </c>
      <c r="K1426" s="6" t="s">
        <v>4880</v>
      </c>
      <c r="L1426" t="str">
        <f t="shared" si="22"/>
        <v>DESENGORDURANTE CIF 5L|46197</v>
      </c>
    </row>
    <row r="1427" ht="13.5" customHeight="1" spans="1:12">
      <c r="A1427" s="17">
        <v>46196.647662037</v>
      </c>
      <c r="B1427" s="6" t="s">
        <v>4876</v>
      </c>
      <c r="C1427" s="6" t="s">
        <v>5776</v>
      </c>
      <c r="D1427" s="6" t="s">
        <v>109</v>
      </c>
      <c r="E1427" s="6" t="s">
        <v>26</v>
      </c>
      <c r="F1427" s="6" t="s">
        <v>4882</v>
      </c>
      <c r="G1427" s="6" t="s">
        <v>3482</v>
      </c>
      <c r="H1427" s="6">
        <v>4</v>
      </c>
      <c r="I1427" s="18">
        <v>422.36</v>
      </c>
      <c r="J1427" s="19">
        <v>46196.6649428588</v>
      </c>
      <c r="K1427" s="6" t="s">
        <v>4880</v>
      </c>
      <c r="L1427" t="str">
        <f t="shared" si="22"/>
        <v>DESENGORDURANTE ULTRA BRANQUEADO CIF 5L|46197</v>
      </c>
    </row>
    <row r="1428" ht="13.5" customHeight="1" spans="1:12">
      <c r="A1428" s="17">
        <v>46196.647662037</v>
      </c>
      <c r="B1428" s="6" t="s">
        <v>4876</v>
      </c>
      <c r="C1428" s="6" t="s">
        <v>5776</v>
      </c>
      <c r="D1428" s="6" t="s">
        <v>109</v>
      </c>
      <c r="E1428" s="6" t="s">
        <v>26</v>
      </c>
      <c r="F1428" s="6" t="s">
        <v>4882</v>
      </c>
      <c r="G1428" s="6" t="s">
        <v>824</v>
      </c>
      <c r="H1428" s="6">
        <v>4</v>
      </c>
      <c r="I1428" s="18">
        <v>1069</v>
      </c>
      <c r="J1428" s="19">
        <v>46196.6649425116</v>
      </c>
      <c r="K1428" s="6" t="s">
        <v>4880</v>
      </c>
      <c r="L1428" t="str">
        <f t="shared" si="22"/>
        <v>PAPEL TOALHA FLUXO CENTRAL 120M|46197</v>
      </c>
    </row>
    <row r="1429" ht="13.5" customHeight="1" spans="1:12">
      <c r="A1429" s="17">
        <v>46196.647662037</v>
      </c>
      <c r="B1429" s="6" t="s">
        <v>4876</v>
      </c>
      <c r="C1429" s="6" t="s">
        <v>5776</v>
      </c>
      <c r="D1429" s="6" t="s">
        <v>109</v>
      </c>
      <c r="E1429" s="6" t="s">
        <v>26</v>
      </c>
      <c r="F1429" s="6" t="s">
        <v>4882</v>
      </c>
      <c r="G1429" s="6" t="s">
        <v>818</v>
      </c>
      <c r="H1429" s="6">
        <v>2</v>
      </c>
      <c r="I1429" s="18">
        <v>430.64</v>
      </c>
      <c r="J1429" s="19">
        <v>46196.6649423264</v>
      </c>
      <c r="K1429" s="6" t="s">
        <v>4880</v>
      </c>
      <c r="L1429" t="str">
        <f t="shared" si="22"/>
        <v>PAPEL HIGIENICO INTERFOLHADO 620FOLHAS|46197</v>
      </c>
    </row>
    <row r="1430" ht="13.5" customHeight="1" spans="1:12">
      <c r="A1430" s="17">
        <v>46196.647662037</v>
      </c>
      <c r="B1430" s="6" t="s">
        <v>4876</v>
      </c>
      <c r="C1430" s="6" t="s">
        <v>5776</v>
      </c>
      <c r="D1430" s="6" t="s">
        <v>109</v>
      </c>
      <c r="E1430" s="6" t="s">
        <v>26</v>
      </c>
      <c r="F1430" s="6" t="s">
        <v>4882</v>
      </c>
      <c r="G1430" s="6" t="s">
        <v>829</v>
      </c>
      <c r="H1430" s="6">
        <v>6</v>
      </c>
      <c r="I1430" s="18">
        <v>487.14</v>
      </c>
      <c r="J1430" s="19">
        <v>46196.6649421644</v>
      </c>
      <c r="K1430" s="6" t="s">
        <v>4880</v>
      </c>
      <c r="L1430" t="str">
        <f t="shared" si="22"/>
        <v>SABONETE ESPUMA PRIMAVERA CX (6X800ML)|46197</v>
      </c>
    </row>
    <row r="1431" ht="13.5" customHeight="1" spans="1:12">
      <c r="A1431" s="17">
        <v>46196.647662037</v>
      </c>
      <c r="B1431" s="6" t="s">
        <v>4876</v>
      </c>
      <c r="C1431" s="6" t="s">
        <v>5776</v>
      </c>
      <c r="D1431" s="6" t="s">
        <v>109</v>
      </c>
      <c r="E1431" s="6" t="s">
        <v>26</v>
      </c>
      <c r="F1431" s="6" t="s">
        <v>4882</v>
      </c>
      <c r="G1431" s="6" t="s">
        <v>3011</v>
      </c>
      <c r="H1431" s="6">
        <v>4</v>
      </c>
      <c r="I1431" s="18">
        <v>51</v>
      </c>
      <c r="J1431" s="19">
        <v>46196.6649419792</v>
      </c>
      <c r="K1431" s="6" t="s">
        <v>4880</v>
      </c>
      <c r="L1431" t="str">
        <f t="shared" si="22"/>
        <v>FRASCO C/BICO PUSH PULL AZUL 500ML|46197</v>
      </c>
    </row>
    <row r="1432" ht="13.5" customHeight="1" spans="1:12">
      <c r="A1432" s="17">
        <v>46196.647662037</v>
      </c>
      <c r="B1432" s="6" t="s">
        <v>4876</v>
      </c>
      <c r="C1432" s="6" t="s">
        <v>5776</v>
      </c>
      <c r="D1432" s="6" t="s">
        <v>109</v>
      </c>
      <c r="E1432" s="6" t="s">
        <v>26</v>
      </c>
      <c r="F1432" s="6" t="s">
        <v>4882</v>
      </c>
      <c r="G1432" s="6" t="s">
        <v>2613</v>
      </c>
      <c r="H1432" s="6">
        <v>3</v>
      </c>
      <c r="I1432" s="18">
        <v>347.16</v>
      </c>
      <c r="J1432" s="19">
        <v>46196.6649417824</v>
      </c>
      <c r="K1432" s="6" t="s">
        <v>4880</v>
      </c>
      <c r="L1432" t="str">
        <f t="shared" si="22"/>
        <v>LUBRIMAX 1L OLEO PARA INOX|46197</v>
      </c>
    </row>
    <row r="1433" ht="13.5" customHeight="1" spans="1:12">
      <c r="A1433" s="17">
        <v>46196.647662037</v>
      </c>
      <c r="B1433" s="6" t="s">
        <v>4876</v>
      </c>
      <c r="C1433" s="6" t="s">
        <v>5776</v>
      </c>
      <c r="D1433" s="6" t="s">
        <v>109</v>
      </c>
      <c r="E1433" s="6" t="s">
        <v>26</v>
      </c>
      <c r="F1433" s="6" t="s">
        <v>4882</v>
      </c>
      <c r="G1433" s="6" t="s">
        <v>813</v>
      </c>
      <c r="H1433" s="6">
        <v>8</v>
      </c>
      <c r="I1433" s="18">
        <v>1398.48</v>
      </c>
      <c r="J1433" s="19">
        <v>46196.6649414352</v>
      </c>
      <c r="K1433" s="6" t="s">
        <v>4880</v>
      </c>
      <c r="L1433" t="str">
        <f t="shared" si="22"/>
        <v>PEROXY 3000 5 LITROS PEROXY|46197</v>
      </c>
    </row>
    <row r="1434" ht="13.5" customHeight="1" spans="1:12">
      <c r="A1434" s="17">
        <v>46196.647662037</v>
      </c>
      <c r="B1434" s="6" t="s">
        <v>4876</v>
      </c>
      <c r="C1434" s="6" t="s">
        <v>5776</v>
      </c>
      <c r="D1434" s="6" t="s">
        <v>109</v>
      </c>
      <c r="E1434" s="6" t="s">
        <v>26</v>
      </c>
      <c r="F1434" s="6" t="s">
        <v>4882</v>
      </c>
      <c r="G1434" s="6" t="s">
        <v>1448</v>
      </c>
      <c r="H1434" s="6">
        <v>12</v>
      </c>
      <c r="I1434" s="18">
        <v>616.32</v>
      </c>
      <c r="J1434" s="19">
        <v>46196.6649412384</v>
      </c>
      <c r="K1434" s="6" t="s">
        <v>4880</v>
      </c>
      <c r="L1434" t="str">
        <f t="shared" si="22"/>
        <v>SEVEN SANIT BAC FLVS 5L|46197</v>
      </c>
    </row>
    <row r="1435" ht="13.5" customHeight="1" spans="1:12">
      <c r="A1435" s="17">
        <v>46196.647662037</v>
      </c>
      <c r="B1435" s="6" t="s">
        <v>4876</v>
      </c>
      <c r="C1435" s="6" t="s">
        <v>5776</v>
      </c>
      <c r="D1435" s="6" t="s">
        <v>109</v>
      </c>
      <c r="E1435" s="6" t="s">
        <v>26</v>
      </c>
      <c r="F1435" s="6" t="s">
        <v>4882</v>
      </c>
      <c r="G1435" s="6" t="s">
        <v>270</v>
      </c>
      <c r="H1435" s="6">
        <v>4</v>
      </c>
      <c r="I1435" s="18">
        <v>386.36</v>
      </c>
      <c r="J1435" s="19">
        <v>46196.6649408912</v>
      </c>
      <c r="K1435" s="6" t="s">
        <v>4880</v>
      </c>
      <c r="L1435" t="str">
        <f t="shared" si="22"/>
        <v>ARGUS DETERGENTE NEUTRO 5L|46197</v>
      </c>
    </row>
    <row r="1436" ht="13.5" customHeight="1" spans="1:12">
      <c r="A1436" s="17">
        <v>46196.6663888889</v>
      </c>
      <c r="B1436" s="6" t="s">
        <v>4876</v>
      </c>
      <c r="C1436" s="6" t="s">
        <v>5777</v>
      </c>
      <c r="D1436" s="6" t="s">
        <v>4903</v>
      </c>
      <c r="E1436" s="6" t="s">
        <v>26</v>
      </c>
      <c r="F1436" s="6" t="s">
        <v>4882</v>
      </c>
      <c r="G1436" s="6" t="s">
        <v>413</v>
      </c>
      <c r="H1436" s="6">
        <v>50</v>
      </c>
      <c r="I1436" s="18">
        <v>349.5</v>
      </c>
      <c r="J1436" s="19">
        <v>46196.6993072107</v>
      </c>
      <c r="K1436" s="6" t="s">
        <v>4880</v>
      </c>
      <c r="L1436" t="str">
        <f t="shared" si="22"/>
        <v>GASOLINA COMUM 01|46197</v>
      </c>
    </row>
    <row r="1437" ht="13.5" customHeight="1" spans="1:12">
      <c r="A1437" s="17">
        <v>46196.6996759259</v>
      </c>
      <c r="B1437" s="6" t="s">
        <v>4876</v>
      </c>
      <c r="C1437" s="6" t="s">
        <v>5778</v>
      </c>
      <c r="D1437" s="6" t="s">
        <v>110</v>
      </c>
      <c r="E1437" s="6" t="s">
        <v>26</v>
      </c>
      <c r="F1437" s="6" t="s">
        <v>4882</v>
      </c>
      <c r="G1437" s="6" t="s">
        <v>2381</v>
      </c>
      <c r="H1437" s="6">
        <v>50</v>
      </c>
      <c r="I1437" s="18">
        <v>250</v>
      </c>
      <c r="J1437" s="19">
        <v>46196.7028591435</v>
      </c>
      <c r="K1437" s="6" t="s">
        <v>4880</v>
      </c>
      <c r="L1437" t="str">
        <f t="shared" si="22"/>
        <v>MTS MANGUEIRA RODOAR|46197</v>
      </c>
    </row>
    <row r="1438" ht="13.5" customHeight="1" spans="1:12">
      <c r="A1438" s="17">
        <v>46196.7030671296</v>
      </c>
      <c r="B1438" s="6" t="s">
        <v>4876</v>
      </c>
      <c r="C1438" s="6" t="s">
        <v>5779</v>
      </c>
      <c r="D1438" s="6" t="s">
        <v>4971</v>
      </c>
      <c r="E1438" s="6" t="s">
        <v>26</v>
      </c>
      <c r="F1438" s="6" t="s">
        <v>4882</v>
      </c>
      <c r="G1438" s="6" t="s">
        <v>4482</v>
      </c>
      <c r="H1438" s="6">
        <v>2</v>
      </c>
      <c r="I1438" s="18">
        <v>42.12</v>
      </c>
      <c r="J1438" s="19">
        <v>46196.7050219907</v>
      </c>
      <c r="K1438" s="6" t="s">
        <v>4880</v>
      </c>
      <c r="L1438" t="str">
        <f t="shared" si="22"/>
        <v>BALDE PLASTICO P/OBRA REFORCADO|46197</v>
      </c>
    </row>
    <row r="1439" ht="13.5" customHeight="1" spans="1:12">
      <c r="A1439" s="17">
        <v>46196.7055555556</v>
      </c>
      <c r="B1439" s="6" t="s">
        <v>4876</v>
      </c>
      <c r="C1439" s="6" t="s">
        <v>5780</v>
      </c>
      <c r="D1439" s="6" t="s">
        <v>4919</v>
      </c>
      <c r="E1439" s="6" t="s">
        <v>26</v>
      </c>
      <c r="F1439" s="6" t="s">
        <v>4882</v>
      </c>
      <c r="G1439" s="6" t="s">
        <v>452</v>
      </c>
      <c r="H1439" s="6">
        <v>1</v>
      </c>
      <c r="I1439" s="18">
        <v>72.08</v>
      </c>
      <c r="J1439" s="19">
        <v>46196.7075509259</v>
      </c>
      <c r="K1439" s="6" t="s">
        <v>4880</v>
      </c>
      <c r="L1439" t="str">
        <f t="shared" si="22"/>
        <v>MAZA ESM IND PRETO CADILAC 1/4 001360|46197</v>
      </c>
    </row>
    <row r="1440" ht="13.5" customHeight="1" spans="1:12">
      <c r="A1440" s="17">
        <v>46196.708275463</v>
      </c>
      <c r="B1440" s="6" t="s">
        <v>4876</v>
      </c>
      <c r="C1440" s="6" t="s">
        <v>5781</v>
      </c>
      <c r="D1440" s="6" t="s">
        <v>5782</v>
      </c>
      <c r="E1440" s="6" t="s">
        <v>26</v>
      </c>
      <c r="F1440" s="6" t="s">
        <v>4882</v>
      </c>
      <c r="G1440" s="6" t="s">
        <v>3611</v>
      </c>
      <c r="H1440" s="6">
        <v>4</v>
      </c>
      <c r="I1440" s="18">
        <v>19.6</v>
      </c>
      <c r="J1440" s="19">
        <v>46196.7244604167</v>
      </c>
      <c r="K1440" s="6" t="s">
        <v>4880</v>
      </c>
      <c r="L1440" t="str">
        <f t="shared" si="22"/>
        <v>COPO PLAST COPOMAIS 100ML|46197</v>
      </c>
    </row>
    <row r="1441" ht="13.5" customHeight="1" spans="1:12">
      <c r="A1441" s="17">
        <v>46196.708275463</v>
      </c>
      <c r="B1441" s="6" t="s">
        <v>4876</v>
      </c>
      <c r="C1441" s="6" t="s">
        <v>5781</v>
      </c>
      <c r="D1441" s="6" t="s">
        <v>5782</v>
      </c>
      <c r="E1441" s="6" t="s">
        <v>26</v>
      </c>
      <c r="F1441" s="6" t="s">
        <v>4882</v>
      </c>
      <c r="G1441" s="6" t="s">
        <v>1288</v>
      </c>
      <c r="H1441" s="6">
        <v>4</v>
      </c>
      <c r="I1441" s="18">
        <v>27.96</v>
      </c>
      <c r="J1441" s="19">
        <v>46196.7244600695</v>
      </c>
      <c r="K1441" s="6" t="s">
        <v>4880</v>
      </c>
      <c r="L1441" t="str">
        <f t="shared" si="22"/>
        <v>TAMPA COPOMAIS PT-100ML|46197</v>
      </c>
    </row>
    <row r="1442" ht="13.5" customHeight="1" spans="1:12">
      <c r="A1442" s="17">
        <v>46196.708275463</v>
      </c>
      <c r="B1442" s="6" t="s">
        <v>4876</v>
      </c>
      <c r="C1442" s="6" t="s">
        <v>5781</v>
      </c>
      <c r="D1442" s="6" t="s">
        <v>5782</v>
      </c>
      <c r="E1442" s="6" t="s">
        <v>26</v>
      </c>
      <c r="F1442" s="6" t="s">
        <v>4882</v>
      </c>
      <c r="G1442" s="6" t="s">
        <v>425</v>
      </c>
      <c r="H1442" s="6">
        <v>19</v>
      </c>
      <c r="I1442" s="18">
        <v>93.1</v>
      </c>
      <c r="J1442" s="19">
        <v>46196.7244596875</v>
      </c>
      <c r="K1442" s="6" t="s">
        <v>4880</v>
      </c>
      <c r="L1442" t="str">
        <f t="shared" si="22"/>
        <v>PANO DE CHÃO ALVEJADO 100% ALGODÃO |46197</v>
      </c>
    </row>
    <row r="1443" ht="13.5" customHeight="1" spans="1:12">
      <c r="A1443" s="17">
        <v>46196.7428472222</v>
      </c>
      <c r="B1443" s="6" t="s">
        <v>4876</v>
      </c>
      <c r="C1443" s="6" t="s">
        <v>5783</v>
      </c>
      <c r="D1443" s="6" t="s">
        <v>5132</v>
      </c>
      <c r="E1443" s="6" t="s">
        <v>26</v>
      </c>
      <c r="F1443" s="6" t="s">
        <v>4882</v>
      </c>
      <c r="G1443" s="6" t="s">
        <v>3691</v>
      </c>
      <c r="H1443" s="6">
        <v>1</v>
      </c>
      <c r="I1443" s="18">
        <v>790</v>
      </c>
      <c r="J1443" s="19">
        <v>46196.745699537</v>
      </c>
      <c r="K1443" s="6" t="s">
        <v>4880</v>
      </c>
      <c r="L1443" t="str">
        <f t="shared" si="22"/>
        <v>COND VW DELIVERY 2017&gt;&gt;|46197</v>
      </c>
    </row>
    <row r="1444" ht="13.5" customHeight="1" spans="1:12">
      <c r="A1444" s="17">
        <v>46196.7428472222</v>
      </c>
      <c r="B1444" s="6" t="s">
        <v>4876</v>
      </c>
      <c r="C1444" s="6" t="s">
        <v>5783</v>
      </c>
      <c r="D1444" s="6" t="s">
        <v>5132</v>
      </c>
      <c r="E1444" s="6" t="s">
        <v>26</v>
      </c>
      <c r="F1444" s="6" t="s">
        <v>4882</v>
      </c>
      <c r="G1444" s="6" t="s">
        <v>3746</v>
      </c>
      <c r="H1444" s="6">
        <v>1</v>
      </c>
      <c r="I1444" s="18">
        <v>1700</v>
      </c>
      <c r="J1444" s="19">
        <v>46196.7456993866</v>
      </c>
      <c r="K1444" s="6" t="s">
        <v>4880</v>
      </c>
      <c r="L1444" t="str">
        <f t="shared" si="22"/>
        <v>CM VW CONSTELATION/DELIVERY POLIA 8PK|46197</v>
      </c>
    </row>
    <row r="1445" ht="13.5" customHeight="1" spans="1:12">
      <c r="A1445" s="17">
        <v>46197.5784722222</v>
      </c>
      <c r="B1445" s="6" t="s">
        <v>4876</v>
      </c>
      <c r="C1445" s="6" t="s">
        <v>5784</v>
      </c>
      <c r="D1445" s="6" t="s">
        <v>4979</v>
      </c>
      <c r="E1445" s="6" t="s">
        <v>35</v>
      </c>
      <c r="F1445" s="6" t="s">
        <v>4879</v>
      </c>
      <c r="G1445" s="6" t="s">
        <v>472</v>
      </c>
      <c r="H1445" s="6">
        <v>1</v>
      </c>
      <c r="I1445" s="18">
        <v>210</v>
      </c>
      <c r="J1445" s="19">
        <v>46199.5847001157</v>
      </c>
      <c r="K1445" s="6" t="s">
        <v>4880</v>
      </c>
      <c r="L1445" t="str">
        <f t="shared" si="22"/>
        <v>A-907 REV. CAIXA DE RODA |46198</v>
      </c>
    </row>
    <row r="1446" ht="13.5" customHeight="1" spans="1:12">
      <c r="A1446" s="17">
        <v>46197.5784722222</v>
      </c>
      <c r="B1446" s="6" t="s">
        <v>4876</v>
      </c>
      <c r="C1446" s="6" t="s">
        <v>5784</v>
      </c>
      <c r="D1446" s="6" t="s">
        <v>4979</v>
      </c>
      <c r="E1446" s="6" t="s">
        <v>35</v>
      </c>
      <c r="F1446" s="6" t="s">
        <v>4879</v>
      </c>
      <c r="G1446" s="6" t="s">
        <v>4803</v>
      </c>
      <c r="H1446" s="6">
        <v>10</v>
      </c>
      <c r="I1446" s="18">
        <v>400</v>
      </c>
      <c r="J1446" s="19">
        <v>46199.5846995718</v>
      </c>
      <c r="K1446" s="6" t="s">
        <v>4880</v>
      </c>
      <c r="L1446" t="str">
        <f t="shared" si="22"/>
        <v>A- 002 PORCA SEXTAVADA|46198</v>
      </c>
    </row>
    <row r="1447" ht="13.5" customHeight="1" spans="1:12">
      <c r="A1447" s="17">
        <v>46197.5784722222</v>
      </c>
      <c r="B1447" s="6" t="s">
        <v>4876</v>
      </c>
      <c r="C1447" s="6" t="s">
        <v>5784</v>
      </c>
      <c r="D1447" s="6" t="s">
        <v>4979</v>
      </c>
      <c r="E1447" s="6" t="s">
        <v>35</v>
      </c>
      <c r="F1447" s="6" t="s">
        <v>4879</v>
      </c>
      <c r="G1447" s="6" t="s">
        <v>4802</v>
      </c>
      <c r="H1447" s="6">
        <v>2</v>
      </c>
      <c r="I1447" s="18">
        <v>58</v>
      </c>
      <c r="J1447" s="19">
        <v>46199.5846984954</v>
      </c>
      <c r="K1447" s="6" t="s">
        <v>4880</v>
      </c>
      <c r="L1447" t="str">
        <f t="shared" si="22"/>
        <v>A-000 ARREBITE|46198</v>
      </c>
    </row>
    <row r="1448" ht="13.5" customHeight="1" spans="1:12">
      <c r="A1448" s="17">
        <v>46197.5784722222</v>
      </c>
      <c r="B1448" s="6" t="s">
        <v>4876</v>
      </c>
      <c r="C1448" s="6" t="s">
        <v>5784</v>
      </c>
      <c r="D1448" s="6" t="s">
        <v>4979</v>
      </c>
      <c r="E1448" s="6" t="s">
        <v>35</v>
      </c>
      <c r="F1448" s="6" t="s">
        <v>4879</v>
      </c>
      <c r="G1448" s="6" t="s">
        <v>4801</v>
      </c>
      <c r="H1448" s="6">
        <v>10</v>
      </c>
      <c r="I1448" s="18">
        <v>400</v>
      </c>
      <c r="J1448" s="19">
        <v>46199.5846961458</v>
      </c>
      <c r="K1448" s="6" t="s">
        <v>4880</v>
      </c>
      <c r="L1448" t="str">
        <f t="shared" si="22"/>
        <v>A-124 ARREBITE DE EXPANSÃO|46198</v>
      </c>
    </row>
    <row r="1449" ht="13.5" customHeight="1" spans="1:12">
      <c r="A1449" s="17">
        <v>46197.641412037</v>
      </c>
      <c r="B1449" s="6" t="s">
        <v>4876</v>
      </c>
      <c r="C1449" s="6" t="s">
        <v>5785</v>
      </c>
      <c r="D1449" s="6" t="s">
        <v>110</v>
      </c>
      <c r="E1449" s="6" t="s">
        <v>26</v>
      </c>
      <c r="F1449" s="6" t="s">
        <v>4882</v>
      </c>
      <c r="G1449" s="6" t="s">
        <v>3663</v>
      </c>
      <c r="H1449" s="6">
        <v>2</v>
      </c>
      <c r="I1449" s="18">
        <v>98</v>
      </c>
      <c r="J1449" s="19">
        <v>46197.6528033565</v>
      </c>
      <c r="K1449" s="6" t="s">
        <v>4880</v>
      </c>
      <c r="L1449" t="str">
        <f t="shared" si="22"/>
        <v>CONECTOR DE ENGATE RAPIDO|46198</v>
      </c>
    </row>
    <row r="1450" ht="13.5" customHeight="1" spans="1:12">
      <c r="A1450" s="17">
        <v>46197.641412037</v>
      </c>
      <c r="B1450" s="6" t="s">
        <v>4876</v>
      </c>
      <c r="C1450" s="6" t="s">
        <v>5785</v>
      </c>
      <c r="D1450" s="6" t="s">
        <v>110</v>
      </c>
      <c r="E1450" s="6" t="s">
        <v>26</v>
      </c>
      <c r="F1450" s="6" t="s">
        <v>4882</v>
      </c>
      <c r="G1450" s="6" t="s">
        <v>1163</v>
      </c>
      <c r="H1450" s="6">
        <v>2</v>
      </c>
      <c r="I1450" s="18">
        <v>40</v>
      </c>
      <c r="J1450" s="19">
        <v>46197.6528024306</v>
      </c>
      <c r="K1450" s="6" t="s">
        <v>4880</v>
      </c>
      <c r="L1450" t="str">
        <f t="shared" si="22"/>
        <v>TITANIO VIDRO VW|46198</v>
      </c>
    </row>
    <row r="1451" ht="13.5" customHeight="1" spans="1:12">
      <c r="A1451" s="17">
        <v>46197.641412037</v>
      </c>
      <c r="B1451" s="6" t="s">
        <v>4876</v>
      </c>
      <c r="C1451" s="6" t="s">
        <v>5785</v>
      </c>
      <c r="D1451" s="6" t="s">
        <v>110</v>
      </c>
      <c r="E1451" s="6" t="s">
        <v>26</v>
      </c>
      <c r="F1451" s="6" t="s">
        <v>4882</v>
      </c>
      <c r="G1451" s="6" t="s">
        <v>1879</v>
      </c>
      <c r="H1451" s="6">
        <v>2</v>
      </c>
      <c r="I1451" s="18">
        <v>110</v>
      </c>
      <c r="J1451" s="19">
        <v>46197.6527993403</v>
      </c>
      <c r="K1451" s="6" t="s">
        <v>4880</v>
      </c>
      <c r="L1451" t="str">
        <f t="shared" si="22"/>
        <v>PRATO DA MOLA DA CUICA|46198</v>
      </c>
    </row>
    <row r="1452" ht="13.5" customHeight="1" spans="1:12">
      <c r="A1452" s="17">
        <v>46197.641412037</v>
      </c>
      <c r="B1452" s="6" t="s">
        <v>4876</v>
      </c>
      <c r="C1452" s="6" t="s">
        <v>5785</v>
      </c>
      <c r="D1452" s="6" t="s">
        <v>110</v>
      </c>
      <c r="E1452" s="6" t="s">
        <v>26</v>
      </c>
      <c r="F1452" s="6" t="s">
        <v>4882</v>
      </c>
      <c r="G1452" s="6" t="s">
        <v>232</v>
      </c>
      <c r="H1452" s="6">
        <v>20</v>
      </c>
      <c r="I1452" s="18">
        <v>80</v>
      </c>
      <c r="J1452" s="19">
        <v>46197.6527969907</v>
      </c>
      <c r="K1452" s="6" t="s">
        <v>4880</v>
      </c>
      <c r="L1452" t="str">
        <f t="shared" si="22"/>
        <v>LAMPADA 2 POLOS LED 12V/24V|46198</v>
      </c>
    </row>
    <row r="1453" ht="13.5" customHeight="1" spans="1:12">
      <c r="A1453" s="17">
        <v>46197.7077199074</v>
      </c>
      <c r="B1453" s="6" t="s">
        <v>4876</v>
      </c>
      <c r="C1453" s="6" t="s">
        <v>5786</v>
      </c>
      <c r="D1453" s="6" t="s">
        <v>110</v>
      </c>
      <c r="E1453" s="6" t="s">
        <v>26</v>
      </c>
      <c r="F1453" s="6" t="s">
        <v>4882</v>
      </c>
      <c r="G1453" s="6" t="s">
        <v>2666</v>
      </c>
      <c r="H1453" s="6">
        <v>4</v>
      </c>
      <c r="I1453" s="18">
        <v>48</v>
      </c>
      <c r="J1453" s="19">
        <v>46197.7137439815</v>
      </c>
      <c r="K1453" s="6" t="s">
        <v>4880</v>
      </c>
      <c r="L1453" t="str">
        <f t="shared" si="22"/>
        <v>LENTE LANTERNA SETA CARA PRETA|46198</v>
      </c>
    </row>
    <row r="1454" ht="13.5" customHeight="1" spans="1:12">
      <c r="A1454" s="17">
        <v>46197.7077199074</v>
      </c>
      <c r="B1454" s="6" t="s">
        <v>4876</v>
      </c>
      <c r="C1454" s="6" t="s">
        <v>5786</v>
      </c>
      <c r="D1454" s="6" t="s">
        <v>110</v>
      </c>
      <c r="E1454" s="6" t="s">
        <v>26</v>
      </c>
      <c r="F1454" s="6" t="s">
        <v>4882</v>
      </c>
      <c r="G1454" s="6" t="s">
        <v>1039</v>
      </c>
      <c r="H1454" s="6">
        <v>10</v>
      </c>
      <c r="I1454" s="18">
        <v>60</v>
      </c>
      <c r="J1454" s="19">
        <v>46197.713743831</v>
      </c>
      <c r="K1454" s="6" t="s">
        <v>4880</v>
      </c>
      <c r="L1454" t="str">
        <f t="shared" si="22"/>
        <v>UNIÃO INSTANTANEA 8MM|46198</v>
      </c>
    </row>
    <row r="1455" ht="13.5" customHeight="1" spans="1:12">
      <c r="A1455" s="17">
        <v>46197.7077199074</v>
      </c>
      <c r="B1455" s="6" t="s">
        <v>4876</v>
      </c>
      <c r="C1455" s="6" t="s">
        <v>5786</v>
      </c>
      <c r="D1455" s="6" t="s">
        <v>110</v>
      </c>
      <c r="E1455" s="6" t="s">
        <v>26</v>
      </c>
      <c r="F1455" s="6" t="s">
        <v>4882</v>
      </c>
      <c r="G1455" s="6" t="s">
        <v>1050</v>
      </c>
      <c r="H1455" s="6">
        <v>10</v>
      </c>
      <c r="I1455" s="18">
        <v>70</v>
      </c>
      <c r="J1455" s="19">
        <v>46197.7137434375</v>
      </c>
      <c r="K1455" s="6" t="s">
        <v>4880</v>
      </c>
      <c r="L1455" t="str">
        <f t="shared" si="22"/>
        <v>UNIAO INSTANTANEA 10MM|46198</v>
      </c>
    </row>
    <row r="1456" ht="13.5" customHeight="1" spans="1:12">
      <c r="A1456" s="17">
        <v>46197.7139699074</v>
      </c>
      <c r="B1456" s="6" t="s">
        <v>4876</v>
      </c>
      <c r="C1456" s="6" t="s">
        <v>5787</v>
      </c>
      <c r="D1456" s="6" t="s">
        <v>5056</v>
      </c>
      <c r="E1456" s="6" t="s">
        <v>26</v>
      </c>
      <c r="F1456" s="6" t="s">
        <v>4882</v>
      </c>
      <c r="G1456" s="6" t="s">
        <v>1623</v>
      </c>
      <c r="H1456" s="6">
        <v>1</v>
      </c>
      <c r="I1456" s="18">
        <v>445</v>
      </c>
      <c r="J1456" s="19">
        <v>46197.7148426736</v>
      </c>
      <c r="K1456" s="6" t="s">
        <v>4880</v>
      </c>
      <c r="L1456" t="str">
        <f t="shared" si="22"/>
        <v>ROLAMENTO RODA DIANT SPRINTER|46198</v>
      </c>
    </row>
    <row r="1457" ht="13.5" customHeight="1" spans="1:12">
      <c r="A1457" s="17">
        <v>46197.7151273148</v>
      </c>
      <c r="B1457" s="6" t="s">
        <v>4876</v>
      </c>
      <c r="C1457" s="6" t="s">
        <v>5788</v>
      </c>
      <c r="D1457" s="6" t="s">
        <v>4919</v>
      </c>
      <c r="E1457" s="6" t="s">
        <v>26</v>
      </c>
      <c r="F1457" s="6" t="s">
        <v>4882</v>
      </c>
      <c r="G1457" s="6" t="s">
        <v>4501</v>
      </c>
      <c r="H1457" s="6">
        <v>5</v>
      </c>
      <c r="I1457" s="18">
        <v>74.5</v>
      </c>
      <c r="J1457" s="19">
        <v>46197.7206112616</v>
      </c>
      <c r="K1457" s="6" t="s">
        <v>4880</v>
      </c>
      <c r="L1457" t="str">
        <f t="shared" si="22"/>
        <v>ATLAS TRINCHA 2 1/2¨-395/6|46198</v>
      </c>
    </row>
    <row r="1458" ht="13.5" customHeight="1" spans="1:12">
      <c r="A1458" s="17">
        <v>46197.7151273148</v>
      </c>
      <c r="B1458" s="6" t="s">
        <v>4876</v>
      </c>
      <c r="C1458" s="6" t="s">
        <v>5788</v>
      </c>
      <c r="D1458" s="6" t="s">
        <v>4919</v>
      </c>
      <c r="E1458" s="6" t="s">
        <v>26</v>
      </c>
      <c r="F1458" s="6" t="s">
        <v>4882</v>
      </c>
      <c r="G1458" s="6" t="s">
        <v>4502</v>
      </c>
      <c r="H1458" s="6">
        <v>5</v>
      </c>
      <c r="I1458" s="18">
        <v>52.1</v>
      </c>
      <c r="J1458" s="19">
        <v>46197.7206110764</v>
      </c>
      <c r="K1458" s="6" t="s">
        <v>4880</v>
      </c>
      <c r="L1458" t="str">
        <f t="shared" si="22"/>
        <v>ATLAS TRINCHA 1 1/2-395/4|46198</v>
      </c>
    </row>
    <row r="1459" ht="13.5" customHeight="1" spans="1:12">
      <c r="A1459" s="17">
        <v>46197.7151273148</v>
      </c>
      <c r="B1459" s="6" t="s">
        <v>4876</v>
      </c>
      <c r="C1459" s="6" t="s">
        <v>5788</v>
      </c>
      <c r="D1459" s="6" t="s">
        <v>4919</v>
      </c>
      <c r="E1459" s="6" t="s">
        <v>26</v>
      </c>
      <c r="F1459" s="6" t="s">
        <v>4882</v>
      </c>
      <c r="G1459" s="6" t="s">
        <v>4500</v>
      </c>
      <c r="H1459" s="6">
        <v>5</v>
      </c>
      <c r="I1459" s="18">
        <v>72.9</v>
      </c>
      <c r="J1459" s="19">
        <v>46197.7206107292</v>
      </c>
      <c r="K1459" s="6" t="s">
        <v>4880</v>
      </c>
      <c r="L1459" t="str">
        <f t="shared" si="22"/>
        <v>ATLAS TRINCHA 2¨-395/5|46198</v>
      </c>
    </row>
    <row r="1460" ht="13.5" customHeight="1" spans="1:12">
      <c r="A1460" s="17">
        <v>46197.7237847222</v>
      </c>
      <c r="B1460" s="6" t="s">
        <v>4876</v>
      </c>
      <c r="C1460" s="6" t="s">
        <v>5789</v>
      </c>
      <c r="D1460" s="6" t="s">
        <v>5392</v>
      </c>
      <c r="E1460" s="6" t="s">
        <v>26</v>
      </c>
      <c r="F1460" s="6" t="s">
        <v>4882</v>
      </c>
      <c r="G1460" s="6" t="s">
        <v>2508</v>
      </c>
      <c r="H1460" s="6">
        <v>2</v>
      </c>
      <c r="I1460" s="18">
        <v>14</v>
      </c>
      <c r="J1460" s="19">
        <v>46197.7260108796</v>
      </c>
      <c r="K1460" s="6" t="s">
        <v>4880</v>
      </c>
      <c r="L1460" t="str">
        <f t="shared" si="22"/>
        <v>MANIVELA VIDRO FUSCA/BRAS/PST/GOL/ZAMACK|46198</v>
      </c>
    </row>
    <row r="1461" ht="13.5" customHeight="1" spans="1:12">
      <c r="A1461" s="17">
        <v>46198.5548611111</v>
      </c>
      <c r="B1461" s="6" t="s">
        <v>4876</v>
      </c>
      <c r="C1461" s="6" t="s">
        <v>5790</v>
      </c>
      <c r="D1461" s="6" t="s">
        <v>5582</v>
      </c>
      <c r="E1461" s="6" t="s">
        <v>38</v>
      </c>
      <c r="F1461" s="6" t="s">
        <v>4879</v>
      </c>
      <c r="G1461" s="6" t="s">
        <v>458</v>
      </c>
      <c r="H1461" s="6">
        <v>8</v>
      </c>
      <c r="I1461" s="18">
        <v>159.2</v>
      </c>
      <c r="J1461" s="19">
        <v>46199.5776362616</v>
      </c>
      <c r="K1461" s="6" t="s">
        <v>4880</v>
      </c>
      <c r="L1461" t="str">
        <f t="shared" si="22"/>
        <v>SACO DE LIXO 60L LEVE C/100|46199</v>
      </c>
    </row>
    <row r="1462" ht="13.5" customHeight="1" spans="1:12">
      <c r="A1462" s="17">
        <v>46198.5548611111</v>
      </c>
      <c r="B1462" s="6" t="s">
        <v>4876</v>
      </c>
      <c r="C1462" s="6" t="s">
        <v>5790</v>
      </c>
      <c r="D1462" s="6" t="s">
        <v>5582</v>
      </c>
      <c r="E1462" s="6" t="s">
        <v>38</v>
      </c>
      <c r="F1462" s="6" t="s">
        <v>4879</v>
      </c>
      <c r="G1462" s="6" t="s">
        <v>441</v>
      </c>
      <c r="H1462" s="6">
        <v>8</v>
      </c>
      <c r="I1462" s="18">
        <v>440</v>
      </c>
      <c r="J1462" s="19">
        <v>46199.5776360764</v>
      </c>
      <c r="K1462" s="6" t="s">
        <v>4880</v>
      </c>
      <c r="L1462" t="str">
        <f t="shared" si="22"/>
        <v>SACO DE LIXO 100L 5 KG|46199</v>
      </c>
    </row>
    <row r="1463" ht="13.5" customHeight="1" spans="1:12">
      <c r="A1463" s="17">
        <v>46198.5548611111</v>
      </c>
      <c r="B1463" s="6" t="s">
        <v>4876</v>
      </c>
      <c r="C1463" s="6" t="s">
        <v>5790</v>
      </c>
      <c r="D1463" s="6" t="s">
        <v>5582</v>
      </c>
      <c r="E1463" s="6" t="s">
        <v>38</v>
      </c>
      <c r="F1463" s="6" t="s">
        <v>4879</v>
      </c>
      <c r="G1463" s="6" t="s">
        <v>450</v>
      </c>
      <c r="H1463" s="6">
        <v>8</v>
      </c>
      <c r="I1463" s="18">
        <v>688</v>
      </c>
      <c r="J1463" s="19">
        <v>46199.5776349884</v>
      </c>
      <c r="K1463" s="6" t="s">
        <v>4880</v>
      </c>
      <c r="L1463" t="str">
        <f t="shared" si="22"/>
        <v>SACO DE LIXO 200L 5 KG	|46199</v>
      </c>
    </row>
    <row r="1464" ht="13.5" customHeight="1" spans="1:12">
      <c r="A1464" s="17">
        <v>46198.5548611111</v>
      </c>
      <c r="B1464" s="6" t="s">
        <v>4876</v>
      </c>
      <c r="C1464" s="6" t="s">
        <v>5790</v>
      </c>
      <c r="D1464" s="6" t="s">
        <v>5582</v>
      </c>
      <c r="E1464" s="6" t="s">
        <v>38</v>
      </c>
      <c r="F1464" s="6" t="s">
        <v>4879</v>
      </c>
      <c r="G1464" s="6" t="s">
        <v>502</v>
      </c>
      <c r="H1464" s="6">
        <v>10</v>
      </c>
      <c r="I1464" s="18">
        <v>589</v>
      </c>
      <c r="J1464" s="19">
        <v>46199.5776340625</v>
      </c>
      <c r="K1464" s="6" t="s">
        <v>4880</v>
      </c>
      <c r="L1464" t="str">
        <f t="shared" si="22"/>
        <v>SACOLA CINZA 50X60 C/5KG|46199</v>
      </c>
    </row>
    <row r="1465" ht="13.5" customHeight="1" spans="1:12">
      <c r="A1465" s="17">
        <v>46198.5548611111</v>
      </c>
      <c r="B1465" s="6" t="s">
        <v>4876</v>
      </c>
      <c r="C1465" s="6" t="s">
        <v>5790</v>
      </c>
      <c r="D1465" s="6" t="s">
        <v>5582</v>
      </c>
      <c r="E1465" s="6" t="s">
        <v>38</v>
      </c>
      <c r="F1465" s="6" t="s">
        <v>4879</v>
      </c>
      <c r="G1465" s="6" t="s">
        <v>1540</v>
      </c>
      <c r="H1465" s="6">
        <v>10</v>
      </c>
      <c r="I1465" s="18">
        <v>589</v>
      </c>
      <c r="J1465" s="19">
        <v>46199.5776335301</v>
      </c>
      <c r="K1465" s="6" t="s">
        <v>4880</v>
      </c>
      <c r="L1465" t="str">
        <f t="shared" si="22"/>
        <v>SACOLA CINZA 40X50 C/5KG|46199</v>
      </c>
    </row>
    <row r="1466" ht="13.5" customHeight="1" spans="1:12">
      <c r="A1466" s="17">
        <v>46198.5854166667</v>
      </c>
      <c r="B1466" s="6" t="s">
        <v>4876</v>
      </c>
      <c r="C1466" s="6" t="s">
        <v>5791</v>
      </c>
      <c r="D1466" s="6" t="s">
        <v>5792</v>
      </c>
      <c r="E1466" s="6" t="s">
        <v>26</v>
      </c>
      <c r="F1466" s="6" t="s">
        <v>4882</v>
      </c>
      <c r="G1466" s="6" t="s">
        <v>460</v>
      </c>
      <c r="H1466" s="6">
        <v>1</v>
      </c>
      <c r="I1466" s="18">
        <v>270</v>
      </c>
      <c r="J1466" s="19">
        <v>46203.5886391204</v>
      </c>
      <c r="K1466" s="6" t="s">
        <v>4880</v>
      </c>
      <c r="L1466" t="str">
        <f t="shared" si="22"/>
        <v>EXAUSTOR AXIAL 40CM VENTISOL COMERCIAL PAREDE ALTA VAZÃO|46199</v>
      </c>
    </row>
    <row r="1467" ht="13.5" customHeight="1" spans="1:12">
      <c r="A1467" s="17">
        <v>46198.5888888889</v>
      </c>
      <c r="B1467" s="6" t="s">
        <v>4876</v>
      </c>
      <c r="C1467" s="6" t="s">
        <v>5793</v>
      </c>
      <c r="D1467" s="6" t="s">
        <v>4986</v>
      </c>
      <c r="E1467" s="6" t="s">
        <v>26</v>
      </c>
      <c r="F1467" s="6" t="s">
        <v>4882</v>
      </c>
      <c r="G1467" s="6" t="s">
        <v>4312</v>
      </c>
      <c r="H1467" s="6">
        <v>4</v>
      </c>
      <c r="I1467" s="18">
        <v>879.6</v>
      </c>
      <c r="J1467" s="19">
        <v>46203.6039241898</v>
      </c>
      <c r="K1467" s="6" t="s">
        <v>4880</v>
      </c>
      <c r="L1467" t="str">
        <f t="shared" si="22"/>
        <v>BOTA DE COURO Nº46 TERMICA BRANCOL|46199</v>
      </c>
    </row>
    <row r="1468" ht="13.5" customHeight="1" spans="1:12">
      <c r="A1468" s="17">
        <v>46198.5888888889</v>
      </c>
      <c r="B1468" s="6" t="s">
        <v>4876</v>
      </c>
      <c r="C1468" s="6" t="s">
        <v>5793</v>
      </c>
      <c r="D1468" s="6" t="s">
        <v>4986</v>
      </c>
      <c r="E1468" s="6" t="s">
        <v>26</v>
      </c>
      <c r="F1468" s="6" t="s">
        <v>4882</v>
      </c>
      <c r="G1468" s="6" t="s">
        <v>4313</v>
      </c>
      <c r="H1468" s="6">
        <v>8</v>
      </c>
      <c r="I1468" s="18">
        <v>1759.2</v>
      </c>
      <c r="J1468" s="19">
        <v>46203.6039240394</v>
      </c>
      <c r="K1468" s="6" t="s">
        <v>4880</v>
      </c>
      <c r="L1468" t="str">
        <f t="shared" si="22"/>
        <v>BOTA DE COURO Nº43 TERMICA BRANCOL|46199</v>
      </c>
    </row>
    <row r="1469" ht="13.5" customHeight="1" spans="1:12">
      <c r="A1469" s="17">
        <v>46198.5888888889</v>
      </c>
      <c r="B1469" s="6" t="s">
        <v>4876</v>
      </c>
      <c r="C1469" s="6" t="s">
        <v>5793</v>
      </c>
      <c r="D1469" s="6" t="s">
        <v>4986</v>
      </c>
      <c r="E1469" s="6" t="s">
        <v>26</v>
      </c>
      <c r="F1469" s="6" t="s">
        <v>4882</v>
      </c>
      <c r="G1469" s="6" t="s">
        <v>4314</v>
      </c>
      <c r="H1469" s="6">
        <v>8</v>
      </c>
      <c r="I1469" s="18">
        <v>1759.2</v>
      </c>
      <c r="J1469" s="19">
        <v>46203.6039234607</v>
      </c>
      <c r="K1469" s="6" t="s">
        <v>4880</v>
      </c>
      <c r="L1469" t="str">
        <f t="shared" si="22"/>
        <v>BOTA DE COURO Nº42 TERMICA BRANCOL|46199</v>
      </c>
    </row>
    <row r="1470" ht="13.5" customHeight="1" spans="1:12">
      <c r="A1470" s="17">
        <v>46198.5888888889</v>
      </c>
      <c r="B1470" s="6" t="s">
        <v>4876</v>
      </c>
      <c r="C1470" s="6" t="s">
        <v>5793</v>
      </c>
      <c r="D1470" s="6" t="s">
        <v>4986</v>
      </c>
      <c r="E1470" s="6" t="s">
        <v>26</v>
      </c>
      <c r="F1470" s="6" t="s">
        <v>4882</v>
      </c>
      <c r="G1470" s="6" t="s">
        <v>845</v>
      </c>
      <c r="H1470" s="6">
        <v>4</v>
      </c>
      <c r="I1470" s="18">
        <v>879.6</v>
      </c>
      <c r="J1470" s="19">
        <v>46203.6039227662</v>
      </c>
      <c r="K1470" s="6" t="s">
        <v>4880</v>
      </c>
      <c r="L1470" t="str">
        <f t="shared" si="22"/>
        <v>BOTA DE COURO Nº41 TERMICA BRANCOL|46199</v>
      </c>
    </row>
    <row r="1471" ht="13.5" customHeight="1" spans="1:12">
      <c r="A1471" s="17">
        <v>46198.5888888889</v>
      </c>
      <c r="B1471" s="6" t="s">
        <v>4876</v>
      </c>
      <c r="C1471" s="6" t="s">
        <v>5793</v>
      </c>
      <c r="D1471" s="6" t="s">
        <v>4986</v>
      </c>
      <c r="E1471" s="6" t="s">
        <v>26</v>
      </c>
      <c r="F1471" s="6" t="s">
        <v>4882</v>
      </c>
      <c r="G1471" s="6" t="s">
        <v>4315</v>
      </c>
      <c r="H1471" s="6">
        <v>8</v>
      </c>
      <c r="I1471" s="18">
        <v>1759.2</v>
      </c>
      <c r="J1471" s="19">
        <v>46203.6039220255</v>
      </c>
      <c r="K1471" s="6" t="s">
        <v>4880</v>
      </c>
      <c r="L1471" t="str">
        <f t="shared" si="22"/>
        <v>BOTA DE COURO Nº40 TERMICA BRABCOL |46199</v>
      </c>
    </row>
    <row r="1472" ht="13.5" customHeight="1" spans="1:12">
      <c r="A1472" s="17">
        <v>46198.5888888889</v>
      </c>
      <c r="B1472" s="6" t="s">
        <v>4876</v>
      </c>
      <c r="C1472" s="6" t="s">
        <v>5793</v>
      </c>
      <c r="D1472" s="6" t="s">
        <v>4986</v>
      </c>
      <c r="E1472" s="6" t="s">
        <v>26</v>
      </c>
      <c r="F1472" s="6" t="s">
        <v>4882</v>
      </c>
      <c r="G1472" s="6" t="s">
        <v>4321</v>
      </c>
      <c r="H1472" s="6">
        <v>10</v>
      </c>
      <c r="I1472" s="18">
        <v>559</v>
      </c>
      <c r="J1472" s="19">
        <v>46203.6039207523</v>
      </c>
      <c r="K1472" s="6" t="s">
        <v>4880</v>
      </c>
      <c r="L1472" t="str">
        <f t="shared" si="22"/>
        <v>BOTA BRANCA C/CURTO C/F VULCABRAS 44-5 |46199</v>
      </c>
    </row>
    <row r="1473" ht="13.5" customHeight="1" spans="1:12">
      <c r="A1473" s="17">
        <v>46198.6385069444</v>
      </c>
      <c r="B1473" s="6" t="s">
        <v>4876</v>
      </c>
      <c r="C1473" s="6" t="s">
        <v>5794</v>
      </c>
      <c r="D1473" s="6" t="s">
        <v>110</v>
      </c>
      <c r="E1473" s="6" t="s">
        <v>26</v>
      </c>
      <c r="F1473" s="6" t="s">
        <v>4882</v>
      </c>
      <c r="G1473" s="6" t="s">
        <v>2666</v>
      </c>
      <c r="H1473" s="6">
        <v>4</v>
      </c>
      <c r="I1473" s="18">
        <v>48</v>
      </c>
      <c r="J1473" s="19">
        <v>46198.6400432523</v>
      </c>
      <c r="K1473" s="6" t="s">
        <v>4880</v>
      </c>
      <c r="L1473" t="str">
        <f t="shared" si="22"/>
        <v>LENTE LANTERNA SETA CARA PRETA|46199</v>
      </c>
    </row>
    <row r="1474" ht="13.5" customHeight="1" spans="1:12">
      <c r="A1474" s="17">
        <v>46198.6406481482</v>
      </c>
      <c r="B1474" s="6" t="s">
        <v>4876</v>
      </c>
      <c r="C1474" s="6" t="s">
        <v>5795</v>
      </c>
      <c r="D1474" s="6" t="s">
        <v>4933</v>
      </c>
      <c r="E1474" s="6" t="s">
        <v>26</v>
      </c>
      <c r="F1474" s="6" t="s">
        <v>4882</v>
      </c>
      <c r="G1474" s="6" t="s">
        <v>484</v>
      </c>
      <c r="H1474" s="6">
        <v>50</v>
      </c>
      <c r="I1474" s="18">
        <v>650</v>
      </c>
      <c r="J1474" s="19">
        <v>46198.6438532407</v>
      </c>
      <c r="K1474" s="6" t="s">
        <v>4880</v>
      </c>
      <c r="L1474" t="str">
        <f t="shared" ref="L1474:L1537" si="23">IF(G1474="","",G1474&amp;"|"&amp;TEXT(A1474,"0"))</f>
        <v>RELATÓRIO DE VIAGEM|46199</v>
      </c>
    </row>
    <row r="1475" ht="13.5" customHeight="1" spans="1:12">
      <c r="A1475" s="17">
        <v>46198.6406481482</v>
      </c>
      <c r="B1475" s="6" t="s">
        <v>4876</v>
      </c>
      <c r="C1475" s="6" t="s">
        <v>5795</v>
      </c>
      <c r="D1475" s="6" t="s">
        <v>4933</v>
      </c>
      <c r="E1475" s="6" t="s">
        <v>26</v>
      </c>
      <c r="F1475" s="6" t="s">
        <v>4882</v>
      </c>
      <c r="G1475" s="6" t="s">
        <v>483</v>
      </c>
      <c r="H1475" s="6">
        <v>50</v>
      </c>
      <c r="I1475" s="18">
        <v>1200</v>
      </c>
      <c r="J1475" s="19">
        <v>46198.643853044</v>
      </c>
      <c r="K1475" s="6" t="s">
        <v>4880</v>
      </c>
      <c r="L1475" t="str">
        <f t="shared" si="23"/>
        <v>COPIATIVO IMSPEÇÃO SAIDA DE VEICULO|46199</v>
      </c>
    </row>
    <row r="1476" ht="13.5" customHeight="1" spans="1:12">
      <c r="A1476" s="17">
        <v>46198.6442824074</v>
      </c>
      <c r="B1476" s="6" t="s">
        <v>4876</v>
      </c>
      <c r="C1476" s="6" t="s">
        <v>5796</v>
      </c>
      <c r="D1476" s="6" t="s">
        <v>4971</v>
      </c>
      <c r="E1476" s="6" t="s">
        <v>26</v>
      </c>
      <c r="F1476" s="6" t="s">
        <v>4882</v>
      </c>
      <c r="G1476" s="6" t="s">
        <v>932</v>
      </c>
      <c r="H1476" s="6">
        <v>1</v>
      </c>
      <c r="I1476" s="18">
        <v>386.94</v>
      </c>
      <c r="J1476" s="19">
        <v>46198.646397338</v>
      </c>
      <c r="K1476" s="6" t="s">
        <v>4880</v>
      </c>
      <c r="L1476" t="str">
        <f t="shared" si="23"/>
        <v>WORKER MAÇARICO PORTATIL AUTOMATICO 360º MAPP|46199</v>
      </c>
    </row>
    <row r="1477" ht="13.5" customHeight="1" spans="1:12">
      <c r="A1477" s="17">
        <v>46198.6467013889</v>
      </c>
      <c r="B1477" s="6" t="s">
        <v>4876</v>
      </c>
      <c r="C1477" s="6" t="s">
        <v>5797</v>
      </c>
      <c r="D1477" s="6" t="s">
        <v>5018</v>
      </c>
      <c r="E1477" s="6" t="s">
        <v>26</v>
      </c>
      <c r="F1477" s="6" t="s">
        <v>4882</v>
      </c>
      <c r="G1477" s="6" t="s">
        <v>3661</v>
      </c>
      <c r="H1477" s="6">
        <v>4</v>
      </c>
      <c r="I1477" s="18">
        <v>18</v>
      </c>
      <c r="J1477" s="19">
        <v>46198.657200081</v>
      </c>
      <c r="K1477" s="6" t="s">
        <v>4880</v>
      </c>
      <c r="L1477" t="str">
        <f t="shared" si="23"/>
        <v>CONECTOR ENGATE 1/4 ROSCA MACHO|46199</v>
      </c>
    </row>
    <row r="1478" ht="13.5" customHeight="1" spans="1:12">
      <c r="A1478" s="17">
        <v>46198.6467013889</v>
      </c>
      <c r="B1478" s="6" t="s">
        <v>4876</v>
      </c>
      <c r="C1478" s="6" t="s">
        <v>5797</v>
      </c>
      <c r="D1478" s="6" t="s">
        <v>5018</v>
      </c>
      <c r="E1478" s="6" t="s">
        <v>26</v>
      </c>
      <c r="F1478" s="6" t="s">
        <v>4882</v>
      </c>
      <c r="G1478" s="6" t="s">
        <v>2599</v>
      </c>
      <c r="H1478" s="6">
        <v>4</v>
      </c>
      <c r="I1478" s="18">
        <v>35.6</v>
      </c>
      <c r="J1478" s="19">
        <v>46198.6571998843</v>
      </c>
      <c r="K1478" s="6" t="s">
        <v>4880</v>
      </c>
      <c r="L1478" t="str">
        <f t="shared" si="23"/>
        <v>LUVA DE REDUÇÃO ROSCA FEMEA 1/4 X 3/8|46199</v>
      </c>
    </row>
    <row r="1479" ht="13.5" customHeight="1" spans="1:12">
      <c r="A1479" s="17">
        <v>46198.6467013889</v>
      </c>
      <c r="B1479" s="6" t="s">
        <v>4876</v>
      </c>
      <c r="C1479" s="6" t="s">
        <v>5797</v>
      </c>
      <c r="D1479" s="6" t="s">
        <v>5018</v>
      </c>
      <c r="E1479" s="6" t="s">
        <v>26</v>
      </c>
      <c r="F1479" s="6" t="s">
        <v>4882</v>
      </c>
      <c r="G1479" s="6" t="s">
        <v>3329</v>
      </c>
      <c r="H1479" s="6">
        <v>4</v>
      </c>
      <c r="I1479" s="18">
        <v>84</v>
      </c>
      <c r="J1479" s="19">
        <v>46198.6571993403</v>
      </c>
      <c r="K1479" s="6" t="s">
        <v>4880</v>
      </c>
      <c r="L1479" t="str">
        <f t="shared" si="23"/>
        <v>ENGATE RAPIDO AR 1/4 ROSCA MACHO|46199</v>
      </c>
    </row>
    <row r="1480" ht="13.5" customHeight="1" spans="1:12">
      <c r="A1480" s="17">
        <v>46198.6785763889</v>
      </c>
      <c r="B1480" s="6" t="s">
        <v>4876</v>
      </c>
      <c r="C1480" s="6" t="s">
        <v>5798</v>
      </c>
      <c r="D1480" s="6" t="s">
        <v>5799</v>
      </c>
      <c r="E1480" s="6" t="s">
        <v>26</v>
      </c>
      <c r="F1480" s="6" t="s">
        <v>4882</v>
      </c>
      <c r="G1480" s="6" t="s">
        <v>4813</v>
      </c>
      <c r="H1480" s="6">
        <v>1</v>
      </c>
      <c r="I1480" s="18">
        <v>625</v>
      </c>
      <c r="J1480" s="19">
        <v>46198.6842514236</v>
      </c>
      <c r="K1480" s="6" t="s">
        <v>4880</v>
      </c>
      <c r="L1480" t="str">
        <f t="shared" si="23"/>
        <v>555.000.CAD.DIG.FERRO L|46199</v>
      </c>
    </row>
    <row r="1481" ht="13.5" customHeight="1" spans="1:12">
      <c r="A1481" s="17">
        <v>46198.6785763889</v>
      </c>
      <c r="B1481" s="6" t="s">
        <v>4876</v>
      </c>
      <c r="C1481" s="6" t="s">
        <v>5798</v>
      </c>
      <c r="D1481" s="6" t="s">
        <v>5799</v>
      </c>
      <c r="E1481" s="6" t="s">
        <v>26</v>
      </c>
      <c r="F1481" s="6" t="s">
        <v>4882</v>
      </c>
      <c r="G1481" s="6" t="s">
        <v>4812</v>
      </c>
      <c r="H1481" s="6">
        <v>1</v>
      </c>
      <c r="I1481" s="18">
        <v>895</v>
      </c>
      <c r="J1481" s="19">
        <v>46198.6842512384</v>
      </c>
      <c r="K1481" s="6" t="s">
        <v>4880</v>
      </c>
      <c r="L1481" t="str">
        <f t="shared" si="23"/>
        <v>555.000.CAD.DIR.GOM-COR/PTO|46199</v>
      </c>
    </row>
    <row r="1482" ht="13.5" customHeight="1" spans="1:12">
      <c r="A1482" s="17">
        <v>46198.6930555556</v>
      </c>
      <c r="B1482" s="6" t="s">
        <v>4876</v>
      </c>
      <c r="C1482" s="6" t="s">
        <v>5800</v>
      </c>
      <c r="D1482" s="6" t="s">
        <v>5801</v>
      </c>
      <c r="E1482" s="6" t="s">
        <v>26</v>
      </c>
      <c r="F1482" s="6" t="s">
        <v>4882</v>
      </c>
      <c r="G1482" s="6" t="s">
        <v>688</v>
      </c>
      <c r="H1482" s="6">
        <v>1</v>
      </c>
      <c r="I1482" s="18">
        <v>75</v>
      </c>
      <c r="J1482" s="19">
        <v>46203.6960671296</v>
      </c>
      <c r="K1482" s="6" t="s">
        <v>4880</v>
      </c>
      <c r="L1482" t="str">
        <f t="shared" si="23"/>
        <v>FERRO DE SOLDA 100W 220V PROFISSIONAL|46199</v>
      </c>
    </row>
    <row r="1483" ht="13.5" customHeight="1" spans="1:12">
      <c r="A1483" s="17">
        <v>46198.6958333333</v>
      </c>
      <c r="B1483" s="6" t="s">
        <v>4876</v>
      </c>
      <c r="C1483" s="6" t="s">
        <v>5802</v>
      </c>
      <c r="D1483" s="6" t="s">
        <v>5231</v>
      </c>
      <c r="E1483" s="6" t="s">
        <v>26</v>
      </c>
      <c r="F1483" s="6" t="s">
        <v>4882</v>
      </c>
      <c r="G1483" s="6" t="s">
        <v>691</v>
      </c>
      <c r="H1483" s="6">
        <v>1</v>
      </c>
      <c r="I1483" s="18">
        <v>349.11</v>
      </c>
      <c r="J1483" s="19">
        <v>46203.7010555556</v>
      </c>
      <c r="K1483" s="6" t="s">
        <v>4880</v>
      </c>
      <c r="L1483" t="str">
        <f t="shared" si="23"/>
        <v>KIT COM 6 FACAS DESOSSA CURVADA BRANCA|46199</v>
      </c>
    </row>
    <row r="1484" ht="13.5" customHeight="1" spans="1:12">
      <c r="A1484" s="17">
        <v>46199.5458333333</v>
      </c>
      <c r="B1484" s="6" t="s">
        <v>4876</v>
      </c>
      <c r="C1484" s="6" t="s">
        <v>5803</v>
      </c>
      <c r="D1484" s="6" t="s">
        <v>5132</v>
      </c>
      <c r="E1484" s="6" t="s">
        <v>26</v>
      </c>
      <c r="F1484" s="6" t="s">
        <v>4882</v>
      </c>
      <c r="G1484" s="6" t="s">
        <v>788</v>
      </c>
      <c r="H1484" s="6">
        <v>4</v>
      </c>
      <c r="I1484" s="18">
        <v>60</v>
      </c>
      <c r="J1484" s="19">
        <v>46203.5509226042</v>
      </c>
      <c r="K1484" s="6" t="s">
        <v>4880</v>
      </c>
      <c r="L1484" t="str">
        <f t="shared" si="23"/>
        <v>HIGIENIZADOR DE AR COND. ORBI 200ML|46200</v>
      </c>
    </row>
    <row r="1485" ht="13.5" customHeight="1" spans="1:12">
      <c r="A1485" s="17">
        <v>46199.6923611111</v>
      </c>
      <c r="B1485" s="6" t="s">
        <v>4876</v>
      </c>
      <c r="C1485" s="6" t="s">
        <v>5804</v>
      </c>
      <c r="D1485" s="6" t="s">
        <v>5805</v>
      </c>
      <c r="E1485" s="6" t="s">
        <v>26</v>
      </c>
      <c r="F1485" s="6" t="s">
        <v>4882</v>
      </c>
      <c r="G1485" s="6" t="s">
        <v>42</v>
      </c>
      <c r="H1485" s="6">
        <v>4</v>
      </c>
      <c r="I1485" s="18">
        <v>151.56</v>
      </c>
      <c r="J1485" s="19">
        <v>46203.6931176736</v>
      </c>
      <c r="K1485" s="6" t="s">
        <v>4880</v>
      </c>
      <c r="L1485" t="str">
        <f t="shared" si="23"/>
        <v>ANTISSEPTICO BUCAL REFIL 1 LITRO|46200</v>
      </c>
    </row>
    <row r="1486" ht="13.5" customHeight="1" spans="1:12">
      <c r="A1486" s="17">
        <v>46199.7013888889</v>
      </c>
      <c r="B1486" s="6" t="s">
        <v>4876</v>
      </c>
      <c r="C1486" s="6" t="s">
        <v>5806</v>
      </c>
      <c r="D1486" s="6" t="s">
        <v>5807</v>
      </c>
      <c r="E1486" s="6" t="s">
        <v>26</v>
      </c>
      <c r="F1486" s="6" t="s">
        <v>4882</v>
      </c>
      <c r="G1486" s="6" t="s">
        <v>686</v>
      </c>
      <c r="H1486" s="6">
        <v>1</v>
      </c>
      <c r="I1486" s="18">
        <v>322</v>
      </c>
      <c r="J1486" s="19">
        <v>46203.7036220718</v>
      </c>
      <c r="K1486" s="6" t="s">
        <v>4880</v>
      </c>
      <c r="L1486" t="str">
        <f t="shared" si="23"/>
        <v>NOVA SIRENE 12V|46200</v>
      </c>
    </row>
    <row r="1487" ht="13.5" customHeight="1" spans="1:12">
      <c r="A1487" s="17">
        <v>46199.7203587963</v>
      </c>
      <c r="B1487" s="6" t="s">
        <v>4876</v>
      </c>
      <c r="C1487" s="6" t="s">
        <v>5808</v>
      </c>
      <c r="D1487" s="6" t="s">
        <v>4971</v>
      </c>
      <c r="E1487" s="6" t="s">
        <v>26</v>
      </c>
      <c r="F1487" s="6" t="s">
        <v>4882</v>
      </c>
      <c r="G1487" s="6" t="s">
        <v>608</v>
      </c>
      <c r="H1487" s="6">
        <v>5</v>
      </c>
      <c r="I1487" s="18">
        <v>99.4</v>
      </c>
      <c r="J1487" s="19">
        <v>46199.721359456</v>
      </c>
      <c r="K1487" s="6" t="s">
        <v>4880</v>
      </c>
      <c r="L1487" t="str">
        <f t="shared" si="23"/>
        <v>FITA VEDA ROSCA 18x25M TIGRE|46200</v>
      </c>
    </row>
    <row r="1488" ht="13.5" customHeight="1" spans="1:12">
      <c r="A1488" s="17">
        <v>46199.7223842593</v>
      </c>
      <c r="B1488" s="6" t="s">
        <v>4876</v>
      </c>
      <c r="C1488" s="6" t="s">
        <v>5809</v>
      </c>
      <c r="D1488" s="6" t="s">
        <v>5065</v>
      </c>
      <c r="E1488" s="6" t="s">
        <v>26</v>
      </c>
      <c r="F1488" s="6" t="s">
        <v>4882</v>
      </c>
      <c r="G1488" s="6" t="s">
        <v>432</v>
      </c>
      <c r="H1488" s="6">
        <v>4</v>
      </c>
      <c r="I1488" s="18">
        <v>196</v>
      </c>
      <c r="J1488" s="19">
        <v>46199.7257093403</v>
      </c>
      <c r="K1488" s="6" t="s">
        <v>4880</v>
      </c>
      <c r="L1488" t="str">
        <f t="shared" si="23"/>
        <v>TUBO DE GRAXA STIHL 80G|46200</v>
      </c>
    </row>
    <row r="1489" ht="13.5" customHeight="1" spans="1:12">
      <c r="A1489" s="17">
        <v>46199.7375462963</v>
      </c>
      <c r="B1489" s="6" t="s">
        <v>4876</v>
      </c>
      <c r="C1489" s="6" t="s">
        <v>5810</v>
      </c>
      <c r="D1489" s="6" t="s">
        <v>5811</v>
      </c>
      <c r="E1489" s="6" t="s">
        <v>26</v>
      </c>
      <c r="F1489" s="6" t="s">
        <v>4882</v>
      </c>
      <c r="G1489" s="6" t="s">
        <v>4814</v>
      </c>
      <c r="H1489" s="6">
        <v>4</v>
      </c>
      <c r="I1489" s="18">
        <v>80</v>
      </c>
      <c r="J1489" s="19">
        <v>46199.7394357986</v>
      </c>
      <c r="K1489" s="6" t="s">
        <v>4880</v>
      </c>
      <c r="L1489" t="str">
        <f t="shared" si="23"/>
        <v>5430 FUS DE POTENCIA DOURADO 125A|46200</v>
      </c>
    </row>
    <row r="1490" ht="13.5" customHeight="1" spans="1:12">
      <c r="A1490" s="17">
        <v>46199.7394560185</v>
      </c>
      <c r="B1490" s="6" t="s">
        <v>4876</v>
      </c>
      <c r="C1490" s="6" t="s">
        <v>5812</v>
      </c>
      <c r="D1490" s="6" t="s">
        <v>5606</v>
      </c>
      <c r="E1490" s="6" t="s">
        <v>26</v>
      </c>
      <c r="F1490" s="6" t="s">
        <v>4882</v>
      </c>
      <c r="G1490" s="6" t="s">
        <v>453</v>
      </c>
      <c r="H1490" s="6">
        <v>10</v>
      </c>
      <c r="I1490" s="18">
        <v>80</v>
      </c>
      <c r="J1490" s="19">
        <v>46199.7407540162</v>
      </c>
      <c r="K1490" s="6" t="s">
        <v>4880</v>
      </c>
      <c r="L1490" t="str">
        <f t="shared" si="23"/>
        <v>ENERGIZER BATERIA 2032 3V|46200</v>
      </c>
    </row>
    <row r="1491" ht="13.5" customHeight="1" spans="1:12">
      <c r="A1491" s="17">
        <v>46202.5722222222</v>
      </c>
      <c r="B1491" s="6" t="s">
        <v>4876</v>
      </c>
      <c r="C1491" s="6" t="s">
        <v>5813</v>
      </c>
      <c r="D1491" s="6" t="s">
        <v>4956</v>
      </c>
      <c r="E1491" s="6" t="s">
        <v>26</v>
      </c>
      <c r="F1491" s="6" t="s">
        <v>4882</v>
      </c>
      <c r="G1491" s="6" t="s">
        <v>1215</v>
      </c>
      <c r="H1491" s="6">
        <v>1</v>
      </c>
      <c r="I1491" s="18">
        <v>45</v>
      </c>
      <c r="J1491" s="19">
        <v>46202.6763943287</v>
      </c>
      <c r="K1491" s="6" t="s">
        <v>4880</v>
      </c>
      <c r="L1491" t="str">
        <f t="shared" si="23"/>
        <v>TERMINAL HIDRAULICO PRENSADO|46203</v>
      </c>
    </row>
    <row r="1492" ht="13.5" customHeight="1" spans="1:12">
      <c r="A1492" s="17">
        <v>46202.5805555556</v>
      </c>
      <c r="B1492" s="6" t="s">
        <v>4876</v>
      </c>
      <c r="C1492" s="6" t="s">
        <v>5814</v>
      </c>
      <c r="D1492" s="6" t="s">
        <v>5815</v>
      </c>
      <c r="E1492" s="6" t="s">
        <v>26</v>
      </c>
      <c r="F1492" s="6" t="s">
        <v>4882</v>
      </c>
      <c r="G1492" s="6" t="s">
        <v>3486</v>
      </c>
      <c r="H1492" s="6">
        <v>12</v>
      </c>
      <c r="I1492" s="18">
        <v>167.88</v>
      </c>
      <c r="J1492" s="19">
        <v>46203.5854292824</v>
      </c>
      <c r="K1492" s="6" t="s">
        <v>4880</v>
      </c>
      <c r="L1492" t="str">
        <f t="shared" si="23"/>
        <v>DESCARTE DE ABSORVENTE COM 25 UND TRILHA|46203</v>
      </c>
    </row>
    <row r="1493" ht="13.5" customHeight="1" spans="1:12">
      <c r="A1493" s="17">
        <v>46202.6769097222</v>
      </c>
      <c r="B1493" s="6" t="s">
        <v>4876</v>
      </c>
      <c r="C1493" s="6" t="s">
        <v>5816</v>
      </c>
      <c r="D1493" s="6" t="s">
        <v>4954</v>
      </c>
      <c r="E1493" s="6" t="s">
        <v>26</v>
      </c>
      <c r="F1493" s="6" t="s">
        <v>4882</v>
      </c>
      <c r="G1493" s="6" t="s">
        <v>3354</v>
      </c>
      <c r="H1493" s="6">
        <v>1</v>
      </c>
      <c r="I1493" s="18">
        <v>939</v>
      </c>
      <c r="J1493" s="19">
        <v>46202.6798795949</v>
      </c>
      <c r="K1493" s="6" t="s">
        <v>4880</v>
      </c>
      <c r="L1493" t="str">
        <f t="shared" si="23"/>
        <v>EMBRESAGEM VISCOSA - 0M 904/924LA|46203</v>
      </c>
    </row>
    <row r="1494" ht="13.5" customHeight="1" spans="1:12">
      <c r="A1494" s="17">
        <v>46202.680787037</v>
      </c>
      <c r="B1494" s="6" t="s">
        <v>4876</v>
      </c>
      <c r="C1494" s="6" t="s">
        <v>5817</v>
      </c>
      <c r="D1494" s="6" t="s">
        <v>5642</v>
      </c>
      <c r="E1494" s="6" t="s">
        <v>26</v>
      </c>
      <c r="F1494" s="6" t="s">
        <v>4882</v>
      </c>
      <c r="G1494" s="6" t="s">
        <v>630</v>
      </c>
      <c r="H1494" s="6">
        <v>1</v>
      </c>
      <c r="I1494" s="18">
        <v>76.9</v>
      </c>
      <c r="J1494" s="19">
        <v>46202.6834755787</v>
      </c>
      <c r="K1494" s="6" t="s">
        <v>4880</v>
      </c>
      <c r="L1494" t="str">
        <f t="shared" si="23"/>
        <v>PAPELÃO ARQUIVO MORTO|46203</v>
      </c>
    </row>
    <row r="1495" ht="13.5" customHeight="1" spans="1:12">
      <c r="A1495" s="17">
        <v>46202.680787037</v>
      </c>
      <c r="B1495" s="6" t="s">
        <v>4876</v>
      </c>
      <c r="C1495" s="6" t="s">
        <v>5817</v>
      </c>
      <c r="D1495" s="6" t="s">
        <v>5642</v>
      </c>
      <c r="E1495" s="6" t="s">
        <v>26</v>
      </c>
      <c r="F1495" s="6" t="s">
        <v>4882</v>
      </c>
      <c r="G1495" s="6" t="s">
        <v>2383</v>
      </c>
      <c r="H1495" s="6">
        <v>2</v>
      </c>
      <c r="I1495" s="18">
        <v>119.8</v>
      </c>
      <c r="J1495" s="19">
        <v>46202.6834741088</v>
      </c>
      <c r="K1495" s="6" t="s">
        <v>4880</v>
      </c>
      <c r="L1495" t="str">
        <f t="shared" si="23"/>
        <v>MOUSE PAD C APOIO DE PUNHO 23X21|46203</v>
      </c>
    </row>
    <row r="1496" ht="13.5" customHeight="1" spans="1:12">
      <c r="A1496" s="17">
        <v>46203.5513194444</v>
      </c>
      <c r="B1496" s="6" t="s">
        <v>4876</v>
      </c>
      <c r="C1496" s="6" t="s">
        <v>5818</v>
      </c>
      <c r="D1496" s="6" t="s">
        <v>4971</v>
      </c>
      <c r="E1496" s="6" t="s">
        <v>26</v>
      </c>
      <c r="F1496" s="6" t="s">
        <v>4882</v>
      </c>
      <c r="G1496" s="6" t="s">
        <v>4848</v>
      </c>
      <c r="H1496" s="6">
        <v>1</v>
      </c>
      <c r="I1496" s="18">
        <v>34</v>
      </c>
      <c r="J1496" s="19">
        <v>46203.5553915857</v>
      </c>
      <c r="K1496" s="6" t="s">
        <v>4880</v>
      </c>
      <c r="L1496" t="str">
        <f t="shared" si="23"/>
        <v>032754 DIAMANTEX 2001 DISCO TURBO 110MM PRETO|46204</v>
      </c>
    </row>
    <row r="1497" ht="13.5" customHeight="1" spans="1:12">
      <c r="A1497" s="17">
        <v>46203.5557060185</v>
      </c>
      <c r="B1497" s="6" t="s">
        <v>4876</v>
      </c>
      <c r="C1497" s="6" t="s">
        <v>5819</v>
      </c>
      <c r="D1497" s="6" t="s">
        <v>4919</v>
      </c>
      <c r="E1497" s="6" t="s">
        <v>26</v>
      </c>
      <c r="F1497" s="6" t="s">
        <v>4882</v>
      </c>
      <c r="G1497" s="6" t="s">
        <v>2467</v>
      </c>
      <c r="H1497" s="6">
        <v>1</v>
      </c>
      <c r="I1497" s="18">
        <v>94.27</v>
      </c>
      <c r="J1497" s="19">
        <v>46203.5738310995</v>
      </c>
      <c r="K1497" s="6" t="s">
        <v>4880</v>
      </c>
      <c r="L1497" t="str">
        <f t="shared" si="23"/>
        <v>MAZA DIRETO NA FERRUGEM PRETO|46204</v>
      </c>
    </row>
    <row r="1498" ht="13.5" customHeight="1" spans="1:12">
      <c r="A1498" s="17">
        <v>46203.5557060185</v>
      </c>
      <c r="B1498" s="6" t="s">
        <v>4876</v>
      </c>
      <c r="C1498" s="6" t="s">
        <v>5819</v>
      </c>
      <c r="D1498" s="6" t="s">
        <v>4919</v>
      </c>
      <c r="E1498" s="6" t="s">
        <v>26</v>
      </c>
      <c r="F1498" s="6" t="s">
        <v>4882</v>
      </c>
      <c r="G1498" s="6" t="s">
        <v>891</v>
      </c>
      <c r="H1498" s="6">
        <v>1</v>
      </c>
      <c r="I1498" s="18">
        <v>54.9</v>
      </c>
      <c r="J1498" s="19">
        <v>46203.5738307523</v>
      </c>
      <c r="K1498" s="6" t="s">
        <v>4880</v>
      </c>
      <c r="L1498" t="str">
        <f t="shared" si="23"/>
        <v>TF7 CONVERTEDOR DE FERRUGEM 1L |46204</v>
      </c>
    </row>
    <row r="1499" ht="13.5" customHeight="1" spans="1:12">
      <c r="A1499" s="17">
        <v>46203.5748263889</v>
      </c>
      <c r="B1499" s="6" t="s">
        <v>4876</v>
      </c>
      <c r="C1499" s="6" t="s">
        <v>5820</v>
      </c>
      <c r="D1499" s="6" t="s">
        <v>4935</v>
      </c>
      <c r="E1499" s="6" t="s">
        <v>26</v>
      </c>
      <c r="F1499" s="6" t="s">
        <v>4882</v>
      </c>
      <c r="G1499" s="6" t="s">
        <v>2948</v>
      </c>
      <c r="H1499" s="6">
        <v>3</v>
      </c>
      <c r="I1499" s="18">
        <v>163.53</v>
      </c>
      <c r="J1499" s="19">
        <v>46203.5771550926</v>
      </c>
      <c r="K1499" s="6" t="s">
        <v>4880</v>
      </c>
      <c r="L1499" t="str">
        <f t="shared" si="23"/>
        <v>GARRAFA TÉRMICA 5L |46204</v>
      </c>
    </row>
    <row r="1500" ht="13.5" customHeight="1" spans="1:12">
      <c r="A1500" s="17">
        <v>46203.5774652778</v>
      </c>
      <c r="B1500" s="6" t="s">
        <v>4876</v>
      </c>
      <c r="C1500" s="6" t="s">
        <v>5821</v>
      </c>
      <c r="D1500" s="6" t="s">
        <v>4919</v>
      </c>
      <c r="E1500" s="6" t="s">
        <v>26</v>
      </c>
      <c r="F1500" s="6" t="s">
        <v>4882</v>
      </c>
      <c r="G1500" s="6" t="s">
        <v>452</v>
      </c>
      <c r="H1500" s="6">
        <v>1</v>
      </c>
      <c r="I1500" s="18">
        <v>72.08</v>
      </c>
      <c r="J1500" s="19">
        <v>46203.5804395486</v>
      </c>
      <c r="K1500" s="6" t="s">
        <v>4880</v>
      </c>
      <c r="L1500" t="str">
        <f t="shared" si="23"/>
        <v>MAZA ESM IND PRETO CADILAC 1/4 001360|46204</v>
      </c>
    </row>
    <row r="1501" ht="13.5" customHeight="1" spans="1:12">
      <c r="A1501" s="17">
        <v>46203.5819444444</v>
      </c>
      <c r="B1501" s="6" t="s">
        <v>4876</v>
      </c>
      <c r="C1501" s="6" t="s">
        <v>5822</v>
      </c>
      <c r="D1501" s="6" t="s">
        <v>5039</v>
      </c>
      <c r="E1501" s="6" t="s">
        <v>26</v>
      </c>
      <c r="F1501" s="6" t="s">
        <v>4882</v>
      </c>
      <c r="G1501" s="6" t="s">
        <v>2948</v>
      </c>
      <c r="H1501" s="6">
        <v>4</v>
      </c>
      <c r="I1501" s="18">
        <v>179.6</v>
      </c>
      <c r="J1501" s="19">
        <v>46205.5832805903</v>
      </c>
      <c r="K1501" s="6" t="s">
        <v>4880</v>
      </c>
      <c r="L1501" t="str">
        <f t="shared" si="23"/>
        <v>GARRAFA TÉRMICA 5L |46204</v>
      </c>
    </row>
    <row r="1502" ht="13.5" customHeight="1" spans="1:12">
      <c r="A1502" s="17">
        <v>46204.657650463</v>
      </c>
      <c r="B1502" s="6" t="s">
        <v>4876</v>
      </c>
      <c r="C1502" s="6" t="s">
        <v>5823</v>
      </c>
      <c r="D1502" s="6" t="s">
        <v>4935</v>
      </c>
      <c r="E1502" s="6" t="s">
        <v>26</v>
      </c>
      <c r="F1502" s="6" t="s">
        <v>4882</v>
      </c>
      <c r="G1502" s="6" t="s">
        <v>1259</v>
      </c>
      <c r="H1502" s="6">
        <v>2.25</v>
      </c>
      <c r="I1502" s="18">
        <v>507.51</v>
      </c>
      <c r="J1502" s="19">
        <v>46204.6594457523</v>
      </c>
      <c r="K1502" s="6" t="s">
        <v>4880</v>
      </c>
      <c r="L1502" t="str">
        <f t="shared" si="23"/>
        <v>TAPETE EM VINIL LISO AZUL|46205</v>
      </c>
    </row>
    <row r="1503" ht="13.5" customHeight="1" spans="1:12">
      <c r="A1503" s="17">
        <v>46204.6597106482</v>
      </c>
      <c r="B1503" s="6" t="s">
        <v>4876</v>
      </c>
      <c r="C1503" s="6" t="s">
        <v>5824</v>
      </c>
      <c r="D1503" s="6" t="s">
        <v>4919</v>
      </c>
      <c r="E1503" s="6" t="s">
        <v>26</v>
      </c>
      <c r="F1503" s="6" t="s">
        <v>4882</v>
      </c>
      <c r="G1503" s="6" t="s">
        <v>855</v>
      </c>
      <c r="H1503" s="6">
        <v>4</v>
      </c>
      <c r="I1503" s="18">
        <v>777.2</v>
      </c>
      <c r="J1503" s="19">
        <v>46204.6632989931</v>
      </c>
      <c r="K1503" s="6" t="s">
        <v>4880</v>
      </c>
      <c r="L1503" t="str">
        <f t="shared" si="23"/>
        <v>THINNER 5L MONTANA|46205</v>
      </c>
    </row>
    <row r="1504" ht="13.5" customHeight="1" spans="1:12">
      <c r="A1504" s="17">
        <v>46204.6597106482</v>
      </c>
      <c r="B1504" s="6" t="s">
        <v>4876</v>
      </c>
      <c r="C1504" s="6" t="s">
        <v>5824</v>
      </c>
      <c r="D1504" s="6" t="s">
        <v>4919</v>
      </c>
      <c r="E1504" s="6" t="s">
        <v>26</v>
      </c>
      <c r="F1504" s="6" t="s">
        <v>4882</v>
      </c>
      <c r="G1504" s="6" t="s">
        <v>452</v>
      </c>
      <c r="H1504" s="6">
        <v>1</v>
      </c>
      <c r="I1504" s="18">
        <v>72.08</v>
      </c>
      <c r="J1504" s="19">
        <v>46204.6632981134</v>
      </c>
      <c r="K1504" s="6" t="s">
        <v>4880</v>
      </c>
      <c r="L1504" t="str">
        <f t="shared" si="23"/>
        <v>MAZA ESM IND PRETO CADILAC 1/4 001360|46205</v>
      </c>
    </row>
    <row r="1505" ht="13.5" customHeight="1" spans="1:12">
      <c r="A1505" s="17">
        <v>46204.6597106482</v>
      </c>
      <c r="B1505" s="6" t="s">
        <v>4876</v>
      </c>
      <c r="C1505" s="6" t="s">
        <v>5824</v>
      </c>
      <c r="D1505" s="6" t="s">
        <v>4919</v>
      </c>
      <c r="E1505" s="6" t="s">
        <v>26</v>
      </c>
      <c r="F1505" s="6" t="s">
        <v>4882</v>
      </c>
      <c r="G1505" s="6" t="s">
        <v>3289</v>
      </c>
      <c r="H1505" s="6">
        <v>1</v>
      </c>
      <c r="I1505" s="18">
        <v>84.58</v>
      </c>
      <c r="J1505" s="19">
        <v>46204.6632973727</v>
      </c>
      <c r="K1505" s="6" t="s">
        <v>4880</v>
      </c>
      <c r="L1505" t="str">
        <f t="shared" si="23"/>
        <v>ESMALTE SINTETICO A/BR AZUL DEL REY NOVACOR|46205</v>
      </c>
    </row>
    <row r="1506" ht="13.5" customHeight="1" spans="1:12">
      <c r="A1506" s="17">
        <v>46204.7057060185</v>
      </c>
      <c r="B1506" s="6" t="s">
        <v>4876</v>
      </c>
      <c r="C1506" s="6" t="s">
        <v>5825</v>
      </c>
      <c r="D1506" s="6" t="s">
        <v>5826</v>
      </c>
      <c r="E1506" s="6" t="s">
        <v>26</v>
      </c>
      <c r="F1506" s="6" t="s">
        <v>4882</v>
      </c>
      <c r="G1506" s="6" t="s">
        <v>2881</v>
      </c>
      <c r="H1506" s="6">
        <v>2</v>
      </c>
      <c r="I1506" s="18">
        <v>64</v>
      </c>
      <c r="J1506" s="19">
        <v>46204.7082677083</v>
      </c>
      <c r="K1506" s="6" t="s">
        <v>4880</v>
      </c>
      <c r="L1506" t="str">
        <f t="shared" si="23"/>
        <v>INSETIMAX-INSETICOM JARDIM 25G|46205</v>
      </c>
    </row>
    <row r="1507" ht="13.5" customHeight="1" spans="1:12">
      <c r="A1507" s="17">
        <v>46204.7057060185</v>
      </c>
      <c r="B1507" s="6" t="s">
        <v>4876</v>
      </c>
      <c r="C1507" s="6" t="s">
        <v>5825</v>
      </c>
      <c r="D1507" s="6" t="s">
        <v>5826</v>
      </c>
      <c r="E1507" s="6" t="s">
        <v>26</v>
      </c>
      <c r="F1507" s="6" t="s">
        <v>4882</v>
      </c>
      <c r="G1507" s="6" t="s">
        <v>1545</v>
      </c>
      <c r="H1507" s="6">
        <v>3</v>
      </c>
      <c r="I1507" s="18">
        <v>36</v>
      </c>
      <c r="J1507" s="19">
        <v>46204.7082673611</v>
      </c>
      <c r="K1507" s="6" t="s">
        <v>4880</v>
      </c>
      <c r="L1507" t="str">
        <f t="shared" si="23"/>
        <v>SACO DE TERRA ADUBADA GR 20KL|46205</v>
      </c>
    </row>
    <row r="1508" ht="13.5" customHeight="1" spans="1:12">
      <c r="A1508" s="17">
        <v>46204.7057060185</v>
      </c>
      <c r="B1508" s="6" t="s">
        <v>4876</v>
      </c>
      <c r="C1508" s="6" t="s">
        <v>5825</v>
      </c>
      <c r="D1508" s="6" t="s">
        <v>5826</v>
      </c>
      <c r="E1508" s="6" t="s">
        <v>26</v>
      </c>
      <c r="F1508" s="6" t="s">
        <v>4882</v>
      </c>
      <c r="G1508" s="6" t="s">
        <v>3686</v>
      </c>
      <c r="H1508" s="6">
        <v>4</v>
      </c>
      <c r="I1508" s="18">
        <v>128</v>
      </c>
      <c r="J1508" s="19">
        <v>46204.7082668171</v>
      </c>
      <c r="K1508" s="6" t="s">
        <v>4880</v>
      </c>
      <c r="L1508" t="str">
        <f t="shared" si="23"/>
        <v>CONDICIONADOR NATUS FLOREIRA 25KG|46205</v>
      </c>
    </row>
    <row r="1509" ht="13.5" customHeight="1" spans="1:12">
      <c r="A1509" s="17">
        <v>46204.7083333333</v>
      </c>
      <c r="B1509" s="6" t="s">
        <v>4876</v>
      </c>
      <c r="C1509" s="6" t="s">
        <v>5827</v>
      </c>
      <c r="D1509" s="6" t="s">
        <v>5224</v>
      </c>
      <c r="E1509" s="6" t="s">
        <v>26</v>
      </c>
      <c r="F1509" s="6" t="s">
        <v>4882</v>
      </c>
      <c r="G1509" s="6" t="s">
        <v>635</v>
      </c>
      <c r="H1509" s="6">
        <v>1</v>
      </c>
      <c r="I1509" s="18">
        <v>147</v>
      </c>
      <c r="J1509" s="19">
        <v>46204.7155056366</v>
      </c>
      <c r="K1509" s="6" t="s">
        <v>4880</v>
      </c>
      <c r="L1509" t="str">
        <f t="shared" si="23"/>
        <v>RAÇÃO P/ PEIXE (LAGUNA)|46205</v>
      </c>
    </row>
    <row r="1510" ht="13.5" customHeight="1" spans="1:12">
      <c r="A1510" s="17">
        <v>46204.7157638889</v>
      </c>
      <c r="B1510" s="6" t="s">
        <v>4876</v>
      </c>
      <c r="C1510" s="6" t="s">
        <v>5828</v>
      </c>
      <c r="D1510" s="6" t="s">
        <v>5065</v>
      </c>
      <c r="E1510" s="6" t="s">
        <v>26</v>
      </c>
      <c r="F1510" s="6" t="s">
        <v>4882</v>
      </c>
      <c r="G1510" s="6" t="s">
        <v>443</v>
      </c>
      <c r="H1510" s="6">
        <v>2</v>
      </c>
      <c r="I1510" s="18">
        <v>178</v>
      </c>
      <c r="J1510" s="19">
        <v>46204.7175103357</v>
      </c>
      <c r="K1510" s="6" t="s">
        <v>4880</v>
      </c>
      <c r="L1510" t="str">
        <f t="shared" si="23"/>
        <v>PROTEÇAO DE LAMINA D6|46205</v>
      </c>
    </row>
    <row r="1511" ht="13.5" customHeight="1" spans="1:12">
      <c r="A1511" s="17">
        <v>46205.5835763889</v>
      </c>
      <c r="B1511" s="6" t="s">
        <v>4876</v>
      </c>
      <c r="C1511" s="6" t="s">
        <v>5829</v>
      </c>
      <c r="D1511" s="6" t="s">
        <v>4935</v>
      </c>
      <c r="E1511" s="6" t="s">
        <v>26</v>
      </c>
      <c r="F1511" s="6" t="s">
        <v>4882</v>
      </c>
      <c r="G1511" s="6" t="s">
        <v>701</v>
      </c>
      <c r="H1511" s="6">
        <v>3</v>
      </c>
      <c r="I1511" s="18">
        <v>112.41</v>
      </c>
      <c r="J1511" s="19">
        <v>46205.5875453357</v>
      </c>
      <c r="K1511" s="6" t="s">
        <v>4880</v>
      </c>
      <c r="L1511" t="str">
        <f t="shared" si="23"/>
        <v>CAPA DE CHUVA EXG|46206</v>
      </c>
    </row>
    <row r="1512" ht="13.5" customHeight="1" spans="1:12">
      <c r="A1512" s="17">
        <v>46205.5835763889</v>
      </c>
      <c r="B1512" s="6" t="s">
        <v>4876</v>
      </c>
      <c r="C1512" s="6" t="s">
        <v>5829</v>
      </c>
      <c r="D1512" s="6" t="s">
        <v>4935</v>
      </c>
      <c r="E1512" s="6" t="s">
        <v>26</v>
      </c>
      <c r="F1512" s="6" t="s">
        <v>4882</v>
      </c>
      <c r="G1512" s="6" t="s">
        <v>3940</v>
      </c>
      <c r="H1512" s="6">
        <v>10</v>
      </c>
      <c r="I1512" s="18">
        <v>331.6</v>
      </c>
      <c r="J1512" s="19">
        <v>46205.5875447917</v>
      </c>
      <c r="K1512" s="6" t="s">
        <v>4880</v>
      </c>
      <c r="L1512" t="str">
        <f t="shared" si="23"/>
        <v>CAPA DE CHUVA PVC AMARELA (GG)|46206</v>
      </c>
    </row>
    <row r="1513" ht="13.5" customHeight="1" spans="1:12">
      <c r="A1513" s="17">
        <v>46205.6479166667</v>
      </c>
      <c r="B1513" s="6" t="s">
        <v>4876</v>
      </c>
      <c r="C1513" s="6" t="s">
        <v>5830</v>
      </c>
      <c r="D1513" s="6" t="s">
        <v>5831</v>
      </c>
      <c r="E1513" s="6" t="s">
        <v>26</v>
      </c>
      <c r="F1513" s="6" t="s">
        <v>4882</v>
      </c>
      <c r="G1513" s="6" t="s">
        <v>673</v>
      </c>
      <c r="H1513" s="6">
        <v>1</v>
      </c>
      <c r="I1513" s="18">
        <v>689</v>
      </c>
      <c r="J1513" s="19">
        <v>46209.6519859144</v>
      </c>
      <c r="K1513" s="6" t="s">
        <v>4880</v>
      </c>
      <c r="L1513" t="str">
        <f t="shared" si="23"/>
        <v>PLACA MAE DELL 7040 MICRO DDR4 MODEL: 21YVC DP/N 96JG8|46206</v>
      </c>
    </row>
    <row r="1514" ht="13.5" customHeight="1" spans="1:12">
      <c r="A1514" s="17">
        <v>46205.7207986111</v>
      </c>
      <c r="B1514" s="6" t="s">
        <v>4876</v>
      </c>
      <c r="C1514" s="6" t="s">
        <v>5832</v>
      </c>
      <c r="D1514" s="6" t="s">
        <v>110</v>
      </c>
      <c r="E1514" s="6" t="s">
        <v>26</v>
      </c>
      <c r="F1514" s="6" t="s">
        <v>4882</v>
      </c>
      <c r="G1514" s="6" t="s">
        <v>4486</v>
      </c>
      <c r="H1514" s="6">
        <v>1</v>
      </c>
      <c r="I1514" s="18">
        <v>665</v>
      </c>
      <c r="J1514" s="19">
        <v>46205.8145501968</v>
      </c>
      <c r="K1514" s="6" t="s">
        <v>4880</v>
      </c>
      <c r="L1514" t="str">
        <f t="shared" si="23"/>
        <v>BALDE DE ÓLEO 10W30|46206</v>
      </c>
    </row>
    <row r="1515" ht="13.5" customHeight="1" spans="1:12">
      <c r="A1515" s="17">
        <v>46205.7207986111</v>
      </c>
      <c r="B1515" s="6" t="s">
        <v>4876</v>
      </c>
      <c r="C1515" s="6" t="s">
        <v>5832</v>
      </c>
      <c r="D1515" s="6" t="s">
        <v>110</v>
      </c>
      <c r="E1515" s="6" t="s">
        <v>26</v>
      </c>
      <c r="F1515" s="6" t="s">
        <v>4882</v>
      </c>
      <c r="G1515" s="6" t="s">
        <v>30</v>
      </c>
      <c r="H1515" s="6">
        <v>3</v>
      </c>
      <c r="I1515" s="18">
        <v>447</v>
      </c>
      <c r="J1515" s="19">
        <v>46205.81455</v>
      </c>
      <c r="K1515" s="6" t="s">
        <v>4880</v>
      </c>
      <c r="L1515" t="str">
        <f t="shared" si="23"/>
        <v>ROLAMENTO DE CENTRO 45MM|46206</v>
      </c>
    </row>
    <row r="1516" ht="13.5" customHeight="1" spans="1:12">
      <c r="A1516" s="17">
        <v>46205.7207986111</v>
      </c>
      <c r="B1516" s="6" t="s">
        <v>4876</v>
      </c>
      <c r="C1516" s="6" t="s">
        <v>5832</v>
      </c>
      <c r="D1516" s="6" t="s">
        <v>110</v>
      </c>
      <c r="E1516" s="6" t="s">
        <v>26</v>
      </c>
      <c r="F1516" s="6" t="s">
        <v>4882</v>
      </c>
      <c r="G1516" s="6" t="s">
        <v>1038</v>
      </c>
      <c r="H1516" s="6">
        <v>6</v>
      </c>
      <c r="I1516" s="18">
        <v>54</v>
      </c>
      <c r="J1516" s="19">
        <v>46205.8145498032</v>
      </c>
      <c r="K1516" s="6" t="s">
        <v>4880</v>
      </c>
      <c r="L1516" t="str">
        <f t="shared" si="23"/>
        <v>UNIÃO PLASTICA 12MM|46206</v>
      </c>
    </row>
    <row r="1517" ht="13.5" customHeight="1" spans="1:12">
      <c r="A1517" s="17">
        <v>46205.7207986111</v>
      </c>
      <c r="B1517" s="6" t="s">
        <v>4876</v>
      </c>
      <c r="C1517" s="6" t="s">
        <v>5832</v>
      </c>
      <c r="D1517" s="6" t="s">
        <v>110</v>
      </c>
      <c r="E1517" s="6" t="s">
        <v>26</v>
      </c>
      <c r="F1517" s="6" t="s">
        <v>4882</v>
      </c>
      <c r="G1517" s="6" t="s">
        <v>4690</v>
      </c>
      <c r="H1517" s="6">
        <v>3</v>
      </c>
      <c r="I1517" s="18">
        <v>42</v>
      </c>
      <c r="J1517" s="19">
        <v>46205.8145496528</v>
      </c>
      <c r="K1517" s="6" t="s">
        <v>4880</v>
      </c>
      <c r="L1517" t="str">
        <f t="shared" si="23"/>
        <v>ADAPTADOR CUICA ACCELO|46206</v>
      </c>
    </row>
    <row r="1518" ht="13.5" customHeight="1" spans="1:12">
      <c r="A1518" s="17">
        <v>46205.7207986111</v>
      </c>
      <c r="B1518" s="6" t="s">
        <v>4876</v>
      </c>
      <c r="C1518" s="6" t="s">
        <v>5832</v>
      </c>
      <c r="D1518" s="6" t="s">
        <v>110</v>
      </c>
      <c r="E1518" s="6" t="s">
        <v>26</v>
      </c>
      <c r="F1518" s="6" t="s">
        <v>4882</v>
      </c>
      <c r="G1518" s="6" t="s">
        <v>2334</v>
      </c>
      <c r="H1518" s="6">
        <v>3</v>
      </c>
      <c r="I1518" s="18">
        <v>45</v>
      </c>
      <c r="J1518" s="19">
        <v>46205.814549456</v>
      </c>
      <c r="K1518" s="6" t="s">
        <v>4880</v>
      </c>
      <c r="L1518" t="str">
        <f t="shared" si="23"/>
        <v>OLHAL 16MM|46206</v>
      </c>
    </row>
    <row r="1519" ht="13.5" customHeight="1" spans="1:12">
      <c r="A1519" s="17">
        <v>46205.7207986111</v>
      </c>
      <c r="B1519" s="6" t="s">
        <v>4876</v>
      </c>
      <c r="C1519" s="6" t="s">
        <v>5832</v>
      </c>
      <c r="D1519" s="6" t="s">
        <v>110</v>
      </c>
      <c r="E1519" s="6" t="s">
        <v>26</v>
      </c>
      <c r="F1519" s="6" t="s">
        <v>4882</v>
      </c>
      <c r="G1519" s="6" t="s">
        <v>2161</v>
      </c>
      <c r="H1519" s="6">
        <v>3</v>
      </c>
      <c r="I1519" s="18">
        <v>45</v>
      </c>
      <c r="J1519" s="19">
        <v>46205.8145489236</v>
      </c>
      <c r="K1519" s="6" t="s">
        <v>4880</v>
      </c>
      <c r="L1519" t="str">
        <f t="shared" si="23"/>
        <v>PARAFUSO AÇO 16MM|46206</v>
      </c>
    </row>
    <row r="1520" ht="13.5" customHeight="1" spans="1:12">
      <c r="A1520" s="17">
        <v>46205.8163078704</v>
      </c>
      <c r="B1520" s="6" t="s">
        <v>4876</v>
      </c>
      <c r="C1520" s="6" t="s">
        <v>5833</v>
      </c>
      <c r="D1520" s="6" t="s">
        <v>5039</v>
      </c>
      <c r="E1520" s="6" t="s">
        <v>26</v>
      </c>
      <c r="F1520" s="6" t="s">
        <v>4882</v>
      </c>
      <c r="G1520" s="6" t="s">
        <v>1896</v>
      </c>
      <c r="H1520" s="6">
        <v>1</v>
      </c>
      <c r="I1520" s="18">
        <v>79.9</v>
      </c>
      <c r="J1520" s="19">
        <v>46205.8204266204</v>
      </c>
      <c r="K1520" s="6" t="s">
        <v>4880</v>
      </c>
      <c r="L1520" t="str">
        <f t="shared" si="23"/>
        <v>PORTA COPO DESCARTAVEL|46206</v>
      </c>
    </row>
    <row r="1521" ht="13.5" customHeight="1" spans="1:12">
      <c r="A1521" s="17">
        <v>46205.8231481482</v>
      </c>
      <c r="B1521" s="6" t="s">
        <v>4876</v>
      </c>
      <c r="C1521" s="6" t="s">
        <v>5834</v>
      </c>
      <c r="D1521" s="6" t="s">
        <v>4982</v>
      </c>
      <c r="E1521" s="6" t="s">
        <v>26</v>
      </c>
      <c r="F1521" s="6" t="s">
        <v>4882</v>
      </c>
      <c r="G1521" s="6" t="s">
        <v>4844</v>
      </c>
      <c r="H1521" s="6">
        <v>1</v>
      </c>
      <c r="I1521" s="18">
        <v>159</v>
      </c>
      <c r="J1521" s="19">
        <v>46205.8271326389</v>
      </c>
      <c r="K1521" s="6" t="s">
        <v>4880</v>
      </c>
      <c r="L1521" t="str">
        <f t="shared" si="23"/>
        <v>0460 VARAL DE CHÃO|46206</v>
      </c>
    </row>
    <row r="1522" ht="13.5" customHeight="1" spans="1:12">
      <c r="A1522" s="17">
        <v>46205.8231481482</v>
      </c>
      <c r="B1522" s="6" t="s">
        <v>4876</v>
      </c>
      <c r="C1522" s="6" t="s">
        <v>5834</v>
      </c>
      <c r="D1522" s="6" t="s">
        <v>4982</v>
      </c>
      <c r="E1522" s="6" t="s">
        <v>26</v>
      </c>
      <c r="F1522" s="6" t="s">
        <v>4882</v>
      </c>
      <c r="G1522" s="6" t="s">
        <v>549</v>
      </c>
      <c r="H1522" s="6">
        <v>1</v>
      </c>
      <c r="I1522" s="18">
        <v>25</v>
      </c>
      <c r="J1522" s="19">
        <v>46205.8271324421</v>
      </c>
      <c r="K1522" s="6" t="s">
        <v>4880</v>
      </c>
      <c r="L1522" t="str">
        <f t="shared" si="23"/>
        <v>FITILHO PEMBALAR|46206</v>
      </c>
    </row>
    <row r="1523" ht="13.5" customHeight="1" spans="1:12">
      <c r="A1523" s="17">
        <v>46205.8231481482</v>
      </c>
      <c r="B1523" s="6" t="s">
        <v>4876</v>
      </c>
      <c r="C1523" s="6" t="s">
        <v>5834</v>
      </c>
      <c r="D1523" s="6" t="s">
        <v>4982</v>
      </c>
      <c r="E1523" s="6" t="s">
        <v>26</v>
      </c>
      <c r="F1523" s="6" t="s">
        <v>4882</v>
      </c>
      <c r="G1523" s="6" t="s">
        <v>1670</v>
      </c>
      <c r="H1523" s="6">
        <v>2</v>
      </c>
      <c r="I1523" s="18">
        <v>32</v>
      </c>
      <c r="J1523" s="19">
        <v>46205.8271322569</v>
      </c>
      <c r="K1523" s="6" t="s">
        <v>4880</v>
      </c>
      <c r="L1523" t="str">
        <f t="shared" si="23"/>
        <v>RODO 40CM|46206</v>
      </c>
    </row>
    <row r="1524" ht="13.5" customHeight="1" spans="1:12">
      <c r="A1524" s="17">
        <v>46206.4472222222</v>
      </c>
      <c r="B1524" s="6" t="s">
        <v>4876</v>
      </c>
      <c r="C1524" s="6" t="s">
        <v>5835</v>
      </c>
      <c r="D1524" s="6" t="s">
        <v>5079</v>
      </c>
      <c r="E1524" s="6" t="s">
        <v>35</v>
      </c>
      <c r="F1524" s="6" t="s">
        <v>4879</v>
      </c>
      <c r="G1524" s="6" t="s">
        <v>465</v>
      </c>
      <c r="H1524" s="6">
        <v>1</v>
      </c>
      <c r="I1524" s="18">
        <v>2304</v>
      </c>
      <c r="J1524" s="19">
        <v>46212.4494208333</v>
      </c>
      <c r="K1524" s="6" t="s">
        <v>4880</v>
      </c>
      <c r="L1524" t="str">
        <f t="shared" si="23"/>
        <v>MANOPLA ALAVANCA  V020554339|46206</v>
      </c>
    </row>
    <row r="1525" ht="13.5" customHeight="1" spans="1:12">
      <c r="A1525" s="17">
        <v>46206.4472222222</v>
      </c>
      <c r="B1525" s="6" t="s">
        <v>4876</v>
      </c>
      <c r="C1525" s="6" t="s">
        <v>5835</v>
      </c>
      <c r="D1525" s="6" t="s">
        <v>5079</v>
      </c>
      <c r="E1525" s="6" t="s">
        <v>35</v>
      </c>
      <c r="F1525" s="6" t="s">
        <v>4879</v>
      </c>
      <c r="G1525" s="6" t="s">
        <v>464</v>
      </c>
      <c r="H1525" s="6">
        <v>1</v>
      </c>
      <c r="I1525" s="18">
        <v>656.73</v>
      </c>
      <c r="J1525" s="19">
        <v>46212.4494197569</v>
      </c>
      <c r="K1525" s="6" t="s">
        <v>4880</v>
      </c>
      <c r="L1525" t="str">
        <f t="shared" si="23"/>
        <v>ESCORA VO20938986|46206</v>
      </c>
    </row>
    <row r="1526" ht="13.5" customHeight="1" spans="1:12">
      <c r="A1526" s="17">
        <v>46206.5402777778</v>
      </c>
      <c r="B1526" s="6" t="s">
        <v>4876</v>
      </c>
      <c r="C1526" s="6" t="s">
        <v>5836</v>
      </c>
      <c r="D1526" s="6" t="s">
        <v>5067</v>
      </c>
      <c r="E1526" s="6" t="s">
        <v>26</v>
      </c>
      <c r="F1526" s="6" t="s">
        <v>4882</v>
      </c>
      <c r="G1526" s="6" t="s">
        <v>168</v>
      </c>
      <c r="H1526" s="6">
        <v>1</v>
      </c>
      <c r="I1526" s="18">
        <v>329.9</v>
      </c>
      <c r="J1526" s="19">
        <v>46209.5494126968</v>
      </c>
      <c r="K1526" s="6" t="s">
        <v>4880</v>
      </c>
      <c r="L1526" t="str">
        <f t="shared" si="23"/>
        <v>SUPORTE PARALAMA DIANTEIRO CABINE MB ACCELO (LD)|46207</v>
      </c>
    </row>
    <row r="1527" ht="13.5" customHeight="1" spans="1:12">
      <c r="A1527" s="17">
        <v>46206.625</v>
      </c>
      <c r="B1527" s="6" t="s">
        <v>4876</v>
      </c>
      <c r="C1527" s="6" t="s">
        <v>5837</v>
      </c>
      <c r="D1527" s="6" t="s">
        <v>5838</v>
      </c>
      <c r="E1527" s="6" t="s">
        <v>35</v>
      </c>
      <c r="F1527" s="6" t="s">
        <v>4879</v>
      </c>
      <c r="G1527" s="6" t="s">
        <v>4826</v>
      </c>
      <c r="H1527" s="6">
        <v>1</v>
      </c>
      <c r="I1527" s="18">
        <v>29.75</v>
      </c>
      <c r="J1527" s="19">
        <v>46212.6741591782</v>
      </c>
      <c r="K1527" s="6" t="s">
        <v>4880</v>
      </c>
      <c r="L1527" t="str">
        <f t="shared" si="23"/>
        <v>2851 RETENTOR 45 X 65 X 10|46207</v>
      </c>
    </row>
    <row r="1528" ht="13.5" customHeight="1" spans="1:12">
      <c r="A1528" s="17">
        <v>46206.625</v>
      </c>
      <c r="B1528" s="6" t="s">
        <v>4876</v>
      </c>
      <c r="C1528" s="6" t="s">
        <v>5837</v>
      </c>
      <c r="D1528" s="6" t="s">
        <v>5838</v>
      </c>
      <c r="E1528" s="6" t="s">
        <v>35</v>
      </c>
      <c r="F1528" s="6" t="s">
        <v>4879</v>
      </c>
      <c r="G1528" s="6" t="s">
        <v>4830</v>
      </c>
      <c r="H1528" s="6">
        <v>1</v>
      </c>
      <c r="I1528" s="18">
        <v>24.2</v>
      </c>
      <c r="J1528" s="19">
        <v>46212.6741589931</v>
      </c>
      <c r="K1528" s="6" t="s">
        <v>4880</v>
      </c>
      <c r="L1528" t="str">
        <f t="shared" si="23"/>
        <v>2524 RETENTOR 35 X 52 X 10|46207</v>
      </c>
    </row>
    <row r="1529" ht="13.5" customHeight="1" spans="1:12">
      <c r="A1529" s="17">
        <v>46206.625</v>
      </c>
      <c r="B1529" s="6" t="s">
        <v>4876</v>
      </c>
      <c r="C1529" s="6" t="s">
        <v>5837</v>
      </c>
      <c r="D1529" s="6" t="s">
        <v>5838</v>
      </c>
      <c r="E1529" s="6" t="s">
        <v>390</v>
      </c>
      <c r="F1529" s="6" t="s">
        <v>4879</v>
      </c>
      <c r="G1529" s="6" t="s">
        <v>4837</v>
      </c>
      <c r="H1529" s="6">
        <v>10</v>
      </c>
      <c r="I1529" s="18">
        <v>1250</v>
      </c>
      <c r="J1529" s="19">
        <v>46212.6741586458</v>
      </c>
      <c r="K1529" s="6" t="s">
        <v>4880</v>
      </c>
      <c r="L1529" t="str">
        <f t="shared" si="23"/>
        <v>1803 FACA CIRCULA LISA CBC 200 E 250 -2MM|46207</v>
      </c>
    </row>
    <row r="1530" ht="13.5" customHeight="1" spans="1:12">
      <c r="A1530" s="17">
        <v>46206.625</v>
      </c>
      <c r="B1530" s="6" t="s">
        <v>4876</v>
      </c>
      <c r="C1530" s="6" t="s">
        <v>5837</v>
      </c>
      <c r="D1530" s="6" t="s">
        <v>5838</v>
      </c>
      <c r="E1530" s="6" t="s">
        <v>35</v>
      </c>
      <c r="F1530" s="6" t="s">
        <v>4879</v>
      </c>
      <c r="G1530" s="6" t="s">
        <v>4834</v>
      </c>
      <c r="H1530" s="6">
        <v>1</v>
      </c>
      <c r="I1530" s="18">
        <v>1800</v>
      </c>
      <c r="J1530" s="19">
        <v>46212.6741577199</v>
      </c>
      <c r="K1530" s="6" t="s">
        <v>4880</v>
      </c>
      <c r="L1530" t="str">
        <f t="shared" si="23"/>
        <v>21 KIT ENGRENAGENS ESTEIRAS CBC|46207</v>
      </c>
    </row>
    <row r="1531" ht="13.5" customHeight="1" spans="1:12">
      <c r="A1531" s="17">
        <v>46206.6576388889</v>
      </c>
      <c r="B1531" s="6" t="s">
        <v>4876</v>
      </c>
      <c r="C1531" s="6" t="s">
        <v>5839</v>
      </c>
      <c r="D1531" s="6" t="s">
        <v>4979</v>
      </c>
      <c r="E1531" s="6" t="s">
        <v>35</v>
      </c>
      <c r="F1531" s="6" t="s">
        <v>4879</v>
      </c>
      <c r="G1531" s="6" t="s">
        <v>2620</v>
      </c>
      <c r="H1531" s="6">
        <v>1</v>
      </c>
      <c r="I1531" s="18">
        <v>775</v>
      </c>
      <c r="J1531" s="19">
        <v>46209.6588842245</v>
      </c>
      <c r="K1531" s="6" t="s">
        <v>4880</v>
      </c>
      <c r="L1531" t="str">
        <f t="shared" si="23"/>
        <v>LU DISTRIBUIDOR DE AR A904098137|46207</v>
      </c>
    </row>
    <row r="1532" ht="13.5" customHeight="1" spans="1:12">
      <c r="A1532" s="17">
        <v>46206.689375</v>
      </c>
      <c r="B1532" s="6" t="s">
        <v>4876</v>
      </c>
      <c r="C1532" s="6" t="s">
        <v>5840</v>
      </c>
      <c r="D1532" s="6" t="s">
        <v>4894</v>
      </c>
      <c r="E1532" s="6" t="s">
        <v>26</v>
      </c>
      <c r="F1532" s="6" t="s">
        <v>4882</v>
      </c>
      <c r="G1532" s="6" t="s">
        <v>2270</v>
      </c>
      <c r="H1532" s="6">
        <v>100</v>
      </c>
      <c r="I1532" s="18">
        <v>12</v>
      </c>
      <c r="J1532" s="19">
        <v>46206.6936642014</v>
      </c>
      <c r="K1532" s="6" t="s">
        <v>4880</v>
      </c>
      <c r="L1532" t="str">
        <f t="shared" si="23"/>
        <v>P.MDF 3,5X40|46207</v>
      </c>
    </row>
    <row r="1533" ht="13.5" customHeight="1" spans="1:12">
      <c r="A1533" s="17">
        <v>46206.689375</v>
      </c>
      <c r="B1533" s="6" t="s">
        <v>4876</v>
      </c>
      <c r="C1533" s="6" t="s">
        <v>5840</v>
      </c>
      <c r="D1533" s="6" t="s">
        <v>4894</v>
      </c>
      <c r="E1533" s="6" t="s">
        <v>26</v>
      </c>
      <c r="F1533" s="6" t="s">
        <v>4882</v>
      </c>
      <c r="G1533" s="6" t="s">
        <v>40</v>
      </c>
      <c r="H1533" s="6">
        <v>10</v>
      </c>
      <c r="I1533" s="18">
        <v>1391.3</v>
      </c>
      <c r="J1533" s="19">
        <v>46206.6936635069</v>
      </c>
      <c r="K1533" s="6" t="s">
        <v>4880</v>
      </c>
      <c r="L1533" t="str">
        <f t="shared" si="23"/>
        <v>RODA COLSON PNEUMATICA 350-4 R.7|46207</v>
      </c>
    </row>
    <row r="1534" ht="13.5" customHeight="1" spans="1:12">
      <c r="A1534" s="17">
        <v>46206.694525463</v>
      </c>
      <c r="B1534" s="6" t="s">
        <v>4876</v>
      </c>
      <c r="C1534" s="6" t="s">
        <v>5841</v>
      </c>
      <c r="D1534" s="6" t="s">
        <v>4988</v>
      </c>
      <c r="E1534" s="6" t="s">
        <v>26</v>
      </c>
      <c r="F1534" s="6" t="s">
        <v>4882</v>
      </c>
      <c r="G1534" s="6" t="s">
        <v>1401</v>
      </c>
      <c r="H1534" s="6">
        <v>8</v>
      </c>
      <c r="I1534" s="18">
        <v>120</v>
      </c>
      <c r="J1534" s="19">
        <v>46206.7009466088</v>
      </c>
      <c r="K1534" s="6" t="s">
        <v>4880</v>
      </c>
      <c r="L1534" t="str">
        <f t="shared" si="23"/>
        <v>SOLDA ALUMINIO REFRIGERAÇÃO|46207</v>
      </c>
    </row>
    <row r="1535" ht="13.5" customHeight="1" spans="1:12">
      <c r="A1535" s="17">
        <v>46206.694525463</v>
      </c>
      <c r="B1535" s="6" t="s">
        <v>4876</v>
      </c>
      <c r="C1535" s="6" t="s">
        <v>5841</v>
      </c>
      <c r="D1535" s="6" t="s">
        <v>4988</v>
      </c>
      <c r="E1535" s="6" t="s">
        <v>26</v>
      </c>
      <c r="F1535" s="6" t="s">
        <v>4882</v>
      </c>
      <c r="G1535" s="6" t="s">
        <v>3932</v>
      </c>
      <c r="H1535" s="6">
        <v>10</v>
      </c>
      <c r="I1535" s="18">
        <v>150</v>
      </c>
      <c r="J1535" s="19">
        <v>46206.7009462153</v>
      </c>
      <c r="K1535" s="6" t="s">
        <v>4880</v>
      </c>
      <c r="L1535" t="str">
        <f t="shared" si="23"/>
        <v>CAPACITOR 10 440V |46207</v>
      </c>
    </row>
    <row r="1536" ht="13.5" customHeight="1" spans="1:12">
      <c r="A1536" s="17">
        <v>46208.5868055556</v>
      </c>
      <c r="B1536" s="6" t="s">
        <v>4876</v>
      </c>
      <c r="C1536" s="6" t="s">
        <v>5842</v>
      </c>
      <c r="D1536" s="6" t="s">
        <v>5147</v>
      </c>
      <c r="E1536" s="6" t="s">
        <v>390</v>
      </c>
      <c r="F1536" s="6" t="s">
        <v>4879</v>
      </c>
      <c r="G1536" s="6" t="s">
        <v>836</v>
      </c>
      <c r="H1536" s="6">
        <v>11.5</v>
      </c>
      <c r="I1536" s="18">
        <v>5106</v>
      </c>
      <c r="J1536" s="19">
        <v>46245.5897339931</v>
      </c>
      <c r="K1536" s="6" t="s">
        <v>4880</v>
      </c>
      <c r="L1536" t="str">
        <f t="shared" si="23"/>
        <v>SCS PLAST 20.0 X30.0 790013|46209</v>
      </c>
    </row>
    <row r="1537" ht="13.5" customHeight="1" spans="1:12">
      <c r="A1537" s="17">
        <v>46209.3546180556</v>
      </c>
      <c r="B1537" s="6" t="s">
        <v>4876</v>
      </c>
      <c r="C1537" s="6" t="s">
        <v>5843</v>
      </c>
      <c r="D1537" s="6" t="s">
        <v>5844</v>
      </c>
      <c r="E1537" s="6" t="s">
        <v>26</v>
      </c>
      <c r="F1537" s="6" t="s">
        <v>4882</v>
      </c>
      <c r="G1537" s="6" t="s">
        <v>681</v>
      </c>
      <c r="H1537" s="6">
        <v>1</v>
      </c>
      <c r="I1537" s="18">
        <v>35.88</v>
      </c>
      <c r="J1537" s="19">
        <v>46209.3600701042</v>
      </c>
      <c r="K1537" s="6" t="s">
        <v>4880</v>
      </c>
      <c r="L1537" t="str">
        <f t="shared" si="23"/>
        <v>AROMATIZANTE LAVANDA 5LT|46209</v>
      </c>
    </row>
    <row r="1538" ht="13.5" customHeight="1" spans="1:12">
      <c r="A1538" s="17">
        <v>46209.3546180556</v>
      </c>
      <c r="B1538" s="6" t="s">
        <v>4876</v>
      </c>
      <c r="C1538" s="6" t="s">
        <v>5843</v>
      </c>
      <c r="D1538" s="6" t="s">
        <v>5844</v>
      </c>
      <c r="E1538" s="6" t="s">
        <v>26</v>
      </c>
      <c r="F1538" s="6" t="s">
        <v>4882</v>
      </c>
      <c r="G1538" s="6" t="s">
        <v>682</v>
      </c>
      <c r="H1538" s="6">
        <v>1</v>
      </c>
      <c r="I1538" s="18">
        <v>35.88</v>
      </c>
      <c r="J1538" s="19">
        <v>46209.3600686343</v>
      </c>
      <c r="K1538" s="6" t="s">
        <v>4880</v>
      </c>
      <c r="L1538" t="str">
        <f t="shared" ref="L1538:L1601" si="24">IF(G1538="","",G1538&amp;"|"&amp;TEXT(A1538,"0"))</f>
        <v>AROMATIZANTE LIQUIDO 5L  EUCALIPTO|46209</v>
      </c>
    </row>
    <row r="1539" ht="13.5" customHeight="1" spans="1:12">
      <c r="A1539" s="17">
        <v>46209.550162037</v>
      </c>
      <c r="B1539" s="6" t="s">
        <v>4876</v>
      </c>
      <c r="C1539" s="6" t="s">
        <v>5845</v>
      </c>
      <c r="D1539" s="6" t="s">
        <v>4912</v>
      </c>
      <c r="E1539" s="6" t="s">
        <v>26</v>
      </c>
      <c r="F1539" s="6" t="s">
        <v>4882</v>
      </c>
      <c r="G1539" s="6" t="s">
        <v>4436</v>
      </c>
      <c r="H1539" s="6">
        <v>5</v>
      </c>
      <c r="I1539" s="18">
        <v>5250</v>
      </c>
      <c r="J1539" s="19">
        <v>46209.5525481829</v>
      </c>
      <c r="K1539" s="6" t="s">
        <v>4880</v>
      </c>
      <c r="L1539" t="str">
        <f t="shared" si="24"/>
        <v>BATERIA HELIAR H100LE|46210</v>
      </c>
    </row>
    <row r="1540" ht="13.5" customHeight="1" spans="1:12">
      <c r="A1540" s="17">
        <v>46209.5528819444</v>
      </c>
      <c r="B1540" s="6" t="s">
        <v>4876</v>
      </c>
      <c r="C1540" s="6" t="s">
        <v>5846</v>
      </c>
      <c r="D1540" s="6" t="s">
        <v>4884</v>
      </c>
      <c r="E1540" s="6" t="s">
        <v>26</v>
      </c>
      <c r="F1540" s="6" t="s">
        <v>4882</v>
      </c>
      <c r="G1540" s="6" t="s">
        <v>2630</v>
      </c>
      <c r="H1540" s="6">
        <v>2</v>
      </c>
      <c r="I1540" s="18">
        <v>309</v>
      </c>
      <c r="J1540" s="19">
        <v>46209.5557931366</v>
      </c>
      <c r="K1540" s="6" t="s">
        <v>4880</v>
      </c>
      <c r="L1540" t="str">
        <f t="shared" si="24"/>
        <v>LIXEIRA/CESTO QUADRADO C/PEDAL 15L|46210</v>
      </c>
    </row>
    <row r="1541" ht="13.5" customHeight="1" spans="1:12">
      <c r="A1541" s="17">
        <v>46209.6440046296</v>
      </c>
      <c r="B1541" s="6" t="s">
        <v>4876</v>
      </c>
      <c r="C1541" s="6" t="s">
        <v>5847</v>
      </c>
      <c r="D1541" s="6" t="s">
        <v>5056</v>
      </c>
      <c r="E1541" s="6" t="s">
        <v>26</v>
      </c>
      <c r="F1541" s="6" t="s">
        <v>4879</v>
      </c>
      <c r="G1541" s="6" t="s">
        <v>3099</v>
      </c>
      <c r="H1541" s="6">
        <v>1</v>
      </c>
      <c r="I1541" s="18">
        <v>30</v>
      </c>
      <c r="J1541" s="19">
        <v>46209.6455778588</v>
      </c>
      <c r="K1541" s="6" t="s">
        <v>4880</v>
      </c>
      <c r="L1541" t="str">
        <f t="shared" si="24"/>
        <v>FILTRO LUBRIFICANTE -SPRINTER OM 651 MANN FILTER|46210</v>
      </c>
    </row>
    <row r="1542" ht="13.5" customHeight="1" spans="1:12">
      <c r="A1542" s="17">
        <v>46209.6529398148</v>
      </c>
      <c r="B1542" s="6" t="s">
        <v>4876</v>
      </c>
      <c r="C1542" s="6" t="s">
        <v>5839</v>
      </c>
      <c r="D1542" s="6" t="s">
        <v>4979</v>
      </c>
      <c r="E1542" s="6" t="s">
        <v>35</v>
      </c>
      <c r="F1542" s="6" t="s">
        <v>4879</v>
      </c>
      <c r="G1542" s="6" t="s">
        <v>467</v>
      </c>
      <c r="H1542" s="6">
        <v>1</v>
      </c>
      <c r="I1542" s="18">
        <v>6356</v>
      </c>
      <c r="J1542" s="19">
        <v>46209.6581022801</v>
      </c>
      <c r="K1542" s="6" t="s">
        <v>4880</v>
      </c>
      <c r="L1542" t="str">
        <f t="shared" si="24"/>
        <v>KIT DE EMBREAGEM A00925046040010|46210</v>
      </c>
    </row>
    <row r="1543" ht="13.5" customHeight="1" spans="1:12">
      <c r="A1543" s="17">
        <v>46209.6648611111</v>
      </c>
      <c r="B1543" s="6" t="s">
        <v>4876</v>
      </c>
      <c r="C1543" s="6" t="s">
        <v>5848</v>
      </c>
      <c r="D1543" s="6" t="s">
        <v>4990</v>
      </c>
      <c r="E1543" s="6" t="s">
        <v>26</v>
      </c>
      <c r="F1543" s="6" t="s">
        <v>4882</v>
      </c>
      <c r="G1543" s="6" t="s">
        <v>625</v>
      </c>
      <c r="H1543" s="6">
        <v>1</v>
      </c>
      <c r="I1543" s="18">
        <v>70</v>
      </c>
      <c r="J1543" s="19">
        <v>46209.6669168171</v>
      </c>
      <c r="K1543" s="6" t="s">
        <v>4880</v>
      </c>
      <c r="L1543" t="str">
        <f t="shared" si="24"/>
        <v>ALCOOL ISOPROPILICO 78971984|46210</v>
      </c>
    </row>
    <row r="1544" ht="13.5" customHeight="1" spans="1:12">
      <c r="A1544" s="17">
        <v>46210.5221990741</v>
      </c>
      <c r="B1544" s="6" t="s">
        <v>4876</v>
      </c>
      <c r="C1544" s="6" t="s">
        <v>5849</v>
      </c>
      <c r="D1544" s="6" t="s">
        <v>4892</v>
      </c>
      <c r="E1544" s="6" t="s">
        <v>26</v>
      </c>
      <c r="F1544" s="6" t="s">
        <v>4882</v>
      </c>
      <c r="G1544" s="6" t="s">
        <v>494</v>
      </c>
      <c r="H1544" s="6">
        <v>1</v>
      </c>
      <c r="I1544" s="18">
        <v>120</v>
      </c>
      <c r="J1544" s="19">
        <v>46210.5261306713</v>
      </c>
      <c r="K1544" s="6" t="s">
        <v>4880</v>
      </c>
      <c r="L1544" t="str">
        <f t="shared" si="24"/>
        <v>FILTRO RACOR PARKER R-26-A50 SPRINTER|46211</v>
      </c>
    </row>
    <row r="1545" ht="13.5" customHeight="1" spans="1:12">
      <c r="A1545" s="17">
        <v>46210.5221990741</v>
      </c>
      <c r="B1545" s="6" t="s">
        <v>4876</v>
      </c>
      <c r="C1545" s="6" t="s">
        <v>5849</v>
      </c>
      <c r="D1545" s="6" t="s">
        <v>4892</v>
      </c>
      <c r="E1545" s="6" t="s">
        <v>26</v>
      </c>
      <c r="F1545" s="6" t="s">
        <v>4882</v>
      </c>
      <c r="G1545" s="6" t="s">
        <v>4586</v>
      </c>
      <c r="H1545" s="6">
        <v>1</v>
      </c>
      <c r="I1545" s="18">
        <v>90</v>
      </c>
      <c r="J1545" s="19">
        <v>46210.5261301273</v>
      </c>
      <c r="K1545" s="6" t="s">
        <v>4880</v>
      </c>
      <c r="L1545" t="str">
        <f t="shared" si="24"/>
        <v>ARL5310 FILTRO SPRINTER 310 312 311|46211</v>
      </c>
    </row>
    <row r="1546" ht="13.5" customHeight="1" spans="1:12">
      <c r="A1546" s="17">
        <v>46210.527025463</v>
      </c>
      <c r="B1546" s="6" t="s">
        <v>4876</v>
      </c>
      <c r="C1546" s="6" t="s">
        <v>5850</v>
      </c>
      <c r="D1546" s="6" t="s">
        <v>5065</v>
      </c>
      <c r="E1546" s="6" t="s">
        <v>26</v>
      </c>
      <c r="F1546" s="6" t="s">
        <v>4882</v>
      </c>
      <c r="G1546" s="6" t="s">
        <v>2353</v>
      </c>
      <c r="H1546" s="6">
        <v>2</v>
      </c>
      <c r="I1546" s="18">
        <v>120</v>
      </c>
      <c r="J1546" s="19">
        <v>46210.5339527431</v>
      </c>
      <c r="K1546" s="6" t="s">
        <v>4880</v>
      </c>
      <c r="L1546" t="str">
        <f t="shared" si="24"/>
        <v>OLEO 2T |46211</v>
      </c>
    </row>
    <row r="1547" ht="13.5" customHeight="1" spans="1:12">
      <c r="A1547" s="17">
        <v>46210.527025463</v>
      </c>
      <c r="B1547" s="6" t="s">
        <v>4876</v>
      </c>
      <c r="C1547" s="6" t="s">
        <v>5850</v>
      </c>
      <c r="D1547" s="6" t="s">
        <v>5065</v>
      </c>
      <c r="E1547" s="6" t="s">
        <v>26</v>
      </c>
      <c r="F1547" s="6" t="s">
        <v>4882</v>
      </c>
      <c r="G1547" s="6" t="s">
        <v>266</v>
      </c>
      <c r="H1547" s="6">
        <v>4</v>
      </c>
      <c r="I1547" s="18">
        <v>140</v>
      </c>
      <c r="J1547" s="19">
        <v>46210.5339523495</v>
      </c>
      <c r="K1547" s="6" t="s">
        <v>4880</v>
      </c>
      <c r="L1547" t="str">
        <f t="shared" si="24"/>
        <v>LAMINA 2 PONTAS 350MM FURO 20MM AÇO (ROÇADEIRA)|46211</v>
      </c>
    </row>
    <row r="1548" ht="13.5" customHeight="1" spans="1:12">
      <c r="A1548" s="17">
        <v>46210.7104166667</v>
      </c>
      <c r="B1548" s="6" t="s">
        <v>4876</v>
      </c>
      <c r="C1548" s="6" t="s">
        <v>5851</v>
      </c>
      <c r="D1548" s="6" t="s">
        <v>109</v>
      </c>
      <c r="E1548" s="6" t="s">
        <v>26</v>
      </c>
      <c r="F1548" s="6" t="s">
        <v>4882</v>
      </c>
      <c r="G1548" s="6" t="s">
        <v>2661</v>
      </c>
      <c r="H1548" s="6">
        <v>1</v>
      </c>
      <c r="I1548" s="18">
        <v>657.33</v>
      </c>
      <c r="J1548" s="19">
        <v>46211.7364086458</v>
      </c>
      <c r="K1548" s="6" t="s">
        <v>4880</v>
      </c>
      <c r="L1548" t="str">
        <f t="shared" si="24"/>
        <v>LIM+ ALVEJANTE CLORORADO 50L|46211</v>
      </c>
    </row>
    <row r="1549" ht="13.5" customHeight="1" spans="1:12">
      <c r="A1549" s="17">
        <v>46210.7104166667</v>
      </c>
      <c r="B1549" s="6" t="s">
        <v>4876</v>
      </c>
      <c r="C1549" s="6" t="s">
        <v>5851</v>
      </c>
      <c r="D1549" s="6" t="s">
        <v>109</v>
      </c>
      <c r="E1549" s="6" t="s">
        <v>26</v>
      </c>
      <c r="F1549" s="6" t="s">
        <v>4882</v>
      </c>
      <c r="G1549" s="6" t="s">
        <v>4827</v>
      </c>
      <c r="H1549" s="6">
        <v>4</v>
      </c>
      <c r="I1549" s="18">
        <v>500.76</v>
      </c>
      <c r="J1549" s="19">
        <v>46211.7364079051</v>
      </c>
      <c r="K1549" s="6" t="s">
        <v>4880</v>
      </c>
      <c r="L1549" t="str">
        <f t="shared" si="24"/>
        <v>2847 PEROX ADVANCEDO 5L BECKER|46211</v>
      </c>
    </row>
    <row r="1550" ht="13.5" customHeight="1" spans="1:12">
      <c r="A1550" s="17">
        <v>46210.7104282407</v>
      </c>
      <c r="B1550" s="6" t="s">
        <v>4876</v>
      </c>
      <c r="C1550" s="6" t="s">
        <v>5852</v>
      </c>
      <c r="D1550" s="6" t="s">
        <v>110</v>
      </c>
      <c r="E1550" s="6" t="s">
        <v>26</v>
      </c>
      <c r="F1550" s="6" t="s">
        <v>4882</v>
      </c>
      <c r="G1550" s="6" t="s">
        <v>1862</v>
      </c>
      <c r="H1550" s="6">
        <v>10</v>
      </c>
      <c r="I1550" s="18">
        <v>10</v>
      </c>
      <c r="J1550" s="19">
        <v>46210.7131175926</v>
      </c>
      <c r="K1550" s="6" t="s">
        <v>4880</v>
      </c>
      <c r="L1550" t="str">
        <f t="shared" si="24"/>
        <v>PRESILHAS RAPIDAS |46211</v>
      </c>
    </row>
    <row r="1551" ht="13.5" customHeight="1" spans="1:12">
      <c r="A1551" s="17">
        <v>46210.7138425926</v>
      </c>
      <c r="B1551" s="6" t="s">
        <v>4876</v>
      </c>
      <c r="C1551" s="6" t="s">
        <v>5853</v>
      </c>
      <c r="D1551" s="6" t="s">
        <v>4919</v>
      </c>
      <c r="E1551" s="6" t="s">
        <v>26</v>
      </c>
      <c r="F1551" s="6" t="s">
        <v>4882</v>
      </c>
      <c r="G1551" s="6" t="s">
        <v>4502</v>
      </c>
      <c r="H1551" s="6">
        <v>3</v>
      </c>
      <c r="I1551" s="18">
        <v>31.26</v>
      </c>
      <c r="J1551" s="19">
        <v>46210.7191763542</v>
      </c>
      <c r="K1551" s="6" t="s">
        <v>4880</v>
      </c>
      <c r="L1551" t="str">
        <f t="shared" si="24"/>
        <v>ATLAS TRINCHA 1 1/2-395/4|46211</v>
      </c>
    </row>
    <row r="1552" ht="13.5" customHeight="1" spans="1:12">
      <c r="A1552" s="17">
        <v>46210.7138425926</v>
      </c>
      <c r="B1552" s="6" t="s">
        <v>4876</v>
      </c>
      <c r="C1552" s="6" t="s">
        <v>5853</v>
      </c>
      <c r="D1552" s="6" t="s">
        <v>4919</v>
      </c>
      <c r="E1552" s="6" t="s">
        <v>26</v>
      </c>
      <c r="F1552" s="6" t="s">
        <v>4882</v>
      </c>
      <c r="G1552" s="6" t="s">
        <v>827</v>
      </c>
      <c r="H1552" s="6">
        <v>6</v>
      </c>
      <c r="I1552" s="18">
        <v>66.6</v>
      </c>
      <c r="J1552" s="19">
        <v>46210.719176007</v>
      </c>
      <c r="K1552" s="6" t="s">
        <v>4880</v>
      </c>
      <c r="L1552" t="str">
        <f t="shared" si="24"/>
        <v>ATLAS TRINCHA 1¨ - 395/3 UN 395/3|46211</v>
      </c>
    </row>
    <row r="1553" ht="13.5" customHeight="1" spans="1:12">
      <c r="A1553" s="17">
        <v>46210.7194907407</v>
      </c>
      <c r="B1553" s="6" t="s">
        <v>4876</v>
      </c>
      <c r="C1553" s="6" t="s">
        <v>5854</v>
      </c>
      <c r="D1553" s="6" t="s">
        <v>5492</v>
      </c>
      <c r="E1553" s="6" t="s">
        <v>26</v>
      </c>
      <c r="F1553" s="6" t="s">
        <v>4882</v>
      </c>
      <c r="G1553" s="6" t="s">
        <v>4865</v>
      </c>
      <c r="H1553" s="6">
        <v>10</v>
      </c>
      <c r="I1553" s="18">
        <v>4.8</v>
      </c>
      <c r="J1553" s="19">
        <v>46210.7213991551</v>
      </c>
      <c r="K1553" s="6" t="s">
        <v>4880</v>
      </c>
      <c r="L1553" t="str">
        <f t="shared" si="24"/>
        <v>001 4901 PARAFUSO AA 4,0X19 PANELA |46211</v>
      </c>
    </row>
    <row r="1554" ht="13.5" customHeight="1" spans="1:12">
      <c r="A1554" s="17">
        <v>46210.721412037</v>
      </c>
      <c r="B1554" s="6" t="s">
        <v>4876</v>
      </c>
      <c r="C1554" s="6" t="s">
        <v>5855</v>
      </c>
      <c r="D1554" s="6" t="s">
        <v>5492</v>
      </c>
      <c r="E1554" s="6" t="s">
        <v>26</v>
      </c>
      <c r="F1554" s="6" t="s">
        <v>4882</v>
      </c>
      <c r="G1554" s="6" t="s">
        <v>4860</v>
      </c>
      <c r="H1554" s="6">
        <v>10</v>
      </c>
      <c r="I1554" s="18">
        <v>30</v>
      </c>
      <c r="J1554" s="19">
        <v>46210.7291038542</v>
      </c>
      <c r="K1554" s="6" t="s">
        <v>4880</v>
      </c>
      <c r="L1554" t="str">
        <f t="shared" si="24"/>
        <v>004 3725 PORCA EIXO TRASEIRO HONDA |46211</v>
      </c>
    </row>
    <row r="1555" ht="13.5" customHeight="1" spans="1:12">
      <c r="A1555" s="17">
        <v>46210.721412037</v>
      </c>
      <c r="B1555" s="6" t="s">
        <v>4876</v>
      </c>
      <c r="C1555" s="6" t="s">
        <v>5855</v>
      </c>
      <c r="D1555" s="6" t="s">
        <v>5492</v>
      </c>
      <c r="E1555" s="6" t="s">
        <v>26</v>
      </c>
      <c r="F1555" s="6" t="s">
        <v>4882</v>
      </c>
      <c r="G1555" s="6" t="s">
        <v>4861</v>
      </c>
      <c r="H1555" s="6">
        <v>10</v>
      </c>
      <c r="I1555" s="18">
        <v>77.2</v>
      </c>
      <c r="J1555" s="19">
        <v>46210.7291034722</v>
      </c>
      <c r="K1555" s="6" t="s">
        <v>4880</v>
      </c>
      <c r="L1555" t="str">
        <f t="shared" si="24"/>
        <v>003 11442 PA SX AC MB 10.9 14X50 RP|46211</v>
      </c>
    </row>
    <row r="1556" ht="13.5" customHeight="1" spans="1:12">
      <c r="A1556" s="17">
        <v>46210.721412037</v>
      </c>
      <c r="B1556" s="6" t="s">
        <v>4876</v>
      </c>
      <c r="C1556" s="6" t="s">
        <v>5855</v>
      </c>
      <c r="D1556" s="6" t="s">
        <v>5492</v>
      </c>
      <c r="E1556" s="6" t="s">
        <v>26</v>
      </c>
      <c r="F1556" s="6" t="s">
        <v>4882</v>
      </c>
      <c r="G1556" s="6" t="s">
        <v>4863</v>
      </c>
      <c r="H1556" s="6">
        <v>15</v>
      </c>
      <c r="I1556" s="18">
        <v>14.4</v>
      </c>
      <c r="J1556" s="19">
        <v>46210.7291033218</v>
      </c>
      <c r="K1556" s="6" t="s">
        <v>4880</v>
      </c>
      <c r="L1556" t="str">
        <f t="shared" si="24"/>
        <v>002 4639 PARAFUSO MAQ CH 8X30|46211</v>
      </c>
    </row>
    <row r="1557" ht="13.5" customHeight="1" spans="1:12">
      <c r="A1557" s="17">
        <v>46210.721412037</v>
      </c>
      <c r="B1557" s="6" t="s">
        <v>4876</v>
      </c>
      <c r="C1557" s="6" t="s">
        <v>5855</v>
      </c>
      <c r="D1557" s="6" t="s">
        <v>5492</v>
      </c>
      <c r="E1557" s="6" t="s">
        <v>26</v>
      </c>
      <c r="F1557" s="6" t="s">
        <v>4882</v>
      </c>
      <c r="G1557" s="6" t="s">
        <v>4866</v>
      </c>
      <c r="H1557" s="6">
        <v>15</v>
      </c>
      <c r="I1557" s="18">
        <v>24.6</v>
      </c>
      <c r="J1557" s="19">
        <v>46210.7291029282</v>
      </c>
      <c r="K1557" s="6" t="s">
        <v>4880</v>
      </c>
      <c r="L1557" t="str">
        <f t="shared" si="24"/>
        <v>001 3753 PORCA AUTO TRAVANTE 8MM S|46211</v>
      </c>
    </row>
    <row r="1558" ht="13.5" customHeight="1" spans="1:12">
      <c r="A1558" s="17">
        <v>46211.5267592593</v>
      </c>
      <c r="B1558" s="6" t="s">
        <v>4876</v>
      </c>
      <c r="C1558" s="6" t="s">
        <v>5856</v>
      </c>
      <c r="D1558" s="6" t="s">
        <v>4954</v>
      </c>
      <c r="E1558" s="6" t="s">
        <v>26</v>
      </c>
      <c r="F1558" s="6" t="s">
        <v>4882</v>
      </c>
      <c r="G1558" s="6" t="s">
        <v>461</v>
      </c>
      <c r="H1558" s="6">
        <v>2</v>
      </c>
      <c r="I1558" s="18">
        <v>26</v>
      </c>
      <c r="J1558" s="19">
        <v>46211.5289909375</v>
      </c>
      <c r="K1558" s="6" t="s">
        <v>4880</v>
      </c>
      <c r="L1558" t="str">
        <f t="shared" si="24"/>
        <v>JUNTA TAMPA RADIADOR OLEO - 904|46212</v>
      </c>
    </row>
    <row r="1559" ht="13.5" customHeight="1" spans="1:12">
      <c r="A1559" s="17">
        <v>46211.5315509259</v>
      </c>
      <c r="B1559" s="6" t="s">
        <v>4876</v>
      </c>
      <c r="C1559" s="6" t="s">
        <v>5857</v>
      </c>
      <c r="D1559" s="6" t="s">
        <v>4905</v>
      </c>
      <c r="E1559" s="6" t="s">
        <v>26</v>
      </c>
      <c r="F1559" s="6" t="s">
        <v>4882</v>
      </c>
      <c r="G1559" s="6" t="s">
        <v>572</v>
      </c>
      <c r="H1559" s="6">
        <v>3</v>
      </c>
      <c r="I1559" s="18">
        <v>1247.73</v>
      </c>
      <c r="J1559" s="19">
        <v>46211.5330052083</v>
      </c>
      <c r="K1559" s="6" t="s">
        <v>4880</v>
      </c>
      <c r="L1559" t="str">
        <f t="shared" si="24"/>
        <v>CHAPA ALUMINIO 200 X 100 100 AL |46212</v>
      </c>
    </row>
    <row r="1560" ht="13.5" customHeight="1" spans="1:12">
      <c r="A1560" s="17">
        <v>46211.6183333333</v>
      </c>
      <c r="B1560" s="6" t="s">
        <v>4876</v>
      </c>
      <c r="C1560" s="6" t="s">
        <v>5858</v>
      </c>
      <c r="D1560" s="6" t="s">
        <v>4979</v>
      </c>
      <c r="E1560" s="6" t="s">
        <v>35</v>
      </c>
      <c r="F1560" s="6" t="s">
        <v>4879</v>
      </c>
      <c r="G1560" s="6" t="s">
        <v>278</v>
      </c>
      <c r="H1560" s="6">
        <v>2</v>
      </c>
      <c r="I1560" s="18">
        <v>324</v>
      </c>
      <c r="J1560" s="19">
        <v>46211.6202351042</v>
      </c>
      <c r="K1560" s="6" t="s">
        <v>4880</v>
      </c>
      <c r="L1560" t="str">
        <f t="shared" si="24"/>
        <v>FILTRO DE AR DA CAIXA DE AR A 0008305618|46212</v>
      </c>
    </row>
    <row r="1561" ht="13.5" customHeight="1" spans="1:12">
      <c r="A1561" s="17">
        <v>46211.6183333333</v>
      </c>
      <c r="B1561" s="6" t="s">
        <v>4876</v>
      </c>
      <c r="C1561" s="6" t="s">
        <v>5858</v>
      </c>
      <c r="D1561" s="6" t="s">
        <v>4979</v>
      </c>
      <c r="E1561" s="6" t="s">
        <v>35</v>
      </c>
      <c r="F1561" s="6" t="s">
        <v>4879</v>
      </c>
      <c r="G1561" s="6" t="s">
        <v>424</v>
      </c>
      <c r="H1561" s="6">
        <v>1</v>
      </c>
      <c r="I1561" s="18">
        <v>1510</v>
      </c>
      <c r="J1561" s="19">
        <v>46211.6202163195</v>
      </c>
      <c r="K1561" s="6" t="s">
        <v>4880</v>
      </c>
      <c r="L1561" t="str">
        <f t="shared" si="24"/>
        <v>CONDESADOR DO AR CONDICIONADO A9795000054|46212</v>
      </c>
    </row>
    <row r="1562" ht="13.5" customHeight="1" spans="1:12">
      <c r="A1562" s="17">
        <v>46211.6430555556</v>
      </c>
      <c r="B1562" s="6" t="s">
        <v>4876</v>
      </c>
      <c r="C1562" s="6" t="s">
        <v>5859</v>
      </c>
      <c r="D1562" s="6" t="s">
        <v>5597</v>
      </c>
      <c r="E1562" s="6" t="s">
        <v>390</v>
      </c>
      <c r="F1562" s="6" t="s">
        <v>4879</v>
      </c>
      <c r="G1562" s="6" t="s">
        <v>3225</v>
      </c>
      <c r="H1562" s="6">
        <v>60000</v>
      </c>
      <c r="I1562" s="18">
        <v>6600</v>
      </c>
      <c r="J1562" s="19">
        <v>46213.6600430556</v>
      </c>
      <c r="K1562" s="6" t="s">
        <v>4880</v>
      </c>
      <c r="L1562" t="str">
        <f t="shared" si="24"/>
        <v>ETIQUETA PERSONALIZADA - INTERNO BOIBOM|46212</v>
      </c>
    </row>
    <row r="1563" ht="13.5" customHeight="1" spans="1:12">
      <c r="A1563" s="17">
        <v>46211.6742708333</v>
      </c>
      <c r="B1563" s="6" t="s">
        <v>4876</v>
      </c>
      <c r="C1563" s="6" t="s">
        <v>5860</v>
      </c>
      <c r="D1563" s="6" t="s">
        <v>4903</v>
      </c>
      <c r="E1563" s="6" t="s">
        <v>26</v>
      </c>
      <c r="F1563" s="6" t="s">
        <v>4882</v>
      </c>
      <c r="G1563" s="6" t="s">
        <v>413</v>
      </c>
      <c r="H1563" s="6">
        <v>50</v>
      </c>
      <c r="I1563" s="18">
        <v>349.5</v>
      </c>
      <c r="J1563" s="19">
        <v>46211.701234757</v>
      </c>
      <c r="K1563" s="6" t="s">
        <v>4880</v>
      </c>
      <c r="L1563" t="str">
        <f t="shared" si="24"/>
        <v>GASOLINA COMUM 01|46212</v>
      </c>
    </row>
    <row r="1564" ht="13.5" customHeight="1" spans="1:12">
      <c r="A1564" s="17">
        <v>46211.6743055556</v>
      </c>
      <c r="B1564" s="6" t="s">
        <v>4876</v>
      </c>
      <c r="C1564" s="6" t="s">
        <v>5861</v>
      </c>
      <c r="D1564" s="6" t="s">
        <v>5862</v>
      </c>
      <c r="E1564" s="6" t="s">
        <v>51</v>
      </c>
      <c r="F1564" s="6" t="s">
        <v>4879</v>
      </c>
      <c r="G1564" s="6" t="s">
        <v>499</v>
      </c>
      <c r="H1564" s="6">
        <v>112</v>
      </c>
      <c r="I1564" s="18">
        <v>10196.48</v>
      </c>
      <c r="J1564" s="19">
        <v>46212.6798008449</v>
      </c>
      <c r="K1564" s="6" t="s">
        <v>4880</v>
      </c>
      <c r="L1564" t="str">
        <f t="shared" si="24"/>
        <v>STRETCH MANUAL 500MM X 25 MICRA X 3|46212</v>
      </c>
    </row>
    <row r="1565" ht="13.5" customHeight="1" spans="1:12">
      <c r="A1565" s="17">
        <v>46212.569212963</v>
      </c>
      <c r="B1565" s="6" t="s">
        <v>4876</v>
      </c>
      <c r="C1565" s="6" t="s">
        <v>5863</v>
      </c>
      <c r="D1565" s="6" t="s">
        <v>110</v>
      </c>
      <c r="E1565" s="6" t="s">
        <v>26</v>
      </c>
      <c r="F1565" s="6" t="s">
        <v>4882</v>
      </c>
      <c r="G1565" s="6" t="s">
        <v>1782</v>
      </c>
      <c r="H1565" s="6">
        <v>6</v>
      </c>
      <c r="I1565" s="18">
        <v>90</v>
      </c>
      <c r="J1565" s="19">
        <v>46212.5718279745</v>
      </c>
      <c r="K1565" s="6" t="s">
        <v>4880</v>
      </c>
      <c r="L1565" t="str">
        <f t="shared" si="24"/>
        <v>REDUTORAS 22X11|46213</v>
      </c>
    </row>
    <row r="1566" ht="13.5" customHeight="1" spans="1:12">
      <c r="A1566" s="17">
        <v>46212.569212963</v>
      </c>
      <c r="B1566" s="6" t="s">
        <v>4876</v>
      </c>
      <c r="C1566" s="6" t="s">
        <v>5863</v>
      </c>
      <c r="D1566" s="6" t="s">
        <v>110</v>
      </c>
      <c r="E1566" s="6" t="s">
        <v>26</v>
      </c>
      <c r="F1566" s="6" t="s">
        <v>4882</v>
      </c>
      <c r="G1566" s="6" t="s">
        <v>2152</v>
      </c>
      <c r="H1566" s="6">
        <v>4</v>
      </c>
      <c r="I1566" s="18">
        <v>80</v>
      </c>
      <c r="J1566" s="19">
        <v>46212.5718272338</v>
      </c>
      <c r="K1566" s="6" t="s">
        <v>4880</v>
      </c>
      <c r="L1566" t="str">
        <f t="shared" si="24"/>
        <v>PARAFUSO ENCOLHER CUICA|46213</v>
      </c>
    </row>
    <row r="1567" ht="13.5" customHeight="1" spans="1:12">
      <c r="A1567" s="17">
        <v>46212.5722106482</v>
      </c>
      <c r="B1567" s="6" t="s">
        <v>4876</v>
      </c>
      <c r="C1567" s="6" t="s">
        <v>5864</v>
      </c>
      <c r="D1567" s="6" t="s">
        <v>5492</v>
      </c>
      <c r="E1567" s="6" t="s">
        <v>26</v>
      </c>
      <c r="F1567" s="6" t="s">
        <v>4882</v>
      </c>
      <c r="G1567" s="6" t="s">
        <v>568</v>
      </c>
      <c r="H1567" s="6">
        <v>3</v>
      </c>
      <c r="I1567" s="18">
        <v>4.32</v>
      </c>
      <c r="J1567" s="19">
        <v>46212.5787716088</v>
      </c>
      <c r="K1567" s="6" t="s">
        <v>4880</v>
      </c>
      <c r="L1567" t="str">
        <f t="shared" si="24"/>
        <v>001 2009 PORCA 1/2 ONC 2ZINCADA SEX|46213</v>
      </c>
    </row>
    <row r="1568" ht="13.5" customHeight="1" spans="1:12">
      <c r="A1568" s="17">
        <v>46213.6402777778</v>
      </c>
      <c r="B1568" s="6" t="s">
        <v>4876</v>
      </c>
      <c r="C1568" s="6" t="s">
        <v>5865</v>
      </c>
      <c r="D1568" s="6" t="s">
        <v>4923</v>
      </c>
      <c r="E1568" s="6" t="s">
        <v>51</v>
      </c>
      <c r="F1568" s="6" t="s">
        <v>4879</v>
      </c>
      <c r="G1568" s="6" t="s">
        <v>3920</v>
      </c>
      <c r="H1568" s="6">
        <v>60</v>
      </c>
      <c r="I1568" s="18">
        <v>2280</v>
      </c>
      <c r="J1568" s="19">
        <v>46232.6467804745</v>
      </c>
      <c r="K1568" s="6" t="s">
        <v>4880</v>
      </c>
      <c r="L1568" t="str">
        <f t="shared" si="24"/>
        <v>CARECA P.V PREMIUM BRANCO|46214</v>
      </c>
    </row>
    <row r="1569" ht="13.5" customHeight="1" spans="1:12">
      <c r="A1569" s="17">
        <v>46213.6402777778</v>
      </c>
      <c r="B1569" s="6" t="s">
        <v>4876</v>
      </c>
      <c r="C1569" s="6" t="s">
        <v>5865</v>
      </c>
      <c r="D1569" s="6" t="s">
        <v>4923</v>
      </c>
      <c r="E1569" s="6" t="s">
        <v>51</v>
      </c>
      <c r="F1569" s="6" t="s">
        <v>4879</v>
      </c>
      <c r="G1569" s="6" t="s">
        <v>869</v>
      </c>
      <c r="H1569" s="6">
        <v>37</v>
      </c>
      <c r="I1569" s="18">
        <v>4588</v>
      </c>
      <c r="J1569" s="19">
        <v>46232.6467738079</v>
      </c>
      <c r="K1569" s="6" t="s">
        <v>4880</v>
      </c>
      <c r="L1569" t="str">
        <f t="shared" si="24"/>
        <v>CONJ. MOLETOM MAC. MARINHO|46214</v>
      </c>
    </row>
    <row r="1570" ht="13.5" customHeight="1" spans="1:12">
      <c r="A1570" s="17">
        <v>46213.6402777778</v>
      </c>
      <c r="B1570" s="6" t="s">
        <v>4876</v>
      </c>
      <c r="C1570" s="6" t="s">
        <v>5865</v>
      </c>
      <c r="D1570" s="6" t="s">
        <v>4923</v>
      </c>
      <c r="E1570" s="6" t="s">
        <v>51</v>
      </c>
      <c r="F1570" s="6" t="s">
        <v>4879</v>
      </c>
      <c r="G1570" s="6" t="s">
        <v>4059</v>
      </c>
      <c r="H1570" s="6">
        <v>60</v>
      </c>
      <c r="I1570" s="18">
        <v>3720</v>
      </c>
      <c r="J1570" s="19">
        <v>46232.6467719907</v>
      </c>
      <c r="K1570" s="6" t="s">
        <v>4880</v>
      </c>
      <c r="L1570" t="str">
        <f t="shared" si="24"/>
        <v>CALÇA BRIM BRANCA|46214</v>
      </c>
    </row>
    <row r="1571" ht="13.5" customHeight="1" spans="1:12">
      <c r="A1571" s="17">
        <v>46213.6406944445</v>
      </c>
      <c r="B1571" s="6" t="s">
        <v>4876</v>
      </c>
      <c r="C1571" s="6" t="s">
        <v>5866</v>
      </c>
      <c r="D1571" s="6" t="s">
        <v>109</v>
      </c>
      <c r="E1571" s="6" t="s">
        <v>26</v>
      </c>
      <c r="F1571" s="6" t="s">
        <v>4882</v>
      </c>
      <c r="G1571" s="6" t="s">
        <v>824</v>
      </c>
      <c r="H1571" s="6">
        <v>10</v>
      </c>
      <c r="I1571" s="18">
        <v>2672.5</v>
      </c>
      <c r="J1571" s="19">
        <v>46213.6424682523</v>
      </c>
      <c r="K1571" s="6" t="s">
        <v>4880</v>
      </c>
      <c r="L1571" t="str">
        <f t="shared" si="24"/>
        <v>PAPEL TOALHA FLUXO CENTRAL 120M|46214</v>
      </c>
    </row>
    <row r="1572" ht="13.5" customHeight="1" spans="1:12">
      <c r="A1572" s="17">
        <v>46216.6027777778</v>
      </c>
      <c r="B1572" s="6" t="s">
        <v>4876</v>
      </c>
      <c r="C1572" s="6" t="s">
        <v>5867</v>
      </c>
      <c r="D1572" s="6" t="s">
        <v>5868</v>
      </c>
      <c r="E1572" s="6" t="s">
        <v>26</v>
      </c>
      <c r="F1572" s="6" t="s">
        <v>4882</v>
      </c>
      <c r="G1572" s="6" t="s">
        <v>944</v>
      </c>
      <c r="H1572" s="6">
        <v>24</v>
      </c>
      <c r="I1572" s="18">
        <v>1319.52</v>
      </c>
      <c r="J1572" s="19">
        <v>46233.6390596065</v>
      </c>
      <c r="K1572" s="6" t="s">
        <v>4880</v>
      </c>
      <c r="L1572" t="str">
        <f t="shared" si="24"/>
        <v>VIPES TINTA SPRAY PRETO FOSCO 400ML|46217</v>
      </c>
    </row>
    <row r="1573" ht="13.5" customHeight="1" spans="1:12">
      <c r="A1573" s="17">
        <v>46216.6027777778</v>
      </c>
      <c r="B1573" s="6" t="s">
        <v>4876</v>
      </c>
      <c r="C1573" s="6" t="s">
        <v>5867</v>
      </c>
      <c r="D1573" s="6" t="s">
        <v>5868</v>
      </c>
      <c r="E1573" s="6" t="s">
        <v>26</v>
      </c>
      <c r="F1573" s="6" t="s">
        <v>4882</v>
      </c>
      <c r="G1573" s="6" t="s">
        <v>4774</v>
      </c>
      <c r="H1573" s="6">
        <v>15</v>
      </c>
      <c r="I1573" s="18">
        <v>58.8</v>
      </c>
      <c r="J1573" s="19">
        <v>46233.6390594097</v>
      </c>
      <c r="K1573" s="6" t="s">
        <v>4880</v>
      </c>
      <c r="L1573" t="str">
        <f t="shared" si="24"/>
        <v>ABRAC.AUT.VIPS FINA. INOX 25X38MM|46217</v>
      </c>
    </row>
    <row r="1574" ht="13.5" customHeight="1" spans="1:12">
      <c r="A1574" s="17">
        <v>46216.6027777778</v>
      </c>
      <c r="B1574" s="6" t="s">
        <v>4876</v>
      </c>
      <c r="C1574" s="6" t="s">
        <v>5867</v>
      </c>
      <c r="D1574" s="6" t="s">
        <v>5868</v>
      </c>
      <c r="E1574" s="6" t="s">
        <v>26</v>
      </c>
      <c r="F1574" s="6" t="s">
        <v>4882</v>
      </c>
      <c r="G1574" s="6" t="s">
        <v>4762</v>
      </c>
      <c r="H1574" s="6">
        <v>15</v>
      </c>
      <c r="I1574" s="18">
        <v>86.4</v>
      </c>
      <c r="J1574" s="19">
        <v>46233.6390592593</v>
      </c>
      <c r="K1574" s="6" t="s">
        <v>4880</v>
      </c>
      <c r="L1574" t="str">
        <f t="shared" si="24"/>
        <v>ABRAÇADEIRA AUT INOX VIPES 44X57MM|46217</v>
      </c>
    </row>
    <row r="1575" ht="13.5" customHeight="1" spans="1:12">
      <c r="A1575" s="17">
        <v>46216.6027777778</v>
      </c>
      <c r="B1575" s="6" t="s">
        <v>4876</v>
      </c>
      <c r="C1575" s="6" t="s">
        <v>5867</v>
      </c>
      <c r="D1575" s="6" t="s">
        <v>5868</v>
      </c>
      <c r="E1575" s="6" t="s">
        <v>26</v>
      </c>
      <c r="F1575" s="6" t="s">
        <v>4882</v>
      </c>
      <c r="G1575" s="6" t="s">
        <v>4784</v>
      </c>
      <c r="H1575" s="6">
        <v>15</v>
      </c>
      <c r="I1575" s="18">
        <v>79.5</v>
      </c>
      <c r="J1575" s="19">
        <v>46233.6390588773</v>
      </c>
      <c r="K1575" s="6" t="s">
        <v>4880</v>
      </c>
      <c r="L1575" t="str">
        <f t="shared" si="24"/>
        <v>ABRAC.AUT FINA VIPES INOX 38X51MM|46217</v>
      </c>
    </row>
    <row r="1576" ht="13.5" customHeight="1" spans="1:12">
      <c r="A1576" s="17">
        <v>46216.6027777778</v>
      </c>
      <c r="B1576" s="6" t="s">
        <v>4876</v>
      </c>
      <c r="C1576" s="6" t="s">
        <v>5867</v>
      </c>
      <c r="D1576" s="6" t="s">
        <v>5868</v>
      </c>
      <c r="E1576" s="6" t="s">
        <v>26</v>
      </c>
      <c r="F1576" s="6" t="s">
        <v>4882</v>
      </c>
      <c r="G1576" s="6" t="s">
        <v>4787</v>
      </c>
      <c r="H1576" s="6">
        <v>15</v>
      </c>
      <c r="I1576" s="18">
        <v>63.9</v>
      </c>
      <c r="J1576" s="19">
        <v>46233.6390587153</v>
      </c>
      <c r="K1576" s="6" t="s">
        <v>4880</v>
      </c>
      <c r="L1576" t="str">
        <f t="shared" si="24"/>
        <v>ABRAC AUT FINA VIPES INOX 32X44MM|46217</v>
      </c>
    </row>
    <row r="1577" ht="13.5" customHeight="1" spans="1:12">
      <c r="A1577" s="17">
        <v>46216.6027777778</v>
      </c>
      <c r="B1577" s="6" t="s">
        <v>4876</v>
      </c>
      <c r="C1577" s="6" t="s">
        <v>5867</v>
      </c>
      <c r="D1577" s="6" t="s">
        <v>5868</v>
      </c>
      <c r="E1577" s="6" t="s">
        <v>26</v>
      </c>
      <c r="F1577" s="6" t="s">
        <v>4882</v>
      </c>
      <c r="G1577" s="6" t="s">
        <v>4764</v>
      </c>
      <c r="H1577" s="6">
        <v>15</v>
      </c>
      <c r="I1577" s="18">
        <v>52.8</v>
      </c>
      <c r="J1577" s="19">
        <v>46233.6390585301</v>
      </c>
      <c r="K1577" s="6" t="s">
        <v>4880</v>
      </c>
      <c r="L1577" t="str">
        <f t="shared" si="24"/>
        <v>ABRAÇADEIRA AUT FINA VIPES INOX 19X27MM|46217</v>
      </c>
    </row>
    <row r="1578" ht="13.5" customHeight="1" spans="1:12">
      <c r="A1578" s="17">
        <v>46216.6027777778</v>
      </c>
      <c r="B1578" s="6" t="s">
        <v>4876</v>
      </c>
      <c r="C1578" s="6" t="s">
        <v>5867</v>
      </c>
      <c r="D1578" s="6" t="s">
        <v>5868</v>
      </c>
      <c r="E1578" s="6" t="s">
        <v>26</v>
      </c>
      <c r="F1578" s="6" t="s">
        <v>4882</v>
      </c>
      <c r="G1578" s="6" t="s">
        <v>4785</v>
      </c>
      <c r="H1578" s="6">
        <v>15</v>
      </c>
      <c r="I1578" s="18">
        <v>56.4</v>
      </c>
      <c r="J1578" s="19">
        <v>46233.6390585301</v>
      </c>
      <c r="K1578" s="6" t="s">
        <v>4880</v>
      </c>
      <c r="L1578" t="str">
        <f t="shared" si="24"/>
        <v>ABRAC AUT. FINA VIPES INOX 22X32MM|46217</v>
      </c>
    </row>
    <row r="1579" ht="13.5" customHeight="1" spans="1:12">
      <c r="A1579" s="17">
        <v>46216.6027777778</v>
      </c>
      <c r="B1579" s="6" t="s">
        <v>4876</v>
      </c>
      <c r="C1579" s="6" t="s">
        <v>5867</v>
      </c>
      <c r="D1579" s="6" t="s">
        <v>5868</v>
      </c>
      <c r="E1579" s="6" t="s">
        <v>26</v>
      </c>
      <c r="F1579" s="6" t="s">
        <v>4882</v>
      </c>
      <c r="G1579" s="6" t="s">
        <v>4781</v>
      </c>
      <c r="H1579" s="6">
        <v>15</v>
      </c>
      <c r="I1579" s="18">
        <v>48.9</v>
      </c>
      <c r="J1579" s="19">
        <v>46233.6390583333</v>
      </c>
      <c r="K1579" s="6" t="s">
        <v>4880</v>
      </c>
      <c r="L1579" t="str">
        <f t="shared" si="24"/>
        <v>ABRAC.AUT.FINA VIPES INOX 14X22MM|46217</v>
      </c>
    </row>
    <row r="1580" ht="13.5" customHeight="1" spans="1:12">
      <c r="A1580" s="17">
        <v>46216.6027777778</v>
      </c>
      <c r="B1580" s="6" t="s">
        <v>4876</v>
      </c>
      <c r="C1580" s="6" t="s">
        <v>5867</v>
      </c>
      <c r="D1580" s="6" t="s">
        <v>5868</v>
      </c>
      <c r="E1580" s="6" t="s">
        <v>26</v>
      </c>
      <c r="F1580" s="6" t="s">
        <v>4882</v>
      </c>
      <c r="G1580" s="6" t="s">
        <v>943</v>
      </c>
      <c r="H1580" s="6">
        <v>15</v>
      </c>
      <c r="I1580" s="18">
        <v>48.75</v>
      </c>
      <c r="J1580" s="19">
        <v>46233.6390581829</v>
      </c>
      <c r="K1580" s="6" t="s">
        <v>4880</v>
      </c>
      <c r="L1580" t="str">
        <f t="shared" si="24"/>
        <v>VIPES.AUT.FINA ABRAC INOX 13X19MM|46217</v>
      </c>
    </row>
    <row r="1581" ht="13.5" customHeight="1" spans="1:12">
      <c r="A1581" s="17">
        <v>46216.6027777778</v>
      </c>
      <c r="B1581" s="6" t="s">
        <v>4876</v>
      </c>
      <c r="C1581" s="6" t="s">
        <v>5867</v>
      </c>
      <c r="D1581" s="6" t="s">
        <v>5868</v>
      </c>
      <c r="E1581" s="6" t="s">
        <v>26</v>
      </c>
      <c r="F1581" s="6" t="s">
        <v>4882</v>
      </c>
      <c r="G1581" s="6" t="s">
        <v>3218</v>
      </c>
      <c r="H1581" s="6">
        <v>2</v>
      </c>
      <c r="I1581" s="18">
        <v>127.12</v>
      </c>
      <c r="J1581" s="19">
        <v>46233.6390579861</v>
      </c>
      <c r="K1581" s="6" t="s">
        <v>4880</v>
      </c>
      <c r="L1581" t="str">
        <f t="shared" si="24"/>
        <v>EXPOSITOR PARA ABRAÇADEIRA |46217</v>
      </c>
    </row>
    <row r="1582" ht="13.5" customHeight="1" spans="1:12">
      <c r="A1582" s="17">
        <v>46216.6027777778</v>
      </c>
      <c r="B1582" s="6" t="s">
        <v>4876</v>
      </c>
      <c r="C1582" s="6" t="s">
        <v>5867</v>
      </c>
      <c r="D1582" s="6" t="s">
        <v>5868</v>
      </c>
      <c r="E1582" s="6" t="s">
        <v>26</v>
      </c>
      <c r="F1582" s="6" t="s">
        <v>4882</v>
      </c>
      <c r="G1582" s="6" t="s">
        <v>4780</v>
      </c>
      <c r="H1582" s="6">
        <v>10</v>
      </c>
      <c r="I1582" s="18">
        <v>77.6</v>
      </c>
      <c r="J1582" s="19">
        <v>46233.6390577894</v>
      </c>
      <c r="K1582" s="6" t="s">
        <v>4880</v>
      </c>
      <c r="L1582" t="str">
        <f t="shared" si="24"/>
        <v>ABRAC.AUT.INOX 14,2MM VIPES 25X38-|46217</v>
      </c>
    </row>
    <row r="1583" ht="13.5" customHeight="1" spans="1:12">
      <c r="A1583" s="17">
        <v>46216.6027777778</v>
      </c>
      <c r="B1583" s="6" t="s">
        <v>4876</v>
      </c>
      <c r="C1583" s="6" t="s">
        <v>5867</v>
      </c>
      <c r="D1583" s="6" t="s">
        <v>5868</v>
      </c>
      <c r="E1583" s="6" t="s">
        <v>26</v>
      </c>
      <c r="F1583" s="6" t="s">
        <v>4882</v>
      </c>
      <c r="G1583" s="6" t="s">
        <v>4777</v>
      </c>
      <c r="H1583" s="6">
        <v>10</v>
      </c>
      <c r="I1583" s="18">
        <v>79.5</v>
      </c>
      <c r="J1583" s="19">
        <v>46233.6390576042</v>
      </c>
      <c r="K1583" s="6" t="s">
        <v>4880</v>
      </c>
      <c r="L1583" t="str">
        <f t="shared" si="24"/>
        <v>ABRAC.AUT.INOX 14.2MM VIPES 32X44-|46217</v>
      </c>
    </row>
    <row r="1584" ht="13.5" customHeight="1" spans="1:12">
      <c r="A1584" s="17">
        <v>46216.6027777778</v>
      </c>
      <c r="B1584" s="6" t="s">
        <v>4876</v>
      </c>
      <c r="C1584" s="6" t="s">
        <v>5867</v>
      </c>
      <c r="D1584" s="6" t="s">
        <v>5868</v>
      </c>
      <c r="E1584" s="6" t="s">
        <v>26</v>
      </c>
      <c r="F1584" s="6" t="s">
        <v>4882</v>
      </c>
      <c r="G1584" s="6" t="s">
        <v>4779</v>
      </c>
      <c r="H1584" s="6">
        <v>10</v>
      </c>
      <c r="I1584" s="18">
        <v>82.2</v>
      </c>
      <c r="J1584" s="19">
        <v>46233.6390576042</v>
      </c>
      <c r="K1584" s="6" t="s">
        <v>4880</v>
      </c>
      <c r="L1584" t="str">
        <f t="shared" si="24"/>
        <v>ABRAC.AUT.INOX 14,2MM VIPES 38X51|46217</v>
      </c>
    </row>
    <row r="1585" ht="13.5" customHeight="1" spans="1:12">
      <c r="A1585" s="17">
        <v>46216.6027777778</v>
      </c>
      <c r="B1585" s="6" t="s">
        <v>4876</v>
      </c>
      <c r="C1585" s="6" t="s">
        <v>5867</v>
      </c>
      <c r="D1585" s="6" t="s">
        <v>5868</v>
      </c>
      <c r="E1585" s="6" t="s">
        <v>26</v>
      </c>
      <c r="F1585" s="6" t="s">
        <v>4882</v>
      </c>
      <c r="G1585" s="6" t="s">
        <v>4778</v>
      </c>
      <c r="H1585" s="6">
        <v>10</v>
      </c>
      <c r="I1585" s="18">
        <v>73.1</v>
      </c>
      <c r="J1585" s="19">
        <v>46233.6390574421</v>
      </c>
      <c r="K1585" s="6" t="s">
        <v>4880</v>
      </c>
      <c r="L1585" t="str">
        <f t="shared" si="24"/>
        <v>ABRAC.AUT.INOX 14.2MM VIPES 22X32-|46217</v>
      </c>
    </row>
    <row r="1586" ht="13.5" customHeight="1" spans="1:12">
      <c r="A1586" s="17">
        <v>46216.6027777778</v>
      </c>
      <c r="B1586" s="6" t="s">
        <v>4876</v>
      </c>
      <c r="C1586" s="6" t="s">
        <v>5867</v>
      </c>
      <c r="D1586" s="6" t="s">
        <v>5868</v>
      </c>
      <c r="E1586" s="6" t="s">
        <v>26</v>
      </c>
      <c r="F1586" s="6" t="s">
        <v>4882</v>
      </c>
      <c r="G1586" s="6" t="s">
        <v>4775</v>
      </c>
      <c r="H1586" s="6">
        <v>10</v>
      </c>
      <c r="I1586" s="18">
        <v>72.3</v>
      </c>
      <c r="J1586" s="19">
        <v>46233.6390572569</v>
      </c>
      <c r="K1586" s="6" t="s">
        <v>4880</v>
      </c>
      <c r="L1586" t="str">
        <f t="shared" si="24"/>
        <v>ABRAC.AUT.LARGA VIPES INOX 19X27MM|46217</v>
      </c>
    </row>
    <row r="1587" ht="13.5" customHeight="1" spans="1:12">
      <c r="A1587" s="17">
        <v>46216.6027777778</v>
      </c>
      <c r="B1587" s="6" t="s">
        <v>4876</v>
      </c>
      <c r="C1587" s="6" t="s">
        <v>5867</v>
      </c>
      <c r="D1587" s="6" t="s">
        <v>5868</v>
      </c>
      <c r="E1587" s="6" t="s">
        <v>26</v>
      </c>
      <c r="F1587" s="6" t="s">
        <v>4882</v>
      </c>
      <c r="G1587" s="6" t="s">
        <v>4776</v>
      </c>
      <c r="H1587" s="6">
        <v>10</v>
      </c>
      <c r="I1587" s="18">
        <v>71.4</v>
      </c>
      <c r="J1587" s="19">
        <v>46233.6390569097</v>
      </c>
      <c r="K1587" s="6" t="s">
        <v>4880</v>
      </c>
      <c r="L1587" t="str">
        <f t="shared" si="24"/>
        <v>ABRAC.AUT.LARGA 12,5 VIPES IMOX 14X22M|46217</v>
      </c>
    </row>
    <row r="1588" ht="13.5" customHeight="1" spans="1:12">
      <c r="A1588" s="17">
        <v>46216.6027777778</v>
      </c>
      <c r="B1588" s="6" t="s">
        <v>4876</v>
      </c>
      <c r="C1588" s="6" t="s">
        <v>5867</v>
      </c>
      <c r="D1588" s="6" t="s">
        <v>5868</v>
      </c>
      <c r="E1588" s="6" t="s">
        <v>26</v>
      </c>
      <c r="F1588" s="6" t="s">
        <v>4882</v>
      </c>
      <c r="G1588" s="6" t="s">
        <v>4782</v>
      </c>
      <c r="H1588" s="6">
        <v>25</v>
      </c>
      <c r="I1588" s="18">
        <v>89.25</v>
      </c>
      <c r="J1588" s="19">
        <v>46233.6390565162</v>
      </c>
      <c r="K1588" s="6" t="s">
        <v>4880</v>
      </c>
      <c r="L1588" t="str">
        <f t="shared" si="24"/>
        <v>ABRAC.AUT.FINA VIPES INOX 12X16MM|46217</v>
      </c>
    </row>
    <row r="1589" ht="13.5" customHeight="1" spans="1:12">
      <c r="A1589" s="17">
        <v>46216.6027777778</v>
      </c>
      <c r="B1589" s="6" t="s">
        <v>4876</v>
      </c>
      <c r="C1589" s="6" t="s">
        <v>5867</v>
      </c>
      <c r="D1589" s="6" t="s">
        <v>5868</v>
      </c>
      <c r="E1589" s="6" t="s">
        <v>26</v>
      </c>
      <c r="F1589" s="6" t="s">
        <v>4882</v>
      </c>
      <c r="G1589" s="6" t="s">
        <v>4783</v>
      </c>
      <c r="H1589" s="6">
        <v>10</v>
      </c>
      <c r="I1589" s="18">
        <v>69.6</v>
      </c>
      <c r="J1589" s="19">
        <v>46233.6390565162</v>
      </c>
      <c r="K1589" s="6" t="s">
        <v>4880</v>
      </c>
      <c r="L1589" t="str">
        <f t="shared" si="24"/>
        <v>ABRAC.AUT. LARGA 12,5 VIPES INOX 13X19M|46217</v>
      </c>
    </row>
    <row r="1590" ht="13.5" customHeight="1" spans="1:12">
      <c r="A1590" s="17">
        <v>46216.6027777778</v>
      </c>
      <c r="B1590" s="6" t="s">
        <v>4876</v>
      </c>
      <c r="C1590" s="6" t="s">
        <v>5867</v>
      </c>
      <c r="D1590" s="6" t="s">
        <v>5868</v>
      </c>
      <c r="E1590" s="6" t="s">
        <v>26</v>
      </c>
      <c r="F1590" s="6" t="s">
        <v>4882</v>
      </c>
      <c r="G1590" s="6" t="s">
        <v>4763</v>
      </c>
      <c r="H1590" s="6">
        <v>25</v>
      </c>
      <c r="I1590" s="18">
        <v>68.25</v>
      </c>
      <c r="J1590" s="19">
        <v>46233.6390559838</v>
      </c>
      <c r="K1590" s="6" t="s">
        <v>4880</v>
      </c>
      <c r="L1590" t="str">
        <f t="shared" si="24"/>
        <v>ABRAÇADEIRA AUT FINA VIPES INOX 9X13MM|46217</v>
      </c>
    </row>
    <row r="1591" ht="13.5" customHeight="1" spans="1:12">
      <c r="A1591" s="17">
        <v>46216.6027777778</v>
      </c>
      <c r="B1591" s="6" t="s">
        <v>4876</v>
      </c>
      <c r="C1591" s="6" t="s">
        <v>5867</v>
      </c>
      <c r="D1591" s="6" t="s">
        <v>5868</v>
      </c>
      <c r="E1591" s="6" t="s">
        <v>26</v>
      </c>
      <c r="F1591" s="6" t="s">
        <v>4882</v>
      </c>
      <c r="G1591" s="6" t="s">
        <v>1033</v>
      </c>
      <c r="H1591" s="6">
        <v>24</v>
      </c>
      <c r="I1591" s="18">
        <v>601.92</v>
      </c>
      <c r="J1591" s="19">
        <v>46233.6390556366</v>
      </c>
      <c r="K1591" s="6" t="s">
        <v>4880</v>
      </c>
      <c r="L1591" t="str">
        <f t="shared" si="24"/>
        <v>V6 ESPUMA ESTOFADOS 300ML|46217</v>
      </c>
    </row>
    <row r="1592" ht="13.5" customHeight="1" spans="1:12">
      <c r="A1592" s="17">
        <v>46216.6027777778</v>
      </c>
      <c r="B1592" s="6" t="s">
        <v>4876</v>
      </c>
      <c r="C1592" s="6" t="s">
        <v>5867</v>
      </c>
      <c r="D1592" s="6" t="s">
        <v>5868</v>
      </c>
      <c r="E1592" s="6" t="s">
        <v>26</v>
      </c>
      <c r="F1592" s="6" t="s">
        <v>4882</v>
      </c>
      <c r="G1592" s="6" t="s">
        <v>945</v>
      </c>
      <c r="H1592" s="6">
        <v>24</v>
      </c>
      <c r="I1592" s="18">
        <v>645.6</v>
      </c>
      <c r="J1592" s="19">
        <v>46233.6390552894</v>
      </c>
      <c r="K1592" s="6" t="s">
        <v>4880</v>
      </c>
      <c r="L1592" t="str">
        <f t="shared" si="24"/>
        <v>VIPES SILICONE SPRAY CARRO NOVO|46217</v>
      </c>
    </row>
    <row r="1593" ht="13.5" customHeight="1" spans="1:12">
      <c r="A1593" s="17">
        <v>46216.6027777778</v>
      </c>
      <c r="B1593" s="6" t="s">
        <v>4876</v>
      </c>
      <c r="C1593" s="6" t="s">
        <v>5867</v>
      </c>
      <c r="D1593" s="6" t="s">
        <v>5868</v>
      </c>
      <c r="E1593" s="6" t="s">
        <v>26</v>
      </c>
      <c r="F1593" s="6" t="s">
        <v>4882</v>
      </c>
      <c r="G1593" s="6" t="s">
        <v>1032</v>
      </c>
      <c r="H1593" s="6">
        <v>24</v>
      </c>
      <c r="I1593" s="18">
        <v>809.76</v>
      </c>
      <c r="J1593" s="19">
        <v>46233.6390550926</v>
      </c>
      <c r="K1593" s="6" t="s">
        <v>4880</v>
      </c>
      <c r="L1593" t="str">
        <f t="shared" si="24"/>
        <v>V7 DESENGRAXANTE SPRAY 500ML|46217</v>
      </c>
    </row>
    <row r="1594" ht="13.5" customHeight="1" spans="1:12">
      <c r="A1594" s="17">
        <v>46216.6027777778</v>
      </c>
      <c r="B1594" s="6" t="s">
        <v>4876</v>
      </c>
      <c r="C1594" s="6" t="s">
        <v>5867</v>
      </c>
      <c r="D1594" s="6" t="s">
        <v>5868</v>
      </c>
      <c r="E1594" s="6" t="s">
        <v>26</v>
      </c>
      <c r="F1594" s="6" t="s">
        <v>4882</v>
      </c>
      <c r="G1594" s="6" t="s">
        <v>513</v>
      </c>
      <c r="H1594" s="6">
        <v>12</v>
      </c>
      <c r="I1594" s="18">
        <v>319.2</v>
      </c>
      <c r="J1594" s="19">
        <v>46233.6390547107</v>
      </c>
      <c r="K1594" s="6" t="s">
        <v>4880</v>
      </c>
      <c r="L1594" t="str">
        <f t="shared" si="24"/>
        <v>LIMPA AR CONDICIONADO LAVANDA|46217</v>
      </c>
    </row>
    <row r="1595" ht="13.5" customHeight="1" spans="1:12">
      <c r="A1595" s="17">
        <v>46216.6027777778</v>
      </c>
      <c r="B1595" s="6" t="s">
        <v>4876</v>
      </c>
      <c r="C1595" s="6" t="s">
        <v>5867</v>
      </c>
      <c r="D1595" s="6" t="s">
        <v>5868</v>
      </c>
      <c r="E1595" s="6" t="s">
        <v>26</v>
      </c>
      <c r="F1595" s="6" t="s">
        <v>4882</v>
      </c>
      <c r="G1595" s="6" t="s">
        <v>802</v>
      </c>
      <c r="H1595" s="6">
        <v>24</v>
      </c>
      <c r="I1595" s="18">
        <v>459.12</v>
      </c>
      <c r="J1595" s="19">
        <v>46233.6390545486</v>
      </c>
      <c r="K1595" s="6" t="s">
        <v>4880</v>
      </c>
      <c r="L1595" t="str">
        <f t="shared" si="24"/>
        <v>LIMPA CONTATO 300ML|46217</v>
      </c>
    </row>
    <row r="1596" ht="13.5" customHeight="1" spans="1:12">
      <c r="A1596" s="17">
        <v>46216.6027777778</v>
      </c>
      <c r="B1596" s="6" t="s">
        <v>4876</v>
      </c>
      <c r="C1596" s="6" t="s">
        <v>5867</v>
      </c>
      <c r="D1596" s="6" t="s">
        <v>5868</v>
      </c>
      <c r="E1596" s="6" t="s">
        <v>26</v>
      </c>
      <c r="F1596" s="6" t="s">
        <v>4882</v>
      </c>
      <c r="G1596" s="6" t="s">
        <v>2614</v>
      </c>
      <c r="H1596" s="6">
        <v>24</v>
      </c>
      <c r="I1596" s="18">
        <v>390</v>
      </c>
      <c r="J1596" s="19">
        <v>46233.6390540162</v>
      </c>
      <c r="K1596" s="6" t="s">
        <v>4880</v>
      </c>
      <c r="L1596" t="str">
        <f t="shared" si="24"/>
        <v>LUBRIFICANTE V1 300ML AEROSOL|46217</v>
      </c>
    </row>
    <row r="1597" ht="13.5" customHeight="1" spans="1:12">
      <c r="A1597" s="17">
        <v>46216.6027777778</v>
      </c>
      <c r="B1597" s="6" t="s">
        <v>4876</v>
      </c>
      <c r="C1597" s="6" t="s">
        <v>5867</v>
      </c>
      <c r="D1597" s="6" t="s">
        <v>5868</v>
      </c>
      <c r="E1597" s="6" t="s">
        <v>26</v>
      </c>
      <c r="F1597" s="6" t="s">
        <v>4882</v>
      </c>
      <c r="G1597" s="6" t="s">
        <v>3023</v>
      </c>
      <c r="H1597" s="6">
        <v>24</v>
      </c>
      <c r="I1597" s="18">
        <v>614.88</v>
      </c>
      <c r="J1597" s="19">
        <v>46233.6390538195</v>
      </c>
      <c r="K1597" s="6" t="s">
        <v>4880</v>
      </c>
      <c r="L1597" t="str">
        <f t="shared" si="24"/>
        <v>FLUIDO FREIO DOT4 500 ML|46217</v>
      </c>
    </row>
    <row r="1598" ht="13.5" customHeight="1" spans="1:12">
      <c r="A1598" s="17">
        <v>46216.6027777778</v>
      </c>
      <c r="B1598" s="6" t="s">
        <v>4876</v>
      </c>
      <c r="C1598" s="6" t="s">
        <v>5867</v>
      </c>
      <c r="D1598" s="6" t="s">
        <v>5868</v>
      </c>
      <c r="E1598" s="6" t="s">
        <v>26</v>
      </c>
      <c r="F1598" s="6" t="s">
        <v>4882</v>
      </c>
      <c r="G1598" s="6" t="s">
        <v>890</v>
      </c>
      <c r="H1598" s="6">
        <v>24</v>
      </c>
      <c r="I1598" s="18">
        <v>690.48</v>
      </c>
      <c r="J1598" s="19">
        <v>46233.6390532755</v>
      </c>
      <c r="K1598" s="6" t="s">
        <v>4880</v>
      </c>
      <c r="L1598" t="str">
        <f t="shared" si="24"/>
        <v>VIPES ULTRACLEANER 500ML |46217</v>
      </c>
    </row>
    <row r="1599" ht="13.5" customHeight="1" spans="1:12">
      <c r="A1599" s="17">
        <v>46216.6027777778</v>
      </c>
      <c r="B1599" s="6" t="s">
        <v>4876</v>
      </c>
      <c r="C1599" s="6" t="s">
        <v>5867</v>
      </c>
      <c r="D1599" s="6" t="s">
        <v>5868</v>
      </c>
      <c r="E1599" s="6" t="s">
        <v>26</v>
      </c>
      <c r="F1599" s="6" t="s">
        <v>4882</v>
      </c>
      <c r="G1599" s="6" t="s">
        <v>2671</v>
      </c>
      <c r="H1599" s="6">
        <v>1</v>
      </c>
      <c r="I1599" s="18">
        <v>191</v>
      </c>
      <c r="J1599" s="19">
        <v>46233.6390530903</v>
      </c>
      <c r="K1599" s="6" t="s">
        <v>4880</v>
      </c>
      <c r="L1599" t="str">
        <f t="shared" si="24"/>
        <v>LB CLEANER DESENGRAXANTE 5L|46217</v>
      </c>
    </row>
    <row r="1600" ht="13.5" customHeight="1" spans="1:12">
      <c r="A1600" s="17">
        <v>46216.6027777778</v>
      </c>
      <c r="B1600" s="6" t="s">
        <v>4876</v>
      </c>
      <c r="C1600" s="6" t="s">
        <v>5867</v>
      </c>
      <c r="D1600" s="6" t="s">
        <v>5868</v>
      </c>
      <c r="E1600" s="6" t="s">
        <v>26</v>
      </c>
      <c r="F1600" s="6" t="s">
        <v>4882</v>
      </c>
      <c r="G1600" s="6" t="s">
        <v>3456</v>
      </c>
      <c r="H1600" s="6">
        <v>50</v>
      </c>
      <c r="I1600" s="18">
        <v>287.5</v>
      </c>
      <c r="J1600" s="19">
        <v>46233.6390529282</v>
      </c>
      <c r="K1600" s="6" t="s">
        <v>4880</v>
      </c>
      <c r="L1600" t="str">
        <f t="shared" si="24"/>
        <v>DISCO CORTE PREMIUM CUT 115X1,0X22,2|46217</v>
      </c>
    </row>
    <row r="1601" ht="13.5" customHeight="1" spans="1:12">
      <c r="A1601" s="17">
        <v>46216.6027777778</v>
      </c>
      <c r="B1601" s="6" t="s">
        <v>4876</v>
      </c>
      <c r="C1601" s="6" t="s">
        <v>5867</v>
      </c>
      <c r="D1601" s="6" t="s">
        <v>5868</v>
      </c>
      <c r="E1601" s="6" t="s">
        <v>26</v>
      </c>
      <c r="F1601" s="6" t="s">
        <v>4882</v>
      </c>
      <c r="G1601" s="6" t="s">
        <v>1034</v>
      </c>
      <c r="H1601" s="6">
        <v>24</v>
      </c>
      <c r="I1601" s="18">
        <v>690.48</v>
      </c>
      <c r="J1601" s="19">
        <v>46233.6390525463</v>
      </c>
      <c r="K1601" s="6" t="s">
        <v>4880</v>
      </c>
      <c r="L1601" t="str">
        <f t="shared" si="24"/>
        <v>V10 SILICONE GREY NEUTRO A TEMP|46217</v>
      </c>
    </row>
    <row r="1602" ht="13.5" customHeight="1" spans="1:12">
      <c r="A1602" s="17">
        <v>46216.6027777778</v>
      </c>
      <c r="B1602" s="6" t="s">
        <v>4876</v>
      </c>
      <c r="C1602" s="6" t="s">
        <v>5867</v>
      </c>
      <c r="D1602" s="6" t="s">
        <v>5868</v>
      </c>
      <c r="E1602" s="6" t="s">
        <v>26</v>
      </c>
      <c r="F1602" s="6" t="s">
        <v>4882</v>
      </c>
      <c r="G1602" s="6" t="s">
        <v>991</v>
      </c>
      <c r="H1602" s="6">
        <v>8</v>
      </c>
      <c r="I1602" s="18">
        <v>761.52</v>
      </c>
      <c r="J1602" s="19">
        <v>46233.6390521991</v>
      </c>
      <c r="K1602" s="6" t="s">
        <v>4880</v>
      </c>
      <c r="L1602" t="str">
        <f t="shared" ref="L1602:L1665" si="25">IF(G1602="","",G1602&amp;"|"&amp;TEXT(A1602,"0"))</f>
        <v>VASSOURA C/ESCOVA REFORÇADO|46217</v>
      </c>
    </row>
    <row r="1603" ht="13.5" customHeight="1" spans="1:12">
      <c r="A1603" s="17">
        <v>46216.6027777778</v>
      </c>
      <c r="B1603" s="6" t="s">
        <v>4876</v>
      </c>
      <c r="C1603" s="6" t="s">
        <v>5867</v>
      </c>
      <c r="D1603" s="6" t="s">
        <v>5868</v>
      </c>
      <c r="E1603" s="6" t="s">
        <v>26</v>
      </c>
      <c r="F1603" s="6" t="s">
        <v>4882</v>
      </c>
      <c r="G1603" s="6" t="s">
        <v>4760</v>
      </c>
      <c r="H1603" s="6">
        <v>400</v>
      </c>
      <c r="I1603" s="18">
        <v>296</v>
      </c>
      <c r="J1603" s="19">
        <v>46233.6390520023</v>
      </c>
      <c r="K1603" s="6" t="s">
        <v>4880</v>
      </c>
      <c r="L1603" t="str">
        <f t="shared" si="25"/>
        <v>ABRAÇADEIRA AUT NYLON VIPES 7,2X250MM|46217</v>
      </c>
    </row>
    <row r="1604" ht="13.5" customHeight="1" spans="1:12">
      <c r="A1604" s="17">
        <v>46216.6027777778</v>
      </c>
      <c r="B1604" s="6" t="s">
        <v>4876</v>
      </c>
      <c r="C1604" s="6" t="s">
        <v>5867</v>
      </c>
      <c r="D1604" s="6" t="s">
        <v>5868</v>
      </c>
      <c r="E1604" s="6" t="s">
        <v>26</v>
      </c>
      <c r="F1604" s="6" t="s">
        <v>4882</v>
      </c>
      <c r="G1604" s="6" t="s">
        <v>4759</v>
      </c>
      <c r="H1604" s="6">
        <v>400</v>
      </c>
      <c r="I1604" s="18">
        <v>376</v>
      </c>
      <c r="J1604" s="19">
        <v>46233.6390520023</v>
      </c>
      <c r="K1604" s="6" t="s">
        <v>4880</v>
      </c>
      <c r="L1604" t="str">
        <f t="shared" si="25"/>
        <v>ABRAÇADEIRA AUT NYLON VIPES 7,2X400 MM|46217</v>
      </c>
    </row>
    <row r="1605" ht="13.5" customHeight="1" spans="1:12">
      <c r="A1605" s="17">
        <v>46216.6027777778</v>
      </c>
      <c r="B1605" s="6" t="s">
        <v>4876</v>
      </c>
      <c r="C1605" s="6" t="s">
        <v>5867</v>
      </c>
      <c r="D1605" s="6" t="s">
        <v>5868</v>
      </c>
      <c r="E1605" s="6" t="s">
        <v>26</v>
      </c>
      <c r="F1605" s="6" t="s">
        <v>4882</v>
      </c>
      <c r="G1605" s="6" t="s">
        <v>4786</v>
      </c>
      <c r="H1605" s="6">
        <v>400</v>
      </c>
      <c r="I1605" s="18">
        <v>248</v>
      </c>
      <c r="J1605" s="19">
        <v>46233.6390518171</v>
      </c>
      <c r="K1605" s="6" t="s">
        <v>4880</v>
      </c>
      <c r="L1605" t="str">
        <f t="shared" si="25"/>
        <v>ABRAC AUT NYLON VIPES 4,8X400MM|46217</v>
      </c>
    </row>
    <row r="1606" ht="13.5" customHeight="1" spans="1:12">
      <c r="A1606" s="17">
        <v>46216.6027777778</v>
      </c>
      <c r="B1606" s="6" t="s">
        <v>4876</v>
      </c>
      <c r="C1606" s="6" t="s">
        <v>5867</v>
      </c>
      <c r="D1606" s="6" t="s">
        <v>5868</v>
      </c>
      <c r="E1606" s="6" t="s">
        <v>26</v>
      </c>
      <c r="F1606" s="6" t="s">
        <v>4882</v>
      </c>
      <c r="G1606" s="6" t="s">
        <v>4761</v>
      </c>
      <c r="H1606" s="6">
        <v>400</v>
      </c>
      <c r="I1606" s="18">
        <v>80</v>
      </c>
      <c r="J1606" s="19">
        <v>46233.6390511227</v>
      </c>
      <c r="K1606" s="6" t="s">
        <v>4880</v>
      </c>
      <c r="L1606" t="str">
        <f t="shared" si="25"/>
        <v>ABRAÇADEIRA AUT NYLON 4,8X250MM VIPES|46217</v>
      </c>
    </row>
    <row r="1607" ht="13.5" customHeight="1" spans="1:12">
      <c r="A1607" s="17">
        <v>46216.6381944444</v>
      </c>
      <c r="B1607" s="6" t="s">
        <v>4876</v>
      </c>
      <c r="C1607" s="6" t="s">
        <v>5869</v>
      </c>
      <c r="D1607" s="6" t="s">
        <v>5258</v>
      </c>
      <c r="E1607" s="6" t="s">
        <v>414</v>
      </c>
      <c r="F1607" s="6" t="s">
        <v>4879</v>
      </c>
      <c r="G1607" s="6" t="s">
        <v>4805</v>
      </c>
      <c r="H1607" s="6">
        <v>2</v>
      </c>
      <c r="I1607" s="18">
        <v>40</v>
      </c>
      <c r="J1607" s="19">
        <v>46219.6429050579</v>
      </c>
      <c r="K1607" s="6" t="s">
        <v>4880</v>
      </c>
      <c r="L1607" t="str">
        <f t="shared" si="25"/>
        <v>9881870 LAMPADA PILOTO REDONDA|46217</v>
      </c>
    </row>
    <row r="1608" ht="13.5" customHeight="1" spans="1:12">
      <c r="A1608" s="17">
        <v>46216.6381944444</v>
      </c>
      <c r="B1608" s="6" t="s">
        <v>4876</v>
      </c>
      <c r="C1608" s="6" t="s">
        <v>5869</v>
      </c>
      <c r="D1608" s="6" t="s">
        <v>5258</v>
      </c>
      <c r="E1608" s="6" t="s">
        <v>414</v>
      </c>
      <c r="F1608" s="6" t="s">
        <v>4879</v>
      </c>
      <c r="G1608" s="6" t="s">
        <v>4804</v>
      </c>
      <c r="H1608" s="6">
        <v>2</v>
      </c>
      <c r="I1608" s="18">
        <v>340</v>
      </c>
      <c r="J1608" s="19">
        <v>46219.6429026968</v>
      </c>
      <c r="K1608" s="6" t="s">
        <v>4880</v>
      </c>
      <c r="L1608" t="str">
        <f t="shared" si="25"/>
        <v>9902611 TERMOSTATO TIWA 20/120.C R26H 30A C/BUCHA 3/8¨ MET|46217</v>
      </c>
    </row>
    <row r="1609" ht="13.5" customHeight="1" spans="1:12">
      <c r="A1609" s="17">
        <v>46216.643900463</v>
      </c>
      <c r="B1609" s="6" t="s">
        <v>4876</v>
      </c>
      <c r="C1609" s="6" t="s">
        <v>5870</v>
      </c>
      <c r="D1609" s="6" t="s">
        <v>4894</v>
      </c>
      <c r="E1609" s="6" t="s">
        <v>26</v>
      </c>
      <c r="F1609" s="6" t="s">
        <v>4882</v>
      </c>
      <c r="G1609" s="6" t="s">
        <v>4797</v>
      </c>
      <c r="H1609" s="6">
        <v>50</v>
      </c>
      <c r="I1609" s="18">
        <v>31</v>
      </c>
      <c r="J1609" s="19">
        <v>46216.6762864236</v>
      </c>
      <c r="K1609" s="6" t="s">
        <v>4880</v>
      </c>
      <c r="L1609" t="str">
        <f t="shared" si="25"/>
        <v>A.LISA INOX 5/16|46217</v>
      </c>
    </row>
    <row r="1610" ht="13.5" customHeight="1" spans="1:12">
      <c r="A1610" s="17">
        <v>46216.643900463</v>
      </c>
      <c r="B1610" s="6" t="s">
        <v>4876</v>
      </c>
      <c r="C1610" s="6" t="s">
        <v>5870</v>
      </c>
      <c r="D1610" s="6" t="s">
        <v>4894</v>
      </c>
      <c r="E1610" s="6" t="s">
        <v>26</v>
      </c>
      <c r="F1610" s="6" t="s">
        <v>4882</v>
      </c>
      <c r="G1610" s="6" t="s">
        <v>4795</v>
      </c>
      <c r="H1610" s="6">
        <v>50</v>
      </c>
      <c r="I1610" s="18">
        <v>40</v>
      </c>
      <c r="J1610" s="19">
        <v>46216.6762856829</v>
      </c>
      <c r="K1610" s="6" t="s">
        <v>4880</v>
      </c>
      <c r="L1610" t="str">
        <f t="shared" si="25"/>
        <v>A.LISA ZINCADA 1/2 (122/KG) (ATA1KG|46217</v>
      </c>
    </row>
    <row r="1611" ht="13.5" customHeight="1" spans="1:12">
      <c r="A1611" s="17">
        <v>46216.643900463</v>
      </c>
      <c r="B1611" s="6" t="s">
        <v>4876</v>
      </c>
      <c r="C1611" s="6" t="s">
        <v>5870</v>
      </c>
      <c r="D1611" s="6" t="s">
        <v>4894</v>
      </c>
      <c r="E1611" s="6" t="s">
        <v>26</v>
      </c>
      <c r="F1611" s="6" t="s">
        <v>4882</v>
      </c>
      <c r="G1611" s="6" t="s">
        <v>4794</v>
      </c>
      <c r="H1611" s="6">
        <v>50</v>
      </c>
      <c r="I1611" s="18">
        <v>18.5</v>
      </c>
      <c r="J1611" s="19">
        <v>46216.6762855324</v>
      </c>
      <c r="K1611" s="6" t="s">
        <v>4880</v>
      </c>
      <c r="L1611" t="str">
        <f t="shared" si="25"/>
        <v>A.LISA ZINCADA 3/8 260/KG ATA1KG|46217</v>
      </c>
    </row>
    <row r="1612" ht="13.5" customHeight="1" spans="1:12">
      <c r="A1612" s="17">
        <v>46216.643900463</v>
      </c>
      <c r="B1612" s="6" t="s">
        <v>4876</v>
      </c>
      <c r="C1612" s="6" t="s">
        <v>5870</v>
      </c>
      <c r="D1612" s="6" t="s">
        <v>4894</v>
      </c>
      <c r="E1612" s="6" t="s">
        <v>26</v>
      </c>
      <c r="F1612" s="6" t="s">
        <v>4882</v>
      </c>
      <c r="G1612" s="6" t="s">
        <v>4799</v>
      </c>
      <c r="H1612" s="6">
        <v>100</v>
      </c>
      <c r="I1612" s="18">
        <v>230</v>
      </c>
      <c r="J1612" s="19">
        <v>46216.6762849884</v>
      </c>
      <c r="K1612" s="6" t="s">
        <v>4880</v>
      </c>
      <c r="L1612" t="str">
        <f t="shared" si="25"/>
        <v>A.LISA INOX 1/2|46217</v>
      </c>
    </row>
    <row r="1613" ht="13.5" customHeight="1" spans="1:12">
      <c r="A1613" s="17">
        <v>46216.643900463</v>
      </c>
      <c r="B1613" s="6" t="s">
        <v>4876</v>
      </c>
      <c r="C1613" s="6" t="s">
        <v>5870</v>
      </c>
      <c r="D1613" s="6" t="s">
        <v>4894</v>
      </c>
      <c r="E1613" s="6" t="s">
        <v>26</v>
      </c>
      <c r="F1613" s="6" t="s">
        <v>4882</v>
      </c>
      <c r="G1613" s="6" t="s">
        <v>4796</v>
      </c>
      <c r="H1613" s="6">
        <v>50</v>
      </c>
      <c r="I1613" s="18">
        <v>160</v>
      </c>
      <c r="J1613" s="19">
        <v>46216.6762840625</v>
      </c>
      <c r="K1613" s="6" t="s">
        <v>4880</v>
      </c>
      <c r="L1613" t="str">
        <f t="shared" si="25"/>
        <v>A.LISA INOX 5/8|46217</v>
      </c>
    </row>
    <row r="1614" ht="13.5" customHeight="1" spans="1:12">
      <c r="A1614" s="17">
        <v>46216.643900463</v>
      </c>
      <c r="B1614" s="6" t="s">
        <v>4876</v>
      </c>
      <c r="C1614" s="6" t="s">
        <v>5870</v>
      </c>
      <c r="D1614" s="6" t="s">
        <v>4894</v>
      </c>
      <c r="E1614" s="6" t="s">
        <v>26</v>
      </c>
      <c r="F1614" s="6" t="s">
        <v>4882</v>
      </c>
      <c r="G1614" s="6" t="s">
        <v>4798</v>
      </c>
      <c r="H1614" s="6">
        <v>50</v>
      </c>
      <c r="I1614" s="18">
        <v>34.5</v>
      </c>
      <c r="J1614" s="19">
        <v>46216.6762837153</v>
      </c>
      <c r="K1614" s="6" t="s">
        <v>4880</v>
      </c>
      <c r="L1614" t="str">
        <f t="shared" si="25"/>
        <v>A.LISA INOX 3/8|46217</v>
      </c>
    </row>
    <row r="1615" ht="13.5" customHeight="1" spans="1:12">
      <c r="A1615" s="17">
        <v>46216.643900463</v>
      </c>
      <c r="B1615" s="6" t="s">
        <v>4876</v>
      </c>
      <c r="C1615" s="6" t="s">
        <v>5870</v>
      </c>
      <c r="D1615" s="6" t="s">
        <v>4894</v>
      </c>
      <c r="E1615" s="6" t="s">
        <v>26</v>
      </c>
      <c r="F1615" s="6" t="s">
        <v>4882</v>
      </c>
      <c r="G1615" s="6" t="s">
        <v>4793</v>
      </c>
      <c r="H1615" s="6">
        <v>5</v>
      </c>
      <c r="I1615" s="18">
        <v>16.85</v>
      </c>
      <c r="J1615" s="19">
        <v>46216.6762827894</v>
      </c>
      <c r="K1615" s="6" t="s">
        <v>4880</v>
      </c>
      <c r="L1615" t="str">
        <f t="shared" si="25"/>
        <v>A.LISA ZINCADA MM 10MM C/10PÇS|46217</v>
      </c>
    </row>
    <row r="1616" ht="13.5" customHeight="1" spans="1:12">
      <c r="A1616" s="17">
        <v>46216.6901273148</v>
      </c>
      <c r="B1616" s="6" t="s">
        <v>4876</v>
      </c>
      <c r="C1616" s="6" t="s">
        <v>5871</v>
      </c>
      <c r="D1616" s="6" t="s">
        <v>110</v>
      </c>
      <c r="E1616" s="6" t="s">
        <v>26</v>
      </c>
      <c r="F1616" s="6" t="s">
        <v>4882</v>
      </c>
      <c r="G1616" s="6" t="s">
        <v>3252</v>
      </c>
      <c r="H1616" s="6">
        <v>1</v>
      </c>
      <c r="I1616" s="18">
        <v>490</v>
      </c>
      <c r="J1616" s="19">
        <v>46216.7018210995</v>
      </c>
      <c r="K1616" s="6" t="s">
        <v>4880</v>
      </c>
      <c r="L1616" t="str">
        <f t="shared" si="25"/>
        <v>ESPELHO RETROV. VOLKS DELIVERY MOD NOVO PLANO|46217</v>
      </c>
    </row>
    <row r="1617" ht="13.5" customHeight="1" spans="1:12">
      <c r="A1617" s="17">
        <v>46216.6901273148</v>
      </c>
      <c r="B1617" s="6" t="s">
        <v>4876</v>
      </c>
      <c r="C1617" s="6" t="s">
        <v>5871</v>
      </c>
      <c r="D1617" s="6" t="s">
        <v>110</v>
      </c>
      <c r="E1617" s="6" t="s">
        <v>26</v>
      </c>
      <c r="F1617" s="6" t="s">
        <v>4882</v>
      </c>
      <c r="G1617" s="6" t="s">
        <v>4399</v>
      </c>
      <c r="H1617" s="6">
        <v>5</v>
      </c>
      <c r="I1617" s="18">
        <v>110</v>
      </c>
      <c r="J1617" s="19">
        <v>46216.7018190972</v>
      </c>
      <c r="K1617" s="6" t="s">
        <v>4880</v>
      </c>
      <c r="L1617" t="str">
        <f t="shared" si="25"/>
        <v>BICO P/PNEU SEM CAMARA |46217</v>
      </c>
    </row>
    <row r="1618" ht="13.5" customHeight="1" spans="1:12">
      <c r="A1618" s="17">
        <v>46216.6901273148</v>
      </c>
      <c r="B1618" s="6" t="s">
        <v>4876</v>
      </c>
      <c r="C1618" s="6" t="s">
        <v>5871</v>
      </c>
      <c r="D1618" s="6" t="s">
        <v>110</v>
      </c>
      <c r="E1618" s="6" t="s">
        <v>26</v>
      </c>
      <c r="F1618" s="6" t="s">
        <v>4882</v>
      </c>
      <c r="G1618" s="6" t="s">
        <v>2154</v>
      </c>
      <c r="H1618" s="6">
        <v>4</v>
      </c>
      <c r="I1618" s="18">
        <v>80</v>
      </c>
      <c r="J1618" s="19">
        <v>46216.7018169329</v>
      </c>
      <c r="K1618" s="6" t="s">
        <v>4880</v>
      </c>
      <c r="L1618" t="str">
        <f t="shared" si="25"/>
        <v>PARAFUSO DA CUICA 2 PONTAS |46217</v>
      </c>
    </row>
    <row r="1619" ht="13.5" customHeight="1" spans="1:12">
      <c r="A1619" s="17">
        <v>46216.7021990741</v>
      </c>
      <c r="B1619" s="6" t="s">
        <v>4876</v>
      </c>
      <c r="C1619" s="6" t="s">
        <v>5872</v>
      </c>
      <c r="D1619" s="6" t="s">
        <v>4935</v>
      </c>
      <c r="E1619" s="6" t="s">
        <v>26</v>
      </c>
      <c r="F1619" s="6" t="s">
        <v>4882</v>
      </c>
      <c r="G1619" s="6" t="s">
        <v>3673</v>
      </c>
      <c r="H1619" s="6">
        <v>6</v>
      </c>
      <c r="I1619" s="18">
        <v>513.54</v>
      </c>
      <c r="J1619" s="19">
        <v>46216.7035426273</v>
      </c>
      <c r="K1619" s="6" t="s">
        <v>4880</v>
      </c>
      <c r="L1619" t="str">
        <f t="shared" si="25"/>
        <v>CONE FLEXIVEL LARANJA E BRANCO COM REFLETIVO 75CM |46217</v>
      </c>
    </row>
    <row r="1620" ht="13.5" customHeight="1" spans="1:12">
      <c r="A1620" s="17">
        <v>46216.7039236111</v>
      </c>
      <c r="B1620" s="6" t="s">
        <v>4876</v>
      </c>
      <c r="C1620" s="6" t="s">
        <v>5873</v>
      </c>
      <c r="D1620" s="6" t="s">
        <v>5109</v>
      </c>
      <c r="E1620" s="6" t="s">
        <v>26</v>
      </c>
      <c r="F1620" s="6" t="s">
        <v>4882</v>
      </c>
      <c r="G1620" s="6" t="s">
        <v>4811</v>
      </c>
      <c r="H1620" s="6">
        <v>4</v>
      </c>
      <c r="I1620" s="18">
        <v>300</v>
      </c>
      <c r="J1620" s="19">
        <v>46216.7060721875</v>
      </c>
      <c r="K1620" s="6" t="s">
        <v>4880</v>
      </c>
      <c r="L1620" t="str">
        <f t="shared" si="25"/>
        <v>6915 PENDENTE F.C. S/LAMPADA C/PINO 127V 5MTS 00666|46217</v>
      </c>
    </row>
    <row r="1621" ht="13.5" customHeight="1" spans="1:12">
      <c r="A1621" s="17">
        <v>46216.7063194444</v>
      </c>
      <c r="B1621" s="6" t="s">
        <v>4876</v>
      </c>
      <c r="C1621" s="6" t="s">
        <v>5874</v>
      </c>
      <c r="D1621" s="6" t="s">
        <v>5492</v>
      </c>
      <c r="E1621" s="6" t="s">
        <v>26</v>
      </c>
      <c r="F1621" s="6" t="s">
        <v>4882</v>
      </c>
      <c r="G1621" s="6" t="s">
        <v>4806</v>
      </c>
      <c r="H1621" s="6">
        <v>4</v>
      </c>
      <c r="I1621" s="18">
        <v>3.36</v>
      </c>
      <c r="J1621" s="19">
        <v>46216.7095959838</v>
      </c>
      <c r="K1621" s="6" t="s">
        <v>4880</v>
      </c>
      <c r="L1621" t="str">
        <f t="shared" si="25"/>
        <v>959 ARRUELA LISA 1/2|46217</v>
      </c>
    </row>
    <row r="1622" ht="13.5" customHeight="1" spans="1:12">
      <c r="A1622" s="17">
        <v>46216.7063194444</v>
      </c>
      <c r="B1622" s="6" t="s">
        <v>4876</v>
      </c>
      <c r="C1622" s="6" t="s">
        <v>5874</v>
      </c>
      <c r="D1622" s="6" t="s">
        <v>5492</v>
      </c>
      <c r="E1622" s="6" t="s">
        <v>26</v>
      </c>
      <c r="F1622" s="6" t="s">
        <v>4882</v>
      </c>
      <c r="G1622" s="6" t="s">
        <v>568</v>
      </c>
      <c r="H1622" s="6">
        <v>4</v>
      </c>
      <c r="I1622" s="18">
        <v>5.76</v>
      </c>
      <c r="J1622" s="19">
        <v>46216.7095952546</v>
      </c>
      <c r="K1622" s="6" t="s">
        <v>4880</v>
      </c>
      <c r="L1622" t="str">
        <f t="shared" si="25"/>
        <v>001 2009 PORCA 1/2 ONC 2ZINCADA SEX|46217</v>
      </c>
    </row>
    <row r="1623" ht="13.5" customHeight="1" spans="1:12">
      <c r="A1623" s="17">
        <v>46216.7099652778</v>
      </c>
      <c r="B1623" s="6" t="s">
        <v>4876</v>
      </c>
      <c r="C1623" s="6" t="s">
        <v>5875</v>
      </c>
      <c r="D1623" s="6" t="s">
        <v>4884</v>
      </c>
      <c r="E1623" s="6" t="s">
        <v>26</v>
      </c>
      <c r="F1623" s="6" t="s">
        <v>4882</v>
      </c>
      <c r="G1623" s="6" t="s">
        <v>3495</v>
      </c>
      <c r="H1623" s="6">
        <v>10</v>
      </c>
      <c r="I1623" s="18">
        <v>738.2</v>
      </c>
      <c r="J1623" s="19">
        <v>46216.7145501505</v>
      </c>
      <c r="K1623" s="6" t="s">
        <v>4880</v>
      </c>
      <c r="L1623" t="str">
        <f t="shared" si="25"/>
        <v>CZ 3/4 TIGRE CONDULETE TOP TUBO|46217</v>
      </c>
    </row>
    <row r="1624" ht="13.5" customHeight="1" spans="1:12">
      <c r="A1624" s="17">
        <v>46216.7099652778</v>
      </c>
      <c r="B1624" s="6" t="s">
        <v>4876</v>
      </c>
      <c r="C1624" s="6" t="s">
        <v>5875</v>
      </c>
      <c r="D1624" s="6" t="s">
        <v>4884</v>
      </c>
      <c r="E1624" s="6" t="s">
        <v>26</v>
      </c>
      <c r="F1624" s="6" t="s">
        <v>4882</v>
      </c>
      <c r="G1624" s="6" t="s">
        <v>2236</v>
      </c>
      <c r="H1624" s="6">
        <v>10</v>
      </c>
      <c r="I1624" s="18">
        <v>100.2</v>
      </c>
      <c r="J1624" s="19">
        <v>46216.7145496181</v>
      </c>
      <c r="K1624" s="6" t="s">
        <v>4880</v>
      </c>
      <c r="L1624" t="str">
        <f t="shared" si="25"/>
        <v>P/E 3/4 TIGRE CONDULETE TOP LUVA LISA |46217</v>
      </c>
    </row>
    <row r="1625" ht="13.5" customHeight="1" spans="1:12">
      <c r="A1625" s="17">
        <v>46216.7099652778</v>
      </c>
      <c r="B1625" s="6" t="s">
        <v>4876</v>
      </c>
      <c r="C1625" s="6" t="s">
        <v>5875</v>
      </c>
      <c r="D1625" s="6" t="s">
        <v>4884</v>
      </c>
      <c r="E1625" s="6" t="s">
        <v>26</v>
      </c>
      <c r="F1625" s="6" t="s">
        <v>4882</v>
      </c>
      <c r="G1625" s="6" t="s">
        <v>1197</v>
      </c>
      <c r="H1625" s="6">
        <v>10</v>
      </c>
      <c r="I1625" s="18">
        <v>208.5</v>
      </c>
      <c r="J1625" s="19">
        <v>46216.7145488773</v>
      </c>
      <c r="K1625" s="6" t="s">
        <v>4880</v>
      </c>
      <c r="L1625" t="str">
        <f t="shared" si="25"/>
        <v>TIGRE CONDULETE TOP CURVA 3/4X90|46217</v>
      </c>
    </row>
    <row r="1626" ht="13.5" customHeight="1" spans="1:12">
      <c r="A1626" s="17">
        <v>46217.3923611111</v>
      </c>
      <c r="B1626" s="6" t="s">
        <v>4876</v>
      </c>
      <c r="C1626" s="6" t="s">
        <v>5876</v>
      </c>
      <c r="D1626" s="6" t="s">
        <v>5877</v>
      </c>
      <c r="E1626" s="6" t="s">
        <v>26</v>
      </c>
      <c r="F1626" s="6" t="s">
        <v>4882</v>
      </c>
      <c r="G1626" s="6" t="s">
        <v>679</v>
      </c>
      <c r="H1626" s="6">
        <v>1</v>
      </c>
      <c r="I1626" s="18">
        <v>52.85</v>
      </c>
      <c r="J1626" s="19">
        <v>46225.3981149306</v>
      </c>
      <c r="K1626" s="6" t="s">
        <v>4880</v>
      </c>
      <c r="L1626" t="str">
        <f t="shared" si="25"/>
        <v>PARAFUSO DE METAL P/ PASTA NIQUELADO 15MM C/50 PEÇAS|46217</v>
      </c>
    </row>
    <row r="1627" ht="13.5" customHeight="1" spans="1:12">
      <c r="A1627" s="17">
        <v>46217.4107986111</v>
      </c>
      <c r="B1627" s="6" t="s">
        <v>4876</v>
      </c>
      <c r="C1627" s="6" t="s">
        <v>5878</v>
      </c>
      <c r="D1627" s="6" t="s">
        <v>5194</v>
      </c>
      <c r="E1627" s="6" t="s">
        <v>26</v>
      </c>
      <c r="F1627" s="6" t="s">
        <v>4882</v>
      </c>
      <c r="G1627" s="6" t="s">
        <v>1312</v>
      </c>
      <c r="H1627" s="6">
        <v>1</v>
      </c>
      <c r="I1627" s="18">
        <v>676</v>
      </c>
      <c r="J1627" s="19">
        <v>46217.4134531597</v>
      </c>
      <c r="K1627" s="6" t="s">
        <v>4880</v>
      </c>
      <c r="L1627" t="str">
        <f t="shared" si="25"/>
        <v>TA R4 A/C B50L|46217</v>
      </c>
    </row>
    <row r="1628" ht="13.5" customHeight="1" spans="1:12">
      <c r="A1628" s="17">
        <v>46217.4107986111</v>
      </c>
      <c r="B1628" s="6" t="s">
        <v>4876</v>
      </c>
      <c r="C1628" s="6" t="s">
        <v>5878</v>
      </c>
      <c r="D1628" s="6" t="s">
        <v>5194</v>
      </c>
      <c r="E1628" s="6" t="s">
        <v>26</v>
      </c>
      <c r="F1628" s="6" t="s">
        <v>4882</v>
      </c>
      <c r="G1628" s="6" t="s">
        <v>553</v>
      </c>
      <c r="H1628" s="6">
        <v>1</v>
      </c>
      <c r="I1628" s="18">
        <v>283</v>
      </c>
      <c r="J1628" s="19">
        <v>46217.4134515394</v>
      </c>
      <c r="K1628" s="6" t="s">
        <v>4880</v>
      </c>
      <c r="L1628" t="str">
        <f t="shared" si="25"/>
        <v>TAE CERA B50 |46217</v>
      </c>
    </row>
    <row r="1629" ht="13.5" customHeight="1" spans="1:12">
      <c r="A1629" s="17">
        <v>46217.4107986111</v>
      </c>
      <c r="B1629" s="6" t="s">
        <v>4876</v>
      </c>
      <c r="C1629" s="6" t="s">
        <v>5878</v>
      </c>
      <c r="D1629" s="6" t="s">
        <v>5194</v>
      </c>
      <c r="E1629" s="6" t="s">
        <v>26</v>
      </c>
      <c r="F1629" s="6" t="s">
        <v>4882</v>
      </c>
      <c r="G1629" s="6" t="s">
        <v>552</v>
      </c>
      <c r="H1629" s="6">
        <v>1</v>
      </c>
      <c r="I1629" s="18">
        <v>550</v>
      </c>
      <c r="J1629" s="19">
        <v>46217.4134459144</v>
      </c>
      <c r="K1629" s="6" t="s">
        <v>4880</v>
      </c>
      <c r="L1629" t="str">
        <f t="shared" si="25"/>
        <v>TAE PNEU NEW B50L|46217</v>
      </c>
    </row>
    <row r="1630" ht="13.5" customHeight="1" spans="1:12">
      <c r="A1630" s="17">
        <v>46217.5194444444</v>
      </c>
      <c r="B1630" s="6" t="s">
        <v>4876</v>
      </c>
      <c r="C1630" s="6" t="s">
        <v>5879</v>
      </c>
      <c r="D1630" s="6" t="s">
        <v>5880</v>
      </c>
      <c r="E1630" s="6" t="s">
        <v>26</v>
      </c>
      <c r="F1630" s="6" t="s">
        <v>4882</v>
      </c>
      <c r="G1630" s="6" t="s">
        <v>177</v>
      </c>
      <c r="H1630" s="6">
        <v>1</v>
      </c>
      <c r="I1630" s="18">
        <v>397.17</v>
      </c>
      <c r="J1630" s="19">
        <v>46219.5214890857</v>
      </c>
      <c r="K1630" s="6" t="s">
        <v>4880</v>
      </c>
      <c r="L1630" t="str">
        <f t="shared" si="25"/>
        <v>SUPORTE DO ESTRIBO ESCADA ACCELO DIREITO (LD)|46218</v>
      </c>
    </row>
    <row r="1631" ht="13.5" customHeight="1" spans="1:12">
      <c r="A1631" s="17">
        <v>46217.5208333333</v>
      </c>
      <c r="B1631" s="6" t="s">
        <v>4876</v>
      </c>
      <c r="C1631" s="6" t="s">
        <v>5881</v>
      </c>
      <c r="D1631" s="6" t="s">
        <v>5880</v>
      </c>
      <c r="E1631" s="6" t="s">
        <v>26</v>
      </c>
      <c r="F1631" s="6" t="s">
        <v>4882</v>
      </c>
      <c r="G1631" s="6" t="s">
        <v>177</v>
      </c>
      <c r="H1631" s="6">
        <v>1</v>
      </c>
      <c r="I1631" s="18">
        <v>397.17</v>
      </c>
      <c r="J1631" s="19">
        <v>46219.5225078357</v>
      </c>
      <c r="K1631" s="6" t="s">
        <v>4880</v>
      </c>
      <c r="L1631" t="str">
        <f t="shared" si="25"/>
        <v>SUPORTE DO ESTRIBO ESCADA ACCELO DIREITO (LD)|46218</v>
      </c>
    </row>
    <row r="1632" ht="13.5" customHeight="1" spans="1:12">
      <c r="A1632" s="17">
        <v>46217.5881944444</v>
      </c>
      <c r="B1632" s="6" t="s">
        <v>4876</v>
      </c>
      <c r="C1632" s="6" t="s">
        <v>5882</v>
      </c>
      <c r="D1632" s="6" t="s">
        <v>4898</v>
      </c>
      <c r="E1632" s="6" t="s">
        <v>51</v>
      </c>
      <c r="F1632" s="6" t="s">
        <v>4879</v>
      </c>
      <c r="G1632" s="6" t="s">
        <v>499</v>
      </c>
      <c r="H1632" s="6">
        <v>200</v>
      </c>
      <c r="I1632" s="18">
        <v>15238</v>
      </c>
      <c r="J1632" s="19">
        <v>46218.6064430903</v>
      </c>
      <c r="K1632" s="6" t="s">
        <v>4880</v>
      </c>
      <c r="L1632" t="str">
        <f t="shared" si="25"/>
        <v>STRETCH MANUAL 500MM X 25 MICRA X 3|46218</v>
      </c>
    </row>
    <row r="1633" ht="13.5" customHeight="1" spans="1:12">
      <c r="A1633" s="17">
        <v>46217.642025463</v>
      </c>
      <c r="B1633" s="6" t="s">
        <v>4876</v>
      </c>
      <c r="C1633" s="6" t="s">
        <v>5883</v>
      </c>
      <c r="D1633" s="6" t="s">
        <v>4884</v>
      </c>
      <c r="E1633" s="6" t="s">
        <v>26</v>
      </c>
      <c r="F1633" s="6" t="s">
        <v>4882</v>
      </c>
      <c r="G1633" s="6" t="s">
        <v>4845</v>
      </c>
      <c r="H1633" s="6">
        <v>10</v>
      </c>
      <c r="I1633" s="18">
        <v>108.5</v>
      </c>
      <c r="J1633" s="19">
        <v>46217.6429167014</v>
      </c>
      <c r="K1633" s="6" t="s">
        <v>4880</v>
      </c>
      <c r="L1633" t="str">
        <f t="shared" si="25"/>
        <v>045437 TASCHIBRA LAMP HIGH LED TKL 110 20W 6500K|46218</v>
      </c>
    </row>
    <row r="1634" ht="13.5" customHeight="1" spans="1:12">
      <c r="A1634" s="17">
        <v>46217.6435532407</v>
      </c>
      <c r="B1634" s="6" t="s">
        <v>4876</v>
      </c>
      <c r="C1634" s="6" t="s">
        <v>5884</v>
      </c>
      <c r="D1634" s="6" t="s">
        <v>5642</v>
      </c>
      <c r="E1634" s="6" t="s">
        <v>26</v>
      </c>
      <c r="F1634" s="6" t="s">
        <v>4882</v>
      </c>
      <c r="G1634" s="6" t="s">
        <v>4817</v>
      </c>
      <c r="H1634" s="6">
        <v>1</v>
      </c>
      <c r="I1634" s="18">
        <v>159.9</v>
      </c>
      <c r="J1634" s="19">
        <v>46217.6709771991</v>
      </c>
      <c r="K1634" s="6" t="s">
        <v>4880</v>
      </c>
      <c r="L1634" t="str">
        <f t="shared" si="25"/>
        <v>447571 ARMARIO ORGANIZADOR DE CHAVES EM ALUM P24 CHAVES|46218</v>
      </c>
    </row>
    <row r="1635" ht="13.5" customHeight="1" spans="1:12">
      <c r="A1635" s="17">
        <v>46217.6435532407</v>
      </c>
      <c r="B1635" s="6" t="s">
        <v>4876</v>
      </c>
      <c r="C1635" s="6" t="s">
        <v>5884</v>
      </c>
      <c r="D1635" s="6" t="s">
        <v>5642</v>
      </c>
      <c r="E1635" s="6" t="s">
        <v>26</v>
      </c>
      <c r="F1635" s="6" t="s">
        <v>4882</v>
      </c>
      <c r="G1635" s="6" t="s">
        <v>4816</v>
      </c>
      <c r="H1635" s="6">
        <v>1</v>
      </c>
      <c r="I1635" s="18">
        <v>18.9</v>
      </c>
      <c r="J1635" s="19">
        <v>46217.6709561343</v>
      </c>
      <c r="K1635" s="6" t="s">
        <v>4880</v>
      </c>
      <c r="L1635" t="str">
        <f t="shared" si="25"/>
        <v>447575 ORGANIZADOR DE CHAVES POTE (C20 CHAVEIR)OS SORT.)|46218</v>
      </c>
    </row>
    <row r="1636" ht="13.5" customHeight="1" spans="1:12">
      <c r="A1636" s="17">
        <v>46218.5859143519</v>
      </c>
      <c r="B1636" s="6" t="s">
        <v>4876</v>
      </c>
      <c r="C1636" s="6" t="s">
        <v>5885</v>
      </c>
      <c r="D1636" s="6" t="s">
        <v>4971</v>
      </c>
      <c r="E1636" s="6" t="s">
        <v>26</v>
      </c>
      <c r="F1636" s="6" t="s">
        <v>4882</v>
      </c>
      <c r="G1636" s="6" t="s">
        <v>4847</v>
      </c>
      <c r="H1636" s="6">
        <v>3</v>
      </c>
      <c r="I1636" s="18">
        <v>183.18</v>
      </c>
      <c r="J1636" s="19">
        <v>46218.5880872338</v>
      </c>
      <c r="K1636" s="6" t="s">
        <v>4880</v>
      </c>
      <c r="L1636" t="str">
        <f t="shared" si="25"/>
        <v>040329 STECK MINI DIJUNTOR 2P 20A|46219</v>
      </c>
    </row>
    <row r="1637" ht="13.5" customHeight="1" spans="1:12">
      <c r="A1637" s="17">
        <v>46218.6071527778</v>
      </c>
      <c r="B1637" s="6" t="s">
        <v>4876</v>
      </c>
      <c r="C1637" s="6" t="s">
        <v>5886</v>
      </c>
      <c r="D1637" s="6" t="s">
        <v>4901</v>
      </c>
      <c r="E1637" s="6" t="s">
        <v>26</v>
      </c>
      <c r="F1637" s="6" t="s">
        <v>4882</v>
      </c>
      <c r="G1637" s="6" t="s">
        <v>2905</v>
      </c>
      <c r="H1637" s="6">
        <v>1</v>
      </c>
      <c r="I1637" s="18">
        <v>205</v>
      </c>
      <c r="J1637" s="19">
        <v>46218.6079382755</v>
      </c>
      <c r="K1637" s="6" t="s">
        <v>4880</v>
      </c>
      <c r="L1637" t="str">
        <f t="shared" si="25"/>
        <v>GÁS BOTIJÃO P 20|46219</v>
      </c>
    </row>
    <row r="1638" ht="13.5" customHeight="1" spans="1:12">
      <c r="A1638" s="17">
        <v>46218.608125</v>
      </c>
      <c r="B1638" s="6" t="s">
        <v>4876</v>
      </c>
      <c r="C1638" s="6" t="s">
        <v>5887</v>
      </c>
      <c r="D1638" s="6" t="s">
        <v>4884</v>
      </c>
      <c r="E1638" s="6" t="s">
        <v>26</v>
      </c>
      <c r="F1638" s="6" t="s">
        <v>4882</v>
      </c>
      <c r="G1638" s="6" t="s">
        <v>442</v>
      </c>
      <c r="H1638" s="6">
        <v>8</v>
      </c>
      <c r="I1638" s="18">
        <v>319.6</v>
      </c>
      <c r="J1638" s="19">
        <v>46218.6130315625</v>
      </c>
      <c r="K1638" s="6" t="s">
        <v>4880</v>
      </c>
      <c r="L1638" t="str">
        <f t="shared" si="25"/>
        <v>LAMPADA INFRAVERMELHO SECAGEM 250W|46219</v>
      </c>
    </row>
    <row r="1639" ht="13.5" customHeight="1" spans="1:12">
      <c r="A1639" s="17">
        <v>46218.6147916667</v>
      </c>
      <c r="B1639" s="6" t="s">
        <v>4876</v>
      </c>
      <c r="C1639" s="6" t="s">
        <v>5888</v>
      </c>
      <c r="D1639" s="6" t="s">
        <v>4916</v>
      </c>
      <c r="E1639" s="6" t="s">
        <v>26</v>
      </c>
      <c r="F1639" s="6" t="s">
        <v>4882</v>
      </c>
      <c r="G1639" s="6" t="s">
        <v>720</v>
      </c>
      <c r="H1639" s="6">
        <v>1</v>
      </c>
      <c r="I1639" s="18">
        <v>1070.37</v>
      </c>
      <c r="J1639" s="19">
        <v>46218.6171199884</v>
      </c>
      <c r="K1639" s="6" t="s">
        <v>4880</v>
      </c>
      <c r="L1639" t="str">
        <f t="shared" si="25"/>
        <v>NOBREAK ATTIV 1500VA-BI 4822212|46219</v>
      </c>
    </row>
    <row r="1640" ht="13.5" customHeight="1" spans="1:12">
      <c r="A1640" s="17">
        <v>46218.617962963</v>
      </c>
      <c r="B1640" s="6" t="s">
        <v>4876</v>
      </c>
      <c r="C1640" s="6" t="s">
        <v>5889</v>
      </c>
      <c r="D1640" s="6" t="s">
        <v>4884</v>
      </c>
      <c r="E1640" s="6" t="s">
        <v>26</v>
      </c>
      <c r="F1640" s="6" t="s">
        <v>4882</v>
      </c>
      <c r="G1640" s="6" t="s">
        <v>1842</v>
      </c>
      <c r="H1640" s="6">
        <v>1</v>
      </c>
      <c r="I1640" s="18">
        <v>93.4</v>
      </c>
      <c r="J1640" s="19">
        <v>46218.6201380787</v>
      </c>
      <c r="K1640" s="6" t="s">
        <v>4880</v>
      </c>
      <c r="L1640" t="str">
        <f t="shared" si="25"/>
        <v>PULVERIZADOR LATERAL MANUAL GP500|46219</v>
      </c>
    </row>
    <row r="1641" ht="13.5" customHeight="1" spans="1:12">
      <c r="A1641" s="17">
        <v>46218.6997685185</v>
      </c>
      <c r="B1641" s="6" t="s">
        <v>4876</v>
      </c>
      <c r="C1641" s="6" t="s">
        <v>5890</v>
      </c>
      <c r="D1641" s="6" t="s">
        <v>4894</v>
      </c>
      <c r="E1641" s="6" t="s">
        <v>26</v>
      </c>
      <c r="F1641" s="6" t="s">
        <v>4882</v>
      </c>
      <c r="G1641" s="6" t="s">
        <v>4835</v>
      </c>
      <c r="H1641" s="6">
        <v>3</v>
      </c>
      <c r="I1641" s="18">
        <v>18.21</v>
      </c>
      <c r="J1641" s="19">
        <v>46218.7027377662</v>
      </c>
      <c r="K1641" s="6" t="s">
        <v>4880</v>
      </c>
      <c r="L1641" t="str">
        <f t="shared" si="25"/>
        <v>204 P.SEXT. MA 14X50 8.8|46219</v>
      </c>
    </row>
    <row r="1642" ht="13.5" customHeight="1" spans="1:12">
      <c r="A1642" s="17">
        <v>46218.6997685185</v>
      </c>
      <c r="B1642" s="6" t="s">
        <v>4876</v>
      </c>
      <c r="C1642" s="6" t="s">
        <v>5890</v>
      </c>
      <c r="D1642" s="6" t="s">
        <v>4894</v>
      </c>
      <c r="E1642" s="6" t="s">
        <v>26</v>
      </c>
      <c r="F1642" s="6" t="s">
        <v>4882</v>
      </c>
      <c r="G1642" s="6" t="s">
        <v>1940</v>
      </c>
      <c r="H1642" s="6">
        <v>10</v>
      </c>
      <c r="I1642" s="18">
        <v>21.2</v>
      </c>
      <c r="J1642" s="19">
        <v>46218.7027364931</v>
      </c>
      <c r="K1642" s="6" t="s">
        <v>4880</v>
      </c>
      <c r="L1642" t="str">
        <f t="shared" si="25"/>
        <v>PORCA A.TRAVANTE MA 14|46219</v>
      </c>
    </row>
    <row r="1643" ht="13.5" customHeight="1" spans="1:12">
      <c r="A1643" s="17">
        <v>46218.703900463</v>
      </c>
      <c r="B1643" s="6" t="s">
        <v>4876</v>
      </c>
      <c r="C1643" s="6" t="s">
        <v>5891</v>
      </c>
      <c r="D1643" s="6" t="s">
        <v>110</v>
      </c>
      <c r="E1643" s="6" t="s">
        <v>26</v>
      </c>
      <c r="F1643" s="6" t="s">
        <v>4882</v>
      </c>
      <c r="G1643" s="6" t="s">
        <v>2194</v>
      </c>
      <c r="H1643" s="6">
        <v>7</v>
      </c>
      <c r="I1643" s="18">
        <v>28</v>
      </c>
      <c r="J1643" s="19">
        <v>46218.7058091088</v>
      </c>
      <c r="K1643" s="6" t="s">
        <v>4880</v>
      </c>
      <c r="L1643" t="str">
        <f t="shared" si="25"/>
        <v>PARAFUSO 14X45 - R.GROSSA|46219</v>
      </c>
    </row>
    <row r="1644" ht="13.5" customHeight="1" spans="1:12">
      <c r="A1644" s="17">
        <v>46218.7065162037</v>
      </c>
      <c r="B1644" s="6" t="s">
        <v>4876</v>
      </c>
      <c r="C1644" s="6" t="s">
        <v>5892</v>
      </c>
      <c r="D1644" s="6" t="s">
        <v>5009</v>
      </c>
      <c r="E1644" s="6" t="s">
        <v>26</v>
      </c>
      <c r="F1644" s="6" t="s">
        <v>4882</v>
      </c>
      <c r="G1644" s="6" t="s">
        <v>571</v>
      </c>
      <c r="H1644" s="6">
        <v>1</v>
      </c>
      <c r="I1644" s="18">
        <v>168.3</v>
      </c>
      <c r="J1644" s="19">
        <v>46218.7089743056</v>
      </c>
      <c r="K1644" s="6" t="s">
        <v>4880</v>
      </c>
      <c r="L1644" t="str">
        <f t="shared" si="25"/>
        <v>2402 CHAPA INOX PERF.2,50 MM X 610 MM X 1 M|46219</v>
      </c>
    </row>
    <row r="1645" ht="13.5" customHeight="1" spans="1:12">
      <c r="A1645" s="17">
        <v>46218.7133101852</v>
      </c>
      <c r="B1645" s="6" t="s">
        <v>4876</v>
      </c>
      <c r="C1645" s="6" t="s">
        <v>5893</v>
      </c>
      <c r="D1645" s="6" t="s">
        <v>4954</v>
      </c>
      <c r="E1645" s="6" t="s">
        <v>26</v>
      </c>
      <c r="F1645" s="6" t="s">
        <v>4882</v>
      </c>
      <c r="G1645" s="6" t="s">
        <v>504</v>
      </c>
      <c r="H1645" s="6">
        <v>3</v>
      </c>
      <c r="I1645" s="18">
        <v>297</v>
      </c>
      <c r="J1645" s="19">
        <v>46218.7153300579</v>
      </c>
      <c r="K1645" s="6" t="s">
        <v>4880</v>
      </c>
      <c r="L1645" t="str">
        <f t="shared" si="25"/>
        <v>007254 LANTERNA ILUM. INTERNA-BAU REFRIGERADO|46219</v>
      </c>
    </row>
    <row r="1646" ht="13.5" customHeight="1" spans="1:12">
      <c r="A1646" s="17">
        <v>46218.7133101852</v>
      </c>
      <c r="B1646" s="6" t="s">
        <v>4876</v>
      </c>
      <c r="C1646" s="6" t="s">
        <v>5893</v>
      </c>
      <c r="D1646" s="6" t="s">
        <v>4954</v>
      </c>
      <c r="E1646" s="6" t="s">
        <v>26</v>
      </c>
      <c r="F1646" s="6" t="s">
        <v>4882</v>
      </c>
      <c r="G1646" s="6" t="s">
        <v>196</v>
      </c>
      <c r="H1646" s="6">
        <v>18</v>
      </c>
      <c r="I1646" s="18">
        <v>828</v>
      </c>
      <c r="J1646" s="19">
        <v>46218.7153291667</v>
      </c>
      <c r="K1646" s="6" t="s">
        <v>4880</v>
      </c>
      <c r="L1646" t="str">
        <f t="shared" si="25"/>
        <v>ANTI-FERRUGEM WD-40 300ML|46219</v>
      </c>
    </row>
    <row r="1647" ht="13.5" customHeight="1" spans="1:12">
      <c r="A1647" s="17">
        <v>46218.7226851852</v>
      </c>
      <c r="B1647" s="6" t="s">
        <v>4876</v>
      </c>
      <c r="C1647" s="6" t="s">
        <v>5894</v>
      </c>
      <c r="D1647" s="6" t="s">
        <v>5895</v>
      </c>
      <c r="E1647" s="6" t="s">
        <v>26</v>
      </c>
      <c r="F1647" s="6" t="s">
        <v>4882</v>
      </c>
      <c r="G1647" s="6" t="s">
        <v>4855</v>
      </c>
      <c r="H1647" s="6">
        <v>2</v>
      </c>
      <c r="I1647" s="18">
        <v>240</v>
      </c>
      <c r="J1647" s="19">
        <v>46218.7257898495</v>
      </c>
      <c r="K1647" s="6" t="s">
        <v>4880</v>
      </c>
      <c r="L1647" t="str">
        <f t="shared" si="25"/>
        <v>01 GALÃO 200ML|46219</v>
      </c>
    </row>
    <row r="1648" ht="13.5" customHeight="1" spans="1:12">
      <c r="A1648" s="17">
        <v>46219.3555555556</v>
      </c>
      <c r="B1648" s="6" t="s">
        <v>4876</v>
      </c>
      <c r="C1648" s="6" t="s">
        <v>5896</v>
      </c>
      <c r="D1648" s="6" t="s">
        <v>5175</v>
      </c>
      <c r="E1648" s="6" t="s">
        <v>35</v>
      </c>
      <c r="F1648" s="6" t="s">
        <v>4879</v>
      </c>
      <c r="G1648" s="6" t="s">
        <v>49</v>
      </c>
      <c r="H1648" s="6">
        <v>2</v>
      </c>
      <c r="I1648" s="18">
        <v>1050</v>
      </c>
      <c r="J1648" s="19">
        <v>46227.3666417824</v>
      </c>
      <c r="K1648" s="6" t="s">
        <v>4880</v>
      </c>
      <c r="L1648" t="str">
        <f t="shared" si="25"/>
        <v>FILTRO DE COMBUSTIVEL OMD2PO127177|46219</v>
      </c>
    </row>
    <row r="1649" ht="13.5" customHeight="1" spans="1:12">
      <c r="A1649" s="17">
        <v>46219.3555555556</v>
      </c>
      <c r="B1649" s="6" t="s">
        <v>4876</v>
      </c>
      <c r="C1649" s="6" t="s">
        <v>5896</v>
      </c>
      <c r="D1649" s="6" t="s">
        <v>5175</v>
      </c>
      <c r="E1649" s="6" t="s">
        <v>35</v>
      </c>
      <c r="F1649" s="6" t="s">
        <v>4879</v>
      </c>
      <c r="G1649" s="6" t="s">
        <v>838</v>
      </c>
      <c r="H1649" s="6">
        <v>2</v>
      </c>
      <c r="I1649" s="18">
        <v>280</v>
      </c>
      <c r="J1649" s="19">
        <v>46227.3666410532</v>
      </c>
      <c r="K1649" s="6" t="s">
        <v>4880</v>
      </c>
      <c r="L1649" t="str">
        <f t="shared" si="25"/>
        <v>ELEMENTO FILTRANTE / FILTRO DO COMBUSTIVEL 2V3127177B METEOR VW|46219</v>
      </c>
    </row>
    <row r="1650" ht="13.5" customHeight="1" spans="1:12">
      <c r="A1650" s="17">
        <v>46219.3555555556</v>
      </c>
      <c r="B1650" s="6" t="s">
        <v>4876</v>
      </c>
      <c r="C1650" s="6" t="s">
        <v>5896</v>
      </c>
      <c r="D1650" s="6" t="s">
        <v>5175</v>
      </c>
      <c r="E1650" s="6" t="s">
        <v>35</v>
      </c>
      <c r="F1650" s="6" t="s">
        <v>4879</v>
      </c>
      <c r="G1650" s="6" t="s">
        <v>156</v>
      </c>
      <c r="H1650" s="6">
        <v>2</v>
      </c>
      <c r="I1650" s="18">
        <v>350</v>
      </c>
      <c r="J1650" s="19">
        <v>46227.3666395833</v>
      </c>
      <c r="K1650" s="6" t="s">
        <v>4880</v>
      </c>
      <c r="L1650" t="str">
        <f t="shared" si="25"/>
        <v>FILTRO LUBRIFICANTE OMD 2R0115403|46219</v>
      </c>
    </row>
    <row r="1651" ht="13.5" customHeight="1" spans="1:12">
      <c r="A1651" s="17">
        <v>46219.3743055556</v>
      </c>
      <c r="B1651" s="6" t="s">
        <v>4876</v>
      </c>
      <c r="C1651" s="6" t="s">
        <v>5897</v>
      </c>
      <c r="D1651" s="6" t="s">
        <v>5175</v>
      </c>
      <c r="E1651" s="6" t="s">
        <v>35</v>
      </c>
      <c r="F1651" s="6" t="s">
        <v>4879</v>
      </c>
      <c r="G1651" s="6" t="s">
        <v>905</v>
      </c>
      <c r="H1651" s="6">
        <v>2</v>
      </c>
      <c r="I1651" s="18">
        <v>460</v>
      </c>
      <c r="J1651" s="19">
        <v>46227.3758909375</v>
      </c>
      <c r="K1651" s="6" t="s">
        <v>4880</v>
      </c>
      <c r="L1651" t="str">
        <f t="shared" si="25"/>
        <v>CHICOTE 2P0/971079/F|46219</v>
      </c>
    </row>
    <row r="1652" ht="13.5" customHeight="1" spans="1:12">
      <c r="A1652" s="17">
        <v>46219.5635648148</v>
      </c>
      <c r="B1652" s="6" t="s">
        <v>4876</v>
      </c>
      <c r="C1652" s="6" t="s">
        <v>5898</v>
      </c>
      <c r="D1652" s="6" t="s">
        <v>4990</v>
      </c>
      <c r="E1652" s="6" t="s">
        <v>26</v>
      </c>
      <c r="F1652" s="6" t="s">
        <v>4882</v>
      </c>
      <c r="G1652" s="6" t="s">
        <v>3818</v>
      </c>
      <c r="H1652" s="6">
        <v>4</v>
      </c>
      <c r="I1652" s="18">
        <v>40</v>
      </c>
      <c r="J1652" s="19">
        <v>46219.5655101852</v>
      </c>
      <c r="K1652" s="6" t="s">
        <v>4880</v>
      </c>
      <c r="L1652" t="str">
        <f t="shared" si="25"/>
        <v>CHAVE MICRO SWITCH NORMAL 16A |46220</v>
      </c>
    </row>
    <row r="1653" ht="13.5" customHeight="1" spans="1:12">
      <c r="A1653" s="17">
        <v>46219.5665162037</v>
      </c>
      <c r="B1653" s="6" t="s">
        <v>4876</v>
      </c>
      <c r="C1653" s="6" t="s">
        <v>5899</v>
      </c>
      <c r="D1653" s="6" t="s">
        <v>4884</v>
      </c>
      <c r="E1653" s="6" t="s">
        <v>26</v>
      </c>
      <c r="F1653" s="6" t="s">
        <v>4882</v>
      </c>
      <c r="G1653" s="6" t="s">
        <v>4843</v>
      </c>
      <c r="H1653" s="6">
        <v>3</v>
      </c>
      <c r="I1653" s="18">
        <v>46.8</v>
      </c>
      <c r="J1653" s="19">
        <v>46219.5883662384</v>
      </c>
      <c r="K1653" s="6" t="s">
        <v>4880</v>
      </c>
      <c r="L1653" t="str">
        <f t="shared" si="25"/>
        <v>055213 GRAFITE SPARY 250ML/ 110GR CHEMICOLOR|46220</v>
      </c>
    </row>
    <row r="1654" ht="13.5" customHeight="1" spans="1:12">
      <c r="A1654" s="17">
        <v>46219.5665162037</v>
      </c>
      <c r="B1654" s="6" t="s">
        <v>4876</v>
      </c>
      <c r="C1654" s="6" t="s">
        <v>5899</v>
      </c>
      <c r="D1654" s="6" t="s">
        <v>4884</v>
      </c>
      <c r="E1654" s="6" t="s">
        <v>26</v>
      </c>
      <c r="F1654" s="6" t="s">
        <v>4882</v>
      </c>
      <c r="G1654" s="6" t="s">
        <v>4851</v>
      </c>
      <c r="H1654" s="6">
        <v>10</v>
      </c>
      <c r="I1654" s="18">
        <v>107.2</v>
      </c>
      <c r="J1654" s="19">
        <v>46219.588366088</v>
      </c>
      <c r="K1654" s="6" t="s">
        <v>4880</v>
      </c>
      <c r="L1654" t="str">
        <f t="shared" si="25"/>
        <v>019522 FAME BLANC 1335 TOM PAD 2PT 10A SB|46220</v>
      </c>
    </row>
    <row r="1655" ht="13.5" customHeight="1" spans="1:12">
      <c r="A1655" s="17">
        <v>46219.5665162037</v>
      </c>
      <c r="B1655" s="6" t="s">
        <v>4876</v>
      </c>
      <c r="C1655" s="6" t="s">
        <v>5899</v>
      </c>
      <c r="D1655" s="6" t="s">
        <v>4884</v>
      </c>
      <c r="E1655" s="6" t="s">
        <v>26</v>
      </c>
      <c r="F1655" s="6" t="s">
        <v>4882</v>
      </c>
      <c r="G1655" s="6" t="s">
        <v>4852</v>
      </c>
      <c r="H1655" s="6">
        <v>5</v>
      </c>
      <c r="I1655" s="18">
        <v>43.05</v>
      </c>
      <c r="J1655" s="19">
        <v>46219.588365544</v>
      </c>
      <c r="K1655" s="6" t="s">
        <v>4880</v>
      </c>
      <c r="L1655" t="str">
        <f t="shared" si="25"/>
        <v>015013 FAME LE 1419 PLUG MACHO 2P 180 10A CZ|46220</v>
      </c>
    </row>
    <row r="1656" ht="13.5" customHeight="1" spans="1:12">
      <c r="A1656" s="17">
        <v>46219.5665162037</v>
      </c>
      <c r="B1656" s="6" t="s">
        <v>4876</v>
      </c>
      <c r="C1656" s="6" t="s">
        <v>5899</v>
      </c>
      <c r="D1656" s="6" t="s">
        <v>4884</v>
      </c>
      <c r="E1656" s="6" t="s">
        <v>26</v>
      </c>
      <c r="F1656" s="6" t="s">
        <v>4882</v>
      </c>
      <c r="G1656" s="6" t="s">
        <v>4859</v>
      </c>
      <c r="H1656" s="6">
        <v>5</v>
      </c>
      <c r="I1656" s="18">
        <v>59.3</v>
      </c>
      <c r="J1656" s="19">
        <v>46219.5883648148</v>
      </c>
      <c r="K1656" s="6" t="s">
        <v>4880</v>
      </c>
      <c r="L1656" t="str">
        <f t="shared" si="25"/>
        <v>005470 FAME 1481 PLUG MACHO 3P 90 10A CZ|46220</v>
      </c>
    </row>
    <row r="1657" ht="13.5" customHeight="1" spans="1:12">
      <c r="A1657" s="17">
        <v>46220.5821180556</v>
      </c>
      <c r="B1657" s="6" t="s">
        <v>4876</v>
      </c>
      <c r="C1657" s="6" t="s">
        <v>5900</v>
      </c>
      <c r="D1657" s="6" t="s">
        <v>4982</v>
      </c>
      <c r="E1657" s="6" t="s">
        <v>26</v>
      </c>
      <c r="F1657" s="6" t="s">
        <v>4882</v>
      </c>
      <c r="G1657" s="6" t="s">
        <v>549</v>
      </c>
      <c r="H1657" s="6">
        <v>8</v>
      </c>
      <c r="I1657" s="18">
        <v>190</v>
      </c>
      <c r="J1657" s="19">
        <v>46220.5834614236</v>
      </c>
      <c r="K1657" s="6" t="s">
        <v>4880</v>
      </c>
      <c r="L1657" t="str">
        <f t="shared" si="25"/>
        <v>FITILHO PEMBALAR|46221</v>
      </c>
    </row>
    <row r="1658" ht="13.5" customHeight="1" spans="1:12">
      <c r="A1658" s="17">
        <v>46220.5863541667</v>
      </c>
      <c r="B1658" s="6" t="s">
        <v>4876</v>
      </c>
      <c r="C1658" s="6" t="s">
        <v>5901</v>
      </c>
      <c r="D1658" s="6" t="s">
        <v>110</v>
      </c>
      <c r="E1658" s="6" t="s">
        <v>26</v>
      </c>
      <c r="F1658" s="6" t="s">
        <v>4882</v>
      </c>
      <c r="G1658" s="6" t="s">
        <v>2969</v>
      </c>
      <c r="H1658" s="6">
        <v>1</v>
      </c>
      <c r="I1658" s="18">
        <v>620</v>
      </c>
      <c r="J1658" s="19">
        <v>46220.5977540857</v>
      </c>
      <c r="K1658" s="6" t="s">
        <v>4880</v>
      </c>
      <c r="L1658" t="str">
        <f t="shared" si="25"/>
        <v>GALÃO 20LTS MOBIL 15W40|46221</v>
      </c>
    </row>
    <row r="1659" ht="13.5" customHeight="1" spans="1:12">
      <c r="A1659" s="17">
        <v>46220.5863541667</v>
      </c>
      <c r="B1659" s="6" t="s">
        <v>4876</v>
      </c>
      <c r="C1659" s="6" t="s">
        <v>5901</v>
      </c>
      <c r="D1659" s="6" t="s">
        <v>110</v>
      </c>
      <c r="E1659" s="6" t="s">
        <v>26</v>
      </c>
      <c r="F1659" s="6" t="s">
        <v>4882</v>
      </c>
      <c r="G1659" s="6" t="s">
        <v>447</v>
      </c>
      <c r="H1659" s="6">
        <v>20</v>
      </c>
      <c r="I1659" s="18">
        <v>100</v>
      </c>
      <c r="J1659" s="19">
        <v>46220.5977524306</v>
      </c>
      <c r="K1659" s="6" t="s">
        <v>4880</v>
      </c>
      <c r="L1659" t="str">
        <f t="shared" si="25"/>
        <v>LAMPADA 1141 24V|46221</v>
      </c>
    </row>
    <row r="1660" ht="13.5" customHeight="1" spans="1:12">
      <c r="A1660" s="17">
        <v>46220.5863541667</v>
      </c>
      <c r="B1660" s="6" t="s">
        <v>4876</v>
      </c>
      <c r="C1660" s="6" t="s">
        <v>5901</v>
      </c>
      <c r="D1660" s="6" t="s">
        <v>110</v>
      </c>
      <c r="E1660" s="6" t="s">
        <v>26</v>
      </c>
      <c r="F1660" s="6" t="s">
        <v>4882</v>
      </c>
      <c r="G1660" s="6" t="s">
        <v>63</v>
      </c>
      <c r="H1660" s="6">
        <v>4</v>
      </c>
      <c r="I1660" s="18">
        <v>112</v>
      </c>
      <c r="J1660" s="19">
        <v>46220.5977522801</v>
      </c>
      <c r="K1660" s="6" t="s">
        <v>4880</v>
      </c>
      <c r="L1660" t="str">
        <f t="shared" si="25"/>
        <v>LANTERNA LATERAL BAU S/ SUPORTE|46221</v>
      </c>
    </row>
    <row r="1661" ht="13.5" customHeight="1" spans="1:12">
      <c r="A1661" s="17">
        <v>46220.5863541667</v>
      </c>
      <c r="B1661" s="6" t="s">
        <v>4876</v>
      </c>
      <c r="C1661" s="6" t="s">
        <v>5901</v>
      </c>
      <c r="D1661" s="6" t="s">
        <v>110</v>
      </c>
      <c r="E1661" s="6" t="s">
        <v>26</v>
      </c>
      <c r="F1661" s="6" t="s">
        <v>4882</v>
      </c>
      <c r="G1661" s="6" t="s">
        <v>3653</v>
      </c>
      <c r="H1661" s="6">
        <v>6</v>
      </c>
      <c r="I1661" s="18">
        <v>78</v>
      </c>
      <c r="J1661" s="19">
        <v>46220.5977515394</v>
      </c>
      <c r="K1661" s="6" t="s">
        <v>4880</v>
      </c>
      <c r="L1661" t="str">
        <f t="shared" si="25"/>
        <v>CONECTOR SELADO LANTERNA LATERAL BAU|46221</v>
      </c>
    </row>
    <row r="1662" ht="13.5" customHeight="1" spans="1:12">
      <c r="A1662" s="17">
        <v>46220.5863541667</v>
      </c>
      <c r="B1662" s="6" t="s">
        <v>4876</v>
      </c>
      <c r="C1662" s="6" t="s">
        <v>5901</v>
      </c>
      <c r="D1662" s="6" t="s">
        <v>110</v>
      </c>
      <c r="E1662" s="6" t="s">
        <v>26</v>
      </c>
      <c r="F1662" s="6" t="s">
        <v>4882</v>
      </c>
      <c r="G1662" s="6" t="s">
        <v>325</v>
      </c>
      <c r="H1662" s="6">
        <v>6</v>
      </c>
      <c r="I1662" s="18">
        <v>168</v>
      </c>
      <c r="J1662" s="19">
        <v>46220.5977479167</v>
      </c>
      <c r="K1662" s="6" t="s">
        <v>4880</v>
      </c>
      <c r="L1662" t="str">
        <f t="shared" si="25"/>
        <v>LANTERNA LATERAL BAU C/SUPORTE AMARELA/LARANJA|46221</v>
      </c>
    </row>
    <row r="1663" ht="13.5" customHeight="1" spans="1:12">
      <c r="A1663" s="17">
        <v>46220.598275463</v>
      </c>
      <c r="B1663" s="6" t="s">
        <v>4876</v>
      </c>
      <c r="C1663" s="6" t="s">
        <v>5902</v>
      </c>
      <c r="D1663" s="6" t="s">
        <v>4971</v>
      </c>
      <c r="E1663" s="6" t="s">
        <v>26</v>
      </c>
      <c r="F1663" s="6" t="s">
        <v>4882</v>
      </c>
      <c r="G1663" s="6" t="s">
        <v>1440</v>
      </c>
      <c r="H1663" s="6">
        <v>7</v>
      </c>
      <c r="I1663" s="18">
        <v>468.58</v>
      </c>
      <c r="J1663" s="19">
        <v>46220.5996306366</v>
      </c>
      <c r="K1663" s="6" t="s">
        <v>4880</v>
      </c>
      <c r="L1663" t="str">
        <f t="shared" si="25"/>
        <v>SIKA FLEX 300ML BRANCO|46221</v>
      </c>
    </row>
    <row r="1664" ht="13.5" customHeight="1" spans="1:12">
      <c r="A1664" s="17">
        <v>46220.6344791667</v>
      </c>
      <c r="B1664" s="6" t="s">
        <v>4876</v>
      </c>
      <c r="C1664" s="6" t="s">
        <v>5903</v>
      </c>
      <c r="D1664" s="6" t="s">
        <v>4954</v>
      </c>
      <c r="E1664" s="6" t="s">
        <v>26</v>
      </c>
      <c r="F1664" s="6" t="s">
        <v>4882</v>
      </c>
      <c r="G1664" s="6" t="s">
        <v>411</v>
      </c>
      <c r="H1664" s="6">
        <v>10</v>
      </c>
      <c r="I1664" s="18">
        <v>98</v>
      </c>
      <c r="J1664" s="19">
        <v>46220.635369294</v>
      </c>
      <c r="K1664" s="6" t="s">
        <v>4880</v>
      </c>
      <c r="L1664" t="str">
        <f t="shared" si="25"/>
        <v>REPARO CONEXAO ENCAIXE 22MM ( REPARO DE CUICA)|46221</v>
      </c>
    </row>
    <row r="1665" ht="13.5" customHeight="1" spans="1:12">
      <c r="A1665" s="17">
        <v>46220.8146180556</v>
      </c>
      <c r="B1665" s="6" t="s">
        <v>4876</v>
      </c>
      <c r="C1665" s="6" t="s">
        <v>5904</v>
      </c>
      <c r="D1665" s="6" t="s">
        <v>5180</v>
      </c>
      <c r="E1665" s="6" t="s">
        <v>35</v>
      </c>
      <c r="F1665" s="6" t="s">
        <v>4879</v>
      </c>
      <c r="G1665" s="6" t="s">
        <v>3643</v>
      </c>
      <c r="H1665" s="6">
        <v>3</v>
      </c>
      <c r="I1665" s="18">
        <v>750</v>
      </c>
      <c r="J1665" s="19">
        <v>46220.823476007</v>
      </c>
      <c r="K1665" s="6" t="s">
        <v>4880</v>
      </c>
      <c r="L1665" t="str">
        <f t="shared" si="25"/>
        <v>CONJUNTO COMPLETO DE ESCOVAS 4PÇS|46221</v>
      </c>
    </row>
    <row r="1666" ht="13.5" customHeight="1" spans="1:12">
      <c r="A1666" s="17">
        <v>46223.7322800926</v>
      </c>
      <c r="B1666" s="6" t="s">
        <v>4876</v>
      </c>
      <c r="C1666" s="6" t="s">
        <v>5905</v>
      </c>
      <c r="D1666" s="6" t="s">
        <v>110</v>
      </c>
      <c r="E1666" s="6" t="s">
        <v>26</v>
      </c>
      <c r="F1666" s="6" t="s">
        <v>4882</v>
      </c>
      <c r="G1666" s="6" t="s">
        <v>2496</v>
      </c>
      <c r="H1666" s="6">
        <v>1</v>
      </c>
      <c r="I1666" s="18">
        <v>180</v>
      </c>
      <c r="J1666" s="19">
        <v>46223.7344169329</v>
      </c>
      <c r="K1666" s="6" t="s">
        <v>4880</v>
      </c>
      <c r="L1666" t="str">
        <f t="shared" ref="L1666:L1729" si="26">IF(G1666="","",G1666&amp;"|"&amp;TEXT(A1666,"0"))</f>
        <v>MAQ VIDRO ELETRC ESQ VW. DELIVERY|46224</v>
      </c>
    </row>
    <row r="1667" ht="13.5" customHeight="1" spans="1:12">
      <c r="A1667" s="17">
        <v>46223.7346990741</v>
      </c>
      <c r="B1667" s="6" t="s">
        <v>4876</v>
      </c>
      <c r="C1667" s="6" t="s">
        <v>5906</v>
      </c>
      <c r="D1667" s="6" t="s">
        <v>4919</v>
      </c>
      <c r="E1667" s="6" t="s">
        <v>26</v>
      </c>
      <c r="F1667" s="6" t="s">
        <v>4882</v>
      </c>
      <c r="G1667" s="6" t="s">
        <v>3714</v>
      </c>
      <c r="H1667" s="6">
        <v>6</v>
      </c>
      <c r="I1667" s="18">
        <v>249.12</v>
      </c>
      <c r="J1667" s="19">
        <v>46223.7363638889</v>
      </c>
      <c r="K1667" s="6" t="s">
        <v>4880</v>
      </c>
      <c r="L1667" t="str">
        <f t="shared" si="26"/>
        <v>COLORGIN ALTA TEMPERATURA PRETO|46224</v>
      </c>
    </row>
    <row r="1668" ht="13.5" customHeight="1" spans="1:12">
      <c r="A1668" s="17">
        <v>46223.7365972222</v>
      </c>
      <c r="B1668" s="6" t="s">
        <v>4876</v>
      </c>
      <c r="C1668" s="6" t="s">
        <v>5907</v>
      </c>
      <c r="D1668" s="6" t="s">
        <v>4971</v>
      </c>
      <c r="E1668" s="6" t="s">
        <v>26</v>
      </c>
      <c r="F1668" s="6" t="s">
        <v>4882</v>
      </c>
      <c r="G1668" s="6" t="s">
        <v>4595</v>
      </c>
      <c r="H1668" s="6">
        <v>1</v>
      </c>
      <c r="I1668" s="18">
        <v>30</v>
      </c>
      <c r="J1668" s="19">
        <v>46223.7379112269</v>
      </c>
      <c r="K1668" s="6" t="s">
        <v>4880</v>
      </c>
      <c r="L1668" t="str">
        <f t="shared" si="26"/>
        <v>ARAME RECOZIDO 18 1KL- 124MM|46224</v>
      </c>
    </row>
    <row r="1669" ht="13.5" customHeight="1" spans="1:12">
      <c r="A1669" s="17">
        <v>46223.7379282407</v>
      </c>
      <c r="B1669" s="6" t="s">
        <v>4876</v>
      </c>
      <c r="C1669" s="6" t="s">
        <v>5908</v>
      </c>
      <c r="D1669" s="6" t="s">
        <v>5236</v>
      </c>
      <c r="E1669" s="6" t="s">
        <v>390</v>
      </c>
      <c r="F1669" s="6" t="s">
        <v>4879</v>
      </c>
      <c r="G1669" s="6" t="s">
        <v>3497</v>
      </c>
      <c r="H1669" s="6">
        <v>30</v>
      </c>
      <c r="I1669" s="18">
        <v>1491</v>
      </c>
      <c r="J1669" s="19">
        <v>46223.7429590278</v>
      </c>
      <c r="K1669" s="6" t="s">
        <v>4880</v>
      </c>
      <c r="L1669" t="str">
        <f t="shared" si="26"/>
        <v>CX CV 25KG FUNDO|46224</v>
      </c>
    </row>
    <row r="1670" ht="13.5" customHeight="1" spans="1:12">
      <c r="A1670" s="17">
        <v>46223.7379282407</v>
      </c>
      <c r="B1670" s="6" t="s">
        <v>4876</v>
      </c>
      <c r="C1670" s="6" t="s">
        <v>5908</v>
      </c>
      <c r="D1670" s="6" t="s">
        <v>5236</v>
      </c>
      <c r="E1670" s="6" t="s">
        <v>390</v>
      </c>
      <c r="F1670" s="6" t="s">
        <v>4879</v>
      </c>
      <c r="G1670" s="6" t="s">
        <v>3498</v>
      </c>
      <c r="H1670" s="6">
        <v>31</v>
      </c>
      <c r="I1670" s="18">
        <v>1220.16</v>
      </c>
      <c r="J1670" s="19">
        <v>46223.7429588773</v>
      </c>
      <c r="K1670" s="6" t="s">
        <v>4880</v>
      </c>
      <c r="L1670" t="str">
        <f t="shared" si="26"/>
        <v>CX CV 15KG TAMPA|46224</v>
      </c>
    </row>
    <row r="1671" ht="13.5" customHeight="1" spans="1:12">
      <c r="A1671" s="17">
        <v>46223.7379282407</v>
      </c>
      <c r="B1671" s="6" t="s">
        <v>4876</v>
      </c>
      <c r="C1671" s="6" t="s">
        <v>5908</v>
      </c>
      <c r="D1671" s="6" t="s">
        <v>5236</v>
      </c>
      <c r="E1671" s="6" t="s">
        <v>390</v>
      </c>
      <c r="F1671" s="6" t="s">
        <v>4879</v>
      </c>
      <c r="G1671" s="6" t="s">
        <v>3499</v>
      </c>
      <c r="H1671" s="6">
        <v>31</v>
      </c>
      <c r="I1671" s="18">
        <v>1265.73</v>
      </c>
      <c r="J1671" s="19">
        <v>46223.7429582986</v>
      </c>
      <c r="K1671" s="6" t="s">
        <v>4880</v>
      </c>
      <c r="L1671" t="str">
        <f t="shared" si="26"/>
        <v>CX CV 15KG FUNDO|46224</v>
      </c>
    </row>
    <row r="1672" ht="13.5" customHeight="1" spans="1:12">
      <c r="A1672" s="17">
        <v>46224.4309953704</v>
      </c>
      <c r="B1672" s="6" t="s">
        <v>4876</v>
      </c>
      <c r="C1672" s="6" t="s">
        <v>5909</v>
      </c>
      <c r="D1672" s="6" t="s">
        <v>5132</v>
      </c>
      <c r="E1672" s="6" t="s">
        <v>26</v>
      </c>
      <c r="F1672" s="6" t="s">
        <v>4882</v>
      </c>
      <c r="G1672" s="6" t="s">
        <v>489</v>
      </c>
      <c r="H1672" s="6">
        <v>2</v>
      </c>
      <c r="I1672" s="18">
        <v>900</v>
      </c>
      <c r="J1672" s="19">
        <v>46224.4327257755</v>
      </c>
      <c r="K1672" s="6" t="s">
        <v>4880</v>
      </c>
      <c r="L1672" t="str">
        <f t="shared" si="26"/>
        <v>MOTOR CX CAMINHAO VW DELIVERY 24V (IMP)|46224</v>
      </c>
    </row>
    <row r="1673" ht="13.5" customHeight="1" spans="1:12">
      <c r="A1673" s="17">
        <v>46224.5932060185</v>
      </c>
      <c r="B1673" s="6" t="s">
        <v>4876</v>
      </c>
      <c r="C1673" s="6" t="s">
        <v>5910</v>
      </c>
      <c r="D1673" s="6" t="s">
        <v>110</v>
      </c>
      <c r="E1673" s="6" t="s">
        <v>26</v>
      </c>
      <c r="F1673" s="6" t="s">
        <v>4882</v>
      </c>
      <c r="G1673" s="6" t="s">
        <v>161</v>
      </c>
      <c r="H1673" s="6">
        <v>6</v>
      </c>
      <c r="I1673" s="18">
        <v>174</v>
      </c>
      <c r="J1673" s="19">
        <v>46224.5939925579</v>
      </c>
      <c r="K1673" s="6" t="s">
        <v>4880</v>
      </c>
      <c r="L1673" t="str">
        <f t="shared" si="26"/>
        <v>MACANETA INTERNA DIREITA ACCELO|46225</v>
      </c>
    </row>
    <row r="1674" ht="13.5" customHeight="1" spans="1:12">
      <c r="A1674" s="17">
        <v>46224.5971412037</v>
      </c>
      <c r="B1674" s="6" t="s">
        <v>4876</v>
      </c>
      <c r="C1674" s="6" t="s">
        <v>5911</v>
      </c>
      <c r="D1674" s="6" t="s">
        <v>4884</v>
      </c>
      <c r="E1674" s="6" t="s">
        <v>26</v>
      </c>
      <c r="F1674" s="6" t="s">
        <v>4882</v>
      </c>
      <c r="G1674" s="6" t="s">
        <v>2700</v>
      </c>
      <c r="H1674" s="6">
        <v>20</v>
      </c>
      <c r="I1674" s="18">
        <v>217</v>
      </c>
      <c r="J1674" s="19">
        <v>46224.5980392014</v>
      </c>
      <c r="K1674" s="6" t="s">
        <v>4880</v>
      </c>
      <c r="L1674" t="str">
        <f t="shared" si="26"/>
        <v>LAMPADA SUPERLED ALTA POTENCIA T20W BIV 6500K |46225</v>
      </c>
    </row>
    <row r="1675" ht="13.5" customHeight="1" spans="1:12">
      <c r="A1675" s="17">
        <v>46224.6981828704</v>
      </c>
      <c r="B1675" s="6" t="s">
        <v>4876</v>
      </c>
      <c r="C1675" s="6" t="s">
        <v>5912</v>
      </c>
      <c r="D1675" s="6" t="s">
        <v>5913</v>
      </c>
      <c r="E1675" s="6" t="s">
        <v>26</v>
      </c>
      <c r="F1675" s="6" t="s">
        <v>4882</v>
      </c>
      <c r="G1675" s="6" t="s">
        <v>261</v>
      </c>
      <c r="H1675" s="6">
        <v>6</v>
      </c>
      <c r="I1675" s="18">
        <v>89.88</v>
      </c>
      <c r="J1675" s="19">
        <v>46224.701578125</v>
      </c>
      <c r="K1675" s="6" t="s">
        <v>4880</v>
      </c>
      <c r="L1675" t="str">
        <f t="shared" si="26"/>
        <v>INSETICIDA/SBP 360ML|46225</v>
      </c>
    </row>
    <row r="1676" ht="13.5" customHeight="1" spans="1:12">
      <c r="A1676" s="17">
        <v>46224.6981828704</v>
      </c>
      <c r="B1676" s="6" t="s">
        <v>4876</v>
      </c>
      <c r="C1676" s="6" t="s">
        <v>5912</v>
      </c>
      <c r="D1676" s="6" t="s">
        <v>5913</v>
      </c>
      <c r="E1676" s="6" t="s">
        <v>26</v>
      </c>
      <c r="F1676" s="6" t="s">
        <v>4882</v>
      </c>
      <c r="G1676" s="6" t="s">
        <v>683</v>
      </c>
      <c r="H1676" s="6">
        <v>6</v>
      </c>
      <c r="I1676" s="18">
        <v>107.4</v>
      </c>
      <c r="J1676" s="19">
        <v>46224.7015645833</v>
      </c>
      <c r="K1676" s="6" t="s">
        <v>4880</v>
      </c>
      <c r="L1676" t="str">
        <f t="shared" si="26"/>
        <v>00073252 DESOD.BOM AR AERO 1X360ML|46225</v>
      </c>
    </row>
    <row r="1677" ht="13.5" customHeight="1" spans="1:12">
      <c r="A1677" s="17">
        <v>46224.7244097222</v>
      </c>
      <c r="B1677" s="6" t="s">
        <v>4876</v>
      </c>
      <c r="C1677" s="6" t="s">
        <v>5914</v>
      </c>
      <c r="D1677" s="6" t="s">
        <v>5915</v>
      </c>
      <c r="E1677" s="6" t="s">
        <v>26</v>
      </c>
      <c r="F1677" s="6" t="s">
        <v>4882</v>
      </c>
      <c r="G1677" s="6" t="s">
        <v>490</v>
      </c>
      <c r="H1677" s="6">
        <v>3</v>
      </c>
      <c r="I1677" s="18">
        <v>447</v>
      </c>
      <c r="J1677" s="19">
        <v>46224.7273824884</v>
      </c>
      <c r="K1677" s="6" t="s">
        <v>4880</v>
      </c>
      <c r="L1677" t="str">
        <f t="shared" si="26"/>
        <v>6954764401 ENCANAMENTO ADITIVO ARLA 32-MB-ACCELO|46225</v>
      </c>
    </row>
    <row r="1678" ht="13.5" customHeight="1" spans="1:12">
      <c r="A1678" s="17">
        <v>46225.3666666667</v>
      </c>
      <c r="B1678" s="6" t="s">
        <v>4876</v>
      </c>
      <c r="C1678" s="6" t="s">
        <v>5916</v>
      </c>
      <c r="D1678" s="6" t="s">
        <v>5175</v>
      </c>
      <c r="E1678" s="6" t="s">
        <v>35</v>
      </c>
      <c r="F1678" s="6" t="s">
        <v>4879</v>
      </c>
      <c r="G1678" s="6" t="s">
        <v>4819</v>
      </c>
      <c r="H1678" s="6">
        <v>1</v>
      </c>
      <c r="I1678" s="18">
        <v>800</v>
      </c>
      <c r="J1678" s="19">
        <v>46227.3733974537</v>
      </c>
      <c r="K1678" s="6" t="s">
        <v>4880</v>
      </c>
      <c r="L1678" t="str">
        <f t="shared" si="26"/>
        <v>2v3/ 907171A/COVERSOR |46225</v>
      </c>
    </row>
    <row r="1679" ht="13.5" customHeight="1" spans="1:12">
      <c r="A1679" s="17">
        <v>46225.6383449074</v>
      </c>
      <c r="B1679" s="6" t="s">
        <v>4876</v>
      </c>
      <c r="C1679" s="6" t="s">
        <v>5917</v>
      </c>
      <c r="D1679" s="6" t="s">
        <v>4905</v>
      </c>
      <c r="E1679" s="6" t="s">
        <v>26</v>
      </c>
      <c r="F1679" s="6" t="s">
        <v>4882</v>
      </c>
      <c r="G1679" s="6" t="s">
        <v>574</v>
      </c>
      <c r="H1679" s="6">
        <v>9</v>
      </c>
      <c r="I1679" s="18">
        <v>5103.72</v>
      </c>
      <c r="J1679" s="19">
        <v>46225.6404183681</v>
      </c>
      <c r="K1679" s="6" t="s">
        <v>4880</v>
      </c>
      <c r="L1679" t="str">
        <f t="shared" si="26"/>
        <v>CHAPA ALUMINIO XADREZ 2.50x1.00x2.20|46226</v>
      </c>
    </row>
    <row r="1680" ht="13.5" customHeight="1" spans="1:12">
      <c r="A1680" s="17">
        <v>46225.6417361111</v>
      </c>
      <c r="B1680" s="6" t="s">
        <v>4876</v>
      </c>
      <c r="C1680" s="6" t="s">
        <v>5918</v>
      </c>
      <c r="D1680" s="6" t="s">
        <v>110</v>
      </c>
      <c r="E1680" s="6" t="s">
        <v>26</v>
      </c>
      <c r="F1680" s="6" t="s">
        <v>4882</v>
      </c>
      <c r="G1680" s="6" t="s">
        <v>161</v>
      </c>
      <c r="H1680" s="6">
        <v>6</v>
      </c>
      <c r="I1680" s="18">
        <v>174</v>
      </c>
      <c r="J1680" s="19">
        <v>46225.6423402778</v>
      </c>
      <c r="K1680" s="6" t="s">
        <v>4880</v>
      </c>
      <c r="L1680" t="str">
        <f t="shared" si="26"/>
        <v>MACANETA INTERNA DIREITA ACCELO|46226</v>
      </c>
    </row>
    <row r="1681" ht="13.5" customHeight="1" spans="1:12">
      <c r="A1681" s="17">
        <v>46225.6426273148</v>
      </c>
      <c r="B1681" s="6" t="s">
        <v>4876</v>
      </c>
      <c r="C1681" s="6" t="s">
        <v>5919</v>
      </c>
      <c r="D1681" s="6" t="s">
        <v>4954</v>
      </c>
      <c r="E1681" s="6" t="s">
        <v>26</v>
      </c>
      <c r="F1681" s="6" t="s">
        <v>4882</v>
      </c>
      <c r="G1681" s="6" t="s">
        <v>1946</v>
      </c>
      <c r="H1681" s="6">
        <v>4</v>
      </c>
      <c r="I1681" s="18">
        <v>6.8</v>
      </c>
      <c r="J1681" s="19">
        <v>46225.6480695949</v>
      </c>
      <c r="K1681" s="6" t="s">
        <v>4880</v>
      </c>
      <c r="L1681" t="str">
        <f t="shared" si="26"/>
        <v>PORCA 16MM - R FINA |46226</v>
      </c>
    </row>
    <row r="1682" ht="13.5" customHeight="1" spans="1:12">
      <c r="A1682" s="17">
        <v>46225.6426273148</v>
      </c>
      <c r="B1682" s="6" t="s">
        <v>4876</v>
      </c>
      <c r="C1682" s="6" t="s">
        <v>5919</v>
      </c>
      <c r="D1682" s="6" t="s">
        <v>4954</v>
      </c>
      <c r="E1682" s="6" t="s">
        <v>26</v>
      </c>
      <c r="F1682" s="6" t="s">
        <v>4882</v>
      </c>
      <c r="G1682" s="6" t="s">
        <v>2177</v>
      </c>
      <c r="H1682" s="6">
        <v>4</v>
      </c>
      <c r="I1682" s="18">
        <v>27.2</v>
      </c>
      <c r="J1682" s="19">
        <v>46225.6480687153</v>
      </c>
      <c r="K1682" s="6" t="s">
        <v>4880</v>
      </c>
      <c r="L1682" t="str">
        <f t="shared" si="26"/>
        <v>PARAFUSO ALLEN C/C 16x50 8.8	|46226</v>
      </c>
    </row>
    <row r="1683" ht="13.5" customHeight="1" spans="1:12">
      <c r="A1683" s="17">
        <v>46225.6931597222</v>
      </c>
      <c r="B1683" s="6" t="s">
        <v>4876</v>
      </c>
      <c r="C1683" s="6" t="s">
        <v>5920</v>
      </c>
      <c r="D1683" s="6" t="s">
        <v>4905</v>
      </c>
      <c r="E1683" s="6" t="s">
        <v>26</v>
      </c>
      <c r="F1683" s="6" t="s">
        <v>4882</v>
      </c>
      <c r="G1683" s="6" t="s">
        <v>4856</v>
      </c>
      <c r="H1683" s="6">
        <v>2</v>
      </c>
      <c r="I1683" s="18">
        <v>17.8</v>
      </c>
      <c r="J1683" s="19">
        <v>46225.6983721065</v>
      </c>
      <c r="K1683" s="6" t="s">
        <v>4880</v>
      </c>
      <c r="L1683" t="str">
        <f t="shared" si="26"/>
        <v>008148 BROCA A.RAPIDO (A) 5.0MM|46226</v>
      </c>
    </row>
    <row r="1684" ht="13.5" customHeight="1" spans="1:12">
      <c r="A1684" s="17">
        <v>46225.6931597222</v>
      </c>
      <c r="B1684" s="6" t="s">
        <v>4876</v>
      </c>
      <c r="C1684" s="6" t="s">
        <v>5920</v>
      </c>
      <c r="D1684" s="6" t="s">
        <v>4905</v>
      </c>
      <c r="E1684" s="6" t="s">
        <v>26</v>
      </c>
      <c r="F1684" s="6" t="s">
        <v>4882</v>
      </c>
      <c r="G1684" s="6" t="s">
        <v>4857</v>
      </c>
      <c r="H1684" s="6">
        <v>2</v>
      </c>
      <c r="I1684" s="18">
        <v>14.48</v>
      </c>
      <c r="J1684" s="19">
        <v>46225.6983708333</v>
      </c>
      <c r="K1684" s="6" t="s">
        <v>4880</v>
      </c>
      <c r="L1684" t="str">
        <f t="shared" si="26"/>
        <v>008146 BROCA A.RAPIDO (A) 4.0MM|46226</v>
      </c>
    </row>
    <row r="1685" ht="13.5" customHeight="1" spans="1:12">
      <c r="A1685" s="17">
        <v>46225.6931597222</v>
      </c>
      <c r="B1685" s="6" t="s">
        <v>4876</v>
      </c>
      <c r="C1685" s="6" t="s">
        <v>5920</v>
      </c>
      <c r="D1685" s="6" t="s">
        <v>4905</v>
      </c>
      <c r="E1685" s="6" t="s">
        <v>26</v>
      </c>
      <c r="F1685" s="6" t="s">
        <v>4882</v>
      </c>
      <c r="G1685" s="6" t="s">
        <v>4858</v>
      </c>
      <c r="H1685" s="6">
        <v>2</v>
      </c>
      <c r="I1685" s="18">
        <v>13.36</v>
      </c>
      <c r="J1685" s="19">
        <v>46225.6983684838</v>
      </c>
      <c r="K1685" s="6" t="s">
        <v>4880</v>
      </c>
      <c r="L1685" t="str">
        <f t="shared" si="26"/>
        <v>008142 BROCA A.RAPIDO (A) 3.0MM|46226</v>
      </c>
    </row>
    <row r="1686" ht="13.5" customHeight="1" spans="1:12">
      <c r="A1686" s="17">
        <v>46226.6548611111</v>
      </c>
      <c r="B1686" s="6" t="s">
        <v>4876</v>
      </c>
      <c r="C1686" s="6" t="s">
        <v>5921</v>
      </c>
      <c r="D1686" s="6" t="s">
        <v>5922</v>
      </c>
      <c r="E1686" s="6" t="s">
        <v>26</v>
      </c>
      <c r="F1686" s="6" t="s">
        <v>4882</v>
      </c>
      <c r="G1686" s="6" t="s">
        <v>496</v>
      </c>
      <c r="H1686" s="6">
        <v>4</v>
      </c>
      <c r="I1686" s="18">
        <v>486</v>
      </c>
      <c r="J1686" s="19">
        <v>46230.6585767361</v>
      </c>
      <c r="K1686" s="6" t="s">
        <v>4880</v>
      </c>
      <c r="L1686" t="str">
        <f t="shared" si="26"/>
        <v>1169 MEIO PARALAMA 3/4 UNIRVESAL|46227</v>
      </c>
    </row>
    <row r="1687" ht="13.5" customHeight="1" spans="1:12">
      <c r="A1687" s="17">
        <v>46227.6493055556</v>
      </c>
      <c r="B1687" s="6" t="s">
        <v>4876</v>
      </c>
      <c r="C1687" s="6" t="s">
        <v>5923</v>
      </c>
      <c r="D1687" s="6" t="s">
        <v>4979</v>
      </c>
      <c r="E1687" s="6" t="s">
        <v>35</v>
      </c>
      <c r="F1687" s="6" t="s">
        <v>4879</v>
      </c>
      <c r="G1687" s="6" t="s">
        <v>2526</v>
      </c>
      <c r="H1687" s="6">
        <v>4</v>
      </c>
      <c r="I1687" s="18">
        <v>240</v>
      </c>
      <c r="J1687" s="19">
        <v>46230.6549810185</v>
      </c>
      <c r="K1687" s="6" t="s">
        <v>4880</v>
      </c>
      <c r="L1687" t="str">
        <f t="shared" si="26"/>
        <v>MANGUEIRA MOLDADA A9795015482|46228</v>
      </c>
    </row>
    <row r="1688" ht="13.5" customHeight="1" spans="1:12">
      <c r="A1688" s="17">
        <v>46227.6493055556</v>
      </c>
      <c r="B1688" s="6" t="s">
        <v>4876</v>
      </c>
      <c r="C1688" s="6" t="s">
        <v>5923</v>
      </c>
      <c r="D1688" s="6" t="s">
        <v>4979</v>
      </c>
      <c r="E1688" s="6" t="s">
        <v>35</v>
      </c>
      <c r="F1688" s="6" t="s">
        <v>4879</v>
      </c>
      <c r="G1688" s="6" t="s">
        <v>209</v>
      </c>
      <c r="H1688" s="6">
        <v>6</v>
      </c>
      <c r="I1688" s="18">
        <v>570</v>
      </c>
      <c r="J1688" s="19">
        <v>46230.6549804745</v>
      </c>
      <c r="K1688" s="6" t="s">
        <v>4880</v>
      </c>
      <c r="L1688" t="str">
        <f t="shared" si="26"/>
        <v>FILTRO DE OLEO MERCEDES BENZ A9041800109|46228</v>
      </c>
    </row>
    <row r="1689" ht="13.5" customHeight="1" spans="1:12">
      <c r="A1689" s="17">
        <v>46227.6493055556</v>
      </c>
      <c r="B1689" s="6" t="s">
        <v>4876</v>
      </c>
      <c r="C1689" s="6" t="s">
        <v>5923</v>
      </c>
      <c r="D1689" s="6" t="s">
        <v>4979</v>
      </c>
      <c r="E1689" s="6" t="s">
        <v>35</v>
      </c>
      <c r="F1689" s="6" t="s">
        <v>4879</v>
      </c>
      <c r="G1689" s="6" t="s">
        <v>208</v>
      </c>
      <c r="H1689" s="6">
        <v>5</v>
      </c>
      <c r="I1689" s="18">
        <v>525</v>
      </c>
      <c r="J1689" s="19">
        <v>46230.6549792014</v>
      </c>
      <c r="K1689" s="6" t="s">
        <v>4880</v>
      </c>
      <c r="L1689" t="str">
        <f t="shared" si="26"/>
        <v>FILTRO DIESEL MERCEDES 901551 (MB 815/1016) MARCA MERCEDES BENZ|46228</v>
      </c>
    </row>
    <row r="1690" ht="13.5" customHeight="1" spans="1:12">
      <c r="A1690" s="17">
        <v>46227.6493055556</v>
      </c>
      <c r="B1690" s="6" t="s">
        <v>4876</v>
      </c>
      <c r="C1690" s="6" t="s">
        <v>5923</v>
      </c>
      <c r="D1690" s="6" t="s">
        <v>4979</v>
      </c>
      <c r="E1690" s="6" t="s">
        <v>35</v>
      </c>
      <c r="F1690" s="6" t="s">
        <v>4879</v>
      </c>
      <c r="G1690" s="6" t="s">
        <v>211</v>
      </c>
      <c r="H1690" s="6">
        <v>4</v>
      </c>
      <c r="I1690" s="18">
        <v>580</v>
      </c>
      <c r="J1690" s="19">
        <v>46230.654977581</v>
      </c>
      <c r="K1690" s="6" t="s">
        <v>4880</v>
      </c>
      <c r="L1690" t="str">
        <f t="shared" si="26"/>
        <v>FILTRO DE AR MERCEDE BENZ A3740940104|46228</v>
      </c>
    </row>
    <row r="1691" ht="13.5" customHeight="1" spans="1:12">
      <c r="A1691" s="17">
        <v>46227.6493055556</v>
      </c>
      <c r="B1691" s="6" t="s">
        <v>4876</v>
      </c>
      <c r="C1691" s="6" t="s">
        <v>5923</v>
      </c>
      <c r="D1691" s="6" t="s">
        <v>4979</v>
      </c>
      <c r="E1691" s="6" t="s">
        <v>35</v>
      </c>
      <c r="F1691" s="6" t="s">
        <v>4879</v>
      </c>
      <c r="G1691" s="6" t="s">
        <v>839</v>
      </c>
      <c r="H1691" s="6">
        <v>5</v>
      </c>
      <c r="I1691" s="18">
        <v>1900</v>
      </c>
      <c r="J1691" s="19">
        <v>46230.6549753819</v>
      </c>
      <c r="K1691" s="6" t="s">
        <v>4880</v>
      </c>
      <c r="L1691" t="str">
        <f t="shared" si="26"/>
        <v>A 0014770015 ELEMENTO DO FILTRO DE COMBUSTIVEL|46228</v>
      </c>
    </row>
    <row r="1692" ht="13.5" customHeight="1" spans="1:12">
      <c r="A1692" s="17">
        <v>46227.6832060185</v>
      </c>
      <c r="B1692" s="6" t="s">
        <v>4876</v>
      </c>
      <c r="C1692" s="6" t="s">
        <v>5924</v>
      </c>
      <c r="D1692" s="6" t="s">
        <v>5118</v>
      </c>
      <c r="E1692" s="6" t="s">
        <v>26</v>
      </c>
      <c r="F1692" s="6" t="s">
        <v>4882</v>
      </c>
      <c r="G1692" s="6" t="s">
        <v>515</v>
      </c>
      <c r="H1692" s="6">
        <v>1</v>
      </c>
      <c r="I1692" s="18">
        <v>11.9</v>
      </c>
      <c r="J1692" s="19">
        <v>46227.6908018866</v>
      </c>
      <c r="K1692" s="6" t="s">
        <v>4880</v>
      </c>
      <c r="L1692" t="str">
        <f t="shared" si="26"/>
        <v>CABO EMBREAGEM TITAN150 2004/08 KS/ES  EM DIANTE SC MARCA PARALELA (MOTO)|46228</v>
      </c>
    </row>
    <row r="1693" ht="13.5" customHeight="1" spans="1:12">
      <c r="A1693" s="17">
        <v>46227.6832060185</v>
      </c>
      <c r="B1693" s="6" t="s">
        <v>4876</v>
      </c>
      <c r="C1693" s="6" t="s">
        <v>5924</v>
      </c>
      <c r="D1693" s="6" t="s">
        <v>5118</v>
      </c>
      <c r="E1693" s="6" t="s">
        <v>26</v>
      </c>
      <c r="F1693" s="6" t="s">
        <v>4882</v>
      </c>
      <c r="G1693" s="6" t="s">
        <v>823</v>
      </c>
      <c r="H1693" s="6">
        <v>2</v>
      </c>
      <c r="I1693" s="18">
        <v>69.8</v>
      </c>
      <c r="J1693" s="19">
        <v>46227.6908015394</v>
      </c>
      <c r="K1693" s="6" t="s">
        <v>4880</v>
      </c>
      <c r="L1693" t="str">
        <f t="shared" si="26"/>
        <v>OLEO MOBIL 4T 20W50 SUPERMOTO |46228</v>
      </c>
    </row>
    <row r="1694" ht="13.5" customHeight="1" spans="1:12">
      <c r="A1694" s="17">
        <v>46227.6832060185</v>
      </c>
      <c r="B1694" s="6" t="s">
        <v>4876</v>
      </c>
      <c r="C1694" s="6" t="s">
        <v>5924</v>
      </c>
      <c r="D1694" s="6" t="s">
        <v>5118</v>
      </c>
      <c r="E1694" s="6" t="s">
        <v>26</v>
      </c>
      <c r="F1694" s="6" t="s">
        <v>4882</v>
      </c>
      <c r="G1694" s="6" t="s">
        <v>521</v>
      </c>
      <c r="H1694" s="6">
        <v>1</v>
      </c>
      <c r="I1694" s="18">
        <v>179.5</v>
      </c>
      <c r="J1694" s="19">
        <v>46227.6908008102</v>
      </c>
      <c r="K1694" s="6" t="s">
        <v>4880</v>
      </c>
      <c r="L1694" t="str">
        <f t="shared" si="26"/>
        <v>PNEU TRASEIRO MOTO (KPN7998)|46228</v>
      </c>
    </row>
    <row r="1695" ht="13.5" customHeight="1" spans="1:12">
      <c r="A1695" s="17">
        <v>46227.6881944445</v>
      </c>
      <c r="B1695" s="6" t="s">
        <v>4876</v>
      </c>
      <c r="C1695" s="6" t="s">
        <v>5925</v>
      </c>
      <c r="D1695" s="6" t="s">
        <v>5175</v>
      </c>
      <c r="E1695" s="6" t="s">
        <v>35</v>
      </c>
      <c r="F1695" s="6" t="s">
        <v>4879</v>
      </c>
      <c r="G1695" s="6" t="s">
        <v>224</v>
      </c>
      <c r="H1695" s="6">
        <v>1</v>
      </c>
      <c r="I1695" s="18">
        <v>860</v>
      </c>
      <c r="J1695" s="19">
        <v>46233.6971055903</v>
      </c>
      <c r="K1695" s="6" t="s">
        <v>4880</v>
      </c>
      <c r="L1695" t="str">
        <f t="shared" si="26"/>
        <v>ALAVANCA DE ENGATE 23B 311540|46228</v>
      </c>
    </row>
    <row r="1696" ht="13.5" customHeight="1" spans="1:12">
      <c r="A1696" s="17">
        <v>46227.6881944445</v>
      </c>
      <c r="B1696" s="6" t="s">
        <v>4876</v>
      </c>
      <c r="C1696" s="6" t="s">
        <v>5925</v>
      </c>
      <c r="D1696" s="6" t="s">
        <v>5175</v>
      </c>
      <c r="E1696" s="6" t="s">
        <v>35</v>
      </c>
      <c r="F1696" s="6" t="s">
        <v>4879</v>
      </c>
      <c r="G1696" s="6" t="s">
        <v>2452</v>
      </c>
      <c r="H1696" s="6">
        <v>1</v>
      </c>
      <c r="I1696" s="18">
        <v>800</v>
      </c>
      <c r="J1696" s="19">
        <v>46233.6971048611</v>
      </c>
      <c r="K1696" s="6" t="s">
        <v>4880</v>
      </c>
      <c r="L1696" t="str">
        <f t="shared" si="26"/>
        <v>MECANISMO ELEVADOR VIDRO SB/17|46228</v>
      </c>
    </row>
    <row r="1697" ht="13.5" customHeight="1" spans="1:12">
      <c r="A1697" s="17">
        <v>46227.6881944445</v>
      </c>
      <c r="B1697" s="6" t="s">
        <v>4876</v>
      </c>
      <c r="C1697" s="6" t="s">
        <v>5925</v>
      </c>
      <c r="D1697" s="6" t="s">
        <v>5175</v>
      </c>
      <c r="E1697" s="6" t="s">
        <v>35</v>
      </c>
      <c r="F1697" s="6" t="s">
        <v>4879</v>
      </c>
      <c r="G1697" s="6" t="s">
        <v>889</v>
      </c>
      <c r="H1697" s="6">
        <v>1</v>
      </c>
      <c r="I1697" s="18">
        <v>800</v>
      </c>
      <c r="J1697" s="19">
        <v>46233.6971028935</v>
      </c>
      <c r="K1697" s="6" t="s">
        <v>4880</v>
      </c>
      <c r="L1697" t="str">
        <f t="shared" si="26"/>
        <v>MECANISMO ELEVADOR DO VIDRO SC/40|46228</v>
      </c>
    </row>
    <row r="1698" ht="13.5" customHeight="1" spans="1:12">
      <c r="A1698" s="17">
        <v>46227.6912152778</v>
      </c>
      <c r="B1698" s="6" t="s">
        <v>4876</v>
      </c>
      <c r="C1698" s="6" t="s">
        <v>5926</v>
      </c>
      <c r="D1698" s="6" t="s">
        <v>4894</v>
      </c>
      <c r="E1698" s="6" t="s">
        <v>26</v>
      </c>
      <c r="F1698" s="6" t="s">
        <v>4882</v>
      </c>
      <c r="G1698" s="6" t="s">
        <v>2266</v>
      </c>
      <c r="H1698" s="6">
        <v>1</v>
      </c>
      <c r="I1698" s="18">
        <v>21</v>
      </c>
      <c r="J1698" s="19">
        <v>46227.7337162037</v>
      </c>
      <c r="K1698" s="6" t="s">
        <v>4880</v>
      </c>
      <c r="L1698" t="str">
        <f t="shared" si="26"/>
        <v>P.MDF 4,5X50 100PÇS 1461|46228</v>
      </c>
    </row>
    <row r="1699" ht="13.5" customHeight="1" spans="1:12">
      <c r="A1699" s="17">
        <v>46227.6912152778</v>
      </c>
      <c r="B1699" s="6" t="s">
        <v>4876</v>
      </c>
      <c r="C1699" s="6" t="s">
        <v>5926</v>
      </c>
      <c r="D1699" s="6" t="s">
        <v>4894</v>
      </c>
      <c r="E1699" s="6" t="s">
        <v>26</v>
      </c>
      <c r="F1699" s="6" t="s">
        <v>4882</v>
      </c>
      <c r="G1699" s="6" t="s">
        <v>2291</v>
      </c>
      <c r="H1699" s="6">
        <v>1</v>
      </c>
      <c r="I1699" s="18">
        <v>11.06</v>
      </c>
      <c r="J1699" s="19">
        <v>46227.7337162037</v>
      </c>
      <c r="K1699" s="6" t="s">
        <v>4880</v>
      </c>
      <c r="L1699" t="str">
        <f t="shared" si="26"/>
        <v>P. FLANGEADO P.BROCA 4,2X13EMB.|46228</v>
      </c>
    </row>
    <row r="1700" ht="13.5" customHeight="1" spans="1:12">
      <c r="A1700" s="17">
        <v>46227.6912152778</v>
      </c>
      <c r="B1700" s="6" t="s">
        <v>4876</v>
      </c>
      <c r="C1700" s="6" t="s">
        <v>5926</v>
      </c>
      <c r="D1700" s="6" t="s">
        <v>4894</v>
      </c>
      <c r="E1700" s="6" t="s">
        <v>26</v>
      </c>
      <c r="F1700" s="6" t="s">
        <v>4882</v>
      </c>
      <c r="G1700" s="6" t="s">
        <v>2268</v>
      </c>
      <c r="H1700" s="6">
        <v>1</v>
      </c>
      <c r="I1700" s="18">
        <v>9</v>
      </c>
      <c r="J1700" s="19">
        <v>46227.7337160069</v>
      </c>
      <c r="K1700" s="6" t="s">
        <v>4880</v>
      </c>
      <c r="L1700" t="str">
        <f t="shared" si="26"/>
        <v>P.MDF 4,0 X 35 100PÇS 1448|46228</v>
      </c>
    </row>
    <row r="1701" ht="13.5" customHeight="1" spans="1:12">
      <c r="A1701" s="17">
        <v>46227.6912152778</v>
      </c>
      <c r="B1701" s="6" t="s">
        <v>4876</v>
      </c>
      <c r="C1701" s="6" t="s">
        <v>5926</v>
      </c>
      <c r="D1701" s="6" t="s">
        <v>4894</v>
      </c>
      <c r="E1701" s="6" t="s">
        <v>26</v>
      </c>
      <c r="F1701" s="6" t="s">
        <v>4882</v>
      </c>
      <c r="G1701" s="6" t="s">
        <v>2289</v>
      </c>
      <c r="H1701" s="6">
        <v>1</v>
      </c>
      <c r="I1701" s="18">
        <v>9</v>
      </c>
      <c r="J1701" s="19">
        <v>46227.7337158565</v>
      </c>
      <c r="K1701" s="6" t="s">
        <v>4880</v>
      </c>
      <c r="L1701" t="str">
        <f t="shared" si="26"/>
        <v>P.A. PERFURANTE PANELA 4,2X19 10|46228</v>
      </c>
    </row>
    <row r="1702" ht="13.5" customHeight="1" spans="1:12">
      <c r="A1702" s="17">
        <v>46227.6912152778</v>
      </c>
      <c r="B1702" s="6" t="s">
        <v>4876</v>
      </c>
      <c r="C1702" s="6" t="s">
        <v>5926</v>
      </c>
      <c r="D1702" s="6" t="s">
        <v>4894</v>
      </c>
      <c r="E1702" s="6" t="s">
        <v>26</v>
      </c>
      <c r="F1702" s="6" t="s">
        <v>4882</v>
      </c>
      <c r="G1702" s="6" t="s">
        <v>2288</v>
      </c>
      <c r="H1702" s="6">
        <v>1</v>
      </c>
      <c r="I1702" s="18">
        <v>15</v>
      </c>
      <c r="J1702" s="19">
        <v>46227.7337154745</v>
      </c>
      <c r="K1702" s="6" t="s">
        <v>4880</v>
      </c>
      <c r="L1702" t="str">
        <f t="shared" si="26"/>
        <v>P.A.PERFURANTE PANELA 4,2X32 10|46228</v>
      </c>
    </row>
    <row r="1703" ht="13.5" customHeight="1" spans="1:12">
      <c r="A1703" s="17">
        <v>46227.6912152778</v>
      </c>
      <c r="B1703" s="6" t="s">
        <v>4876</v>
      </c>
      <c r="C1703" s="6" t="s">
        <v>5926</v>
      </c>
      <c r="D1703" s="6" t="s">
        <v>4894</v>
      </c>
      <c r="E1703" s="6" t="s">
        <v>26</v>
      </c>
      <c r="F1703" s="6" t="s">
        <v>4882</v>
      </c>
      <c r="G1703" s="6" t="s">
        <v>2292</v>
      </c>
      <c r="H1703" s="6">
        <v>1</v>
      </c>
      <c r="I1703" s="18">
        <v>10.95</v>
      </c>
      <c r="J1703" s="19">
        <v>46227.7337151273</v>
      </c>
      <c r="K1703" s="6" t="s">
        <v>4880</v>
      </c>
      <c r="L1703" t="str">
        <f t="shared" si="26"/>
        <v>P. FLANGEADO P. BROCA 4,2 X 19 EMB|46228</v>
      </c>
    </row>
    <row r="1704" ht="13.5" customHeight="1" spans="1:12">
      <c r="A1704" s="17">
        <v>46227.7340046296</v>
      </c>
      <c r="B1704" s="6" t="s">
        <v>4876</v>
      </c>
      <c r="C1704" s="6" t="s">
        <v>5927</v>
      </c>
      <c r="D1704" s="6" t="s">
        <v>4971</v>
      </c>
      <c r="E1704" s="6" t="s">
        <v>26</v>
      </c>
      <c r="F1704" s="6" t="s">
        <v>4882</v>
      </c>
      <c r="G1704" s="6" t="s">
        <v>1441</v>
      </c>
      <c r="H1704" s="6">
        <v>2</v>
      </c>
      <c r="I1704" s="18">
        <v>20</v>
      </c>
      <c r="J1704" s="19">
        <v>46227.7358304398</v>
      </c>
      <c r="K1704" s="6" t="s">
        <v>4880</v>
      </c>
      <c r="L1704" t="str">
        <f t="shared" si="26"/>
        <v>SIFÃO SANFONADO UNIVERSAL AMANCO|46228</v>
      </c>
    </row>
    <row r="1705" ht="13.5" customHeight="1" spans="1:12">
      <c r="A1705" s="17">
        <v>46227.7340046296</v>
      </c>
      <c r="B1705" s="6" t="s">
        <v>4876</v>
      </c>
      <c r="C1705" s="6" t="s">
        <v>5927</v>
      </c>
      <c r="D1705" s="6" t="s">
        <v>4971</v>
      </c>
      <c r="E1705" s="6" t="s">
        <v>26</v>
      </c>
      <c r="F1705" s="6" t="s">
        <v>4882</v>
      </c>
      <c r="G1705" s="6" t="s">
        <v>4846</v>
      </c>
      <c r="H1705" s="6">
        <v>1</v>
      </c>
      <c r="I1705" s="18">
        <v>46.94</v>
      </c>
      <c r="J1705" s="19">
        <v>46227.7358300926</v>
      </c>
      <c r="K1705" s="6" t="s">
        <v>4880</v>
      </c>
      <c r="L1705" t="str">
        <f t="shared" si="26"/>
        <v>040641  BALDE PLASTICO 12L|46228</v>
      </c>
    </row>
    <row r="1706" ht="13.5" customHeight="1" spans="1:12">
      <c r="A1706" s="17">
        <v>46229.6583333333</v>
      </c>
      <c r="B1706" s="6" t="s">
        <v>4876</v>
      </c>
      <c r="C1706" s="6" t="s">
        <v>5928</v>
      </c>
      <c r="D1706" s="6" t="s">
        <v>5642</v>
      </c>
      <c r="E1706" s="6" t="s">
        <v>628</v>
      </c>
      <c r="F1706" s="6" t="s">
        <v>4882</v>
      </c>
      <c r="G1706" s="6" t="s">
        <v>2083</v>
      </c>
      <c r="H1706" s="6">
        <v>1</v>
      </c>
      <c r="I1706" s="18">
        <v>96.2</v>
      </c>
      <c r="J1706" s="19">
        <v>46230.6702789352</v>
      </c>
      <c r="K1706" s="6" t="s">
        <v>4880</v>
      </c>
      <c r="L1706" t="str">
        <f t="shared" si="26"/>
        <v>PASTA SANFONADA 1/31 A/Z|46230</v>
      </c>
    </row>
    <row r="1707" ht="13.5" customHeight="1" spans="1:12">
      <c r="A1707" s="17">
        <v>46230.3388888889</v>
      </c>
      <c r="B1707" s="6" t="s">
        <v>4876</v>
      </c>
      <c r="C1707" s="6" t="s">
        <v>5929</v>
      </c>
      <c r="D1707" s="6" t="s">
        <v>4971</v>
      </c>
      <c r="E1707" s="6" t="s">
        <v>26</v>
      </c>
      <c r="F1707" s="6" t="s">
        <v>4882</v>
      </c>
      <c r="G1707" s="6" t="s">
        <v>592</v>
      </c>
      <c r="H1707" s="6">
        <v>10</v>
      </c>
      <c r="I1707" s="18">
        <v>163.5</v>
      </c>
      <c r="J1707" s="19">
        <v>46231.3402267014</v>
      </c>
      <c r="K1707" s="6" t="s">
        <v>4880</v>
      </c>
      <c r="L1707" t="str">
        <f t="shared" si="26"/>
        <v>CONDULETE TOP CX 5 ENTRADAS TIGRE|46230</v>
      </c>
    </row>
    <row r="1708" ht="13.5" customHeight="1" spans="1:12">
      <c r="A1708" s="17">
        <v>46230.3402777778</v>
      </c>
      <c r="B1708" s="6" t="s">
        <v>4876</v>
      </c>
      <c r="C1708" s="6" t="s">
        <v>5930</v>
      </c>
      <c r="D1708" s="6" t="s">
        <v>4954</v>
      </c>
      <c r="E1708" s="6" t="s">
        <v>26</v>
      </c>
      <c r="F1708" s="6" t="s">
        <v>4882</v>
      </c>
      <c r="G1708" s="6" t="s">
        <v>227</v>
      </c>
      <c r="H1708" s="6">
        <v>10</v>
      </c>
      <c r="I1708" s="18">
        <v>598</v>
      </c>
      <c r="J1708" s="19">
        <v>46231.3448291319</v>
      </c>
      <c r="K1708" s="6" t="s">
        <v>4880</v>
      </c>
      <c r="L1708" t="str">
        <f t="shared" si="26"/>
        <v>PALHETA LIMPADOR ACCELO PARALELA|46230</v>
      </c>
    </row>
    <row r="1709" ht="13.5" customHeight="1" spans="1:12">
      <c r="A1709" s="17">
        <v>46230.3465277778</v>
      </c>
      <c r="B1709" s="6" t="s">
        <v>4876</v>
      </c>
      <c r="C1709" s="6" t="s">
        <v>5931</v>
      </c>
      <c r="D1709" s="6" t="s">
        <v>4905</v>
      </c>
      <c r="E1709" s="6" t="s">
        <v>26</v>
      </c>
      <c r="F1709" s="6" t="s">
        <v>4882</v>
      </c>
      <c r="G1709" s="6" t="s">
        <v>506</v>
      </c>
      <c r="H1709" s="6">
        <v>4</v>
      </c>
      <c r="I1709" s="18">
        <v>153.08</v>
      </c>
      <c r="J1709" s="19">
        <v>46231.3479292477</v>
      </c>
      <c r="K1709" s="6" t="s">
        <v>4880</v>
      </c>
      <c r="L1709" t="str">
        <f t="shared" si="26"/>
        <v>DISCO CORTE FERRO 12X1/8 FURO 1 (300MMX3.0MMX25.40MM)|46230</v>
      </c>
    </row>
    <row r="1710" ht="13.5" customHeight="1" spans="1:12">
      <c r="A1710" s="17">
        <v>46230.3479166667</v>
      </c>
      <c r="B1710" s="6" t="s">
        <v>4876</v>
      </c>
      <c r="C1710" s="6" t="s">
        <v>5932</v>
      </c>
      <c r="D1710" s="6" t="s">
        <v>5065</v>
      </c>
      <c r="E1710" s="6" t="s">
        <v>26</v>
      </c>
      <c r="F1710" s="6" t="s">
        <v>4882</v>
      </c>
      <c r="G1710" s="6" t="s">
        <v>2153</v>
      </c>
      <c r="H1710" s="6">
        <v>1</v>
      </c>
      <c r="I1710" s="18">
        <v>18</v>
      </c>
      <c r="J1710" s="19">
        <v>46231.3501555556</v>
      </c>
      <c r="K1710" s="6" t="s">
        <v>4880</v>
      </c>
      <c r="L1710" t="str">
        <f t="shared" si="26"/>
        <v>PARAFUSO DE FECHAMENTO C4|46230</v>
      </c>
    </row>
    <row r="1711" ht="13.5" customHeight="1" spans="1:12">
      <c r="A1711" s="17">
        <v>46230.3618055556</v>
      </c>
      <c r="B1711" s="6" t="s">
        <v>4876</v>
      </c>
      <c r="C1711" s="6" t="s">
        <v>5933</v>
      </c>
      <c r="D1711" s="6" t="s">
        <v>4884</v>
      </c>
      <c r="E1711" s="6" t="s">
        <v>26</v>
      </c>
      <c r="F1711" s="6" t="s">
        <v>4882</v>
      </c>
      <c r="G1711" s="6" t="s">
        <v>3677</v>
      </c>
      <c r="H1711" s="6">
        <v>5</v>
      </c>
      <c r="I1711" s="18">
        <v>104.25</v>
      </c>
      <c r="J1711" s="19">
        <v>46231.3680149653</v>
      </c>
      <c r="K1711" s="6" t="s">
        <v>4880</v>
      </c>
      <c r="L1711" t="str">
        <f t="shared" si="26"/>
        <v>CONDULETE TOP TUBO CZ 3/4|46230</v>
      </c>
    </row>
    <row r="1712" ht="13.5" customHeight="1" spans="1:12">
      <c r="A1712" s="17">
        <v>46230.3618055556</v>
      </c>
      <c r="B1712" s="6" t="s">
        <v>4876</v>
      </c>
      <c r="C1712" s="6" t="s">
        <v>5933</v>
      </c>
      <c r="D1712" s="6" t="s">
        <v>4884</v>
      </c>
      <c r="E1712" s="6" t="s">
        <v>26</v>
      </c>
      <c r="F1712" s="6" t="s">
        <v>4882</v>
      </c>
      <c r="G1712" s="6" t="s">
        <v>592</v>
      </c>
      <c r="H1712" s="6">
        <v>1</v>
      </c>
      <c r="I1712" s="18">
        <v>19.65</v>
      </c>
      <c r="J1712" s="19">
        <v>46231.3680144329</v>
      </c>
      <c r="K1712" s="6" t="s">
        <v>4880</v>
      </c>
      <c r="L1712" t="str">
        <f t="shared" si="26"/>
        <v>CONDULETE TOP CX 5 ENTRADAS TIGRE|46230</v>
      </c>
    </row>
    <row r="1713" ht="13.5" customHeight="1" spans="1:12">
      <c r="A1713" s="17">
        <v>46230.3618055556</v>
      </c>
      <c r="B1713" s="6" t="s">
        <v>4876</v>
      </c>
      <c r="C1713" s="6" t="s">
        <v>5933</v>
      </c>
      <c r="D1713" s="6" t="s">
        <v>4884</v>
      </c>
      <c r="E1713" s="6" t="s">
        <v>26</v>
      </c>
      <c r="F1713" s="6" t="s">
        <v>4882</v>
      </c>
      <c r="G1713" s="6" t="s">
        <v>3678</v>
      </c>
      <c r="H1713" s="6">
        <v>5</v>
      </c>
      <c r="I1713" s="18">
        <v>74</v>
      </c>
      <c r="J1713" s="19">
        <v>46231.3680129977</v>
      </c>
      <c r="K1713" s="6" t="s">
        <v>4880</v>
      </c>
      <c r="L1713" t="str">
        <f t="shared" si="26"/>
        <v>CONDULETE TOP TAMPA 3 MOD 13/41/2|46230</v>
      </c>
    </row>
    <row r="1714" ht="13.5" customHeight="1" spans="1:12">
      <c r="A1714" s="17">
        <v>46230.3618055556</v>
      </c>
      <c r="B1714" s="6" t="s">
        <v>4876</v>
      </c>
      <c r="C1714" s="6" t="s">
        <v>5933</v>
      </c>
      <c r="D1714" s="6" t="s">
        <v>4884</v>
      </c>
      <c r="E1714" s="6" t="s">
        <v>26</v>
      </c>
      <c r="F1714" s="6" t="s">
        <v>4882</v>
      </c>
      <c r="G1714" s="6" t="s">
        <v>587</v>
      </c>
      <c r="H1714" s="6">
        <v>10</v>
      </c>
      <c r="I1714" s="18">
        <v>21</v>
      </c>
      <c r="J1714" s="19">
        <v>46231.3680119213</v>
      </c>
      <c r="K1714" s="6" t="s">
        <v>4880</v>
      </c>
      <c r="L1714" t="str">
        <f t="shared" si="26"/>
        <v>CONDULETE ADAPTADOR TOP 3/4 TIGRE|46230</v>
      </c>
    </row>
    <row r="1715" ht="13.5" customHeight="1" spans="1:12">
      <c r="A1715" s="17">
        <v>46230.3618055556</v>
      </c>
      <c r="B1715" s="6" t="s">
        <v>4876</v>
      </c>
      <c r="C1715" s="6" t="s">
        <v>5933</v>
      </c>
      <c r="D1715" s="6" t="s">
        <v>4884</v>
      </c>
      <c r="E1715" s="6" t="s">
        <v>26</v>
      </c>
      <c r="F1715" s="6" t="s">
        <v>4882</v>
      </c>
      <c r="G1715" s="6" t="s">
        <v>588</v>
      </c>
      <c r="H1715" s="6">
        <v>20</v>
      </c>
      <c r="I1715" s="18">
        <v>172</v>
      </c>
      <c r="J1715" s="19">
        <v>46231.3680095718</v>
      </c>
      <c r="K1715" s="6" t="s">
        <v>4880</v>
      </c>
      <c r="L1715" t="str">
        <f t="shared" si="26"/>
        <v>CONDULETE BRAÇADEIRA FECH. 1/2 MARCA TIGRE|46230</v>
      </c>
    </row>
    <row r="1716" ht="13.5" customHeight="1" spans="1:12">
      <c r="A1716" s="17">
        <v>46230.3618055556</v>
      </c>
      <c r="B1716" s="6" t="s">
        <v>4876</v>
      </c>
      <c r="C1716" s="6" t="s">
        <v>5933</v>
      </c>
      <c r="D1716" s="6" t="s">
        <v>4884</v>
      </c>
      <c r="E1716" s="6" t="s">
        <v>26</v>
      </c>
      <c r="F1716" s="6" t="s">
        <v>4882</v>
      </c>
      <c r="G1716" s="6" t="s">
        <v>591</v>
      </c>
      <c r="H1716" s="6">
        <v>4</v>
      </c>
      <c r="I1716" s="18">
        <v>40.8</v>
      </c>
      <c r="J1716" s="19">
        <v>46231.3680072917</v>
      </c>
      <c r="K1716" s="6" t="s">
        <v>4880</v>
      </c>
      <c r="L1716" t="str">
        <f t="shared" si="26"/>
        <v>CONDULETE LUVA LISA P/ELET.TOP 3/4 TIGRE|46230</v>
      </c>
    </row>
    <row r="1717" ht="13.5" customHeight="1" spans="1:12">
      <c r="A1717" s="17">
        <v>46230.4395833333</v>
      </c>
      <c r="B1717" s="6" t="s">
        <v>4876</v>
      </c>
      <c r="C1717" s="6" t="s">
        <v>5934</v>
      </c>
      <c r="D1717" s="6" t="s">
        <v>5935</v>
      </c>
      <c r="E1717" s="6" t="s">
        <v>26</v>
      </c>
      <c r="F1717" s="6" t="s">
        <v>4882</v>
      </c>
      <c r="G1717" s="6" t="s">
        <v>670</v>
      </c>
      <c r="H1717" s="6">
        <v>1</v>
      </c>
      <c r="I1717" s="18">
        <v>125</v>
      </c>
      <c r="J1717" s="19">
        <v>46232.445054132</v>
      </c>
      <c r="K1717" s="6" t="s">
        <v>4880</v>
      </c>
      <c r="L1717" t="str">
        <f t="shared" si="26"/>
        <v>FONE DEOUVIDO BLUTOOLH 25H DE BATERIA MODELO TAH 2209 PRETO|46230</v>
      </c>
    </row>
    <row r="1718" ht="13.5" customHeight="1" spans="1:12">
      <c r="A1718" s="17">
        <v>46231.3618055556</v>
      </c>
      <c r="B1718" s="6" t="s">
        <v>4876</v>
      </c>
      <c r="C1718" s="6" t="s">
        <v>5936</v>
      </c>
      <c r="D1718" s="6" t="s">
        <v>5177</v>
      </c>
      <c r="E1718" s="6" t="s">
        <v>26</v>
      </c>
      <c r="F1718" s="6" t="s">
        <v>4882</v>
      </c>
      <c r="G1718" s="6" t="s">
        <v>497</v>
      </c>
      <c r="H1718" s="6">
        <v>1</v>
      </c>
      <c r="I1718" s="18">
        <v>585.92</v>
      </c>
      <c r="J1718" s="19">
        <v>46232.388866088</v>
      </c>
      <c r="K1718" s="6" t="s">
        <v>4880</v>
      </c>
      <c r="L1718" t="str">
        <f t="shared" si="26"/>
        <v>PARALAMA ESTRIBO CAMINHAO MB ACCELO 715 915 1016 LE|46231</v>
      </c>
    </row>
    <row r="1719" ht="13.5" customHeight="1" spans="1:12">
      <c r="A1719" s="17">
        <v>46231.3618055556</v>
      </c>
      <c r="B1719" s="6" t="s">
        <v>4876</v>
      </c>
      <c r="C1719" s="6" t="s">
        <v>5936</v>
      </c>
      <c r="D1719" s="6" t="s">
        <v>5177</v>
      </c>
      <c r="E1719" s="6" t="s">
        <v>26</v>
      </c>
      <c r="F1719" s="6" t="s">
        <v>4882</v>
      </c>
      <c r="G1719" s="6" t="s">
        <v>498</v>
      </c>
      <c r="H1719" s="6">
        <v>1</v>
      </c>
      <c r="I1719" s="18">
        <v>585.92</v>
      </c>
      <c r="J1719" s="19">
        <v>46232.388865544</v>
      </c>
      <c r="K1719" s="6" t="s">
        <v>4880</v>
      </c>
      <c r="L1719" t="str">
        <f t="shared" si="26"/>
        <v>PARALAMA ESTRIBO CAMINHAO MB ACCELO 715 915 1016 LD|46231</v>
      </c>
    </row>
    <row r="1720" ht="13.5" customHeight="1" spans="1:12">
      <c r="A1720" s="17">
        <v>46231.4368055556</v>
      </c>
      <c r="B1720" s="6" t="s">
        <v>4876</v>
      </c>
      <c r="C1720" s="6" t="s">
        <v>5937</v>
      </c>
      <c r="D1720" s="6" t="s">
        <v>110</v>
      </c>
      <c r="E1720" s="6" t="s">
        <v>26</v>
      </c>
      <c r="F1720" s="6" t="s">
        <v>4882</v>
      </c>
      <c r="G1720" s="6" t="s">
        <v>363</v>
      </c>
      <c r="H1720" s="6">
        <v>4</v>
      </c>
      <c r="I1720" s="18">
        <v>100</v>
      </c>
      <c r="J1720" s="19">
        <v>46231.4462518171</v>
      </c>
      <c r="K1720" s="6" t="s">
        <v>4880</v>
      </c>
      <c r="L1720" t="str">
        <f t="shared" si="26"/>
        <v>LENTE TRASEIRA VW MARCA PARALELA|46231</v>
      </c>
    </row>
    <row r="1721" ht="13.5" customHeight="1" spans="1:12">
      <c r="A1721" s="17">
        <v>46231.4368055556</v>
      </c>
      <c r="B1721" s="6" t="s">
        <v>4876</v>
      </c>
      <c r="C1721" s="6" t="s">
        <v>5937</v>
      </c>
      <c r="D1721" s="6" t="s">
        <v>110</v>
      </c>
      <c r="E1721" s="6" t="s">
        <v>26</v>
      </c>
      <c r="F1721" s="6" t="s">
        <v>4882</v>
      </c>
      <c r="G1721" s="6" t="s">
        <v>2686</v>
      </c>
      <c r="H1721" s="6">
        <v>4</v>
      </c>
      <c r="I1721" s="18">
        <v>520</v>
      </c>
      <c r="J1721" s="19">
        <v>46231.4462510764</v>
      </c>
      <c r="K1721" s="6" t="s">
        <v>4880</v>
      </c>
      <c r="L1721" t="str">
        <f t="shared" si="26"/>
        <v>LANTERNA TRASEIRA VW N° 211|46231</v>
      </c>
    </row>
    <row r="1722" ht="13.5" customHeight="1" spans="1:12">
      <c r="A1722" s="17">
        <v>46231.4368055556</v>
      </c>
      <c r="B1722" s="6" t="s">
        <v>4876</v>
      </c>
      <c r="C1722" s="6" t="s">
        <v>5937</v>
      </c>
      <c r="D1722" s="6" t="s">
        <v>110</v>
      </c>
      <c r="E1722" s="6" t="s">
        <v>26</v>
      </c>
      <c r="F1722" s="6" t="s">
        <v>4882</v>
      </c>
      <c r="G1722" s="6" t="s">
        <v>214</v>
      </c>
      <c r="H1722" s="6">
        <v>2</v>
      </c>
      <c r="I1722" s="18">
        <v>1560</v>
      </c>
      <c r="J1722" s="19">
        <v>46231.4462498032</v>
      </c>
      <c r="K1722" s="6" t="s">
        <v>4880</v>
      </c>
      <c r="L1722" t="str">
        <f t="shared" si="26"/>
        <v>TAMBOR DE FREIO TRASEIRO (ACCELO 1016) MARCA PARALELA|46231</v>
      </c>
    </row>
    <row r="1723" ht="13.5" customHeight="1" spans="1:12">
      <c r="A1723" s="17">
        <v>46231.5541666667</v>
      </c>
      <c r="B1723" s="6" t="s">
        <v>4876</v>
      </c>
      <c r="C1723" s="6" t="s">
        <v>5938</v>
      </c>
      <c r="D1723" s="6" t="s">
        <v>4979</v>
      </c>
      <c r="E1723" s="6" t="s">
        <v>35</v>
      </c>
      <c r="F1723" s="6" t="s">
        <v>4879</v>
      </c>
      <c r="G1723" s="6" t="s">
        <v>278</v>
      </c>
      <c r="H1723" s="6">
        <v>4</v>
      </c>
      <c r="I1723" s="18">
        <v>620</v>
      </c>
      <c r="J1723" s="19">
        <v>46234.5552576389</v>
      </c>
      <c r="K1723" s="6" t="s">
        <v>4880</v>
      </c>
      <c r="L1723" t="str">
        <f t="shared" si="26"/>
        <v>FILTRO DE AR DA CAIXA DE AR A 0008305618|46232</v>
      </c>
    </row>
    <row r="1724" ht="13.5" customHeight="1" spans="1:12">
      <c r="A1724" s="17">
        <v>46231.5965277778</v>
      </c>
      <c r="B1724" s="6" t="s">
        <v>4876</v>
      </c>
      <c r="C1724" s="6" t="s">
        <v>5939</v>
      </c>
      <c r="D1724" s="6" t="s">
        <v>5597</v>
      </c>
      <c r="E1724" s="6" t="s">
        <v>390</v>
      </c>
      <c r="F1724" s="6" t="s">
        <v>4879</v>
      </c>
      <c r="G1724" s="6" t="s">
        <v>389</v>
      </c>
      <c r="H1724" s="6">
        <v>32</v>
      </c>
      <c r="I1724" s="18">
        <v>2513.6</v>
      </c>
      <c r="J1724" s="19">
        <v>46239.5987341782</v>
      </c>
      <c r="K1724" s="6" t="s">
        <v>4880</v>
      </c>
      <c r="L1724" t="str">
        <f t="shared" si="26"/>
        <v>SH 5000|46232</v>
      </c>
    </row>
    <row r="1725" ht="13.5" customHeight="1" spans="1:12">
      <c r="A1725" s="17">
        <v>46231.6867824074</v>
      </c>
      <c r="B1725" s="6" t="s">
        <v>4876</v>
      </c>
      <c r="C1725" s="6" t="s">
        <v>5940</v>
      </c>
      <c r="D1725" s="6" t="s">
        <v>4894</v>
      </c>
      <c r="E1725" s="6" t="s">
        <v>26</v>
      </c>
      <c r="F1725" s="6" t="s">
        <v>4882</v>
      </c>
      <c r="G1725" s="6" t="s">
        <v>1462</v>
      </c>
      <c r="H1725" s="6">
        <v>10</v>
      </c>
      <c r="I1725" s="18">
        <v>178.1</v>
      </c>
      <c r="J1725" s="19">
        <v>46231.6895572107</v>
      </c>
      <c r="K1725" s="6" t="s">
        <v>4880</v>
      </c>
      <c r="L1725" t="str">
        <f t="shared" si="26"/>
        <v>SERRA STARRETT BIMETAL 18 DENTES|46232</v>
      </c>
    </row>
    <row r="1726" ht="13.5" customHeight="1" spans="1:12">
      <c r="A1726" s="17">
        <v>46231.6867824074</v>
      </c>
      <c r="B1726" s="6" t="s">
        <v>4876</v>
      </c>
      <c r="C1726" s="6" t="s">
        <v>5940</v>
      </c>
      <c r="D1726" s="6" t="s">
        <v>4894</v>
      </c>
      <c r="E1726" s="6" t="s">
        <v>26</v>
      </c>
      <c r="F1726" s="6" t="s">
        <v>4882</v>
      </c>
      <c r="G1726" s="6" t="s">
        <v>40</v>
      </c>
      <c r="H1726" s="6">
        <v>10</v>
      </c>
      <c r="I1726" s="18">
        <v>1338.2</v>
      </c>
      <c r="J1726" s="19">
        <v>46231.6895559375</v>
      </c>
      <c r="K1726" s="6" t="s">
        <v>4880</v>
      </c>
      <c r="L1726" t="str">
        <f t="shared" si="26"/>
        <v>RODA COLSON PNEUMATICA 350-4 R.7|46232</v>
      </c>
    </row>
    <row r="1727" ht="13.5" customHeight="1" spans="1:12">
      <c r="A1727" s="17">
        <v>46231.6898263889</v>
      </c>
      <c r="B1727" s="6" t="s">
        <v>4876</v>
      </c>
      <c r="C1727" s="6" t="s">
        <v>5941</v>
      </c>
      <c r="D1727" s="6" t="s">
        <v>110</v>
      </c>
      <c r="E1727" s="6" t="s">
        <v>26</v>
      </c>
      <c r="F1727" s="6" t="s">
        <v>4882</v>
      </c>
      <c r="G1727" s="6" t="s">
        <v>2207</v>
      </c>
      <c r="H1727" s="6">
        <v>3</v>
      </c>
      <c r="I1727" s="18">
        <v>360</v>
      </c>
      <c r="J1727" s="19">
        <v>46231.6917211458</v>
      </c>
      <c r="K1727" s="6" t="s">
        <v>4880</v>
      </c>
      <c r="L1727" t="str">
        <f t="shared" si="26"/>
        <v>PAR FAROL DE LED REDONDO MENOR|46232</v>
      </c>
    </row>
    <row r="1728" ht="13.5" customHeight="1" spans="1:12">
      <c r="A1728" s="17">
        <v>46231.6952314815</v>
      </c>
      <c r="B1728" s="6" t="s">
        <v>4876</v>
      </c>
      <c r="C1728" s="6" t="s">
        <v>5940</v>
      </c>
      <c r="D1728" s="6" t="s">
        <v>5942</v>
      </c>
      <c r="E1728" s="6" t="s">
        <v>26</v>
      </c>
      <c r="F1728" s="6" t="s">
        <v>4882</v>
      </c>
      <c r="G1728" s="6" t="s">
        <v>3912</v>
      </c>
      <c r="H1728" s="6">
        <v>1</v>
      </c>
      <c r="I1728" s="18">
        <v>19.2</v>
      </c>
      <c r="J1728" s="19">
        <v>46231.6984539005</v>
      </c>
      <c r="K1728" s="6" t="s">
        <v>4880</v>
      </c>
      <c r="L1728" t="str">
        <f t="shared" si="26"/>
        <v>CARTA COMERCIAL REG|46232</v>
      </c>
    </row>
    <row r="1729" ht="13.5" customHeight="1" spans="1:12">
      <c r="A1729" s="17">
        <v>46231.6965277778</v>
      </c>
      <c r="B1729" s="6" t="s">
        <v>4876</v>
      </c>
      <c r="C1729" s="6" t="s">
        <v>5943</v>
      </c>
      <c r="D1729" s="6" t="s">
        <v>5175</v>
      </c>
      <c r="E1729" s="6" t="s">
        <v>35</v>
      </c>
      <c r="F1729" s="6" t="s">
        <v>4879</v>
      </c>
      <c r="G1729" s="6" t="s">
        <v>4832</v>
      </c>
      <c r="H1729" s="6">
        <v>1</v>
      </c>
      <c r="I1729" s="18">
        <v>4610</v>
      </c>
      <c r="J1729" s="19">
        <v>46233.7020802431</v>
      </c>
      <c r="K1729" s="6" t="s">
        <v>4880</v>
      </c>
      <c r="L1729" t="str">
        <f t="shared" si="26"/>
        <v>23B/ 498611 CUBO|46232</v>
      </c>
    </row>
    <row r="1730" ht="13.5" customHeight="1" spans="1:12">
      <c r="A1730" s="17">
        <v>46231.6965277778</v>
      </c>
      <c r="B1730" s="6" t="s">
        <v>4876</v>
      </c>
      <c r="C1730" s="6" t="s">
        <v>5943</v>
      </c>
      <c r="D1730" s="6" t="s">
        <v>5175</v>
      </c>
      <c r="E1730" s="6" t="s">
        <v>35</v>
      </c>
      <c r="F1730" s="6" t="s">
        <v>4879</v>
      </c>
      <c r="G1730" s="6" t="s">
        <v>4831</v>
      </c>
      <c r="H1730" s="6">
        <v>1</v>
      </c>
      <c r="I1730" s="18">
        <v>90</v>
      </c>
      <c r="J1730" s="19">
        <v>46233.7020702894</v>
      </c>
      <c r="K1730" s="6" t="s">
        <v>4880</v>
      </c>
      <c r="L1730" t="str">
        <f t="shared" ref="L1730:L1793" si="27">IF(G1730="","",G1730&amp;"|"&amp;TEXT(A1730,"0"))</f>
        <v>23B/ 601117 TAMPA DO CUBO|46232</v>
      </c>
    </row>
    <row r="1731" ht="13.5" customHeight="1" spans="1:12">
      <c r="A1731" s="17">
        <v>46232.5752893519</v>
      </c>
      <c r="B1731" s="6" t="s">
        <v>4876</v>
      </c>
      <c r="C1731" s="6" t="s">
        <v>5944</v>
      </c>
      <c r="D1731" s="6" t="s">
        <v>4971</v>
      </c>
      <c r="E1731" s="6" t="s">
        <v>26</v>
      </c>
      <c r="F1731" s="6" t="s">
        <v>4882</v>
      </c>
      <c r="G1731" s="6" t="s">
        <v>470</v>
      </c>
      <c r="H1731" s="6">
        <v>5</v>
      </c>
      <c r="I1731" s="18">
        <v>93.55</v>
      </c>
      <c r="J1731" s="19">
        <v>46232.576784456</v>
      </c>
      <c r="K1731" s="6" t="s">
        <v>4880</v>
      </c>
      <c r="L1731" t="str">
        <f t="shared" si="27"/>
        <v>FITA ISOLANTE 19x20M TIGRE|46233</v>
      </c>
    </row>
    <row r="1732" ht="13.5" customHeight="1" spans="1:12">
      <c r="A1732" s="17">
        <v>46232.5770717593</v>
      </c>
      <c r="B1732" s="6" t="s">
        <v>4876</v>
      </c>
      <c r="C1732" s="6" t="s">
        <v>5945</v>
      </c>
      <c r="D1732" s="6" t="s">
        <v>5065</v>
      </c>
      <c r="E1732" s="6" t="s">
        <v>26</v>
      </c>
      <c r="F1732" s="6" t="s">
        <v>4882</v>
      </c>
      <c r="G1732" s="6" t="s">
        <v>266</v>
      </c>
      <c r="H1732" s="6">
        <v>5</v>
      </c>
      <c r="I1732" s="18">
        <v>175</v>
      </c>
      <c r="J1732" s="19">
        <v>46232.5782542477</v>
      </c>
      <c r="K1732" s="6" t="s">
        <v>4880</v>
      </c>
      <c r="L1732" t="str">
        <f t="shared" si="27"/>
        <v>LAMINA 2 PONTAS 350MM FURO 20MM AÇO (ROÇADEIRA)|46233</v>
      </c>
    </row>
    <row r="1733" ht="13.5" customHeight="1" spans="1:12">
      <c r="A1733" s="17">
        <v>46232.5770717593</v>
      </c>
      <c r="B1733" s="6" t="s">
        <v>4876</v>
      </c>
      <c r="C1733" s="6" t="s">
        <v>5945</v>
      </c>
      <c r="D1733" s="6" t="s">
        <v>5065</v>
      </c>
      <c r="E1733" s="6" t="s">
        <v>26</v>
      </c>
      <c r="F1733" s="6" t="s">
        <v>4882</v>
      </c>
      <c r="G1733" s="6" t="s">
        <v>2153</v>
      </c>
      <c r="H1733" s="6">
        <v>1</v>
      </c>
      <c r="I1733" s="18">
        <v>18</v>
      </c>
      <c r="J1733" s="19">
        <v>46232.5782434028</v>
      </c>
      <c r="K1733" s="6" t="s">
        <v>4880</v>
      </c>
      <c r="L1733" t="str">
        <f t="shared" si="27"/>
        <v>PARAFUSO DE FECHAMENTO C4|46233</v>
      </c>
    </row>
    <row r="1734" ht="13.5" customHeight="1" spans="1:12">
      <c r="A1734" s="17">
        <v>46232.5832986111</v>
      </c>
      <c r="B1734" s="6" t="s">
        <v>4876</v>
      </c>
      <c r="C1734" s="6" t="s">
        <v>5946</v>
      </c>
      <c r="D1734" s="6" t="s">
        <v>4971</v>
      </c>
      <c r="E1734" s="6" t="s">
        <v>26</v>
      </c>
      <c r="F1734" s="6" t="s">
        <v>4882</v>
      </c>
      <c r="G1734" s="6" t="s">
        <v>470</v>
      </c>
      <c r="H1734" s="6">
        <v>5</v>
      </c>
      <c r="I1734" s="18">
        <v>93.55</v>
      </c>
      <c r="J1734" s="19">
        <v>46232.5851159722</v>
      </c>
      <c r="K1734" s="6" t="s">
        <v>4880</v>
      </c>
      <c r="L1734" t="str">
        <f t="shared" si="27"/>
        <v>FITA ISOLANTE 19x20M TIGRE|46233</v>
      </c>
    </row>
    <row r="1735" ht="13.5" customHeight="1" spans="1:12">
      <c r="A1735" s="17">
        <v>46232.5832986111</v>
      </c>
      <c r="B1735" s="6" t="s">
        <v>4876</v>
      </c>
      <c r="C1735" s="6" t="s">
        <v>5946</v>
      </c>
      <c r="D1735" s="6" t="s">
        <v>4971</v>
      </c>
      <c r="E1735" s="6" t="s">
        <v>26</v>
      </c>
      <c r="F1735" s="6" t="s">
        <v>4882</v>
      </c>
      <c r="G1735" s="6" t="s">
        <v>4353</v>
      </c>
      <c r="H1735" s="6">
        <v>6</v>
      </c>
      <c r="I1735" s="18">
        <v>30</v>
      </c>
      <c r="J1735" s="19">
        <v>46232.5851145486</v>
      </c>
      <c r="K1735" s="6" t="s">
        <v>4880</v>
      </c>
      <c r="L1735" t="str">
        <f t="shared" si="27"/>
        <v>BOCAL LOUCA EMBUT PORCELANA|46233</v>
      </c>
    </row>
    <row r="1736" ht="13.5" customHeight="1" spans="1:12">
      <c r="A1736" s="17">
        <v>46232.585462963</v>
      </c>
      <c r="B1736" s="6" t="s">
        <v>4876</v>
      </c>
      <c r="C1736" s="6" t="s">
        <v>5947</v>
      </c>
      <c r="D1736" s="6" t="s">
        <v>5948</v>
      </c>
      <c r="E1736" s="6" t="s">
        <v>390</v>
      </c>
      <c r="F1736" s="6" t="s">
        <v>4879</v>
      </c>
      <c r="G1736" s="6" t="s">
        <v>3036</v>
      </c>
      <c r="H1736" s="6">
        <v>24</v>
      </c>
      <c r="I1736" s="18">
        <v>5472</v>
      </c>
      <c r="J1736" s="19">
        <v>46232.5902888542</v>
      </c>
      <c r="K1736" s="6" t="s">
        <v>4880</v>
      </c>
      <c r="L1736" t="str">
        <f t="shared" si="27"/>
        <v>FITA PP BRANCA PP0955 COM 4000M|46233</v>
      </c>
    </row>
    <row r="1737" ht="13.5" customHeight="1" spans="1:12">
      <c r="A1737" s="17">
        <v>46232.6402777778</v>
      </c>
      <c r="B1737" s="6" t="s">
        <v>4876</v>
      </c>
      <c r="C1737" s="6" t="s">
        <v>5949</v>
      </c>
      <c r="D1737" s="6" t="s">
        <v>4979</v>
      </c>
      <c r="E1737" s="6" t="s">
        <v>35</v>
      </c>
      <c r="F1737" s="6" t="s">
        <v>4879</v>
      </c>
      <c r="G1737" s="6" t="s">
        <v>1711</v>
      </c>
      <c r="H1737" s="6">
        <v>1</v>
      </c>
      <c r="I1737" s="18">
        <v>265</v>
      </c>
      <c r="J1737" s="19">
        <v>46233.6439251505</v>
      </c>
      <c r="K1737" s="6" t="s">
        <v>4880</v>
      </c>
      <c r="L1737" t="str">
        <f t="shared" si="27"/>
        <v>RETENTOR DE VEDAÇAO A0249978047|46233</v>
      </c>
    </row>
    <row r="1738" ht="13.5" customHeight="1" spans="1:12">
      <c r="A1738" s="17">
        <v>46232.7166666667</v>
      </c>
      <c r="B1738" s="6" t="s">
        <v>4876</v>
      </c>
      <c r="C1738" s="6" t="s">
        <v>5950</v>
      </c>
      <c r="D1738" s="6" t="s">
        <v>5951</v>
      </c>
      <c r="E1738" s="6" t="s">
        <v>26</v>
      </c>
      <c r="F1738" s="6" t="s">
        <v>4882</v>
      </c>
      <c r="G1738" s="6" t="s">
        <v>678</v>
      </c>
      <c r="H1738" s="6">
        <v>4</v>
      </c>
      <c r="I1738" s="18">
        <v>147.8</v>
      </c>
      <c r="J1738" s="19">
        <v>46237.7248680556</v>
      </c>
      <c r="K1738" s="6" t="s">
        <v>4880</v>
      </c>
      <c r="L1738" t="str">
        <f t="shared" si="27"/>
        <v>PATCH BORDADO TAG TARJA EM TRENINAMENTO 2X8 8669|46233</v>
      </c>
    </row>
    <row r="1739" ht="13.5" customHeight="1" spans="1:12">
      <c r="A1739" s="17">
        <v>46233.5314467593</v>
      </c>
      <c r="B1739" s="6" t="s">
        <v>4876</v>
      </c>
      <c r="C1739" s="6" t="s">
        <v>5952</v>
      </c>
      <c r="D1739" s="6" t="s">
        <v>4954</v>
      </c>
      <c r="E1739" s="6" t="s">
        <v>26</v>
      </c>
      <c r="F1739" s="6" t="s">
        <v>4882</v>
      </c>
      <c r="G1739" s="6" t="s">
        <v>4189</v>
      </c>
      <c r="H1739" s="6">
        <v>10</v>
      </c>
      <c r="I1739" s="18">
        <v>326</v>
      </c>
      <c r="J1739" s="19">
        <v>46233.5365112616</v>
      </c>
      <c r="K1739" s="6" t="s">
        <v>4880</v>
      </c>
      <c r="L1739" t="str">
        <f t="shared" si="27"/>
        <v>BUCHA ESTABILIZADOR DIANTEIRA /TRASEIRA R-3263|46234</v>
      </c>
    </row>
    <row r="1740" ht="13.5" customHeight="1" spans="1:12">
      <c r="A1740" s="17">
        <v>46233.5372685185</v>
      </c>
      <c r="B1740" s="6" t="s">
        <v>4876</v>
      </c>
      <c r="C1740" s="6" t="s">
        <v>5953</v>
      </c>
      <c r="D1740" s="6" t="s">
        <v>4982</v>
      </c>
      <c r="E1740" s="6" t="s">
        <v>26</v>
      </c>
      <c r="F1740" s="6" t="s">
        <v>4882</v>
      </c>
      <c r="G1740" s="6" t="s">
        <v>4672</v>
      </c>
      <c r="H1740" s="6">
        <v>30</v>
      </c>
      <c r="I1740" s="18">
        <v>30</v>
      </c>
      <c r="J1740" s="19">
        <v>46233.5395894676</v>
      </c>
      <c r="K1740" s="6" t="s">
        <v>4880</v>
      </c>
      <c r="L1740" t="str">
        <f t="shared" si="27"/>
        <v>ADESIVOS CHAVEIRO|46234</v>
      </c>
    </row>
    <row r="1741" ht="13.5" customHeight="1" spans="1:12">
      <c r="A1741" s="17">
        <v>46233.540150463</v>
      </c>
      <c r="B1741" s="6" t="s">
        <v>4876</v>
      </c>
      <c r="C1741" s="6" t="s">
        <v>5954</v>
      </c>
      <c r="D1741" s="6" t="s">
        <v>4916</v>
      </c>
      <c r="E1741" s="6" t="s">
        <v>26</v>
      </c>
      <c r="F1741" s="6" t="s">
        <v>4882</v>
      </c>
      <c r="G1741" s="6" t="s">
        <v>4027</v>
      </c>
      <c r="H1741" s="6">
        <v>4</v>
      </c>
      <c r="I1741" s="18">
        <v>468.08</v>
      </c>
      <c r="J1741" s="19">
        <v>46233.5429197107</v>
      </c>
      <c r="K1741" s="6" t="s">
        <v>4880</v>
      </c>
      <c r="L1741" t="str">
        <f t="shared" si="27"/>
        <v>CAMERA TV IP BULLET VIPC 1230 B G2|46234</v>
      </c>
    </row>
    <row r="1742" ht="13.5" customHeight="1" spans="1:12">
      <c r="A1742" s="17">
        <v>46233.540150463</v>
      </c>
      <c r="B1742" s="6" t="s">
        <v>4876</v>
      </c>
      <c r="C1742" s="6" t="s">
        <v>5954</v>
      </c>
      <c r="D1742" s="6" t="s">
        <v>4916</v>
      </c>
      <c r="E1742" s="6" t="s">
        <v>26</v>
      </c>
      <c r="F1742" s="6" t="s">
        <v>4882</v>
      </c>
      <c r="G1742" s="6" t="s">
        <v>4423</v>
      </c>
      <c r="H1742" s="6">
        <v>3</v>
      </c>
      <c r="I1742" s="18">
        <v>371.88</v>
      </c>
      <c r="J1742" s="19">
        <v>46233.5429191782</v>
      </c>
      <c r="K1742" s="6" t="s">
        <v>4880</v>
      </c>
      <c r="L1742" t="str">
        <f t="shared" si="27"/>
        <v>BATERIA SELADA 12V 7A MARCA MOURA|46234</v>
      </c>
    </row>
    <row r="1743" ht="13.5" customHeight="1" spans="1:12">
      <c r="A1743" s="17">
        <v>46233.5472222222</v>
      </c>
      <c r="B1743" s="6" t="s">
        <v>4876</v>
      </c>
      <c r="C1743" s="6" t="s">
        <v>5955</v>
      </c>
      <c r="D1743" s="6" t="s">
        <v>5582</v>
      </c>
      <c r="E1743" s="6" t="s">
        <v>38</v>
      </c>
      <c r="F1743" s="6" t="s">
        <v>4879</v>
      </c>
      <c r="G1743" s="6" t="s">
        <v>259</v>
      </c>
      <c r="H1743" s="6">
        <v>100</v>
      </c>
      <c r="I1743" s="18">
        <v>294</v>
      </c>
      <c r="J1743" s="19">
        <v>46234.5538716782</v>
      </c>
      <c r="K1743" s="6" t="s">
        <v>4880</v>
      </c>
      <c r="L1743" t="str">
        <f t="shared" si="27"/>
        <v>COPO COPOMAIS 50ML|46234</v>
      </c>
    </row>
    <row r="1744" ht="13.5" customHeight="1" spans="1:12">
      <c r="A1744" s="17">
        <v>46233.5472222222</v>
      </c>
      <c r="B1744" s="6" t="s">
        <v>4876</v>
      </c>
      <c r="C1744" s="6" t="s">
        <v>5955</v>
      </c>
      <c r="D1744" s="6" t="s">
        <v>5582</v>
      </c>
      <c r="E1744" s="6" t="s">
        <v>38</v>
      </c>
      <c r="F1744" s="6" t="s">
        <v>4879</v>
      </c>
      <c r="G1744" s="6" t="s">
        <v>181</v>
      </c>
      <c r="H1744" s="6">
        <v>375</v>
      </c>
      <c r="I1744" s="18">
        <v>1725</v>
      </c>
      <c r="J1744" s="19">
        <v>46234.5538706019</v>
      </c>
      <c r="K1744" s="6" t="s">
        <v>4880</v>
      </c>
      <c r="L1744" t="str">
        <f t="shared" si="27"/>
        <v>COPO DESCARTÁVEL 200ML COPOMAIS|46234</v>
      </c>
    </row>
    <row r="1745" ht="13.5" customHeight="1" spans="1:12">
      <c r="A1745" s="17">
        <v>46233.5472222222</v>
      </c>
      <c r="B1745" s="6" t="s">
        <v>4876</v>
      </c>
      <c r="C1745" s="6" t="s">
        <v>5955</v>
      </c>
      <c r="D1745" s="6" t="s">
        <v>5582</v>
      </c>
      <c r="E1745" s="6" t="s">
        <v>38</v>
      </c>
      <c r="F1745" s="6" t="s">
        <v>4879</v>
      </c>
      <c r="G1745" s="6" t="s">
        <v>806</v>
      </c>
      <c r="H1745" s="6">
        <v>20</v>
      </c>
      <c r="I1745" s="18">
        <v>620</v>
      </c>
      <c r="J1745" s="19">
        <v>46234.5538680556</v>
      </c>
      <c r="K1745" s="6" t="s">
        <v>4880</v>
      </c>
      <c r="L1745" t="str">
        <f t="shared" si="27"/>
        <v>SACO PLÁSTICO PEBD/PE 50x80|46234</v>
      </c>
    </row>
    <row r="1746" ht="13.5" customHeight="1" spans="1:12">
      <c r="A1746" s="17">
        <v>46233.5472222222</v>
      </c>
      <c r="B1746" s="6" t="s">
        <v>4876</v>
      </c>
      <c r="C1746" s="6" t="s">
        <v>5955</v>
      </c>
      <c r="D1746" s="6" t="s">
        <v>5582</v>
      </c>
      <c r="E1746" s="6" t="s">
        <v>38</v>
      </c>
      <c r="F1746" s="6" t="s">
        <v>4879</v>
      </c>
      <c r="G1746" s="6" t="s">
        <v>533</v>
      </c>
      <c r="H1746" s="6">
        <v>20</v>
      </c>
      <c r="I1746" s="18">
        <v>1180</v>
      </c>
      <c r="J1746" s="19">
        <v>46234.5538673611</v>
      </c>
      <c r="K1746" s="6" t="s">
        <v>4880</v>
      </c>
      <c r="L1746" t="str">
        <f t="shared" si="27"/>
        <v>SACOLA VERDE REFORÇADA 50x60 5 KG|46234</v>
      </c>
    </row>
    <row r="1747" ht="13.5" customHeight="1" spans="1:12">
      <c r="A1747" s="17">
        <v>46233.55</v>
      </c>
      <c r="B1747" s="6" t="s">
        <v>4876</v>
      </c>
      <c r="C1747" s="6" t="s">
        <v>5956</v>
      </c>
      <c r="D1747" s="6" t="s">
        <v>4986</v>
      </c>
      <c r="E1747" s="6" t="s">
        <v>26</v>
      </c>
      <c r="F1747" s="6" t="s">
        <v>4882</v>
      </c>
      <c r="G1747" s="6" t="s">
        <v>485</v>
      </c>
      <c r="H1747" s="6">
        <v>200</v>
      </c>
      <c r="I1747" s="18">
        <v>4398</v>
      </c>
      <c r="J1747" s="19">
        <v>46238.5528226505</v>
      </c>
      <c r="K1747" s="6" t="s">
        <v>4880</v>
      </c>
      <c r="L1747" t="str">
        <f t="shared" si="27"/>
        <v>LUVA NITRÍLICA AZUL (G) C/100|46234</v>
      </c>
    </row>
    <row r="1748" ht="13.5" customHeight="1" spans="1:12">
      <c r="A1748" s="17">
        <v>46233.55</v>
      </c>
      <c r="B1748" s="6" t="s">
        <v>4876</v>
      </c>
      <c r="C1748" s="6" t="s">
        <v>5956</v>
      </c>
      <c r="D1748" s="6" t="s">
        <v>4986</v>
      </c>
      <c r="E1748" s="6" t="s">
        <v>26</v>
      </c>
      <c r="F1748" s="6" t="s">
        <v>4882</v>
      </c>
      <c r="G1748" s="6" t="s">
        <v>647</v>
      </c>
      <c r="H1748" s="6">
        <v>150</v>
      </c>
      <c r="I1748" s="18">
        <v>1005</v>
      </c>
      <c r="J1748" s="19">
        <v>46238.5528197569</v>
      </c>
      <c r="K1748" s="6" t="s">
        <v>4880</v>
      </c>
      <c r="L1748" t="str">
        <f t="shared" si="27"/>
        <v>MEIA TÉRMICA ALGODÃO|46234</v>
      </c>
    </row>
    <row r="1749" ht="13.5" customHeight="1" spans="1:12">
      <c r="A1749" s="17">
        <v>46233.5557638889</v>
      </c>
      <c r="B1749" s="6" t="s">
        <v>4876</v>
      </c>
      <c r="C1749" s="6" t="s">
        <v>5957</v>
      </c>
      <c r="D1749" s="6" t="s">
        <v>109</v>
      </c>
      <c r="E1749" s="6" t="s">
        <v>26</v>
      </c>
      <c r="F1749" s="6" t="s">
        <v>4882</v>
      </c>
      <c r="G1749" s="6" t="s">
        <v>2660</v>
      </c>
      <c r="H1749" s="6">
        <v>1</v>
      </c>
      <c r="I1749" s="18">
        <v>944.48</v>
      </c>
      <c r="J1749" s="19">
        <v>46233.5566337963</v>
      </c>
      <c r="K1749" s="6" t="s">
        <v>4880</v>
      </c>
      <c r="L1749" t="str">
        <f t="shared" si="27"/>
        <v>LIM+ DETERGENTELAVA ROUPAS 50L|46234</v>
      </c>
    </row>
    <row r="1750" ht="13.5" customHeight="1" spans="1:12">
      <c r="A1750" s="17">
        <v>46233.6453009259</v>
      </c>
      <c r="B1750" s="6" t="s">
        <v>4876</v>
      </c>
      <c r="C1750" s="6" t="s">
        <v>5958</v>
      </c>
      <c r="D1750" s="6" t="s">
        <v>5615</v>
      </c>
      <c r="E1750" s="6" t="s">
        <v>390</v>
      </c>
      <c r="F1750" s="6" t="s">
        <v>4879</v>
      </c>
      <c r="G1750" s="6" t="s">
        <v>3452</v>
      </c>
      <c r="H1750" s="6">
        <v>2</v>
      </c>
      <c r="I1750" s="18">
        <v>798</v>
      </c>
      <c r="J1750" s="19">
        <v>46233.6476340625</v>
      </c>
      <c r="K1750" s="6" t="s">
        <v>4880</v>
      </c>
      <c r="L1750" t="str">
        <f t="shared" si="27"/>
        <v>DISCO DE CORTE PARA MOEDO DE CARNE |46234</v>
      </c>
    </row>
    <row r="1751" ht="13.5" customHeight="1" spans="1:12">
      <c r="A1751" s="17">
        <v>46233.7035532407</v>
      </c>
      <c r="B1751" s="6" t="s">
        <v>4876</v>
      </c>
      <c r="C1751" s="6" t="s">
        <v>5959</v>
      </c>
      <c r="D1751" s="6" t="s">
        <v>110</v>
      </c>
      <c r="E1751" s="6" t="s">
        <v>26</v>
      </c>
      <c r="F1751" s="6" t="s">
        <v>4882</v>
      </c>
      <c r="G1751" s="6" t="s">
        <v>2728</v>
      </c>
      <c r="H1751" s="6">
        <v>10</v>
      </c>
      <c r="I1751" s="18">
        <v>600</v>
      </c>
      <c r="J1751" s="19">
        <v>46233.7044909375</v>
      </c>
      <c r="K1751" s="6" t="s">
        <v>4880</v>
      </c>
      <c r="L1751" t="str">
        <f t="shared" si="27"/>
        <v>LAMEIRA 50X50 COMPLETA|46234</v>
      </c>
    </row>
    <row r="1752" ht="13.5" customHeight="1" spans="1:12">
      <c r="A1752" s="17">
        <v>46233.7047800926</v>
      </c>
      <c r="B1752" s="6" t="s">
        <v>4876</v>
      </c>
      <c r="C1752" s="6" t="s">
        <v>5960</v>
      </c>
      <c r="D1752" s="6" t="s">
        <v>5492</v>
      </c>
      <c r="E1752" s="6" t="s">
        <v>26</v>
      </c>
      <c r="F1752" s="6" t="s">
        <v>4882</v>
      </c>
      <c r="G1752" s="6" t="s">
        <v>4810</v>
      </c>
      <c r="H1752" s="6">
        <v>50</v>
      </c>
      <c r="I1752" s="18">
        <v>15</v>
      </c>
      <c r="J1752" s="19">
        <v>46233.7071194097</v>
      </c>
      <c r="K1752" s="6" t="s">
        <v>4880</v>
      </c>
      <c r="L1752" t="str">
        <f t="shared" si="27"/>
        <v>7091 PARAFUSO BROC FLANGEADO 4,2X25|46234</v>
      </c>
    </row>
    <row r="1753" ht="13.5" customHeight="1" spans="1:12">
      <c r="A1753" s="17">
        <v>46233.7073842593</v>
      </c>
      <c r="B1753" s="6" t="s">
        <v>4876</v>
      </c>
      <c r="C1753" s="6" t="s">
        <v>5961</v>
      </c>
      <c r="D1753" s="6" t="s">
        <v>5065</v>
      </c>
      <c r="E1753" s="6" t="s">
        <v>26</v>
      </c>
      <c r="F1753" s="6" t="s">
        <v>4882</v>
      </c>
      <c r="G1753" s="6" t="s">
        <v>2747</v>
      </c>
      <c r="H1753" s="6">
        <v>2</v>
      </c>
      <c r="I1753" s="18">
        <v>120</v>
      </c>
      <c r="J1753" s="19">
        <v>46233.7083148148</v>
      </c>
      <c r="K1753" s="6" t="s">
        <v>4880</v>
      </c>
      <c r="L1753" t="str">
        <f t="shared" si="27"/>
        <v>KIT NYLON P ROÇADEIRA STHIL/CARRETEL|46234</v>
      </c>
    </row>
    <row r="1754" ht="13.5" customHeight="1" spans="1:12">
      <c r="A1754" s="17">
        <v>46233.7138888889</v>
      </c>
      <c r="B1754" s="6" t="s">
        <v>4876</v>
      </c>
      <c r="C1754" s="6" t="s">
        <v>5962</v>
      </c>
      <c r="D1754" s="6" t="s">
        <v>5963</v>
      </c>
      <c r="E1754" s="6" t="s">
        <v>26</v>
      </c>
      <c r="F1754" s="6" t="s">
        <v>4882</v>
      </c>
      <c r="G1754" s="6" t="s">
        <v>668</v>
      </c>
      <c r="H1754" s="6">
        <v>1</v>
      </c>
      <c r="I1754" s="18">
        <v>873</v>
      </c>
      <c r="J1754" s="19">
        <v>46237.7162672107</v>
      </c>
      <c r="K1754" s="6" t="s">
        <v>4880</v>
      </c>
      <c r="L1754" t="str">
        <f t="shared" si="27"/>
        <v>MONITOR DELL 21.5 SE2222H 100V/240V PRETO|46234</v>
      </c>
    </row>
    <row r="1755" ht="13.5" customHeight="1" spans="1:12">
      <c r="A1755" s="17">
        <v>46234.5451388889</v>
      </c>
      <c r="B1755" s="6" t="s">
        <v>4876</v>
      </c>
      <c r="C1755" s="6" t="s">
        <v>5964</v>
      </c>
      <c r="D1755" s="6" t="s">
        <v>5227</v>
      </c>
      <c r="E1755" s="6" t="s">
        <v>26</v>
      </c>
      <c r="F1755" s="6" t="s">
        <v>4882</v>
      </c>
      <c r="G1755" s="6" t="s">
        <v>1529</v>
      </c>
      <c r="H1755" s="6">
        <v>1</v>
      </c>
      <c r="I1755" s="18">
        <v>3219</v>
      </c>
      <c r="J1755" s="19">
        <v>46237.5470418171</v>
      </c>
      <c r="K1755" s="6" t="s">
        <v>4880</v>
      </c>
      <c r="L1755" t="str">
        <f t="shared" si="27"/>
        <v>SAMSUNG GALAXY A06 128GB AZUL|46235</v>
      </c>
    </row>
    <row r="1756" ht="13.5" customHeight="1" spans="1:12">
      <c r="A1756" s="17">
        <v>46234.5565046296</v>
      </c>
      <c r="B1756" s="6" t="s">
        <v>4876</v>
      </c>
      <c r="C1756" s="6" t="s">
        <v>5965</v>
      </c>
      <c r="D1756" s="6" t="s">
        <v>4971</v>
      </c>
      <c r="E1756" s="6" t="s">
        <v>26</v>
      </c>
      <c r="F1756" s="6" t="s">
        <v>4882</v>
      </c>
      <c r="G1756" s="6" t="s">
        <v>4388</v>
      </c>
      <c r="H1756" s="6">
        <v>2</v>
      </c>
      <c r="I1756" s="18">
        <v>16.24</v>
      </c>
      <c r="J1756" s="19">
        <v>46234.5573354167</v>
      </c>
      <c r="K1756" s="6" t="s">
        <v>4880</v>
      </c>
      <c r="L1756" t="str">
        <f t="shared" si="27"/>
        <v>BLUKIT SIFAO EXT UNIV BR |46235</v>
      </c>
    </row>
    <row r="1757" ht="13.5" customHeight="1" spans="1:12">
      <c r="A1757" s="17">
        <v>46234.5743055556</v>
      </c>
      <c r="B1757" s="6" t="s">
        <v>4876</v>
      </c>
      <c r="C1757" s="6" t="s">
        <v>5966</v>
      </c>
      <c r="D1757" s="6" t="s">
        <v>5967</v>
      </c>
      <c r="E1757" s="6" t="s">
        <v>26</v>
      </c>
      <c r="F1757" s="6" t="s">
        <v>4882</v>
      </c>
      <c r="G1757" s="6" t="s">
        <v>669</v>
      </c>
      <c r="H1757" s="6">
        <v>1</v>
      </c>
      <c r="I1757" s="18">
        <v>5199</v>
      </c>
      <c r="J1757" s="19">
        <v>46239.5821144329</v>
      </c>
      <c r="K1757" s="6" t="s">
        <v>4880</v>
      </c>
      <c r="L1757" t="str">
        <f t="shared" si="27"/>
        <v>CPU DELLF OPTIPLEX MINI 7020 15 14H 512GB 127/220|46235</v>
      </c>
    </row>
    <row r="1758" ht="13.5" customHeight="1" spans="1:12">
      <c r="A1758" s="17">
        <v>46234.5952430556</v>
      </c>
      <c r="B1758" s="6" t="s">
        <v>4876</v>
      </c>
      <c r="C1758" s="6" t="s">
        <v>5968</v>
      </c>
      <c r="D1758" s="6" t="s">
        <v>4894</v>
      </c>
      <c r="E1758" s="6" t="s">
        <v>26</v>
      </c>
      <c r="F1758" s="6" t="s">
        <v>4882</v>
      </c>
      <c r="G1758" s="6" t="s">
        <v>3563</v>
      </c>
      <c r="H1758" s="6">
        <v>4</v>
      </c>
      <c r="I1758" s="18">
        <v>17.2</v>
      </c>
      <c r="J1758" s="19">
        <v>46234.600465625</v>
      </c>
      <c r="K1758" s="6" t="s">
        <v>4880</v>
      </c>
      <c r="L1758" t="str">
        <f t="shared" si="27"/>
        <v>CORRENTE 3,0MM-1/8 73,5|46235</v>
      </c>
    </row>
    <row r="1759" ht="13.5" customHeight="1" spans="1:12">
      <c r="A1759" s="17">
        <v>46234.5952430556</v>
      </c>
      <c r="B1759" s="6" t="s">
        <v>4876</v>
      </c>
      <c r="C1759" s="6" t="s">
        <v>5968</v>
      </c>
      <c r="D1759" s="6" t="s">
        <v>4894</v>
      </c>
      <c r="E1759" s="6" t="s">
        <v>26</v>
      </c>
      <c r="F1759" s="6" t="s">
        <v>4882</v>
      </c>
      <c r="G1759" s="6" t="s">
        <v>848</v>
      </c>
      <c r="H1759" s="6">
        <v>10</v>
      </c>
      <c r="I1759" s="18">
        <v>277.8</v>
      </c>
      <c r="J1759" s="19">
        <v>46234.6004628819</v>
      </c>
      <c r="K1759" s="6" t="s">
        <v>4880</v>
      </c>
      <c r="L1759" t="str">
        <f t="shared" si="27"/>
        <v>CADEADO 25MM |46235</v>
      </c>
    </row>
    <row r="1760" ht="13.5" customHeight="1" spans="1:12">
      <c r="A1760" s="17">
        <v>46234.5952430556</v>
      </c>
      <c r="B1760" s="6" t="s">
        <v>4876</v>
      </c>
      <c r="C1760" s="6" t="s">
        <v>5968</v>
      </c>
      <c r="D1760" s="6" t="s">
        <v>4894</v>
      </c>
      <c r="E1760" s="6" t="s">
        <v>26</v>
      </c>
      <c r="F1760" s="6" t="s">
        <v>4882</v>
      </c>
      <c r="G1760" s="6" t="s">
        <v>1859</v>
      </c>
      <c r="H1760" s="6">
        <v>1</v>
      </c>
      <c r="I1760" s="18">
        <v>61.56</v>
      </c>
      <c r="J1760" s="19">
        <v>46234.6004601852</v>
      </c>
      <c r="K1760" s="6" t="s">
        <v>4880</v>
      </c>
      <c r="L1760" t="str">
        <f t="shared" si="27"/>
        <v>PRIME DISJUNTOR DIN C 2 X 40A|46235</v>
      </c>
    </row>
    <row r="1761" ht="13.5" customHeight="1" spans="1:12">
      <c r="A1761" s="17">
        <v>46234.5952430556</v>
      </c>
      <c r="B1761" s="6" t="s">
        <v>4876</v>
      </c>
      <c r="C1761" s="6" t="s">
        <v>5968</v>
      </c>
      <c r="D1761" s="6" t="s">
        <v>4894</v>
      </c>
      <c r="E1761" s="6" t="s">
        <v>26</v>
      </c>
      <c r="F1761" s="6" t="s">
        <v>4882</v>
      </c>
      <c r="G1761" s="6" t="s">
        <v>529</v>
      </c>
      <c r="H1761" s="6">
        <v>20</v>
      </c>
      <c r="I1761" s="18">
        <v>99.6</v>
      </c>
      <c r="J1761" s="19">
        <v>46234.6004587153</v>
      </c>
      <c r="K1761" s="6" t="s">
        <v>4880</v>
      </c>
      <c r="L1761" t="str">
        <f t="shared" si="27"/>
        <v>MÁSCARA PFF2 SEMI-DESCARTÁVEL|46235</v>
      </c>
    </row>
    <row r="1762" ht="13.5" customHeight="1" spans="1:12">
      <c r="A1762" s="17">
        <v>46234.5952430556</v>
      </c>
      <c r="B1762" s="6" t="s">
        <v>4876</v>
      </c>
      <c r="C1762" s="6" t="s">
        <v>5968</v>
      </c>
      <c r="D1762" s="6" t="s">
        <v>4894</v>
      </c>
      <c r="E1762" s="6" t="s">
        <v>26</v>
      </c>
      <c r="F1762" s="6" t="s">
        <v>4882</v>
      </c>
      <c r="G1762" s="6" t="s">
        <v>954</v>
      </c>
      <c r="H1762" s="6">
        <v>10</v>
      </c>
      <c r="I1762" s="18">
        <v>355.1</v>
      </c>
      <c r="J1762" s="19">
        <v>46234.6004560185</v>
      </c>
      <c r="K1762" s="6" t="s">
        <v>4880</v>
      </c>
      <c r="L1762" t="str">
        <f t="shared" si="27"/>
        <v>VIBRA STOP MICRO III 5/16|46235</v>
      </c>
    </row>
    <row r="1763" ht="13.5" customHeight="1" spans="1:12">
      <c r="A1763" s="17">
        <v>46234.6006944445</v>
      </c>
      <c r="B1763" s="6" t="s">
        <v>4876</v>
      </c>
      <c r="C1763" s="6" t="s">
        <v>5968</v>
      </c>
      <c r="D1763" s="6" t="s">
        <v>4894</v>
      </c>
      <c r="E1763" s="6" t="s">
        <v>26</v>
      </c>
      <c r="F1763" s="6" t="s">
        <v>4882</v>
      </c>
      <c r="G1763" s="6" t="s">
        <v>3915</v>
      </c>
      <c r="H1763" s="6">
        <v>1</v>
      </c>
      <c r="I1763" s="18">
        <v>343.36</v>
      </c>
      <c r="J1763" s="19">
        <v>46234.6036491088</v>
      </c>
      <c r="K1763" s="6" t="s">
        <v>4880</v>
      </c>
      <c r="L1763" t="str">
        <f t="shared" si="27"/>
        <v>CARREGADOR KRESS 28V 2.0 A 6.0 AH|46235</v>
      </c>
    </row>
    <row r="1764" ht="13.5" customHeight="1" spans="1:12">
      <c r="A1764" s="17">
        <v>46234.6006944445</v>
      </c>
      <c r="B1764" s="6" t="s">
        <v>4876</v>
      </c>
      <c r="C1764" s="6" t="s">
        <v>5968</v>
      </c>
      <c r="D1764" s="6" t="s">
        <v>4894</v>
      </c>
      <c r="E1764" s="6" t="s">
        <v>26</v>
      </c>
      <c r="F1764" s="6" t="s">
        <v>4882</v>
      </c>
      <c r="G1764" s="6" t="s">
        <v>4432</v>
      </c>
      <c r="H1764" s="6">
        <v>1</v>
      </c>
      <c r="I1764" s="18">
        <v>725.15</v>
      </c>
      <c r="J1764" s="19">
        <v>46234.6036474884</v>
      </c>
      <c r="K1764" s="6" t="s">
        <v>4880</v>
      </c>
      <c r="L1764" t="str">
        <f t="shared" si="27"/>
        <v>BATERIA KRESS LITION 20V 6.0AM KA|46235</v>
      </c>
    </row>
    <row r="1765" ht="13.5" customHeight="1" spans="1:12">
      <c r="A1765" s="17">
        <v>46234.6006944445</v>
      </c>
      <c r="B1765" s="6" t="s">
        <v>4876</v>
      </c>
      <c r="C1765" s="6" t="s">
        <v>5968</v>
      </c>
      <c r="D1765" s="6" t="s">
        <v>4894</v>
      </c>
      <c r="E1765" s="6" t="s">
        <v>26</v>
      </c>
      <c r="F1765" s="6" t="s">
        <v>4882</v>
      </c>
      <c r="G1765" s="6" t="s">
        <v>3831</v>
      </c>
      <c r="H1765" s="6">
        <v>1</v>
      </c>
      <c r="I1765" s="18">
        <v>2209.44</v>
      </c>
      <c r="J1765" s="19">
        <v>46234.6036445949</v>
      </c>
      <c r="K1765" s="6" t="s">
        <v>4880</v>
      </c>
      <c r="L1765" t="str">
        <f t="shared" si="27"/>
        <v>CHAVE KRESS IMPACTO 3/4 20V 1700N|46235</v>
      </c>
    </row>
    <row r="1766" ht="13.5" customHeight="1" spans="1:12">
      <c r="A1766" s="17">
        <v>46234.6034722222</v>
      </c>
      <c r="B1766" s="6" t="s">
        <v>4876</v>
      </c>
      <c r="C1766" s="6" t="s">
        <v>5969</v>
      </c>
      <c r="D1766" s="6" t="s">
        <v>4986</v>
      </c>
      <c r="E1766" s="6" t="s">
        <v>26</v>
      </c>
      <c r="F1766" s="6" t="s">
        <v>4882</v>
      </c>
      <c r="G1766" s="6" t="s">
        <v>804</v>
      </c>
      <c r="H1766" s="6">
        <v>60</v>
      </c>
      <c r="I1766" s="18">
        <v>3954</v>
      </c>
      <c r="J1766" s="19">
        <v>46239.6043482986</v>
      </c>
      <c r="K1766" s="6" t="s">
        <v>4880</v>
      </c>
      <c r="L1766" t="str">
        <f t="shared" si="27"/>
        <v>CAPA LOMBAR CRUA 7/8 CRU - T.UNICO|46235</v>
      </c>
    </row>
    <row r="1767" ht="13.5" customHeight="1" spans="1:12">
      <c r="A1767" s="17">
        <v>46237.5465277778</v>
      </c>
      <c r="B1767" s="6" t="s">
        <v>4876</v>
      </c>
      <c r="C1767" s="6" t="s">
        <v>5970</v>
      </c>
      <c r="D1767" s="6" t="s">
        <v>5353</v>
      </c>
      <c r="E1767" s="6" t="s">
        <v>26</v>
      </c>
      <c r="F1767" s="6" t="s">
        <v>4882</v>
      </c>
      <c r="G1767" s="6" t="s">
        <v>492</v>
      </c>
      <c r="H1767" s="6">
        <v>3</v>
      </c>
      <c r="I1767" s="18">
        <v>379.74</v>
      </c>
      <c r="J1767" s="19">
        <v>46241.5474701042</v>
      </c>
      <c r="K1767" s="6" t="s">
        <v>4880</v>
      </c>
      <c r="L1767" t="str">
        <f t="shared" si="27"/>
        <v>LUVA OPERADOR DECATHON|46238</v>
      </c>
    </row>
    <row r="1768" ht="13.5" customHeight="1" spans="1:12">
      <c r="A1768" s="17">
        <v>46237.5550694445</v>
      </c>
      <c r="B1768" s="6" t="s">
        <v>4876</v>
      </c>
      <c r="C1768" s="6" t="s">
        <v>5971</v>
      </c>
      <c r="D1768" s="6" t="s">
        <v>5065</v>
      </c>
      <c r="E1768" s="6" t="s">
        <v>26</v>
      </c>
      <c r="F1768" s="6" t="s">
        <v>4882</v>
      </c>
      <c r="G1768" s="6" t="s">
        <v>1606</v>
      </c>
      <c r="H1768" s="6">
        <v>1</v>
      </c>
      <c r="I1768" s="18">
        <v>318</v>
      </c>
      <c r="J1768" s="19">
        <v>46237.5566146181</v>
      </c>
      <c r="K1768" s="6" t="s">
        <v>4880</v>
      </c>
      <c r="L1768" t="str">
        <f t="shared" si="27"/>
        <v>ROLO DE NYLON 312 M x 3,0 MM|46238</v>
      </c>
    </row>
    <row r="1769" ht="13.5" customHeight="1" spans="1:12">
      <c r="A1769" s="17">
        <v>46237.5708333333</v>
      </c>
      <c r="B1769" s="6" t="s">
        <v>4876</v>
      </c>
      <c r="C1769" s="6" t="s">
        <v>5972</v>
      </c>
      <c r="D1769" s="6" t="s">
        <v>5353</v>
      </c>
      <c r="E1769" s="6" t="s">
        <v>26</v>
      </c>
      <c r="F1769" s="6" t="s">
        <v>4882</v>
      </c>
      <c r="G1769" s="6" t="s">
        <v>492</v>
      </c>
      <c r="H1769" s="6">
        <v>2</v>
      </c>
      <c r="I1769" s="18">
        <v>253.16</v>
      </c>
      <c r="J1769" s="19">
        <v>46239.5743826042</v>
      </c>
      <c r="K1769" s="6" t="s">
        <v>4880</v>
      </c>
      <c r="L1769" t="str">
        <f t="shared" si="27"/>
        <v>LUVA OPERADOR DECATHON|46238</v>
      </c>
    </row>
    <row r="1770" ht="13.5" customHeight="1" spans="1:12">
      <c r="A1770" s="17">
        <v>46237.5763888889</v>
      </c>
      <c r="B1770" s="6" t="s">
        <v>4876</v>
      </c>
      <c r="C1770" s="6" t="s">
        <v>5973</v>
      </c>
      <c r="D1770" s="6" t="s">
        <v>5974</v>
      </c>
      <c r="E1770" s="6" t="s">
        <v>35</v>
      </c>
      <c r="F1770" s="6" t="s">
        <v>4879</v>
      </c>
      <c r="G1770" s="6" t="s">
        <v>510</v>
      </c>
      <c r="H1770" s="6">
        <v>5</v>
      </c>
      <c r="I1770" s="18">
        <v>332.25</v>
      </c>
      <c r="J1770" s="19">
        <v>46240.5893458681</v>
      </c>
      <c r="K1770" s="6" t="s">
        <v>4880</v>
      </c>
      <c r="L1770" t="str">
        <f t="shared" si="27"/>
        <v>BATENTE DE BORACHA HC 60X92X140H|46238</v>
      </c>
    </row>
    <row r="1771" ht="13.5" customHeight="1" spans="1:12">
      <c r="A1771" s="17">
        <v>46237.5763888889</v>
      </c>
      <c r="B1771" s="6" t="s">
        <v>4876</v>
      </c>
      <c r="C1771" s="6" t="s">
        <v>5973</v>
      </c>
      <c r="D1771" s="6" t="s">
        <v>5974</v>
      </c>
      <c r="E1771" s="6" t="s">
        <v>35</v>
      </c>
      <c r="F1771" s="6" t="s">
        <v>4879</v>
      </c>
      <c r="G1771" s="6" t="s">
        <v>509</v>
      </c>
      <c r="H1771" s="6">
        <v>5</v>
      </c>
      <c r="I1771" s="18">
        <v>332.25</v>
      </c>
      <c r="J1771" s="19">
        <v>46240.5893440972</v>
      </c>
      <c r="K1771" s="6" t="s">
        <v>4880</v>
      </c>
      <c r="L1771" t="str">
        <f t="shared" si="27"/>
        <v>BATENTE BORRACHA HC 60X92X140 C|46238</v>
      </c>
    </row>
    <row r="1772" ht="13.5" customHeight="1" spans="1:12">
      <c r="A1772" s="17">
        <v>46237.5763888889</v>
      </c>
      <c r="B1772" s="6" t="s">
        <v>4876</v>
      </c>
      <c r="C1772" s="6" t="s">
        <v>5973</v>
      </c>
      <c r="D1772" s="6" t="s">
        <v>5974</v>
      </c>
      <c r="E1772" s="6" t="s">
        <v>35</v>
      </c>
      <c r="F1772" s="6" t="s">
        <v>4879</v>
      </c>
      <c r="G1772" s="6" t="s">
        <v>4700</v>
      </c>
      <c r="H1772" s="6">
        <v>4</v>
      </c>
      <c r="I1772" s="18">
        <v>40.28</v>
      </c>
      <c r="J1772" s="19">
        <v>46240.5893435185</v>
      </c>
      <c r="K1772" s="6" t="s">
        <v>4880</v>
      </c>
      <c r="L1772" t="str">
        <f t="shared" si="27"/>
        <v>ACABAMENTO PROTETOR LATERAL (CURVO 100MM)|46238</v>
      </c>
    </row>
    <row r="1773" ht="13.5" customHeight="1" spans="1:12">
      <c r="A1773" s="17">
        <v>46237.5763888889</v>
      </c>
      <c r="B1773" s="6" t="s">
        <v>4876</v>
      </c>
      <c r="C1773" s="6" t="s">
        <v>5973</v>
      </c>
      <c r="D1773" s="6" t="s">
        <v>5974</v>
      </c>
      <c r="E1773" s="6" t="s">
        <v>35</v>
      </c>
      <c r="F1773" s="6" t="s">
        <v>4879</v>
      </c>
      <c r="G1773" s="6" t="s">
        <v>508</v>
      </c>
      <c r="H1773" s="6">
        <v>6</v>
      </c>
      <c r="I1773" s="18">
        <v>17.76</v>
      </c>
      <c r="J1773" s="19">
        <v>46240.5893428241</v>
      </c>
      <c r="K1773" s="6" t="s">
        <v>4880</v>
      </c>
      <c r="L1773" t="str">
        <f t="shared" si="27"/>
        <v>ACABAMENTO PROTETOR LATERAL (RETO 100MM)|46238</v>
      </c>
    </row>
    <row r="1774" ht="13.5" customHeight="1" spans="1:12">
      <c r="A1774" s="17">
        <v>46237.5763888889</v>
      </c>
      <c r="B1774" s="6" t="s">
        <v>4876</v>
      </c>
      <c r="C1774" s="6" t="s">
        <v>5973</v>
      </c>
      <c r="D1774" s="6" t="s">
        <v>5974</v>
      </c>
      <c r="E1774" s="6" t="s">
        <v>35</v>
      </c>
      <c r="F1774" s="6" t="s">
        <v>4879</v>
      </c>
      <c r="G1774" s="6" t="s">
        <v>511</v>
      </c>
      <c r="H1774" s="6">
        <v>5</v>
      </c>
      <c r="I1774" s="18">
        <v>788.35</v>
      </c>
      <c r="J1774" s="19">
        <v>46240.5893397338</v>
      </c>
      <c r="K1774" s="6" t="s">
        <v>4880</v>
      </c>
      <c r="L1774" t="str">
        <f t="shared" si="27"/>
        <v>SUPORTE PROTETOR CICLISTA 380x550MM (2 BARRA)|46238</v>
      </c>
    </row>
    <row r="1775" ht="13.5" customHeight="1" spans="1:12">
      <c r="A1775" s="17">
        <v>46237.6361111111</v>
      </c>
      <c r="B1775" s="6" t="s">
        <v>4876</v>
      </c>
      <c r="C1775" s="6" t="s">
        <v>5975</v>
      </c>
      <c r="D1775" s="6" t="s">
        <v>5976</v>
      </c>
      <c r="E1775" s="6" t="s">
        <v>26</v>
      </c>
      <c r="F1775" s="6" t="s">
        <v>4882</v>
      </c>
      <c r="G1775" s="6" t="s">
        <v>663</v>
      </c>
      <c r="H1775" s="6">
        <v>1</v>
      </c>
      <c r="I1775" s="18">
        <v>1108.43</v>
      </c>
      <c r="J1775" s="19">
        <v>46240.6415941782</v>
      </c>
      <c r="K1775" s="6" t="s">
        <v>4880</v>
      </c>
      <c r="L1775" t="str">
        <f t="shared" si="27"/>
        <v>PONTO DE ACESSO UBIGUITIL UNIFI OUTDOOU 122M |46238</v>
      </c>
    </row>
    <row r="1776" ht="13.5" customHeight="1" spans="1:12">
      <c r="A1776" s="17">
        <v>46237.6974768519</v>
      </c>
      <c r="B1776" s="6" t="s">
        <v>4876</v>
      </c>
      <c r="C1776" s="6" t="s">
        <v>5977</v>
      </c>
      <c r="D1776" s="6" t="s">
        <v>4982</v>
      </c>
      <c r="E1776" s="6" t="s">
        <v>26</v>
      </c>
      <c r="F1776" s="6" t="s">
        <v>4882</v>
      </c>
      <c r="G1776" s="6" t="s">
        <v>3308</v>
      </c>
      <c r="H1776" s="6">
        <v>3</v>
      </c>
      <c r="I1776" s="18">
        <v>57</v>
      </c>
      <c r="J1776" s="19">
        <v>46237.700808831</v>
      </c>
      <c r="K1776" s="6" t="s">
        <v>4880</v>
      </c>
      <c r="L1776" t="str">
        <f t="shared" si="27"/>
        <v>ESCOVA MULTIUSO|46238</v>
      </c>
    </row>
    <row r="1777" ht="13.5" customHeight="1" spans="1:12">
      <c r="A1777" s="17">
        <v>46237.6974768519</v>
      </c>
      <c r="B1777" s="6" t="s">
        <v>4876</v>
      </c>
      <c r="C1777" s="6" t="s">
        <v>5977</v>
      </c>
      <c r="D1777" s="6" t="s">
        <v>4982</v>
      </c>
      <c r="E1777" s="6" t="s">
        <v>26</v>
      </c>
      <c r="F1777" s="6" t="s">
        <v>4882</v>
      </c>
      <c r="G1777" s="6" t="s">
        <v>3307</v>
      </c>
      <c r="H1777" s="6">
        <v>4</v>
      </c>
      <c r="I1777" s="18">
        <v>178</v>
      </c>
      <c r="J1777" s="19">
        <v>46237.7008075579</v>
      </c>
      <c r="K1777" s="6" t="s">
        <v>4880</v>
      </c>
      <c r="L1777" t="str">
        <f t="shared" si="27"/>
        <v>ESCOVA PARA BANHO|46238</v>
      </c>
    </row>
    <row r="1778" ht="13.5" customHeight="1" spans="1:12">
      <c r="A1778" s="17">
        <v>46237.7013078704</v>
      </c>
      <c r="B1778" s="6" t="s">
        <v>4876</v>
      </c>
      <c r="C1778" s="6" t="s">
        <v>5978</v>
      </c>
      <c r="D1778" s="6" t="s">
        <v>5129</v>
      </c>
      <c r="E1778" s="6" t="s">
        <v>26</v>
      </c>
      <c r="F1778" s="6" t="s">
        <v>4882</v>
      </c>
      <c r="G1778" s="6" t="s">
        <v>4686</v>
      </c>
      <c r="H1778" s="6">
        <v>1</v>
      </c>
      <c r="I1778" s="18">
        <v>90</v>
      </c>
      <c r="J1778" s="19">
        <v>46237.7021260764</v>
      </c>
      <c r="K1778" s="6" t="s">
        <v>4880</v>
      </c>
      <c r="L1778" t="str">
        <f t="shared" si="27"/>
        <v>ADAPTADOR IMPACTO 1/2 X 3/4 |46238</v>
      </c>
    </row>
    <row r="1779" ht="13.5" customHeight="1" spans="1:12">
      <c r="A1779" s="17">
        <v>46237.703587963</v>
      </c>
      <c r="B1779" s="6" t="s">
        <v>4876</v>
      </c>
      <c r="C1779" s="6" t="s">
        <v>5979</v>
      </c>
      <c r="D1779" s="6" t="s">
        <v>5123</v>
      </c>
      <c r="E1779" s="6" t="s">
        <v>26</v>
      </c>
      <c r="F1779" s="6" t="s">
        <v>4882</v>
      </c>
      <c r="G1779" s="6" t="s">
        <v>520</v>
      </c>
      <c r="H1779" s="6">
        <v>10</v>
      </c>
      <c r="I1779" s="18">
        <v>212</v>
      </c>
      <c r="J1779" s="19">
        <v>46237.7127461458</v>
      </c>
      <c r="K1779" s="6" t="s">
        <v>4880</v>
      </c>
      <c r="L1779" t="str">
        <f t="shared" si="27"/>
        <v>FITILHO PLASTICO|46238</v>
      </c>
    </row>
    <row r="1780" ht="13.5" customHeight="1" spans="1:12">
      <c r="A1780" s="17">
        <v>46238.3881944444</v>
      </c>
      <c r="B1780" s="6" t="s">
        <v>4876</v>
      </c>
      <c r="C1780" s="6" t="s">
        <v>5980</v>
      </c>
      <c r="D1780" s="6" t="s">
        <v>5582</v>
      </c>
      <c r="E1780" s="6" t="s">
        <v>390</v>
      </c>
      <c r="F1780" s="6" t="s">
        <v>4879</v>
      </c>
      <c r="G1780" s="6" t="s">
        <v>540</v>
      </c>
      <c r="H1780" s="6">
        <v>5</v>
      </c>
      <c r="I1780" s="18">
        <v>1615</v>
      </c>
      <c r="J1780" s="19">
        <v>46248.3922264236</v>
      </c>
      <c r="K1780" s="6" t="s">
        <v>4880</v>
      </c>
      <c r="L1780" t="str">
        <f t="shared" si="27"/>
        <v>SACO LISO VACUO 20X30X0,10 MC|46238</v>
      </c>
    </row>
    <row r="1781" ht="13.5" customHeight="1" spans="1:12">
      <c r="A1781" s="17">
        <v>46238.5472222222</v>
      </c>
      <c r="B1781" s="6" t="s">
        <v>4876</v>
      </c>
      <c r="C1781" s="6" t="s">
        <v>5981</v>
      </c>
      <c r="D1781" s="6" t="s">
        <v>4905</v>
      </c>
      <c r="E1781" s="6" t="s">
        <v>26</v>
      </c>
      <c r="F1781" s="6" t="s">
        <v>4882</v>
      </c>
      <c r="G1781" s="6" t="s">
        <v>3884</v>
      </c>
      <c r="H1781" s="6">
        <v>2</v>
      </c>
      <c r="I1781" s="18">
        <v>362.1</v>
      </c>
      <c r="J1781" s="19">
        <v>46241.5489261227</v>
      </c>
      <c r="K1781" s="6" t="s">
        <v>4880</v>
      </c>
      <c r="L1781" t="str">
        <f t="shared" si="27"/>
        <v>CHAPA GALVANIZADA 22 2X1.0 (0,80MM)|46239</v>
      </c>
    </row>
    <row r="1782" ht="13.5" customHeight="1" spans="1:12">
      <c r="A1782" s="17">
        <v>46238.5636689815</v>
      </c>
      <c r="B1782" s="6" t="s">
        <v>4876</v>
      </c>
      <c r="C1782" s="6" t="s">
        <v>5982</v>
      </c>
      <c r="D1782" s="6" t="s">
        <v>4884</v>
      </c>
      <c r="E1782" s="6" t="s">
        <v>26</v>
      </c>
      <c r="F1782" s="6" t="s">
        <v>4882</v>
      </c>
      <c r="G1782" s="6" t="s">
        <v>1684</v>
      </c>
      <c r="H1782" s="6">
        <v>1</v>
      </c>
      <c r="I1782" s="18">
        <v>10.5</v>
      </c>
      <c r="J1782" s="19">
        <v>46238.5680825579</v>
      </c>
      <c r="K1782" s="6" t="s">
        <v>4880</v>
      </c>
      <c r="L1782" t="str">
        <f t="shared" si="27"/>
        <v>ROCHA S451F FERROLHO FG UNICO|46239</v>
      </c>
    </row>
    <row r="1783" ht="13.5" customHeight="1" spans="1:12">
      <c r="A1783" s="17">
        <v>46238.5636689815</v>
      </c>
      <c r="B1783" s="6" t="s">
        <v>4876</v>
      </c>
      <c r="C1783" s="6" t="s">
        <v>5982</v>
      </c>
      <c r="D1783" s="6" t="s">
        <v>4884</v>
      </c>
      <c r="E1783" s="6" t="s">
        <v>26</v>
      </c>
      <c r="F1783" s="6" t="s">
        <v>4882</v>
      </c>
      <c r="G1783" s="6" t="s">
        <v>3423</v>
      </c>
      <c r="H1783" s="6">
        <v>1</v>
      </c>
      <c r="I1783" s="18">
        <v>68.78</v>
      </c>
      <c r="J1783" s="19">
        <v>46238.5680818287</v>
      </c>
      <c r="K1783" s="6" t="s">
        <v>4880</v>
      </c>
      <c r="L1783" t="str">
        <f t="shared" si="27"/>
        <v>DISJUNTOR DIN 3X10AC|46239</v>
      </c>
    </row>
    <row r="1784" ht="13.5" customHeight="1" spans="1:12">
      <c r="A1784" s="17">
        <v>46238.5636689815</v>
      </c>
      <c r="B1784" s="6" t="s">
        <v>4876</v>
      </c>
      <c r="C1784" s="6" t="s">
        <v>5982</v>
      </c>
      <c r="D1784" s="6" t="s">
        <v>4884</v>
      </c>
      <c r="E1784" s="6" t="s">
        <v>26</v>
      </c>
      <c r="F1784" s="6" t="s">
        <v>4882</v>
      </c>
      <c r="G1784" s="6" t="s">
        <v>2592</v>
      </c>
      <c r="H1784" s="6">
        <v>2</v>
      </c>
      <c r="I1784" s="18">
        <v>7.66</v>
      </c>
      <c r="J1784" s="19">
        <v>46238.5680805556</v>
      </c>
      <c r="K1784" s="6" t="s">
        <v>4880</v>
      </c>
      <c r="L1784" t="str">
        <f t="shared" si="27"/>
        <v>LUVA SOLD 32MM|46239</v>
      </c>
    </row>
    <row r="1785" ht="13.5" customHeight="1" spans="1:12">
      <c r="A1785" s="17">
        <v>46238.5687268519</v>
      </c>
      <c r="B1785" s="6" t="s">
        <v>4876</v>
      </c>
      <c r="C1785" s="6" t="s">
        <v>5983</v>
      </c>
      <c r="D1785" s="6" t="s">
        <v>5984</v>
      </c>
      <c r="E1785" s="6" t="s">
        <v>26</v>
      </c>
      <c r="F1785" s="6" t="s">
        <v>4882</v>
      </c>
      <c r="G1785" s="6" t="s">
        <v>735</v>
      </c>
      <c r="H1785" s="6">
        <v>4</v>
      </c>
      <c r="I1785" s="18">
        <v>40</v>
      </c>
      <c r="J1785" s="19">
        <v>46238.570718287</v>
      </c>
      <c r="K1785" s="6" t="s">
        <v>4880</v>
      </c>
      <c r="L1785" t="str">
        <f t="shared" si="27"/>
        <v>ROLETE PARA MÁQUINA DE CALCULAR|46239</v>
      </c>
    </row>
    <row r="1786" ht="13.5" customHeight="1" spans="1:12">
      <c r="A1786" s="17">
        <v>46238.5709953704</v>
      </c>
      <c r="B1786" s="6" t="s">
        <v>4876</v>
      </c>
      <c r="C1786" s="6" t="s">
        <v>5462</v>
      </c>
      <c r="D1786" s="6" t="s">
        <v>4894</v>
      </c>
      <c r="E1786" s="6" t="s">
        <v>26</v>
      </c>
      <c r="F1786" s="6" t="s">
        <v>4882</v>
      </c>
      <c r="G1786" s="6" t="s">
        <v>1798</v>
      </c>
      <c r="H1786" s="6">
        <v>5</v>
      </c>
      <c r="I1786" s="18">
        <v>165</v>
      </c>
      <c r="J1786" s="19">
        <v>46238.5754185185</v>
      </c>
      <c r="K1786" s="6" t="s">
        <v>4880</v>
      </c>
      <c r="L1786" t="str">
        <f t="shared" si="27"/>
        <v>REBITE A522/685|46239</v>
      </c>
    </row>
    <row r="1787" ht="13.5" customHeight="1" spans="1:12">
      <c r="A1787" s="17">
        <v>46238.5709953704</v>
      </c>
      <c r="B1787" s="6" t="s">
        <v>4876</v>
      </c>
      <c r="C1787" s="6" t="s">
        <v>5462</v>
      </c>
      <c r="D1787" s="6" t="s">
        <v>4894</v>
      </c>
      <c r="E1787" s="6" t="s">
        <v>26</v>
      </c>
      <c r="F1787" s="6" t="s">
        <v>4882</v>
      </c>
      <c r="G1787" s="6" t="s">
        <v>3778</v>
      </c>
      <c r="H1787" s="6">
        <v>1</v>
      </c>
      <c r="I1787" s="18">
        <v>22.01</v>
      </c>
      <c r="J1787" s="19">
        <v>46238.5754181713</v>
      </c>
      <c r="K1787" s="6" t="s">
        <v>4880</v>
      </c>
      <c r="L1787" t="str">
        <f t="shared" si="27"/>
        <v>CILINDRO STAM 401 BR 31129|46239</v>
      </c>
    </row>
    <row r="1788" ht="13.5" customHeight="1" spans="1:12">
      <c r="A1788" s="17">
        <v>46238.6226273148</v>
      </c>
      <c r="B1788" s="6" t="s">
        <v>4876</v>
      </c>
      <c r="C1788" s="6" t="s">
        <v>5985</v>
      </c>
      <c r="D1788" s="6" t="s">
        <v>5003</v>
      </c>
      <c r="E1788" s="6" t="s">
        <v>26</v>
      </c>
      <c r="F1788" s="6" t="s">
        <v>4882</v>
      </c>
      <c r="G1788" s="6" t="s">
        <v>413</v>
      </c>
      <c r="H1788" s="6">
        <v>50</v>
      </c>
      <c r="I1788" s="18">
        <v>344.5</v>
      </c>
      <c r="J1788" s="19">
        <v>46238.6246391551</v>
      </c>
      <c r="K1788" s="6" t="s">
        <v>4880</v>
      </c>
      <c r="L1788" t="str">
        <f t="shared" si="27"/>
        <v>GASOLINA COMUM 01|46239</v>
      </c>
    </row>
    <row r="1789" ht="13.5" customHeight="1" spans="1:12">
      <c r="A1789" s="17">
        <v>46238.7103819445</v>
      </c>
      <c r="B1789" s="6" t="s">
        <v>4876</v>
      </c>
      <c r="C1789" s="6" t="s">
        <v>5986</v>
      </c>
      <c r="D1789" s="6" t="s">
        <v>4954</v>
      </c>
      <c r="E1789" s="6" t="s">
        <v>26</v>
      </c>
      <c r="F1789" s="6" t="s">
        <v>4882</v>
      </c>
      <c r="G1789" s="6" t="s">
        <v>149</v>
      </c>
      <c r="H1789" s="6">
        <v>20</v>
      </c>
      <c r="I1789" s="18">
        <v>80</v>
      </c>
      <c r="J1789" s="19">
        <v>46238.7110793982</v>
      </c>
      <c r="K1789" s="6" t="s">
        <v>4880</v>
      </c>
      <c r="L1789" t="str">
        <f t="shared" si="27"/>
        <v>LAMPADA R5 24V MARCA PHILLIPS|46239</v>
      </c>
    </row>
    <row r="1790" ht="13.5" customHeight="1" spans="1:12">
      <c r="A1790" s="17">
        <v>46238.7116087963</v>
      </c>
      <c r="B1790" s="6" t="s">
        <v>4876</v>
      </c>
      <c r="C1790" s="6" t="s">
        <v>5987</v>
      </c>
      <c r="D1790" s="6" t="s">
        <v>4971</v>
      </c>
      <c r="E1790" s="6" t="s">
        <v>26</v>
      </c>
      <c r="F1790" s="6" t="s">
        <v>4882</v>
      </c>
      <c r="G1790" s="6" t="s">
        <v>1593</v>
      </c>
      <c r="H1790" s="6">
        <v>2</v>
      </c>
      <c r="I1790" s="18">
        <v>63.3</v>
      </c>
      <c r="J1790" s="19">
        <v>46238.7139418982</v>
      </c>
      <c r="K1790" s="6" t="s">
        <v>4880</v>
      </c>
      <c r="L1790" t="str">
        <f t="shared" si="27"/>
        <v>ROSCA TE 1/2|46239</v>
      </c>
    </row>
    <row r="1791" ht="13.5" customHeight="1" spans="1:12">
      <c r="A1791" s="17">
        <v>46238.7116087963</v>
      </c>
      <c r="B1791" s="6" t="s">
        <v>4876</v>
      </c>
      <c r="C1791" s="6" t="s">
        <v>5987</v>
      </c>
      <c r="D1791" s="6" t="s">
        <v>4971</v>
      </c>
      <c r="E1791" s="6" t="s">
        <v>26</v>
      </c>
      <c r="F1791" s="6" t="s">
        <v>4882</v>
      </c>
      <c r="G1791" s="6" t="s">
        <v>3600</v>
      </c>
      <c r="H1791" s="6">
        <v>1</v>
      </c>
      <c r="I1791" s="18">
        <v>331.02</v>
      </c>
      <c r="J1791" s="19">
        <v>46238.7139415162</v>
      </c>
      <c r="K1791" s="6" t="s">
        <v>4880</v>
      </c>
      <c r="L1791" t="str">
        <f t="shared" si="27"/>
        <v>CORFIO CABO PP PRETO 2x2,5MM METRO|46239</v>
      </c>
    </row>
    <row r="1792" ht="13.5" customHeight="1" spans="1:12">
      <c r="A1792" s="17">
        <v>46238.7146296296</v>
      </c>
      <c r="B1792" s="6" t="s">
        <v>4876</v>
      </c>
      <c r="C1792" s="6" t="s">
        <v>5988</v>
      </c>
      <c r="D1792" s="6" t="s">
        <v>5109</v>
      </c>
      <c r="E1792" s="6" t="s">
        <v>26</v>
      </c>
      <c r="F1792" s="6" t="s">
        <v>4882</v>
      </c>
      <c r="G1792" s="6" t="s">
        <v>1131</v>
      </c>
      <c r="H1792" s="6">
        <v>1</v>
      </c>
      <c r="I1792" s="18">
        <v>18</v>
      </c>
      <c r="J1792" s="19">
        <v>46238.715658912</v>
      </c>
      <c r="K1792" s="6" t="s">
        <v>4880</v>
      </c>
      <c r="L1792" t="str">
        <f t="shared" si="27"/>
        <v>TORNEIRA JARDIM C/BICO 1131 C31 1/4 VOLTA 1/2|46239</v>
      </c>
    </row>
    <row r="1793" ht="13.5" customHeight="1" spans="1:12">
      <c r="A1793" s="17">
        <v>46238.7159953704</v>
      </c>
      <c r="B1793" s="6" t="s">
        <v>4876</v>
      </c>
      <c r="C1793" s="6" t="s">
        <v>5989</v>
      </c>
      <c r="D1793" s="6" t="s">
        <v>5118</v>
      </c>
      <c r="E1793" s="6" t="s">
        <v>26</v>
      </c>
      <c r="F1793" s="6" t="s">
        <v>4882</v>
      </c>
      <c r="G1793" s="6" t="s">
        <v>1004</v>
      </c>
      <c r="H1793" s="6">
        <v>20</v>
      </c>
      <c r="I1793" s="18">
        <v>9.8</v>
      </c>
      <c r="J1793" s="19">
        <v>46238.7172497685</v>
      </c>
      <c r="K1793" s="6" t="s">
        <v>4880</v>
      </c>
      <c r="L1793" t="str">
        <f t="shared" si="27"/>
        <v>VALVULA TR414 MARCA PARALELA|46239</v>
      </c>
    </row>
    <row r="1794" ht="13.5" customHeight="1" spans="1:12">
      <c r="A1794" s="17">
        <v>46239.5857986111</v>
      </c>
      <c r="B1794" s="6" t="s">
        <v>4876</v>
      </c>
      <c r="C1794" s="6" t="s">
        <v>5990</v>
      </c>
      <c r="D1794" s="6" t="s">
        <v>5369</v>
      </c>
      <c r="E1794" s="6" t="s">
        <v>26</v>
      </c>
      <c r="F1794" s="6" t="s">
        <v>4882</v>
      </c>
      <c r="G1794" s="6" t="s">
        <v>1176</v>
      </c>
      <c r="H1794" s="6">
        <v>4</v>
      </c>
      <c r="I1794" s="18">
        <v>140</v>
      </c>
      <c r="J1794" s="19">
        <v>46239.595878588</v>
      </c>
      <c r="K1794" s="6" t="s">
        <v>4880</v>
      </c>
      <c r="L1794" t="str">
        <f t="shared" ref="L1794:L1857" si="28">IF(G1794="","",G1794&amp;"|"&amp;TEXT(A1794,"0"))</f>
        <v>TINTA COMPATIVEL EPSON YELLOW|46240</v>
      </c>
    </row>
    <row r="1795" ht="13.5" customHeight="1" spans="1:12">
      <c r="A1795" s="17">
        <v>46239.5857986111</v>
      </c>
      <c r="B1795" s="6" t="s">
        <v>4876</v>
      </c>
      <c r="C1795" s="6" t="s">
        <v>5990</v>
      </c>
      <c r="D1795" s="6" t="s">
        <v>5369</v>
      </c>
      <c r="E1795" s="6" t="s">
        <v>26</v>
      </c>
      <c r="F1795" s="6" t="s">
        <v>4882</v>
      </c>
      <c r="G1795" s="6" t="s">
        <v>1174</v>
      </c>
      <c r="H1795" s="6">
        <v>4</v>
      </c>
      <c r="I1795" s="18">
        <v>140</v>
      </c>
      <c r="J1795" s="19">
        <v>46239.5958782407</v>
      </c>
      <c r="K1795" s="6" t="s">
        <v>4880</v>
      </c>
      <c r="L1795" t="str">
        <f t="shared" si="28"/>
        <v>TINTA COMPATIVELEPSON CIANO|46240</v>
      </c>
    </row>
    <row r="1796" ht="13.5" customHeight="1" spans="1:12">
      <c r="A1796" s="17">
        <v>46239.5857986111</v>
      </c>
      <c r="B1796" s="6" t="s">
        <v>4876</v>
      </c>
      <c r="C1796" s="6" t="s">
        <v>5990</v>
      </c>
      <c r="D1796" s="6" t="s">
        <v>5369</v>
      </c>
      <c r="E1796" s="6" t="s">
        <v>26</v>
      </c>
      <c r="F1796" s="6" t="s">
        <v>4882</v>
      </c>
      <c r="G1796" s="6" t="s">
        <v>1179</v>
      </c>
      <c r="H1796" s="6">
        <v>4</v>
      </c>
      <c r="I1796" s="18">
        <v>140</v>
      </c>
      <c r="J1796" s="19">
        <v>46239.595878044</v>
      </c>
      <c r="K1796" s="6" t="s">
        <v>4880</v>
      </c>
      <c r="L1796" t="str">
        <f t="shared" si="28"/>
        <v>TINTA COMPATIVEL EPSON BLACK|46240</v>
      </c>
    </row>
    <row r="1797" ht="13.5" customHeight="1" spans="1:12">
      <c r="A1797" s="17">
        <v>46239.5857986111</v>
      </c>
      <c r="B1797" s="6" t="s">
        <v>4876</v>
      </c>
      <c r="C1797" s="6" t="s">
        <v>5990</v>
      </c>
      <c r="D1797" s="6" t="s">
        <v>5369</v>
      </c>
      <c r="E1797" s="6" t="s">
        <v>26</v>
      </c>
      <c r="F1797" s="6" t="s">
        <v>4882</v>
      </c>
      <c r="G1797" s="6" t="s">
        <v>1178</v>
      </c>
      <c r="H1797" s="6">
        <v>4</v>
      </c>
      <c r="I1797" s="18">
        <v>140</v>
      </c>
      <c r="J1797" s="19">
        <v>46239.5958776968</v>
      </c>
      <c r="K1797" s="6" t="s">
        <v>4880</v>
      </c>
      <c r="L1797" t="str">
        <f t="shared" si="28"/>
        <v>TINTA COMPATIVEL EPSON MAGENTA|46240</v>
      </c>
    </row>
    <row r="1798" ht="13.5" customHeight="1" spans="1:12">
      <c r="A1798" s="17">
        <v>46239.5992013889</v>
      </c>
      <c r="B1798" s="6" t="s">
        <v>4876</v>
      </c>
      <c r="C1798" s="6" t="s">
        <v>5991</v>
      </c>
      <c r="D1798" s="6" t="s">
        <v>4971</v>
      </c>
      <c r="E1798" s="6" t="s">
        <v>26</v>
      </c>
      <c r="F1798" s="6" t="s">
        <v>4882</v>
      </c>
      <c r="G1798" s="6" t="s">
        <v>4179</v>
      </c>
      <c r="H1798" s="6">
        <v>2</v>
      </c>
      <c r="I1798" s="18">
        <v>5.36</v>
      </c>
      <c r="J1798" s="19">
        <v>46239.6032771991</v>
      </c>
      <c r="K1798" s="6" t="s">
        <v>4880</v>
      </c>
      <c r="L1798" t="str">
        <f t="shared" si="28"/>
        <v>BUCHA REDUÇÃO ROSCA MACHO 1/2 x FEMEA AC|46240</v>
      </c>
    </row>
    <row r="1799" ht="13.5" customHeight="1" spans="1:12">
      <c r="A1799" s="17">
        <v>46239.5992013889</v>
      </c>
      <c r="B1799" s="6" t="s">
        <v>4876</v>
      </c>
      <c r="C1799" s="6" t="s">
        <v>5991</v>
      </c>
      <c r="D1799" s="6" t="s">
        <v>4971</v>
      </c>
      <c r="E1799" s="6" t="s">
        <v>26</v>
      </c>
      <c r="F1799" s="6" t="s">
        <v>4882</v>
      </c>
      <c r="G1799" s="6" t="s">
        <v>3679</v>
      </c>
      <c r="H1799" s="6">
        <v>7</v>
      </c>
      <c r="I1799" s="18">
        <v>70.84</v>
      </c>
      <c r="J1799" s="19">
        <v>46239.6032755787</v>
      </c>
      <c r="K1799" s="6" t="s">
        <v>4880</v>
      </c>
      <c r="L1799" t="str">
        <f t="shared" si="28"/>
        <v>CONDULETE TOP TAMPA 1 MOD 1|46240</v>
      </c>
    </row>
    <row r="1800" ht="13.5" customHeight="1" spans="1:12">
      <c r="A1800" s="17">
        <v>46239.5992013889</v>
      </c>
      <c r="B1800" s="6" t="s">
        <v>4876</v>
      </c>
      <c r="C1800" s="6" t="s">
        <v>5991</v>
      </c>
      <c r="D1800" s="6" t="s">
        <v>4971</v>
      </c>
      <c r="E1800" s="6" t="s">
        <v>26</v>
      </c>
      <c r="F1800" s="6" t="s">
        <v>4882</v>
      </c>
      <c r="G1800" s="6" t="s">
        <v>2981</v>
      </c>
      <c r="H1800" s="6">
        <v>1</v>
      </c>
      <c r="I1800" s="18">
        <v>22.24</v>
      </c>
      <c r="J1800" s="19">
        <v>46239.6032739583</v>
      </c>
      <c r="K1800" s="6" t="s">
        <v>4880</v>
      </c>
      <c r="L1800" t="str">
        <f t="shared" si="28"/>
        <v>GALVANIZADO BUCHA REDUÇÃO 3/4 x 1/2|46240</v>
      </c>
    </row>
    <row r="1801" ht="13.5" customHeight="1" spans="1:12">
      <c r="A1801" s="17">
        <v>46239.5992013889</v>
      </c>
      <c r="B1801" s="6" t="s">
        <v>4876</v>
      </c>
      <c r="C1801" s="6" t="s">
        <v>5991</v>
      </c>
      <c r="D1801" s="6" t="s">
        <v>4971</v>
      </c>
      <c r="E1801" s="6" t="s">
        <v>26</v>
      </c>
      <c r="F1801" s="6" t="s">
        <v>4882</v>
      </c>
      <c r="G1801" s="6" t="s">
        <v>2368</v>
      </c>
      <c r="H1801" s="6">
        <v>2</v>
      </c>
      <c r="I1801" s="18">
        <v>6.74</v>
      </c>
      <c r="J1801" s="19">
        <v>46239.6032726852</v>
      </c>
      <c r="K1801" s="6" t="s">
        <v>4880</v>
      </c>
      <c r="L1801" t="str">
        <f t="shared" si="28"/>
        <v>NIPLEL DUPLO 1/2 GALVANIZADO CROMADO|46240</v>
      </c>
    </row>
    <row r="1802" ht="13.5" customHeight="1" spans="1:12">
      <c r="A1802" s="17">
        <v>46239.5992013889</v>
      </c>
      <c r="B1802" s="6" t="s">
        <v>4876</v>
      </c>
      <c r="C1802" s="6" t="s">
        <v>5991</v>
      </c>
      <c r="D1802" s="6" t="s">
        <v>4971</v>
      </c>
      <c r="E1802" s="6" t="s">
        <v>26</v>
      </c>
      <c r="F1802" s="6" t="s">
        <v>4882</v>
      </c>
      <c r="G1802" s="6" t="s">
        <v>1595</v>
      </c>
      <c r="H1802" s="6">
        <v>1</v>
      </c>
      <c r="I1802" s="18">
        <v>4.59</v>
      </c>
      <c r="J1802" s="19">
        <v>46239.6032705208</v>
      </c>
      <c r="K1802" s="6" t="s">
        <v>4880</v>
      </c>
      <c r="L1802" t="str">
        <f t="shared" si="28"/>
        <v>ROSCA NIPEL 3/4 TIGRE|46240</v>
      </c>
    </row>
    <row r="1803" ht="13.5" customHeight="1" spans="1:12">
      <c r="A1803" s="17">
        <v>46239.6050925926</v>
      </c>
      <c r="B1803" s="6" t="s">
        <v>4876</v>
      </c>
      <c r="C1803" s="6" t="s">
        <v>5992</v>
      </c>
      <c r="D1803" s="6" t="s">
        <v>5129</v>
      </c>
      <c r="E1803" s="6" t="s">
        <v>26</v>
      </c>
      <c r="F1803" s="6" t="s">
        <v>4882</v>
      </c>
      <c r="G1803" s="6" t="s">
        <v>3451</v>
      </c>
      <c r="H1803" s="6">
        <v>4</v>
      </c>
      <c r="I1803" s="18">
        <v>140</v>
      </c>
      <c r="J1803" s="19">
        <v>46239.6063967593</v>
      </c>
      <c r="K1803" s="6" t="s">
        <v>4880</v>
      </c>
      <c r="L1803" t="str">
        <f t="shared" si="28"/>
        <v>DISCO DE LIMPEZA STRIP DISC 4.1/2 FURO 7/8|46240</v>
      </c>
    </row>
    <row r="1804" ht="13.5" customHeight="1" spans="1:12">
      <c r="A1804" s="17">
        <v>46239.7005208333</v>
      </c>
      <c r="B1804" s="6" t="s">
        <v>4876</v>
      </c>
      <c r="C1804" s="6" t="s">
        <v>5993</v>
      </c>
      <c r="D1804" s="6" t="s">
        <v>4954</v>
      </c>
      <c r="E1804" s="6" t="s">
        <v>26</v>
      </c>
      <c r="F1804" s="6" t="s">
        <v>4882</v>
      </c>
      <c r="G1804" s="6" t="s">
        <v>196</v>
      </c>
      <c r="H1804" s="6">
        <v>18</v>
      </c>
      <c r="I1804" s="18">
        <v>828</v>
      </c>
      <c r="J1804" s="19">
        <v>46239.7019152778</v>
      </c>
      <c r="K1804" s="6" t="s">
        <v>4880</v>
      </c>
      <c r="L1804" t="str">
        <f t="shared" si="28"/>
        <v>ANTI-FERRUGEM WD-40 300ML|46240</v>
      </c>
    </row>
    <row r="1805" ht="13.5" customHeight="1" spans="1:12">
      <c r="A1805" s="17">
        <v>46239.7029976852</v>
      </c>
      <c r="B1805" s="6" t="s">
        <v>4876</v>
      </c>
      <c r="C1805" s="6" t="s">
        <v>5994</v>
      </c>
      <c r="D1805" s="6" t="s">
        <v>5895</v>
      </c>
      <c r="E1805" s="6" t="s">
        <v>26</v>
      </c>
      <c r="F1805" s="6" t="s">
        <v>4882</v>
      </c>
      <c r="G1805" s="6" t="s">
        <v>3381</v>
      </c>
      <c r="H1805" s="6">
        <v>10</v>
      </c>
      <c r="I1805" s="18">
        <v>80</v>
      </c>
      <c r="J1805" s="19">
        <v>46239.7064033218</v>
      </c>
      <c r="K1805" s="6" t="s">
        <v>4880</v>
      </c>
      <c r="L1805" t="str">
        <f t="shared" si="28"/>
        <v>ELETRODO 3,5MM ALUMINIO|46240</v>
      </c>
    </row>
    <row r="1806" ht="13.5" customHeight="1" spans="1:12">
      <c r="A1806" s="17">
        <v>46239.7078703704</v>
      </c>
      <c r="B1806" s="6" t="s">
        <v>4876</v>
      </c>
      <c r="C1806" s="6" t="s">
        <v>5995</v>
      </c>
      <c r="D1806" s="6" t="s">
        <v>5065</v>
      </c>
      <c r="E1806" s="6" t="s">
        <v>26</v>
      </c>
      <c r="F1806" s="6" t="s">
        <v>4882</v>
      </c>
      <c r="G1806" s="6" t="s">
        <v>267</v>
      </c>
      <c r="H1806" s="6">
        <v>4</v>
      </c>
      <c r="I1806" s="18">
        <v>240</v>
      </c>
      <c r="J1806" s="19">
        <v>46239.7087126505</v>
      </c>
      <c r="K1806" s="6" t="s">
        <v>4880</v>
      </c>
      <c r="L1806" t="str">
        <f t="shared" si="28"/>
        <v>OLEO LUBRIFICANTE 2T 500ML 8017H MARCA STIHLL|46240</v>
      </c>
    </row>
    <row r="1807" ht="13.5" customHeight="1" spans="1:12">
      <c r="A1807" s="17">
        <v>46239.7090856481</v>
      </c>
      <c r="B1807" s="6" t="s">
        <v>4876</v>
      </c>
      <c r="C1807" s="6" t="s">
        <v>5996</v>
      </c>
      <c r="D1807" s="6" t="s">
        <v>5123</v>
      </c>
      <c r="E1807" s="6" t="s">
        <v>26</v>
      </c>
      <c r="F1807" s="6" t="s">
        <v>4882</v>
      </c>
      <c r="G1807" s="6" t="s">
        <v>2859</v>
      </c>
      <c r="H1807" s="6">
        <v>10</v>
      </c>
      <c r="I1807" s="18">
        <v>55</v>
      </c>
      <c r="J1807" s="19">
        <v>46239.7121920486</v>
      </c>
      <c r="K1807" s="6" t="s">
        <v>4880</v>
      </c>
      <c r="L1807" t="str">
        <f t="shared" si="28"/>
        <v>ISQUEIRO BIC|46240</v>
      </c>
    </row>
    <row r="1808" ht="13.5" customHeight="1" spans="1:12">
      <c r="A1808" s="17">
        <v>46239.712962963</v>
      </c>
      <c r="B1808" s="6" t="s">
        <v>4876</v>
      </c>
      <c r="C1808" s="6" t="s">
        <v>5997</v>
      </c>
      <c r="D1808" s="6" t="s">
        <v>5018</v>
      </c>
      <c r="E1808" s="6" t="s">
        <v>26</v>
      </c>
      <c r="F1808" s="6" t="s">
        <v>4882</v>
      </c>
      <c r="G1808" s="6" t="s">
        <v>3324</v>
      </c>
      <c r="H1808" s="6">
        <v>2</v>
      </c>
      <c r="I1808" s="18">
        <v>53.8</v>
      </c>
      <c r="J1808" s="19">
        <v>46239.7173127315</v>
      </c>
      <c r="K1808" s="6" t="s">
        <v>4880</v>
      </c>
      <c r="L1808" t="str">
        <f t="shared" si="28"/>
        <v>ENGATE RÁPIDO AR 1/4 X ROSCA FÊMEA 1/4|46240</v>
      </c>
    </row>
    <row r="1809" ht="13.5" customHeight="1" spans="1:12">
      <c r="A1809" s="17">
        <v>46239.712962963</v>
      </c>
      <c r="B1809" s="6" t="s">
        <v>4876</v>
      </c>
      <c r="C1809" s="6" t="s">
        <v>5997</v>
      </c>
      <c r="D1809" s="6" t="s">
        <v>5018</v>
      </c>
      <c r="E1809" s="6" t="s">
        <v>26</v>
      </c>
      <c r="F1809" s="6" t="s">
        <v>4882</v>
      </c>
      <c r="G1809" s="6" t="s">
        <v>3328</v>
      </c>
      <c r="H1809" s="6">
        <v>2</v>
      </c>
      <c r="I1809" s="18">
        <v>36</v>
      </c>
      <c r="J1809" s="19">
        <v>46239.7173016551</v>
      </c>
      <c r="K1809" s="6" t="s">
        <v>4880</v>
      </c>
      <c r="L1809" t="str">
        <f t="shared" si="28"/>
        <v>ENGATE RAPIDO LATAO 1/4 ESFERA ROSCA FEMEA|46240</v>
      </c>
    </row>
    <row r="1810" ht="13.5" customHeight="1" spans="1:12">
      <c r="A1810" s="17">
        <v>46239.7219791667</v>
      </c>
      <c r="B1810" s="6" t="s">
        <v>4876</v>
      </c>
      <c r="C1810" s="6" t="s">
        <v>5992</v>
      </c>
      <c r="D1810" s="6" t="s">
        <v>4894</v>
      </c>
      <c r="E1810" s="6" t="s">
        <v>26</v>
      </c>
      <c r="F1810" s="6" t="s">
        <v>4882</v>
      </c>
      <c r="G1810" s="6" t="s">
        <v>4210</v>
      </c>
      <c r="H1810" s="6">
        <v>50</v>
      </c>
      <c r="I1810" s="18">
        <v>5</v>
      </c>
      <c r="J1810" s="19">
        <v>46239.727755787</v>
      </c>
      <c r="K1810" s="6" t="s">
        <v>4880</v>
      </c>
      <c r="L1810" t="str">
        <f t="shared" si="28"/>
        <v>BUCHA 06|46240</v>
      </c>
    </row>
    <row r="1811" ht="13.5" customHeight="1" spans="1:12">
      <c r="A1811" s="17">
        <v>46239.7219791667</v>
      </c>
      <c r="B1811" s="6" t="s">
        <v>4876</v>
      </c>
      <c r="C1811" s="6" t="s">
        <v>5992</v>
      </c>
      <c r="D1811" s="6" t="s">
        <v>4894</v>
      </c>
      <c r="E1811" s="6" t="s">
        <v>26</v>
      </c>
      <c r="F1811" s="6" t="s">
        <v>4882</v>
      </c>
      <c r="G1811" s="6" t="s">
        <v>3329</v>
      </c>
      <c r="H1811" s="6">
        <v>3</v>
      </c>
      <c r="I1811" s="18">
        <v>20.61</v>
      </c>
      <c r="J1811" s="19">
        <v>46239.7277554398</v>
      </c>
      <c r="K1811" s="6" t="s">
        <v>4880</v>
      </c>
      <c r="L1811" t="str">
        <f t="shared" si="28"/>
        <v>ENGATE RAPIDO AR 1/4 ROSCA MACHO|46240</v>
      </c>
    </row>
    <row r="1812" ht="13.5" customHeight="1" spans="1:12">
      <c r="A1812" s="17">
        <v>46239.7219791667</v>
      </c>
      <c r="B1812" s="6" t="s">
        <v>4876</v>
      </c>
      <c r="C1812" s="6" t="s">
        <v>5992</v>
      </c>
      <c r="D1812" s="6" t="s">
        <v>4894</v>
      </c>
      <c r="E1812" s="6" t="s">
        <v>26</v>
      </c>
      <c r="F1812" s="6" t="s">
        <v>4882</v>
      </c>
      <c r="G1812" s="6" t="s">
        <v>2269</v>
      </c>
      <c r="H1812" s="6">
        <v>100</v>
      </c>
      <c r="I1812" s="18">
        <v>17</v>
      </c>
      <c r="J1812" s="19">
        <v>46239.7277550579</v>
      </c>
      <c r="K1812" s="6" t="s">
        <v>4880</v>
      </c>
      <c r="L1812" t="str">
        <f t="shared" si="28"/>
        <v>P.MDF 4,0 X 35 100 PÇS|46240</v>
      </c>
    </row>
    <row r="1813" ht="13.5" customHeight="1" spans="1:12">
      <c r="A1813" s="17">
        <v>46239.7219791667</v>
      </c>
      <c r="B1813" s="6" t="s">
        <v>4876</v>
      </c>
      <c r="C1813" s="6" t="s">
        <v>5992</v>
      </c>
      <c r="D1813" s="6" t="s">
        <v>4894</v>
      </c>
      <c r="E1813" s="6" t="s">
        <v>26</v>
      </c>
      <c r="F1813" s="6" t="s">
        <v>4882</v>
      </c>
      <c r="G1813" s="6" t="s">
        <v>4104</v>
      </c>
      <c r="H1813" s="6">
        <v>2</v>
      </c>
      <c r="I1813" s="18">
        <v>84.7</v>
      </c>
      <c r="J1813" s="19">
        <v>46239.7277547107</v>
      </c>
      <c r="K1813" s="6" t="s">
        <v>4880</v>
      </c>
      <c r="L1813" t="str">
        <f t="shared" si="28"/>
        <v>CADEADO 35MM|46240</v>
      </c>
    </row>
    <row r="1814" ht="13.5" customHeight="1" spans="1:12">
      <c r="A1814" s="17">
        <v>46240.54375</v>
      </c>
      <c r="B1814" s="6" t="s">
        <v>4876</v>
      </c>
      <c r="C1814" s="6" t="s">
        <v>5998</v>
      </c>
      <c r="D1814" s="6" t="s">
        <v>5411</v>
      </c>
      <c r="E1814" s="6" t="s">
        <v>35</v>
      </c>
      <c r="F1814" s="6" t="s">
        <v>4879</v>
      </c>
      <c r="G1814" s="6" t="s">
        <v>394</v>
      </c>
      <c r="H1814" s="6">
        <v>1</v>
      </c>
      <c r="I1814" s="18">
        <v>3345.73</v>
      </c>
      <c r="J1814" s="19">
        <v>46241.5462479514</v>
      </c>
      <c r="K1814" s="6" t="s">
        <v>4880</v>
      </c>
      <c r="L1814" t="str">
        <f t="shared" si="28"/>
        <v>ADITIVO RADIADOR 200ML ADITECH HT-E 35R |46241</v>
      </c>
    </row>
    <row r="1815" ht="13.5" customHeight="1" spans="1:12">
      <c r="A1815" s="17">
        <v>46240.5513888889</v>
      </c>
      <c r="B1815" s="6" t="s">
        <v>4876</v>
      </c>
      <c r="C1815" s="6" t="s">
        <v>5999</v>
      </c>
      <c r="D1815" s="6" t="s">
        <v>5142</v>
      </c>
      <c r="E1815" s="6" t="s">
        <v>26</v>
      </c>
      <c r="F1815" s="6" t="s">
        <v>4882</v>
      </c>
      <c r="G1815" s="6" t="s">
        <v>1062</v>
      </c>
      <c r="H1815" s="6">
        <v>1</v>
      </c>
      <c r="I1815" s="18">
        <v>3500</v>
      </c>
      <c r="J1815" s="19">
        <v>46241.5524348032</v>
      </c>
      <c r="K1815" s="6" t="s">
        <v>4880</v>
      </c>
      <c r="L1815" t="str">
        <f t="shared" si="28"/>
        <v>TURBINA BBV924 CTT|46241</v>
      </c>
    </row>
    <row r="1816" ht="13.5" customHeight="1" spans="1:12">
      <c r="A1816" s="17">
        <v>46240.6102893519</v>
      </c>
      <c r="B1816" s="6" t="s">
        <v>4876</v>
      </c>
      <c r="C1816" s="6" t="s">
        <v>6000</v>
      </c>
      <c r="D1816" s="6" t="s">
        <v>4919</v>
      </c>
      <c r="E1816" s="6" t="s">
        <v>26</v>
      </c>
      <c r="F1816" s="6" t="s">
        <v>4882</v>
      </c>
      <c r="G1816" s="6" t="s">
        <v>1418</v>
      </c>
      <c r="H1816" s="6">
        <v>1</v>
      </c>
      <c r="I1816" s="18">
        <v>392.91</v>
      </c>
      <c r="J1816" s="19">
        <v>46240.6110193287</v>
      </c>
      <c r="K1816" s="6" t="s">
        <v>4880</v>
      </c>
      <c r="L1816" t="str">
        <f t="shared" si="28"/>
        <v>SKY THINNER PU P/POLIESTER|46241</v>
      </c>
    </row>
    <row r="1817" ht="13.5" customHeight="1" spans="1:12">
      <c r="A1817" s="17">
        <v>46240.6113194445</v>
      </c>
      <c r="B1817" s="6" t="s">
        <v>4876</v>
      </c>
      <c r="C1817" s="6" t="s">
        <v>6001</v>
      </c>
      <c r="D1817" s="6" t="s">
        <v>4884</v>
      </c>
      <c r="E1817" s="6" t="s">
        <v>26</v>
      </c>
      <c r="F1817" s="6" t="s">
        <v>4882</v>
      </c>
      <c r="G1817" s="6" t="s">
        <v>3679</v>
      </c>
      <c r="H1817" s="6">
        <v>3</v>
      </c>
      <c r="I1817" s="18">
        <v>49.8</v>
      </c>
      <c r="J1817" s="19">
        <v>46240.6311476852</v>
      </c>
      <c r="K1817" s="6" t="s">
        <v>4880</v>
      </c>
      <c r="L1817" t="str">
        <f t="shared" si="28"/>
        <v>CONDULETE TOP TAMPA 1 MOD 1|46241</v>
      </c>
    </row>
    <row r="1818" ht="13.5" customHeight="1" spans="1:12">
      <c r="A1818" s="17">
        <v>46240.6113194445</v>
      </c>
      <c r="B1818" s="6" t="s">
        <v>4876</v>
      </c>
      <c r="C1818" s="6" t="s">
        <v>6001</v>
      </c>
      <c r="D1818" s="6" t="s">
        <v>4884</v>
      </c>
      <c r="E1818" s="6" t="s">
        <v>26</v>
      </c>
      <c r="F1818" s="6" t="s">
        <v>4882</v>
      </c>
      <c r="G1818" s="6" t="s">
        <v>4303</v>
      </c>
      <c r="H1818" s="6">
        <v>1</v>
      </c>
      <c r="I1818" s="18">
        <v>204.95</v>
      </c>
      <c r="J1818" s="19">
        <v>46240.6311460648</v>
      </c>
      <c r="K1818" s="6" t="s">
        <v>4880</v>
      </c>
      <c r="L1818" t="str">
        <f t="shared" si="28"/>
        <v>BOTA MARLUVA  39|46241</v>
      </c>
    </row>
    <row r="1819" ht="13.5" customHeight="1" spans="1:12">
      <c r="A1819" s="17">
        <v>46240.6113194445</v>
      </c>
      <c r="B1819" s="6" t="s">
        <v>4876</v>
      </c>
      <c r="C1819" s="6" t="s">
        <v>6001</v>
      </c>
      <c r="D1819" s="6" t="s">
        <v>4884</v>
      </c>
      <c r="E1819" s="6" t="s">
        <v>26</v>
      </c>
      <c r="F1819" s="6" t="s">
        <v>4882</v>
      </c>
      <c r="G1819" s="6" t="s">
        <v>2879</v>
      </c>
      <c r="H1819" s="6">
        <v>10</v>
      </c>
      <c r="I1819" s="18">
        <v>84.4</v>
      </c>
      <c r="J1819" s="19">
        <v>46240.6311373843</v>
      </c>
      <c r="K1819" s="6" t="s">
        <v>4880</v>
      </c>
      <c r="L1819" t="str">
        <f t="shared" si="28"/>
        <v>INTERRUPTOR 1 TECLA SIMPLES 10A/250V|46241</v>
      </c>
    </row>
    <row r="1820" ht="13.5" customHeight="1" spans="1:12">
      <c r="A1820" s="17">
        <v>46240.8037615741</v>
      </c>
      <c r="B1820" s="6" t="s">
        <v>4876</v>
      </c>
      <c r="C1820" s="6" t="s">
        <v>6002</v>
      </c>
      <c r="D1820" s="6" t="s">
        <v>4884</v>
      </c>
      <c r="E1820" s="6" t="s">
        <v>26</v>
      </c>
      <c r="F1820" s="6" t="s">
        <v>4882</v>
      </c>
      <c r="G1820" s="6" t="s">
        <v>1146</v>
      </c>
      <c r="H1820" s="6">
        <v>10</v>
      </c>
      <c r="I1820" s="18">
        <v>171.6</v>
      </c>
      <c r="J1820" s="19">
        <v>46240.8067613426</v>
      </c>
      <c r="K1820" s="6" t="s">
        <v>4880</v>
      </c>
      <c r="L1820" t="str">
        <f t="shared" si="28"/>
        <v>TOMADA PLUG 3 PINOS /3 SAIDAS 20A|46241</v>
      </c>
    </row>
    <row r="1821" ht="13.5" customHeight="1" spans="1:12">
      <c r="A1821" s="17">
        <v>46240.8037615741</v>
      </c>
      <c r="B1821" s="6" t="s">
        <v>4876</v>
      </c>
      <c r="C1821" s="6" t="s">
        <v>6002</v>
      </c>
      <c r="D1821" s="6" t="s">
        <v>4884</v>
      </c>
      <c r="E1821" s="6" t="s">
        <v>26</v>
      </c>
      <c r="F1821" s="6" t="s">
        <v>4882</v>
      </c>
      <c r="G1821" s="6" t="s">
        <v>4114</v>
      </c>
      <c r="H1821" s="6">
        <v>50</v>
      </c>
      <c r="I1821" s="18">
        <v>610</v>
      </c>
      <c r="J1821" s="19">
        <v>46240.8067613426</v>
      </c>
      <c r="K1821" s="6" t="s">
        <v>4880</v>
      </c>
      <c r="L1821" t="str">
        <f t="shared" si="28"/>
        <v>CABO PP 3X2,5MM |46241</v>
      </c>
    </row>
    <row r="1822" ht="13.5" customHeight="1" spans="1:12">
      <c r="A1822" s="17">
        <v>46240.8037615741</v>
      </c>
      <c r="B1822" s="6" t="s">
        <v>4876</v>
      </c>
      <c r="C1822" s="6" t="s">
        <v>6002</v>
      </c>
      <c r="D1822" s="6" t="s">
        <v>4884</v>
      </c>
      <c r="E1822" s="6" t="s">
        <v>26</v>
      </c>
      <c r="F1822" s="6" t="s">
        <v>4882</v>
      </c>
      <c r="G1822" s="6" t="s">
        <v>1985</v>
      </c>
      <c r="H1822" s="6">
        <v>10</v>
      </c>
      <c r="I1822" s="18">
        <v>131.1</v>
      </c>
      <c r="J1822" s="19">
        <v>46240.8067604167</v>
      </c>
      <c r="K1822" s="6" t="s">
        <v>4880</v>
      </c>
      <c r="L1822" t="str">
        <f t="shared" si="28"/>
        <v>PLUG MACHO 3P 20A|46241</v>
      </c>
    </row>
    <row r="1823" ht="13.5" customHeight="1" spans="1:12">
      <c r="A1823" s="17">
        <v>46241.5634490741</v>
      </c>
      <c r="B1823" s="6" t="s">
        <v>4876</v>
      </c>
      <c r="C1823" s="6" t="s">
        <v>6003</v>
      </c>
      <c r="D1823" s="6" t="s">
        <v>6004</v>
      </c>
      <c r="E1823" s="6" t="s">
        <v>26</v>
      </c>
      <c r="F1823" s="6" t="s">
        <v>4882</v>
      </c>
      <c r="G1823" s="6" t="s">
        <v>526</v>
      </c>
      <c r="H1823" s="6">
        <v>1</v>
      </c>
      <c r="I1823" s="18">
        <v>20</v>
      </c>
      <c r="J1823" s="19">
        <v>46241.5653945602</v>
      </c>
      <c r="K1823" s="6" t="s">
        <v>4880</v>
      </c>
      <c r="L1823" t="str">
        <f t="shared" si="28"/>
        <v>FILTRO DE AR BIZ 125 06 10 METAL LEVE|46242</v>
      </c>
    </row>
    <row r="1824" ht="13.5" customHeight="1" spans="1:12">
      <c r="A1824" s="17">
        <v>46241.5656597222</v>
      </c>
      <c r="B1824" s="6" t="s">
        <v>4876</v>
      </c>
      <c r="C1824" s="6" t="s">
        <v>6005</v>
      </c>
      <c r="D1824" s="6" t="s">
        <v>4894</v>
      </c>
      <c r="E1824" s="6" t="s">
        <v>26</v>
      </c>
      <c r="F1824" s="6" t="s">
        <v>4882</v>
      </c>
      <c r="G1824" s="6" t="s">
        <v>3168</v>
      </c>
      <c r="H1824" s="6">
        <v>1</v>
      </c>
      <c r="I1824" s="18">
        <v>81.9</v>
      </c>
      <c r="J1824" s="19">
        <v>46241.5666297801</v>
      </c>
      <c r="K1824" s="6" t="s">
        <v>4880</v>
      </c>
      <c r="L1824" t="str">
        <f t="shared" si="28"/>
        <v>FECHADURA STAM 605/17 90MM|46242</v>
      </c>
    </row>
    <row r="1825" ht="13.5" customHeight="1" spans="1:12">
      <c r="A1825" s="17">
        <v>46241.5733449074</v>
      </c>
      <c r="B1825" s="6" t="s">
        <v>4876</v>
      </c>
      <c r="C1825" s="6" t="s">
        <v>6006</v>
      </c>
      <c r="D1825" s="6" t="s">
        <v>6007</v>
      </c>
      <c r="E1825" s="6" t="s">
        <v>26</v>
      </c>
      <c r="F1825" s="6" t="s">
        <v>4882</v>
      </c>
      <c r="G1825" s="6" t="s">
        <v>525</v>
      </c>
      <c r="H1825" s="6">
        <v>1</v>
      </c>
      <c r="I1825" s="18">
        <v>8</v>
      </c>
      <c r="J1825" s="19">
        <v>46241.5767760069</v>
      </c>
      <c r="K1825" s="6" t="s">
        <v>4880</v>
      </c>
      <c r="L1825" t="str">
        <f t="shared" si="28"/>
        <v>LAMPADA BIODO 35 35 IMPORTADA DA HONDA YAMAHA|46242</v>
      </c>
    </row>
    <row r="1826" ht="13.5" customHeight="1" spans="1:12">
      <c r="A1826" s="17">
        <v>46241.5733449074</v>
      </c>
      <c r="B1826" s="6" t="s">
        <v>4876</v>
      </c>
      <c r="C1826" s="6" t="s">
        <v>6006</v>
      </c>
      <c r="D1826" s="6" t="s">
        <v>6007</v>
      </c>
      <c r="E1826" s="6" t="s">
        <v>26</v>
      </c>
      <c r="F1826" s="6" t="s">
        <v>4882</v>
      </c>
      <c r="G1826" s="6" t="s">
        <v>527</v>
      </c>
      <c r="H1826" s="6">
        <v>1</v>
      </c>
      <c r="I1826" s="18">
        <v>49</v>
      </c>
      <c r="J1826" s="19">
        <v>46241.5767758102</v>
      </c>
      <c r="K1826" s="6" t="s">
        <v>4880</v>
      </c>
      <c r="L1826" t="str">
        <f t="shared" si="28"/>
        <v>FAROL COMPLETO (CG TITAN 150)|46242</v>
      </c>
    </row>
    <row r="1827" ht="13.5" customHeight="1" spans="1:12">
      <c r="A1827" s="17">
        <v>46241.5771412037</v>
      </c>
      <c r="B1827" s="6" t="s">
        <v>4876</v>
      </c>
      <c r="C1827" s="6" t="s">
        <v>6008</v>
      </c>
      <c r="D1827" s="6" t="s">
        <v>4884</v>
      </c>
      <c r="E1827" s="6" t="s">
        <v>26</v>
      </c>
      <c r="F1827" s="6" t="s">
        <v>4882</v>
      </c>
      <c r="G1827" s="6" t="s">
        <v>4841</v>
      </c>
      <c r="H1827" s="6">
        <v>1</v>
      </c>
      <c r="I1827" s="18">
        <v>28.39</v>
      </c>
      <c r="J1827" s="19">
        <v>46241.5803796644</v>
      </c>
      <c r="K1827" s="6" t="s">
        <v>4880</v>
      </c>
      <c r="L1827" t="str">
        <f t="shared" si="28"/>
        <v>1 TOMADA 2P+T 20A N.PADRÃO 1350|46242</v>
      </c>
    </row>
    <row r="1828" ht="13.5" customHeight="1" spans="1:12">
      <c r="A1828" s="17">
        <v>46241.5771412037</v>
      </c>
      <c r="B1828" s="6" t="s">
        <v>4876</v>
      </c>
      <c r="C1828" s="6" t="s">
        <v>6008</v>
      </c>
      <c r="D1828" s="6" t="s">
        <v>4884</v>
      </c>
      <c r="E1828" s="6" t="s">
        <v>26</v>
      </c>
      <c r="F1828" s="6" t="s">
        <v>4882</v>
      </c>
      <c r="G1828" s="6" t="s">
        <v>2880</v>
      </c>
      <c r="H1828" s="6">
        <v>9</v>
      </c>
      <c r="I1828" s="18">
        <v>150.84</v>
      </c>
      <c r="J1828" s="19">
        <v>46241.580378206</v>
      </c>
      <c r="K1828" s="6" t="s">
        <v>4880</v>
      </c>
      <c r="L1828" t="str">
        <f t="shared" si="28"/>
        <v>INT MODULO SIMPLES 1 SESSAO|46242</v>
      </c>
    </row>
    <row r="1829" ht="13.5" customHeight="1" spans="1:12">
      <c r="A1829" s="17">
        <v>46244.5791666667</v>
      </c>
      <c r="B1829" s="6" t="s">
        <v>4876</v>
      </c>
      <c r="C1829" s="6" t="s">
        <v>6009</v>
      </c>
      <c r="D1829" s="6" t="s">
        <v>4894</v>
      </c>
      <c r="E1829" s="6" t="s">
        <v>26</v>
      </c>
      <c r="F1829" s="6" t="s">
        <v>4882</v>
      </c>
      <c r="G1829" s="6" t="s">
        <v>4575</v>
      </c>
      <c r="H1829" s="6">
        <v>10</v>
      </c>
      <c r="I1829" s="18">
        <v>180</v>
      </c>
      <c r="J1829" s="19">
        <v>46247.5819953357</v>
      </c>
      <c r="K1829" s="6" t="s">
        <v>4880</v>
      </c>
      <c r="L1829" t="str">
        <f t="shared" si="28"/>
        <v>ARREBITE A-416/565 100 PEÇAS|46245</v>
      </c>
    </row>
    <row r="1830" ht="13.5" customHeight="1" spans="1:12">
      <c r="A1830" s="17">
        <v>46244.5791666667</v>
      </c>
      <c r="B1830" s="6" t="s">
        <v>4876</v>
      </c>
      <c r="C1830" s="6" t="s">
        <v>6009</v>
      </c>
      <c r="D1830" s="6" t="s">
        <v>4894</v>
      </c>
      <c r="E1830" s="6" t="s">
        <v>26</v>
      </c>
      <c r="F1830" s="6" t="s">
        <v>4882</v>
      </c>
      <c r="G1830" s="6" t="s">
        <v>2511</v>
      </c>
      <c r="H1830" s="6">
        <v>20</v>
      </c>
      <c r="I1830" s="18">
        <v>116</v>
      </c>
      <c r="J1830" s="19">
        <v>46247.5819945949</v>
      </c>
      <c r="K1830" s="6" t="s">
        <v>4880</v>
      </c>
      <c r="L1830" t="str">
        <f t="shared" si="28"/>
        <v>MANGUIRA ALTA PRESSAO UNIFORTE |46245</v>
      </c>
    </row>
    <row r="1831" ht="13.5" customHeight="1" spans="1:12">
      <c r="A1831" s="17">
        <v>46245.4125</v>
      </c>
      <c r="B1831" s="6" t="s">
        <v>4876</v>
      </c>
      <c r="C1831" s="6" t="s">
        <v>6010</v>
      </c>
      <c r="D1831" s="6" t="s">
        <v>95</v>
      </c>
      <c r="E1831" s="6" t="s">
        <v>26</v>
      </c>
      <c r="F1831" s="6" t="s">
        <v>4882</v>
      </c>
      <c r="G1831" s="6" t="s">
        <v>844</v>
      </c>
      <c r="H1831" s="6">
        <v>5</v>
      </c>
      <c r="I1831" s="18">
        <v>149.5</v>
      </c>
      <c r="J1831" s="19">
        <v>46248.4150260417</v>
      </c>
      <c r="K1831" s="6" t="s">
        <v>4880</v>
      </c>
      <c r="L1831" t="str">
        <f t="shared" si="28"/>
        <v>ENGATE RAPIDO FEMEA ROSCA 1/2 PARA AR COMPRIMIDO SF40|46245</v>
      </c>
    </row>
    <row r="1832" ht="13.5" customHeight="1" spans="1:12">
      <c r="A1832" s="17">
        <v>46245.5465162037</v>
      </c>
      <c r="B1832" s="6" t="s">
        <v>4876</v>
      </c>
      <c r="C1832" s="6" t="s">
        <v>6011</v>
      </c>
      <c r="D1832" s="6" t="s">
        <v>6012</v>
      </c>
      <c r="E1832" s="6" t="s">
        <v>35</v>
      </c>
      <c r="F1832" s="6" t="s">
        <v>4879</v>
      </c>
      <c r="G1832" s="6" t="s">
        <v>524</v>
      </c>
      <c r="H1832" s="6">
        <v>1</v>
      </c>
      <c r="I1832" s="18">
        <v>80</v>
      </c>
      <c r="J1832" s="19">
        <v>46245.5658248843</v>
      </c>
      <c r="K1832" s="6" t="s">
        <v>4880</v>
      </c>
      <c r="L1832" t="str">
        <f t="shared" si="28"/>
        <v>CHAVE IGNIÇAO TITAN 150 2009/13|46246</v>
      </c>
    </row>
    <row r="1833" ht="13.5" customHeight="1" spans="1:12">
      <c r="A1833" s="17">
        <v>46245.5669791667</v>
      </c>
      <c r="B1833" s="6" t="s">
        <v>4876</v>
      </c>
      <c r="C1833" s="6" t="s">
        <v>6013</v>
      </c>
      <c r="D1833" s="6" t="s">
        <v>109</v>
      </c>
      <c r="E1833" s="6" t="s">
        <v>26</v>
      </c>
      <c r="F1833" s="6" t="s">
        <v>4882</v>
      </c>
      <c r="G1833" s="6" t="s">
        <v>3615</v>
      </c>
      <c r="H1833" s="6">
        <v>3</v>
      </c>
      <c r="I1833" s="18">
        <v>33</v>
      </c>
      <c r="J1833" s="19">
        <v>46245.573906713</v>
      </c>
      <c r="K1833" s="6" t="s">
        <v>4880</v>
      </c>
      <c r="L1833" t="str">
        <f t="shared" si="28"/>
        <v>COPIAS DE CHAVE |46246</v>
      </c>
    </row>
    <row r="1834" ht="13.5" customHeight="1" spans="1:12">
      <c r="A1834" s="17">
        <v>46245.5905439815</v>
      </c>
      <c r="B1834" s="6" t="s">
        <v>4876</v>
      </c>
      <c r="C1834" s="6" t="s">
        <v>6014</v>
      </c>
      <c r="D1834" s="6" t="s">
        <v>6015</v>
      </c>
      <c r="E1834" s="6" t="s">
        <v>26</v>
      </c>
      <c r="F1834" s="6" t="s">
        <v>4882</v>
      </c>
      <c r="G1834" s="6" t="s">
        <v>2932</v>
      </c>
      <c r="H1834" s="6">
        <v>1</v>
      </c>
      <c r="I1834" s="18">
        <v>28.9</v>
      </c>
      <c r="J1834" s="19">
        <v>46245.6001456019</v>
      </c>
      <c r="K1834" s="6" t="s">
        <v>4880</v>
      </c>
      <c r="L1834" t="str">
        <f t="shared" si="28"/>
        <v>GILLETTE LAMINA PLATINUM INOX|46246</v>
      </c>
    </row>
    <row r="1835" ht="13.5" customHeight="1" spans="1:12">
      <c r="A1835" s="17">
        <v>46245.5905439815</v>
      </c>
      <c r="B1835" s="6" t="s">
        <v>4876</v>
      </c>
      <c r="C1835" s="6" t="s">
        <v>6014</v>
      </c>
      <c r="D1835" s="6" t="s">
        <v>6015</v>
      </c>
      <c r="E1835" s="6" t="s">
        <v>26</v>
      </c>
      <c r="F1835" s="6" t="s">
        <v>4882</v>
      </c>
      <c r="G1835" s="6" t="s">
        <v>2726</v>
      </c>
      <c r="H1835" s="6">
        <v>1</v>
      </c>
      <c r="I1835" s="18">
        <v>28.9</v>
      </c>
      <c r="J1835" s="19">
        <v>46245.6001441782</v>
      </c>
      <c r="K1835" s="6" t="s">
        <v>4880</v>
      </c>
      <c r="L1835" t="str">
        <f t="shared" si="28"/>
        <v>LAMINA BARBEAR WILKISON C/20|46246</v>
      </c>
    </row>
    <row r="1836" ht="13.5" customHeight="1" spans="1:12">
      <c r="A1836" s="17">
        <v>46245.6010648148</v>
      </c>
      <c r="B1836" s="6" t="s">
        <v>4876</v>
      </c>
      <c r="C1836" s="6" t="s">
        <v>6016</v>
      </c>
      <c r="D1836" s="6" t="s">
        <v>6017</v>
      </c>
      <c r="E1836" s="6" t="s">
        <v>26</v>
      </c>
      <c r="F1836" s="6" t="s">
        <v>4882</v>
      </c>
      <c r="G1836" s="6" t="s">
        <v>665</v>
      </c>
      <c r="H1836" s="6">
        <v>1</v>
      </c>
      <c r="I1836" s="18">
        <v>3599</v>
      </c>
      <c r="J1836" s="19">
        <v>46245.6035056713</v>
      </c>
      <c r="K1836" s="6" t="s">
        <v>4880</v>
      </c>
      <c r="L1836" t="str">
        <f t="shared" si="28"/>
        <v>ACCESS POINT OUTDOOR|46246</v>
      </c>
    </row>
    <row r="1837" ht="13.5" customHeight="1" spans="1:12">
      <c r="A1837" s="17">
        <v>46245.6074305556</v>
      </c>
      <c r="B1837" s="6" t="s">
        <v>4876</v>
      </c>
      <c r="C1837" s="6" t="s">
        <v>6018</v>
      </c>
      <c r="D1837" s="6" t="s">
        <v>6019</v>
      </c>
      <c r="E1837" s="6" t="s">
        <v>26</v>
      </c>
      <c r="F1837" s="6" t="s">
        <v>4882</v>
      </c>
      <c r="G1837" s="6" t="s">
        <v>666</v>
      </c>
      <c r="H1837" s="6">
        <v>1</v>
      </c>
      <c r="I1837" s="18">
        <v>735</v>
      </c>
      <c r="J1837" s="19">
        <v>46245.6131947917</v>
      </c>
      <c r="K1837" s="6" t="s">
        <v>4880</v>
      </c>
      <c r="L1837" t="str">
        <f t="shared" si="28"/>
        <v>PONTO DE ACESSO UBIQUITI WI-FI |46246</v>
      </c>
    </row>
    <row r="1838" ht="13.5" customHeight="1" spans="1:12">
      <c r="A1838" s="17">
        <v>46245.6148958333</v>
      </c>
      <c r="B1838" s="6" t="s">
        <v>4876</v>
      </c>
      <c r="C1838" s="6" t="s">
        <v>6020</v>
      </c>
      <c r="D1838" s="6" t="s">
        <v>6004</v>
      </c>
      <c r="E1838" s="6" t="s">
        <v>26</v>
      </c>
      <c r="F1838" s="6" t="s">
        <v>4882</v>
      </c>
      <c r="G1838" s="6" t="s">
        <v>1745</v>
      </c>
      <c r="H1838" s="6">
        <v>1</v>
      </c>
      <c r="I1838" s="18">
        <v>20</v>
      </c>
      <c r="J1838" s="19">
        <v>46245.615857257</v>
      </c>
      <c r="K1838" s="6" t="s">
        <v>4880</v>
      </c>
      <c r="L1838" t="str">
        <f t="shared" si="28"/>
        <v>RELE PISCA TITAN 125/XLR 125 AUTO |46246</v>
      </c>
    </row>
    <row r="1839" ht="13.5" customHeight="1" spans="1:12">
      <c r="A1839" s="17">
        <v>46245.6186342593</v>
      </c>
      <c r="B1839" s="6" t="s">
        <v>4876</v>
      </c>
      <c r="C1839" s="6" t="s">
        <v>6021</v>
      </c>
      <c r="D1839" s="6" t="s">
        <v>4894</v>
      </c>
      <c r="E1839" s="6" t="s">
        <v>26</v>
      </c>
      <c r="F1839" s="6" t="s">
        <v>4882</v>
      </c>
      <c r="G1839" s="6" t="s">
        <v>4575</v>
      </c>
      <c r="H1839" s="6">
        <v>10</v>
      </c>
      <c r="I1839" s="18">
        <v>180</v>
      </c>
      <c r="J1839" s="19">
        <v>46245.6225471412</v>
      </c>
      <c r="K1839" s="6" t="s">
        <v>4880</v>
      </c>
      <c r="L1839" t="str">
        <f t="shared" si="28"/>
        <v>ARREBITE A-416/565 100 PEÇAS|46246</v>
      </c>
    </row>
    <row r="1840" ht="13.5" customHeight="1" spans="1:12">
      <c r="A1840" s="17">
        <v>46245.6186342593</v>
      </c>
      <c r="B1840" s="6" t="s">
        <v>4876</v>
      </c>
      <c r="C1840" s="6" t="s">
        <v>6021</v>
      </c>
      <c r="D1840" s="6" t="s">
        <v>4894</v>
      </c>
      <c r="E1840" s="6" t="s">
        <v>26</v>
      </c>
      <c r="F1840" s="6" t="s">
        <v>4882</v>
      </c>
      <c r="G1840" s="6" t="s">
        <v>2511</v>
      </c>
      <c r="H1840" s="6">
        <v>20</v>
      </c>
      <c r="I1840" s="18">
        <v>116</v>
      </c>
      <c r="J1840" s="19">
        <v>46245.6225466088</v>
      </c>
      <c r="K1840" s="6" t="s">
        <v>4880</v>
      </c>
      <c r="L1840" t="str">
        <f t="shared" si="28"/>
        <v>MANGUIRA ALTA PRESSAO UNIFORTE |46246</v>
      </c>
    </row>
    <row r="1841" ht="13.5" customHeight="1" spans="1:12">
      <c r="A1841" s="17">
        <v>46245.6304513889</v>
      </c>
      <c r="B1841" s="6" t="s">
        <v>4876</v>
      </c>
      <c r="C1841" s="6" t="s">
        <v>6022</v>
      </c>
      <c r="D1841" s="6" t="s">
        <v>5731</v>
      </c>
      <c r="E1841" s="6" t="s">
        <v>26</v>
      </c>
      <c r="F1841" s="6" t="s">
        <v>4882</v>
      </c>
      <c r="G1841" s="6" t="s">
        <v>619</v>
      </c>
      <c r="H1841" s="6">
        <v>4</v>
      </c>
      <c r="I1841" s="18">
        <v>155.4</v>
      </c>
      <c r="J1841" s="19">
        <v>46245.6445073727</v>
      </c>
      <c r="K1841" s="6" t="s">
        <v>4880</v>
      </c>
      <c r="L1841" t="str">
        <f t="shared" si="28"/>
        <v>TORSILAX CAIXA|46246</v>
      </c>
    </row>
    <row r="1842" ht="13.5" customHeight="1" spans="1:12">
      <c r="A1842" s="17">
        <v>46245.6304513889</v>
      </c>
      <c r="B1842" s="6" t="s">
        <v>4876</v>
      </c>
      <c r="C1842" s="6" t="s">
        <v>6022</v>
      </c>
      <c r="D1842" s="6" t="s">
        <v>5731</v>
      </c>
      <c r="E1842" s="6" t="s">
        <v>26</v>
      </c>
      <c r="F1842" s="6" t="s">
        <v>4882</v>
      </c>
      <c r="G1842" s="6" t="s">
        <v>620</v>
      </c>
      <c r="H1842" s="6">
        <v>3</v>
      </c>
      <c r="I1842" s="18">
        <v>29.55</v>
      </c>
      <c r="J1842" s="19">
        <v>46245.6445068287</v>
      </c>
      <c r="K1842" s="6" t="s">
        <v>4880</v>
      </c>
      <c r="L1842" t="str">
        <f t="shared" si="28"/>
        <v>DIPIRONA SODICA 1G C/10|46246</v>
      </c>
    </row>
    <row r="1843" ht="13.5" customHeight="1" spans="1:12">
      <c r="A1843" s="17">
        <v>46245.6462384259</v>
      </c>
      <c r="B1843" s="6" t="s">
        <v>4876</v>
      </c>
      <c r="C1843" s="6" t="s">
        <v>6013</v>
      </c>
      <c r="D1843" s="6" t="s">
        <v>109</v>
      </c>
      <c r="E1843" s="6" t="s">
        <v>26</v>
      </c>
      <c r="F1843" s="6" t="s">
        <v>4882</v>
      </c>
      <c r="G1843" s="6" t="s">
        <v>37</v>
      </c>
      <c r="H1843" s="6">
        <v>32</v>
      </c>
      <c r="I1843" s="18">
        <v>330.24</v>
      </c>
      <c r="J1843" s="19">
        <v>46245.65179375</v>
      </c>
      <c r="K1843" s="6" t="s">
        <v>4880</v>
      </c>
      <c r="L1843" t="str">
        <f t="shared" si="28"/>
        <v>PAPEL HIGIENICO ROLAO 8X300|46246</v>
      </c>
    </row>
    <row r="1844" ht="13.5" customHeight="1" spans="1:12">
      <c r="A1844" s="17">
        <v>46245.6462384259</v>
      </c>
      <c r="B1844" s="6" t="s">
        <v>4876</v>
      </c>
      <c r="C1844" s="6" t="s">
        <v>6013</v>
      </c>
      <c r="D1844" s="6" t="s">
        <v>109</v>
      </c>
      <c r="E1844" s="6" t="s">
        <v>26</v>
      </c>
      <c r="F1844" s="6" t="s">
        <v>4882</v>
      </c>
      <c r="G1844" s="6" t="s">
        <v>265</v>
      </c>
      <c r="H1844" s="6">
        <v>160</v>
      </c>
      <c r="I1844" s="18">
        <v>897.6</v>
      </c>
      <c r="J1844" s="19">
        <v>46245.6517919329</v>
      </c>
      <c r="K1844" s="6" t="s">
        <v>4880</v>
      </c>
      <c r="L1844" t="str">
        <f t="shared" si="28"/>
        <v>PAPEL TOALHA INTERFOLHADO 2D 2.400 FLS	|46246</v>
      </c>
    </row>
    <row r="1845" ht="13.5" customHeight="1" spans="1:12">
      <c r="A1845" s="17">
        <v>46245.6462384259</v>
      </c>
      <c r="B1845" s="6" t="s">
        <v>4876</v>
      </c>
      <c r="C1845" s="6" t="s">
        <v>6013</v>
      </c>
      <c r="D1845" s="6" t="s">
        <v>109</v>
      </c>
      <c r="E1845" s="6" t="s">
        <v>26</v>
      </c>
      <c r="F1845" s="6" t="s">
        <v>4882</v>
      </c>
      <c r="G1845" s="6" t="s">
        <v>818</v>
      </c>
      <c r="H1845" s="6">
        <v>120</v>
      </c>
      <c r="I1845" s="18">
        <v>2152.8</v>
      </c>
      <c r="J1845" s="19">
        <v>46245.6517915857</v>
      </c>
      <c r="K1845" s="6" t="s">
        <v>4880</v>
      </c>
      <c r="L1845" t="str">
        <f t="shared" si="28"/>
        <v>PAPEL HIGIENICO INTERFOLHADO 620FOLHAS|46246</v>
      </c>
    </row>
    <row r="1846" ht="13.5" customHeight="1" spans="1:12">
      <c r="A1846" s="17">
        <v>46245.6462384259</v>
      </c>
      <c r="B1846" s="6" t="s">
        <v>4876</v>
      </c>
      <c r="C1846" s="6" t="s">
        <v>6013</v>
      </c>
      <c r="D1846" s="6" t="s">
        <v>109</v>
      </c>
      <c r="E1846" s="6" t="s">
        <v>26</v>
      </c>
      <c r="F1846" s="6" t="s">
        <v>4882</v>
      </c>
      <c r="G1846" s="6" t="s">
        <v>824</v>
      </c>
      <c r="H1846" s="6">
        <v>60</v>
      </c>
      <c r="I1846" s="18">
        <v>2672.4</v>
      </c>
      <c r="J1846" s="19">
        <v>46245.6517908565</v>
      </c>
      <c r="K1846" s="6" t="s">
        <v>4880</v>
      </c>
      <c r="L1846" t="str">
        <f t="shared" si="28"/>
        <v>PAPEL TOALHA FLUXO CENTRAL 120M|46246</v>
      </c>
    </row>
    <row r="1847" ht="13.5" customHeight="1" spans="1:12">
      <c r="A1847" s="17">
        <v>46246.3965277778</v>
      </c>
      <c r="B1847" s="6" t="s">
        <v>4876</v>
      </c>
      <c r="C1847" s="6" t="s">
        <v>6023</v>
      </c>
      <c r="D1847" s="6" t="s">
        <v>5132</v>
      </c>
      <c r="E1847" s="6" t="s">
        <v>26</v>
      </c>
      <c r="F1847" s="6" t="s">
        <v>4882</v>
      </c>
      <c r="G1847" s="6" t="s">
        <v>201</v>
      </c>
      <c r="H1847" s="6">
        <v>1</v>
      </c>
      <c r="I1847" s="18">
        <v>190</v>
      </c>
      <c r="J1847" s="19">
        <v>46248.3987028935</v>
      </c>
      <c r="K1847" s="6" t="s">
        <v>4880</v>
      </c>
      <c r="L1847" t="str">
        <f t="shared" si="28"/>
        <v>FILTRO DML 164 DANFOS |46246</v>
      </c>
    </row>
    <row r="1848" ht="13.5" customHeight="1" spans="1:12">
      <c r="A1848" s="17">
        <v>46247.4</v>
      </c>
      <c r="B1848" s="6" t="s">
        <v>4876</v>
      </c>
      <c r="C1848" s="6" t="s">
        <v>6024</v>
      </c>
      <c r="D1848" s="6" t="s">
        <v>5582</v>
      </c>
      <c r="E1848" s="6" t="s">
        <v>51</v>
      </c>
      <c r="F1848" s="6" t="s">
        <v>4879</v>
      </c>
      <c r="G1848" s="6" t="s">
        <v>502</v>
      </c>
      <c r="H1848" s="6">
        <v>40</v>
      </c>
      <c r="I1848" s="18">
        <v>2432</v>
      </c>
      <c r="J1848" s="19">
        <v>46248.402296956</v>
      </c>
      <c r="K1848" s="6" t="s">
        <v>4880</v>
      </c>
      <c r="L1848" t="str">
        <f t="shared" si="28"/>
        <v>SACOLA CINZA 50X60 C/5KG|46247</v>
      </c>
    </row>
    <row r="1849" ht="13.5" customHeight="1" spans="1:12">
      <c r="A1849" s="17">
        <v>46247.4666666667</v>
      </c>
      <c r="B1849" s="6" t="s">
        <v>4876</v>
      </c>
      <c r="C1849" s="6" t="s">
        <v>6025</v>
      </c>
      <c r="D1849" s="6" t="s">
        <v>109</v>
      </c>
      <c r="E1849" s="6" t="s">
        <v>26</v>
      </c>
      <c r="F1849" s="6" t="s">
        <v>4882</v>
      </c>
      <c r="G1849" s="6" t="s">
        <v>813</v>
      </c>
      <c r="H1849" s="6">
        <v>16</v>
      </c>
      <c r="I1849" s="18">
        <v>2796.96</v>
      </c>
      <c r="J1849" s="19">
        <v>46248.4673425926</v>
      </c>
      <c r="K1849" s="6" t="s">
        <v>4880</v>
      </c>
      <c r="L1849" t="str">
        <f t="shared" si="28"/>
        <v>PEROXY 3000 5 LITROS PEROXY|46247</v>
      </c>
    </row>
    <row r="1850" ht="13.5" customHeight="1" spans="1:12">
      <c r="A1850" s="17">
        <v>46247.5520833333</v>
      </c>
      <c r="B1850" s="6" t="s">
        <v>4876</v>
      </c>
      <c r="C1850" s="6" t="s">
        <v>6026</v>
      </c>
      <c r="D1850" s="6" t="s">
        <v>111</v>
      </c>
      <c r="E1850" s="6" t="s">
        <v>26</v>
      </c>
      <c r="F1850" s="6" t="s">
        <v>4882</v>
      </c>
      <c r="G1850" s="6" t="s">
        <v>31</v>
      </c>
      <c r="H1850" s="6">
        <v>2</v>
      </c>
      <c r="I1850" s="18">
        <v>569.62</v>
      </c>
      <c r="J1850" s="19">
        <v>46253.5533297801</v>
      </c>
      <c r="K1850" s="6" t="s">
        <v>4880</v>
      </c>
      <c r="L1850" t="str">
        <f t="shared" si="28"/>
        <v>TANQUE DE LIQUIDO SA1 AC/AE |46248</v>
      </c>
    </row>
    <row r="1851" ht="13.5" customHeight="1" spans="1:12">
      <c r="A1851" s="17">
        <v>46247.5618055556</v>
      </c>
      <c r="B1851" s="6" t="s">
        <v>4876</v>
      </c>
      <c r="C1851" s="6" t="s">
        <v>6027</v>
      </c>
      <c r="D1851" s="6" t="s">
        <v>4894</v>
      </c>
      <c r="E1851" s="6" t="s">
        <v>26</v>
      </c>
      <c r="F1851" s="6" t="s">
        <v>4882</v>
      </c>
      <c r="G1851" s="6" t="s">
        <v>2685</v>
      </c>
      <c r="H1851" s="6">
        <v>4</v>
      </c>
      <c r="I1851" s="18">
        <v>10</v>
      </c>
      <c r="J1851" s="19">
        <v>46248.5819410532</v>
      </c>
      <c r="K1851" s="6" t="s">
        <v>4880</v>
      </c>
      <c r="L1851" t="str">
        <f t="shared" si="28"/>
        <v>LANTERNEIRO INOX 1/4|46248</v>
      </c>
    </row>
    <row r="1852" ht="13.5" customHeight="1" spans="1:12">
      <c r="A1852" s="17">
        <v>46247.5618055556</v>
      </c>
      <c r="B1852" s="6" t="s">
        <v>4876</v>
      </c>
      <c r="C1852" s="6" t="s">
        <v>6027</v>
      </c>
      <c r="D1852" s="6" t="s">
        <v>4894</v>
      </c>
      <c r="E1852" s="6" t="s">
        <v>26</v>
      </c>
      <c r="F1852" s="6" t="s">
        <v>4882</v>
      </c>
      <c r="G1852" s="6" t="s">
        <v>1901</v>
      </c>
      <c r="H1852" s="6">
        <v>2</v>
      </c>
      <c r="I1852" s="18">
        <v>3.12</v>
      </c>
      <c r="J1852" s="19">
        <v>46248.5819408565</v>
      </c>
      <c r="K1852" s="6" t="s">
        <v>4880</v>
      </c>
      <c r="L1852" t="str">
        <f t="shared" si="28"/>
        <v>PORCA TRAVANTE 1/4 INOX|46248</v>
      </c>
    </row>
    <row r="1853" ht="13.5" customHeight="1" spans="1:12">
      <c r="A1853" s="17">
        <v>46247.5618055556</v>
      </c>
      <c r="B1853" s="6" t="s">
        <v>4876</v>
      </c>
      <c r="C1853" s="6" t="s">
        <v>6027</v>
      </c>
      <c r="D1853" s="6" t="s">
        <v>4894</v>
      </c>
      <c r="E1853" s="6" t="s">
        <v>26</v>
      </c>
      <c r="F1853" s="6" t="s">
        <v>4882</v>
      </c>
      <c r="G1853" s="6" t="s">
        <v>2259</v>
      </c>
      <c r="H1853" s="6">
        <v>2</v>
      </c>
      <c r="I1853" s="18">
        <v>13.56</v>
      </c>
      <c r="J1853" s="19">
        <v>46248.581940706</v>
      </c>
      <c r="K1853" s="6" t="s">
        <v>4880</v>
      </c>
      <c r="L1853" t="str">
        <f t="shared" si="28"/>
        <v>P.SENT INC INOX 1/4X4 C/02|46248</v>
      </c>
    </row>
    <row r="1854" ht="13.5" customHeight="1" spans="1:12">
      <c r="A1854" s="17">
        <v>46247.6909722222</v>
      </c>
      <c r="B1854" s="6" t="s">
        <v>4876</v>
      </c>
      <c r="C1854" s="6" t="s">
        <v>6028</v>
      </c>
      <c r="D1854" s="6" t="s">
        <v>5838</v>
      </c>
      <c r="E1854" s="6" t="s">
        <v>390</v>
      </c>
      <c r="F1854" s="6" t="s">
        <v>4879</v>
      </c>
      <c r="G1854" s="6" t="s">
        <v>774</v>
      </c>
      <c r="H1854" s="6">
        <v>1</v>
      </c>
      <c r="I1854" s="18">
        <v>53000</v>
      </c>
      <c r="J1854" s="19">
        <v>46252.6932168171</v>
      </c>
      <c r="K1854" s="6" t="s">
        <v>5449</v>
      </c>
      <c r="L1854" t="str">
        <f t="shared" si="28"/>
        <v>CORTADORA DE TIRAS E CUBOS CBC 200|46248</v>
      </c>
    </row>
    <row r="1855" ht="13.5" customHeight="1" spans="1:12">
      <c r="A1855" s="17">
        <v>46248.5485416667</v>
      </c>
      <c r="B1855" s="6" t="s">
        <v>4876</v>
      </c>
      <c r="C1855" s="6" t="s">
        <v>6029</v>
      </c>
      <c r="D1855" s="6" t="s">
        <v>4954</v>
      </c>
      <c r="E1855" s="6" t="s">
        <v>26</v>
      </c>
      <c r="F1855" s="6" t="s">
        <v>4882</v>
      </c>
      <c r="G1855" s="6" t="s">
        <v>542</v>
      </c>
      <c r="H1855" s="6">
        <v>1</v>
      </c>
      <c r="I1855" s="18">
        <v>558</v>
      </c>
      <c r="J1855" s="19">
        <v>46248.5504717245</v>
      </c>
      <c r="K1855" s="6" t="s">
        <v>4880</v>
      </c>
      <c r="L1855" t="str">
        <f t="shared" si="28"/>
        <v>CONJUNTO CABEÇOTE COMPLETO 85MM  ATEGO |46249</v>
      </c>
    </row>
    <row r="1856" ht="13.5" customHeight="1" spans="1:12">
      <c r="A1856" s="17">
        <v>46248.550775463</v>
      </c>
      <c r="B1856" s="6" t="s">
        <v>4876</v>
      </c>
      <c r="C1856" s="6" t="s">
        <v>6030</v>
      </c>
      <c r="D1856" s="6" t="s">
        <v>4935</v>
      </c>
      <c r="E1856" s="6" t="s">
        <v>26</v>
      </c>
      <c r="F1856" s="6" t="s">
        <v>4882</v>
      </c>
      <c r="G1856" s="6" t="s">
        <v>4403</v>
      </c>
      <c r="H1856" s="6">
        <v>1</v>
      </c>
      <c r="I1856" s="18">
        <v>24.58</v>
      </c>
      <c r="J1856" s="19">
        <v>46248.5576594097</v>
      </c>
      <c r="K1856" s="6" t="s">
        <v>4880</v>
      </c>
      <c r="L1856" t="str">
        <f t="shared" si="28"/>
        <v>BICO EUROPEU PNEU S/RETENÇAO SCHWEE|46249</v>
      </c>
    </row>
    <row r="1857" ht="13.5" customHeight="1" spans="1:12">
      <c r="A1857" s="17">
        <v>46248.550775463</v>
      </c>
      <c r="B1857" s="6" t="s">
        <v>4876</v>
      </c>
      <c r="C1857" s="6" t="s">
        <v>6030</v>
      </c>
      <c r="D1857" s="6" t="s">
        <v>4935</v>
      </c>
      <c r="E1857" s="6" t="s">
        <v>26</v>
      </c>
      <c r="F1857" s="6" t="s">
        <v>4882</v>
      </c>
      <c r="G1857" s="6" t="s">
        <v>4151</v>
      </c>
      <c r="H1857" s="6">
        <v>2</v>
      </c>
      <c r="I1857" s="18">
        <v>3.3</v>
      </c>
      <c r="J1857" s="19">
        <v>46248.5576592245</v>
      </c>
      <c r="K1857" s="6" t="s">
        <v>4880</v>
      </c>
      <c r="L1857" t="str">
        <f t="shared" si="28"/>
        <v>CABO AÇO 6X7 1/16 REV PVC 100M 16MM |46249</v>
      </c>
    </row>
    <row r="1858" ht="13.5" customHeight="1" spans="1:12">
      <c r="A1858" s="17">
        <v>46248.550775463</v>
      </c>
      <c r="B1858" s="6" t="s">
        <v>4876</v>
      </c>
      <c r="C1858" s="6" t="s">
        <v>6030</v>
      </c>
      <c r="D1858" s="6" t="s">
        <v>4935</v>
      </c>
      <c r="E1858" s="6" t="s">
        <v>26</v>
      </c>
      <c r="F1858" s="6" t="s">
        <v>4882</v>
      </c>
      <c r="G1858" s="6" t="s">
        <v>2544</v>
      </c>
      <c r="H1858" s="6">
        <v>3</v>
      </c>
      <c r="I1858" s="18">
        <v>27.78</v>
      </c>
      <c r="J1858" s="19">
        <v>46248.5576588773</v>
      </c>
      <c r="K1858" s="6" t="s">
        <v>4880</v>
      </c>
      <c r="L1858" t="str">
        <f t="shared" ref="L1858:L1921" si="29">IF(G1858="","",G1858&amp;"|"&amp;TEXT(A1858,"0"))</f>
        <v>MANGUEIRA CRISTAL 3/4 3MM|46249</v>
      </c>
    </row>
    <row r="1859" ht="13.5" customHeight="1" spans="1:12">
      <c r="A1859" s="17">
        <v>46248.550775463</v>
      </c>
      <c r="B1859" s="6" t="s">
        <v>4876</v>
      </c>
      <c r="C1859" s="6" t="s">
        <v>6030</v>
      </c>
      <c r="D1859" s="6" t="s">
        <v>4935</v>
      </c>
      <c r="E1859" s="6" t="s">
        <v>26</v>
      </c>
      <c r="F1859" s="6" t="s">
        <v>4882</v>
      </c>
      <c r="G1859" s="6" t="s">
        <v>2512</v>
      </c>
      <c r="H1859" s="6">
        <v>1</v>
      </c>
      <c r="I1859" s="18">
        <v>6.03</v>
      </c>
      <c r="J1859" s="19">
        <v>46248.5576586806</v>
      </c>
      <c r="K1859" s="6" t="s">
        <v>4880</v>
      </c>
      <c r="L1859" t="str">
        <f t="shared" si="29"/>
        <v>MANGUEIRA WING 3/8 PT300 PRETA|46249</v>
      </c>
    </row>
    <row r="1860" ht="13.5" customHeight="1" spans="1:12">
      <c r="A1860" s="17">
        <v>46248.5841666667</v>
      </c>
      <c r="B1860" s="6" t="s">
        <v>4876</v>
      </c>
      <c r="C1860" s="6" t="s">
        <v>6031</v>
      </c>
      <c r="D1860" s="6" t="s">
        <v>5065</v>
      </c>
      <c r="E1860" s="6" t="s">
        <v>26</v>
      </c>
      <c r="F1860" s="6" t="s">
        <v>4882</v>
      </c>
      <c r="G1860" s="6" t="s">
        <v>3371</v>
      </c>
      <c r="H1860" s="6">
        <v>38</v>
      </c>
      <c r="I1860" s="18">
        <v>201.4</v>
      </c>
      <c r="J1860" s="19">
        <v>46248.5925945255</v>
      </c>
      <c r="K1860" s="6" t="s">
        <v>4880</v>
      </c>
      <c r="L1860" t="str">
        <f t="shared" si="29"/>
        <v>ELO CORRENTE 26RS|46249</v>
      </c>
    </row>
    <row r="1861" ht="13.5" customHeight="1" spans="1:12">
      <c r="A1861" s="17">
        <v>46248.5930324074</v>
      </c>
      <c r="B1861" s="6" t="s">
        <v>4876</v>
      </c>
      <c r="C1861" s="6" t="s">
        <v>6032</v>
      </c>
      <c r="D1861" s="6" t="s">
        <v>5731</v>
      </c>
      <c r="E1861" s="6" t="s">
        <v>26</v>
      </c>
      <c r="F1861" s="6" t="s">
        <v>4882</v>
      </c>
      <c r="G1861" s="6" t="s">
        <v>618</v>
      </c>
      <c r="H1861" s="6">
        <v>3</v>
      </c>
      <c r="I1861" s="18">
        <v>61.53</v>
      </c>
      <c r="J1861" s="19">
        <v>46248.5947479977</v>
      </c>
      <c r="K1861" s="6" t="s">
        <v>4880</v>
      </c>
      <c r="L1861" t="str">
        <f t="shared" si="29"/>
        <v>DORFLEX CAIXA|46249</v>
      </c>
    </row>
    <row r="1862" ht="13.5" customHeight="1" spans="1:12">
      <c r="A1862" s="17">
        <v>46248.5930324074</v>
      </c>
      <c r="B1862" s="6" t="s">
        <v>4876</v>
      </c>
      <c r="C1862" s="6" t="s">
        <v>6032</v>
      </c>
      <c r="D1862" s="6" t="s">
        <v>5731</v>
      </c>
      <c r="E1862" s="6" t="s">
        <v>26</v>
      </c>
      <c r="F1862" s="6" t="s">
        <v>4882</v>
      </c>
      <c r="G1862" s="6" t="s">
        <v>619</v>
      </c>
      <c r="H1862" s="6">
        <v>4</v>
      </c>
      <c r="I1862" s="18">
        <v>155.4</v>
      </c>
      <c r="J1862" s="19">
        <v>46248.5947456366</v>
      </c>
      <c r="K1862" s="6" t="s">
        <v>4880</v>
      </c>
      <c r="L1862" t="str">
        <f t="shared" si="29"/>
        <v>TORSILAX CAIXA|46249</v>
      </c>
    </row>
    <row r="1863" ht="13.5" customHeight="1" spans="1:12">
      <c r="A1863" s="17">
        <v>46248.5992824074</v>
      </c>
      <c r="B1863" s="6" t="s">
        <v>4876</v>
      </c>
      <c r="C1863" s="6" t="s">
        <v>6033</v>
      </c>
      <c r="D1863" s="6" t="s">
        <v>6034</v>
      </c>
      <c r="E1863" s="6" t="s">
        <v>26</v>
      </c>
      <c r="F1863" s="6" t="s">
        <v>4882</v>
      </c>
      <c r="G1863" s="6" t="s">
        <v>2967</v>
      </c>
      <c r="H1863" s="6">
        <v>30</v>
      </c>
      <c r="I1863" s="18">
        <v>179.7</v>
      </c>
      <c r="J1863" s="19">
        <v>46248.6008643866</v>
      </c>
      <c r="K1863" s="6" t="s">
        <v>4880</v>
      </c>
      <c r="L1863" t="str">
        <f t="shared" si="29"/>
        <v>GANCHO OLDIE CROMADO MEDIO |46249</v>
      </c>
    </row>
    <row r="1864" ht="13.5" customHeight="1" spans="1:12">
      <c r="A1864" s="17">
        <v>46248.6009837963</v>
      </c>
      <c r="B1864" s="6" t="s">
        <v>4876</v>
      </c>
      <c r="C1864" s="6" t="s">
        <v>6035</v>
      </c>
      <c r="D1864" s="6" t="s">
        <v>4894</v>
      </c>
      <c r="E1864" s="6" t="s">
        <v>26</v>
      </c>
      <c r="F1864" s="6" t="s">
        <v>4882</v>
      </c>
      <c r="G1864" s="6" t="s">
        <v>4209</v>
      </c>
      <c r="H1864" s="6">
        <v>10</v>
      </c>
      <c r="I1864" s="18">
        <v>1.6</v>
      </c>
      <c r="J1864" s="19">
        <v>46248.6018745023</v>
      </c>
      <c r="K1864" s="6" t="s">
        <v>4880</v>
      </c>
      <c r="L1864" t="str">
        <f t="shared" si="29"/>
        <v>BUCHA 08 U-BS|46249</v>
      </c>
    </row>
    <row r="1865" ht="13.5" customHeight="1" spans="1:12">
      <c r="A1865" s="17">
        <v>46248.6013888889</v>
      </c>
      <c r="B1865" s="6" t="s">
        <v>4876</v>
      </c>
      <c r="C1865" s="6" t="s">
        <v>6036</v>
      </c>
      <c r="D1865" s="6" t="s">
        <v>4896</v>
      </c>
      <c r="E1865" s="6" t="s">
        <v>390</v>
      </c>
      <c r="F1865" s="6" t="s">
        <v>4879</v>
      </c>
      <c r="G1865" s="6" t="s">
        <v>614</v>
      </c>
      <c r="H1865" s="6">
        <v>24</v>
      </c>
      <c r="I1865" s="18">
        <v>1008</v>
      </c>
      <c r="J1865" s="19">
        <v>46258.6040514236</v>
      </c>
      <c r="K1865" s="6" t="s">
        <v>5449</v>
      </c>
      <c r="L1865" t="str">
        <f t="shared" si="29"/>
        <v>RIBON G50 110 C 450 OUT|46249</v>
      </c>
    </row>
    <row r="1866" ht="13.5" customHeight="1" spans="1:12">
      <c r="A1866" s="17">
        <v>46248.6013888889</v>
      </c>
      <c r="B1866" s="6" t="s">
        <v>4876</v>
      </c>
      <c r="C1866" s="6" t="s">
        <v>6036</v>
      </c>
      <c r="D1866" s="6" t="s">
        <v>4896</v>
      </c>
      <c r="E1866" s="6" t="s">
        <v>51</v>
      </c>
      <c r="F1866" s="6" t="s">
        <v>4879</v>
      </c>
      <c r="G1866" s="6" t="s">
        <v>548</v>
      </c>
      <c r="H1866" s="6">
        <v>100</v>
      </c>
      <c r="I1866" s="18">
        <v>8976</v>
      </c>
      <c r="J1866" s="19">
        <v>46258.60405</v>
      </c>
      <c r="K1866" s="6" t="s">
        <v>5449</v>
      </c>
      <c r="L1866" t="str">
        <f t="shared" si="29"/>
        <v>BOPP BRANCO FOSCO FASSON S 2045 90MTS ZEBRA|46249</v>
      </c>
    </row>
    <row r="1867" ht="13.5" customHeight="1" spans="1:12">
      <c r="A1867" s="17">
        <v>46251.3743055556</v>
      </c>
      <c r="B1867" s="6" t="s">
        <v>4876</v>
      </c>
      <c r="C1867" s="6" t="s">
        <v>6037</v>
      </c>
      <c r="D1867" s="6" t="s">
        <v>5061</v>
      </c>
      <c r="E1867" s="6" t="s">
        <v>390</v>
      </c>
      <c r="F1867" s="6" t="s">
        <v>4879</v>
      </c>
      <c r="G1867" s="6" t="s">
        <v>808</v>
      </c>
      <c r="H1867" s="6">
        <v>2</v>
      </c>
      <c r="I1867" s="18">
        <v>715.84</v>
      </c>
      <c r="J1867" s="19">
        <v>46259.4154949884</v>
      </c>
      <c r="K1867" s="6" t="s">
        <v>4880</v>
      </c>
      <c r="L1867" t="str">
        <f t="shared" si="29"/>
        <v>HIPOCLORITO DE SODIO 50L (60KG) CLORO ATIVO START|46251</v>
      </c>
    </row>
    <row r="1868" ht="13.5" customHeight="1" spans="1:12">
      <c r="A1868" s="17">
        <v>46251.4965277778</v>
      </c>
      <c r="B1868" s="6" t="s">
        <v>4876</v>
      </c>
      <c r="C1868" s="6" t="s">
        <v>6038</v>
      </c>
      <c r="D1868" s="6" t="s">
        <v>5175</v>
      </c>
      <c r="E1868" s="6" t="s">
        <v>35</v>
      </c>
      <c r="F1868" s="6" t="s">
        <v>4879</v>
      </c>
      <c r="G1868" s="6" t="s">
        <v>369</v>
      </c>
      <c r="H1868" s="6">
        <v>1</v>
      </c>
      <c r="I1868" s="18">
        <v>1200</v>
      </c>
      <c r="J1868" s="19">
        <v>46254.4974728009</v>
      </c>
      <c r="K1868" s="6" t="s">
        <v>5449</v>
      </c>
      <c r="L1868" t="str">
        <f t="shared" si="29"/>
        <v>SUPORTE BATERIA 11.180 23B915543A|46251</v>
      </c>
    </row>
    <row r="1869" ht="13.5" customHeight="1" spans="1:12">
      <c r="A1869" s="17">
        <v>46251.5368055556</v>
      </c>
      <c r="B1869" s="6" t="s">
        <v>4876</v>
      </c>
      <c r="C1869" s="6" t="s">
        <v>6039</v>
      </c>
      <c r="D1869" s="6" t="s">
        <v>4907</v>
      </c>
      <c r="E1869" s="6" t="s">
        <v>182</v>
      </c>
      <c r="F1869" s="6" t="s">
        <v>4879</v>
      </c>
      <c r="G1869" s="6" t="s">
        <v>439</v>
      </c>
      <c r="H1869" s="6">
        <v>40</v>
      </c>
      <c r="I1869" s="18">
        <v>24.4</v>
      </c>
      <c r="J1869" s="19">
        <v>46254.5431560185</v>
      </c>
      <c r="K1869" s="6" t="s">
        <v>5449</v>
      </c>
      <c r="L1869" t="str">
        <f t="shared" si="29"/>
        <v>ESPONJA MULTIUSO|46252</v>
      </c>
    </row>
    <row r="1870" ht="13.5" customHeight="1" spans="1:12">
      <c r="A1870" s="17">
        <v>46251.5368055556</v>
      </c>
      <c r="B1870" s="6" t="s">
        <v>4876</v>
      </c>
      <c r="C1870" s="6" t="s">
        <v>6039</v>
      </c>
      <c r="D1870" s="6" t="s">
        <v>4907</v>
      </c>
      <c r="E1870" s="6" t="s">
        <v>182</v>
      </c>
      <c r="F1870" s="6" t="s">
        <v>4879</v>
      </c>
      <c r="G1870" s="6" t="s">
        <v>3051</v>
      </c>
      <c r="H1870" s="6">
        <v>160</v>
      </c>
      <c r="I1870" s="18">
        <v>481.6</v>
      </c>
      <c r="J1870" s="19">
        <v>46254.5431529745</v>
      </c>
      <c r="K1870" s="6" t="s">
        <v>5449</v>
      </c>
      <c r="L1870" t="str">
        <f t="shared" si="29"/>
        <v>FITA DE EMPACOTAMENTO 45x40|46252</v>
      </c>
    </row>
    <row r="1871" ht="13.5" customHeight="1" spans="1:12">
      <c r="A1871" s="17">
        <v>46251.5368055556</v>
      </c>
      <c r="B1871" s="6" t="s">
        <v>4876</v>
      </c>
      <c r="C1871" s="6" t="s">
        <v>6039</v>
      </c>
      <c r="D1871" s="6" t="s">
        <v>4907</v>
      </c>
      <c r="E1871" s="6" t="s">
        <v>182</v>
      </c>
      <c r="F1871" s="6" t="s">
        <v>4879</v>
      </c>
      <c r="G1871" s="6" t="s">
        <v>425</v>
      </c>
      <c r="H1871" s="6">
        <v>100</v>
      </c>
      <c r="I1871" s="18">
        <v>308</v>
      </c>
      <c r="J1871" s="19">
        <v>46254.5431504282</v>
      </c>
      <c r="K1871" s="6" t="s">
        <v>5449</v>
      </c>
      <c r="L1871" t="str">
        <f t="shared" si="29"/>
        <v>PANO DE CHÃO ALVEJADO 100% ALGODÃO |46252</v>
      </c>
    </row>
    <row r="1872" ht="13.5" customHeight="1" spans="1:12">
      <c r="A1872" s="17">
        <v>46251.5368055556</v>
      </c>
      <c r="B1872" s="6" t="s">
        <v>4876</v>
      </c>
      <c r="C1872" s="6" t="s">
        <v>6039</v>
      </c>
      <c r="D1872" s="6" t="s">
        <v>4907</v>
      </c>
      <c r="E1872" s="6" t="s">
        <v>182</v>
      </c>
      <c r="F1872" s="6" t="s">
        <v>4879</v>
      </c>
      <c r="G1872" s="6" t="s">
        <v>258</v>
      </c>
      <c r="H1872" s="6">
        <v>48</v>
      </c>
      <c r="I1872" s="18">
        <v>352.8</v>
      </c>
      <c r="J1872" s="19">
        <v>46254.543149537</v>
      </c>
      <c r="K1872" s="6" t="s">
        <v>5449</v>
      </c>
      <c r="L1872" t="str">
        <f t="shared" si="29"/>
        <v>ÁLCOOL 70% 1 LITRO|46252</v>
      </c>
    </row>
    <row r="1873" ht="13.5" customHeight="1" spans="1:12">
      <c r="A1873" s="17">
        <v>46251.5368055556</v>
      </c>
      <c r="B1873" s="6" t="s">
        <v>4876</v>
      </c>
      <c r="C1873" s="6" t="s">
        <v>6039</v>
      </c>
      <c r="D1873" s="6" t="s">
        <v>4907</v>
      </c>
      <c r="E1873" s="6" t="s">
        <v>182</v>
      </c>
      <c r="F1873" s="6" t="s">
        <v>4879</v>
      </c>
      <c r="G1873" s="6" t="s">
        <v>800</v>
      </c>
      <c r="H1873" s="6">
        <v>10</v>
      </c>
      <c r="I1873" s="18">
        <v>46.8</v>
      </c>
      <c r="J1873" s="19">
        <v>46254.5431484144</v>
      </c>
      <c r="K1873" s="6" t="s">
        <v>5449</v>
      </c>
      <c r="L1873" t="str">
        <f t="shared" si="29"/>
        <v>BLOCO ADESIVO POST IT 76MMX102MM AMARELO C/ 100 |46252</v>
      </c>
    </row>
    <row r="1874" ht="13.5" customHeight="1" spans="1:12">
      <c r="A1874" s="17">
        <v>46251.5368055556</v>
      </c>
      <c r="B1874" s="6" t="s">
        <v>4876</v>
      </c>
      <c r="C1874" s="6" t="s">
        <v>6039</v>
      </c>
      <c r="D1874" s="6" t="s">
        <v>4907</v>
      </c>
      <c r="E1874" s="6" t="s">
        <v>182</v>
      </c>
      <c r="F1874" s="6" t="s">
        <v>4879</v>
      </c>
      <c r="G1874" s="6" t="s">
        <v>431</v>
      </c>
      <c r="H1874" s="6">
        <v>200</v>
      </c>
      <c r="I1874" s="18">
        <v>4892</v>
      </c>
      <c r="J1874" s="19">
        <v>46254.5431464468</v>
      </c>
      <c r="K1874" s="6" t="s">
        <v>5449</v>
      </c>
      <c r="L1874" t="str">
        <f t="shared" si="29"/>
        <v>PACOTE DE FOLHA A4 CHAMEX|46252</v>
      </c>
    </row>
    <row r="1875" ht="13.5" customHeight="1" spans="1:12">
      <c r="A1875" s="17">
        <v>46251.5748842593</v>
      </c>
      <c r="B1875" s="6" t="s">
        <v>4876</v>
      </c>
      <c r="C1875" s="6" t="s">
        <v>6040</v>
      </c>
      <c r="D1875" s="6" t="s">
        <v>5895</v>
      </c>
      <c r="E1875" s="6" t="s">
        <v>26</v>
      </c>
      <c r="F1875" s="6" t="s">
        <v>4882</v>
      </c>
      <c r="G1875" s="6" t="s">
        <v>4436</v>
      </c>
      <c r="H1875" s="6">
        <v>2</v>
      </c>
      <c r="I1875" s="18">
        <v>2100</v>
      </c>
      <c r="J1875" s="19">
        <v>46251.5771241551</v>
      </c>
      <c r="K1875" s="6" t="s">
        <v>4880</v>
      </c>
      <c r="L1875" t="str">
        <f t="shared" si="29"/>
        <v>BATERIA HELIAR H100LE|46252</v>
      </c>
    </row>
    <row r="1876" ht="13.5" customHeight="1" spans="1:12">
      <c r="A1876" s="17">
        <v>46251.5773032407</v>
      </c>
      <c r="B1876" s="6" t="s">
        <v>4876</v>
      </c>
      <c r="C1876" s="6" t="s">
        <v>6041</v>
      </c>
      <c r="D1876" s="6" t="s">
        <v>5175</v>
      </c>
      <c r="E1876" s="6" t="s">
        <v>35</v>
      </c>
      <c r="F1876" s="6" t="s">
        <v>4879</v>
      </c>
      <c r="G1876" s="6" t="s">
        <v>799</v>
      </c>
      <c r="H1876" s="6">
        <v>1</v>
      </c>
      <c r="I1876" s="18">
        <v>60</v>
      </c>
      <c r="J1876" s="19">
        <v>46251.5830180556</v>
      </c>
      <c r="K1876" s="6" t="s">
        <v>4880</v>
      </c>
      <c r="L1876" t="str">
        <f t="shared" si="29"/>
        <v>APOIO 23B/407661/A|46252</v>
      </c>
    </row>
    <row r="1877" ht="13.5" customHeight="1" spans="1:12">
      <c r="A1877" s="17">
        <v>46251.5773032407</v>
      </c>
      <c r="B1877" s="6" t="s">
        <v>4876</v>
      </c>
      <c r="C1877" s="6" t="s">
        <v>6041</v>
      </c>
      <c r="D1877" s="6" t="s">
        <v>5175</v>
      </c>
      <c r="E1877" s="6" t="s">
        <v>35</v>
      </c>
      <c r="F1877" s="6" t="s">
        <v>4879</v>
      </c>
      <c r="G1877" s="6" t="s">
        <v>798</v>
      </c>
      <c r="H1877" s="6">
        <v>1</v>
      </c>
      <c r="I1877" s="18">
        <v>240</v>
      </c>
      <c r="J1877" s="19">
        <v>46251.5830177083</v>
      </c>
      <c r="K1877" s="6" t="s">
        <v>4880</v>
      </c>
      <c r="L1877" t="str">
        <f t="shared" si="29"/>
        <v>PORCA MANGA EIXO DELIVERY 23B/ 407644A|46252</v>
      </c>
    </row>
    <row r="1878" ht="13.5" customHeight="1" spans="1:12">
      <c r="A1878" s="17">
        <v>46251.5773032407</v>
      </c>
      <c r="B1878" s="6" t="s">
        <v>4876</v>
      </c>
      <c r="C1878" s="6" t="s">
        <v>6041</v>
      </c>
      <c r="D1878" s="6" t="s">
        <v>5175</v>
      </c>
      <c r="E1878" s="6" t="s">
        <v>35</v>
      </c>
      <c r="F1878" s="6" t="s">
        <v>4879</v>
      </c>
      <c r="G1878" s="6" t="s">
        <v>4825</v>
      </c>
      <c r="H1878" s="6">
        <v>1</v>
      </c>
      <c r="I1878" s="18">
        <v>2500</v>
      </c>
      <c r="J1878" s="19">
        <v>46251.583015706</v>
      </c>
      <c r="K1878" s="6" t="s">
        <v>4880</v>
      </c>
      <c r="L1878" t="str">
        <f t="shared" si="29"/>
        <v>2PO/906261C SENSOR|46252</v>
      </c>
    </row>
    <row r="1879" ht="13.5" customHeight="1" spans="1:12">
      <c r="A1879" s="17">
        <v>46251.7038078704</v>
      </c>
      <c r="B1879" s="6" t="s">
        <v>4876</v>
      </c>
      <c r="C1879" s="6" t="s">
        <v>6042</v>
      </c>
      <c r="D1879" s="6" t="s">
        <v>110</v>
      </c>
      <c r="E1879" s="6" t="s">
        <v>26</v>
      </c>
      <c r="F1879" s="6" t="s">
        <v>4882</v>
      </c>
      <c r="G1879" s="6" t="s">
        <v>792</v>
      </c>
      <c r="H1879" s="6">
        <v>1</v>
      </c>
      <c r="I1879" s="18">
        <v>598</v>
      </c>
      <c r="J1879" s="19">
        <v>46251.7063878472</v>
      </c>
      <c r="K1879" s="6" t="s">
        <v>4880</v>
      </c>
      <c r="L1879" t="str">
        <f t="shared" si="29"/>
        <v>RESERVATORIO AGUA DO VOLKS 515239|46252</v>
      </c>
    </row>
    <row r="1880" ht="13.5" customHeight="1" spans="1:12">
      <c r="A1880" s="17">
        <v>46251.7070717593</v>
      </c>
      <c r="B1880" s="6" t="s">
        <v>4876</v>
      </c>
      <c r="C1880" s="6" t="s">
        <v>6043</v>
      </c>
      <c r="D1880" s="6" t="s">
        <v>4971</v>
      </c>
      <c r="E1880" s="6" t="s">
        <v>182</v>
      </c>
      <c r="F1880" s="6" t="s">
        <v>4879</v>
      </c>
      <c r="G1880" s="6" t="s">
        <v>470</v>
      </c>
      <c r="H1880" s="6">
        <v>6</v>
      </c>
      <c r="I1880" s="18">
        <v>253.44</v>
      </c>
      <c r="J1880" s="19">
        <v>46251.709244132</v>
      </c>
      <c r="K1880" s="6" t="s">
        <v>4880</v>
      </c>
      <c r="L1880" t="str">
        <f t="shared" si="29"/>
        <v>FITA ISOLANTE 19x20M TIGRE|46252</v>
      </c>
    </row>
    <row r="1881" ht="13.5" customHeight="1" spans="1:12">
      <c r="A1881" s="17">
        <v>46251.7095138889</v>
      </c>
      <c r="B1881" s="6" t="s">
        <v>4876</v>
      </c>
      <c r="C1881" s="6" t="s">
        <v>6044</v>
      </c>
      <c r="D1881" s="6" t="s">
        <v>4954</v>
      </c>
      <c r="E1881" s="6" t="s">
        <v>26</v>
      </c>
      <c r="F1881" s="6" t="s">
        <v>4882</v>
      </c>
      <c r="G1881" s="6" t="s">
        <v>3726</v>
      </c>
      <c r="H1881" s="6">
        <v>1</v>
      </c>
      <c r="I1881" s="18">
        <v>7</v>
      </c>
      <c r="J1881" s="19">
        <v>46251.7193050579</v>
      </c>
      <c r="K1881" s="6" t="s">
        <v>4880</v>
      </c>
      <c r="L1881" t="str">
        <f t="shared" si="29"/>
        <v>COLA ALMASUPER 20G|46252</v>
      </c>
    </row>
    <row r="1882" ht="13.5" customHeight="1" spans="1:12">
      <c r="A1882" s="17">
        <v>46251.7095138889</v>
      </c>
      <c r="B1882" s="6" t="s">
        <v>4876</v>
      </c>
      <c r="C1882" s="6" t="s">
        <v>6044</v>
      </c>
      <c r="D1882" s="6" t="s">
        <v>4954</v>
      </c>
      <c r="E1882" s="6" t="s">
        <v>26</v>
      </c>
      <c r="F1882" s="6" t="s">
        <v>4882</v>
      </c>
      <c r="G1882" s="6" t="s">
        <v>227</v>
      </c>
      <c r="H1882" s="6">
        <v>2</v>
      </c>
      <c r="I1882" s="18">
        <v>104</v>
      </c>
      <c r="J1882" s="19">
        <v>46251.7193045139</v>
      </c>
      <c r="K1882" s="6" t="s">
        <v>4880</v>
      </c>
      <c r="L1882" t="str">
        <f t="shared" si="29"/>
        <v>PALHETA LIMPADOR ACCELO PARALELA|46252</v>
      </c>
    </row>
    <row r="1883" ht="13.5" customHeight="1" spans="1:12">
      <c r="A1883" s="17">
        <v>46251.7095138889</v>
      </c>
      <c r="B1883" s="6" t="s">
        <v>4876</v>
      </c>
      <c r="C1883" s="6" t="s">
        <v>6044</v>
      </c>
      <c r="D1883" s="6" t="s">
        <v>4954</v>
      </c>
      <c r="E1883" s="6" t="s">
        <v>26</v>
      </c>
      <c r="F1883" s="6" t="s">
        <v>4882</v>
      </c>
      <c r="G1883" s="6" t="s">
        <v>796</v>
      </c>
      <c r="H1883" s="6">
        <v>1</v>
      </c>
      <c r="I1883" s="18">
        <v>158</v>
      </c>
      <c r="J1883" s="19">
        <v>46251.7193041667</v>
      </c>
      <c r="K1883" s="6" t="s">
        <v>4880</v>
      </c>
      <c r="L1883" t="str">
        <f t="shared" si="29"/>
        <v>HASTE LIMPADO ESQ ACCELO|46252</v>
      </c>
    </row>
    <row r="1884" ht="13.5" customHeight="1" spans="1:12">
      <c r="A1884" s="17">
        <v>46251.7095138889</v>
      </c>
      <c r="B1884" s="6" t="s">
        <v>4876</v>
      </c>
      <c r="C1884" s="6" t="s">
        <v>6044</v>
      </c>
      <c r="D1884" s="6" t="s">
        <v>4954</v>
      </c>
      <c r="E1884" s="6" t="s">
        <v>26</v>
      </c>
      <c r="F1884" s="6" t="s">
        <v>4882</v>
      </c>
      <c r="G1884" s="6" t="s">
        <v>795</v>
      </c>
      <c r="H1884" s="6">
        <v>1</v>
      </c>
      <c r="I1884" s="18">
        <v>158</v>
      </c>
      <c r="J1884" s="19">
        <v>46251.7193039699</v>
      </c>
      <c r="K1884" s="6" t="s">
        <v>4880</v>
      </c>
      <c r="L1884" t="str">
        <f t="shared" si="29"/>
        <v>HASTE DO LIMPADO LD ACCELO |46252</v>
      </c>
    </row>
    <row r="1885" ht="13.5" customHeight="1" spans="1:12">
      <c r="A1885" s="17">
        <v>46251.7095138889</v>
      </c>
      <c r="B1885" s="6" t="s">
        <v>4876</v>
      </c>
      <c r="C1885" s="6" t="s">
        <v>6044</v>
      </c>
      <c r="D1885" s="6" t="s">
        <v>4954</v>
      </c>
      <c r="E1885" s="6" t="s">
        <v>26</v>
      </c>
      <c r="F1885" s="6" t="s">
        <v>4882</v>
      </c>
      <c r="G1885" s="6" t="s">
        <v>541</v>
      </c>
      <c r="H1885" s="6">
        <v>2</v>
      </c>
      <c r="I1885" s="18">
        <v>1038</v>
      </c>
      <c r="J1885" s="19">
        <v>46251.7193036227</v>
      </c>
      <c r="K1885" s="6" t="s">
        <v>4880</v>
      </c>
      <c r="L1885" t="str">
        <f t="shared" si="29"/>
        <v>AMORTECEDOR TRASEIRO ACCELO NAKATA|46252</v>
      </c>
    </row>
    <row r="1886" ht="13.5" customHeight="1" spans="1:12">
      <c r="A1886" s="17">
        <v>46251.7271527778</v>
      </c>
      <c r="B1886" s="6" t="s">
        <v>4876</v>
      </c>
      <c r="C1886" s="6" t="s">
        <v>6045</v>
      </c>
      <c r="D1886" s="6" t="s">
        <v>4982</v>
      </c>
      <c r="E1886" s="6" t="s">
        <v>26</v>
      </c>
      <c r="F1886" s="6" t="s">
        <v>4882</v>
      </c>
      <c r="G1886" s="6" t="s">
        <v>2950</v>
      </c>
      <c r="H1886" s="6">
        <v>1</v>
      </c>
      <c r="I1886" s="18">
        <v>95</v>
      </c>
      <c r="J1886" s="19">
        <v>46251.7282201389</v>
      </c>
      <c r="K1886" s="6" t="s">
        <v>4880</v>
      </c>
      <c r="L1886" t="str">
        <f t="shared" si="29"/>
        <v>GARRAFA TERMICA 1L|46252</v>
      </c>
    </row>
    <row r="1887" ht="13.5" customHeight="1" spans="1:12">
      <c r="A1887" s="17">
        <v>46251.7298842593</v>
      </c>
      <c r="B1887" s="6" t="s">
        <v>4876</v>
      </c>
      <c r="C1887" s="6" t="s">
        <v>6046</v>
      </c>
      <c r="D1887" s="6" t="s">
        <v>4894</v>
      </c>
      <c r="E1887" s="6" t="s">
        <v>26</v>
      </c>
      <c r="F1887" s="6" t="s">
        <v>4882</v>
      </c>
      <c r="G1887" s="6" t="s">
        <v>2114</v>
      </c>
      <c r="H1887" s="6">
        <v>10</v>
      </c>
      <c r="I1887" s="18">
        <v>99.3</v>
      </c>
      <c r="J1887" s="19">
        <v>46251.749581713</v>
      </c>
      <c r="K1887" s="6" t="s">
        <v>4880</v>
      </c>
      <c r="L1887" t="str">
        <f t="shared" si="29"/>
        <v>PARAFUSO SEXT 8.8 16X80|46252</v>
      </c>
    </row>
    <row r="1888" ht="13.5" customHeight="1" spans="1:12">
      <c r="A1888" s="17">
        <v>46251.7298842593</v>
      </c>
      <c r="B1888" s="6" t="s">
        <v>4876</v>
      </c>
      <c r="C1888" s="6" t="s">
        <v>6046</v>
      </c>
      <c r="D1888" s="6" t="s">
        <v>4894</v>
      </c>
      <c r="E1888" s="6" t="s">
        <v>26</v>
      </c>
      <c r="F1888" s="6" t="s">
        <v>4882</v>
      </c>
      <c r="G1888" s="6" t="s">
        <v>940</v>
      </c>
      <c r="H1888" s="6">
        <v>2</v>
      </c>
      <c r="I1888" s="18">
        <v>10.38</v>
      </c>
      <c r="J1888" s="19">
        <v>46251.7495813657</v>
      </c>
      <c r="K1888" s="6" t="s">
        <v>4880</v>
      </c>
      <c r="L1888" t="str">
        <f t="shared" si="29"/>
        <v>VONDER ESPIGAO 1/4 MX 1/4 5114|46252</v>
      </c>
    </row>
    <row r="1889" ht="13.5" customHeight="1" spans="1:12">
      <c r="A1889" s="17">
        <v>46251.7298842593</v>
      </c>
      <c r="B1889" s="6" t="s">
        <v>4876</v>
      </c>
      <c r="C1889" s="6" t="s">
        <v>6046</v>
      </c>
      <c r="D1889" s="6" t="s">
        <v>4894</v>
      </c>
      <c r="E1889" s="6" t="s">
        <v>26</v>
      </c>
      <c r="F1889" s="6" t="s">
        <v>4882</v>
      </c>
      <c r="G1889" s="6" t="s">
        <v>4398</v>
      </c>
      <c r="H1889" s="6">
        <v>2</v>
      </c>
      <c r="I1889" s="18">
        <v>59.54</v>
      </c>
      <c r="J1889" s="19">
        <v>46251.749581169</v>
      </c>
      <c r="K1889" s="6" t="s">
        <v>4880</v>
      </c>
      <c r="L1889" t="str">
        <f t="shared" si="29"/>
        <v>BICO PULVERIAZADOR  CURTO|46252</v>
      </c>
    </row>
    <row r="1890" ht="13.5" customHeight="1" spans="1:12">
      <c r="A1890" s="17">
        <v>46251.7298842593</v>
      </c>
      <c r="B1890" s="6" t="s">
        <v>4876</v>
      </c>
      <c r="C1890" s="6" t="s">
        <v>6046</v>
      </c>
      <c r="D1890" s="6" t="s">
        <v>4894</v>
      </c>
      <c r="E1890" s="6" t="s">
        <v>26</v>
      </c>
      <c r="F1890" s="6" t="s">
        <v>4882</v>
      </c>
      <c r="G1890" s="6" t="s">
        <v>891</v>
      </c>
      <c r="H1890" s="6">
        <v>5</v>
      </c>
      <c r="I1890" s="18">
        <v>292</v>
      </c>
      <c r="J1890" s="19">
        <v>46251.7495808218</v>
      </c>
      <c r="K1890" s="6" t="s">
        <v>4880</v>
      </c>
      <c r="L1890" t="str">
        <f t="shared" si="29"/>
        <v>TF7 CONVERTEDOR DE FERRUGEM 1L |46252</v>
      </c>
    </row>
    <row r="1891" ht="13.5" customHeight="1" spans="1:12">
      <c r="A1891" s="17">
        <v>46251.7298842593</v>
      </c>
      <c r="B1891" s="6" t="s">
        <v>4876</v>
      </c>
      <c r="C1891" s="6" t="s">
        <v>6046</v>
      </c>
      <c r="D1891" s="6" t="s">
        <v>4894</v>
      </c>
      <c r="E1891" s="6" t="s">
        <v>26</v>
      </c>
      <c r="F1891" s="6" t="s">
        <v>4882</v>
      </c>
      <c r="G1891" s="6" t="s">
        <v>3756</v>
      </c>
      <c r="H1891" s="6">
        <v>2</v>
      </c>
      <c r="I1891" s="18">
        <v>3.6</v>
      </c>
      <c r="J1891" s="19">
        <v>46251.7495804745</v>
      </c>
      <c r="K1891" s="6" t="s">
        <v>4880</v>
      </c>
      <c r="L1891" t="str">
        <f t="shared" si="29"/>
        <v>CLIPS AÇO 3/16|46252</v>
      </c>
    </row>
    <row r="1892" ht="13.5" customHeight="1" spans="1:12">
      <c r="A1892" s="17">
        <v>46252.4993055556</v>
      </c>
      <c r="B1892" s="6" t="s">
        <v>4876</v>
      </c>
      <c r="C1892" s="6" t="s">
        <v>6047</v>
      </c>
      <c r="D1892" s="6" t="s">
        <v>5175</v>
      </c>
      <c r="E1892" s="6" t="s">
        <v>35</v>
      </c>
      <c r="F1892" s="6" t="s">
        <v>4879</v>
      </c>
      <c r="G1892" s="6" t="s">
        <v>4832</v>
      </c>
      <c r="H1892" s="6">
        <v>0.01</v>
      </c>
      <c r="I1892" s="18">
        <v>46</v>
      </c>
      <c r="J1892" s="19">
        <v>46254.5091213773</v>
      </c>
      <c r="K1892" s="6" t="s">
        <v>5449</v>
      </c>
      <c r="L1892" t="str">
        <f t="shared" si="29"/>
        <v>23B/ 498611 CUBO|46252</v>
      </c>
    </row>
    <row r="1893" ht="13.5" customHeight="1" spans="1:12">
      <c r="A1893" s="17">
        <v>46252.4993055556</v>
      </c>
      <c r="B1893" s="6" t="s">
        <v>4876</v>
      </c>
      <c r="C1893" s="6" t="s">
        <v>6047</v>
      </c>
      <c r="D1893" s="6" t="s">
        <v>5175</v>
      </c>
      <c r="E1893" s="6" t="s">
        <v>35</v>
      </c>
      <c r="F1893" s="6" t="s">
        <v>4879</v>
      </c>
      <c r="G1893" s="6" t="s">
        <v>799</v>
      </c>
      <c r="H1893" s="6">
        <v>1</v>
      </c>
      <c r="I1893" s="18">
        <v>60</v>
      </c>
      <c r="J1893" s="19">
        <v>46254.5091210301</v>
      </c>
      <c r="K1893" s="6" t="s">
        <v>5449</v>
      </c>
      <c r="L1893" t="str">
        <f t="shared" si="29"/>
        <v>APOIO 23B/407661/A|46252</v>
      </c>
    </row>
    <row r="1894" ht="13.5" customHeight="1" spans="1:12">
      <c r="A1894" s="17">
        <v>46252.4993055556</v>
      </c>
      <c r="B1894" s="6" t="s">
        <v>4876</v>
      </c>
      <c r="C1894" s="6" t="s">
        <v>6047</v>
      </c>
      <c r="D1894" s="6" t="s">
        <v>5175</v>
      </c>
      <c r="E1894" s="6" t="s">
        <v>35</v>
      </c>
      <c r="F1894" s="6" t="s">
        <v>4879</v>
      </c>
      <c r="G1894" s="6" t="s">
        <v>879</v>
      </c>
      <c r="H1894" s="6">
        <v>2</v>
      </c>
      <c r="I1894" s="18">
        <v>1260</v>
      </c>
      <c r="J1894" s="19">
        <v>46254.5091204861</v>
      </c>
      <c r="K1894" s="6" t="s">
        <v>5449</v>
      </c>
      <c r="L1894" t="str">
        <f t="shared" si="29"/>
        <v>ROLAMENTO DUPLO (VW 11.180) OMD23B501611A|46252</v>
      </c>
    </row>
    <row r="1895" ht="13.5" customHeight="1" spans="1:12">
      <c r="A1895" s="17">
        <v>46252.4993055556</v>
      </c>
      <c r="B1895" s="6" t="s">
        <v>4876</v>
      </c>
      <c r="C1895" s="6" t="s">
        <v>6047</v>
      </c>
      <c r="D1895" s="6" t="s">
        <v>5175</v>
      </c>
      <c r="E1895" s="6" t="s">
        <v>35</v>
      </c>
      <c r="F1895" s="6" t="s">
        <v>4879</v>
      </c>
      <c r="G1895" s="6" t="s">
        <v>798</v>
      </c>
      <c r="H1895" s="6">
        <v>1</v>
      </c>
      <c r="I1895" s="18">
        <v>240</v>
      </c>
      <c r="J1895" s="19">
        <v>46254.5091199421</v>
      </c>
      <c r="K1895" s="6" t="s">
        <v>5449</v>
      </c>
      <c r="L1895" t="str">
        <f t="shared" si="29"/>
        <v>PORCA MANGA EIXO DELIVERY 23B/ 407644A|46252</v>
      </c>
    </row>
    <row r="1896" ht="13.5" customHeight="1" spans="1:12">
      <c r="A1896" s="17">
        <v>46252.5486805556</v>
      </c>
      <c r="B1896" s="6" t="s">
        <v>4876</v>
      </c>
      <c r="C1896" s="6" t="s">
        <v>6048</v>
      </c>
      <c r="D1896" s="6" t="s">
        <v>4935</v>
      </c>
      <c r="E1896" s="6" t="s">
        <v>26</v>
      </c>
      <c r="F1896" s="6" t="s">
        <v>4882</v>
      </c>
      <c r="G1896" s="6" t="s">
        <v>3582</v>
      </c>
      <c r="H1896" s="6">
        <v>5</v>
      </c>
      <c r="I1896" s="18">
        <v>40</v>
      </c>
      <c r="J1896" s="19">
        <v>46252.5501100347</v>
      </c>
      <c r="K1896" s="6" t="s">
        <v>4880</v>
      </c>
      <c r="L1896" t="str">
        <f t="shared" si="29"/>
        <v>CORREIA A-42|46253</v>
      </c>
    </row>
    <row r="1897" ht="13.5" customHeight="1" spans="1:12">
      <c r="A1897" s="17">
        <v>46252.5504050926</v>
      </c>
      <c r="B1897" s="6" t="s">
        <v>4876</v>
      </c>
      <c r="C1897" s="6" t="s">
        <v>6049</v>
      </c>
      <c r="D1897" s="6" t="s">
        <v>6050</v>
      </c>
      <c r="E1897" s="6" t="s">
        <v>26</v>
      </c>
      <c r="F1897" s="6" t="s">
        <v>4882</v>
      </c>
      <c r="G1897" s="6" t="s">
        <v>773</v>
      </c>
      <c r="H1897" s="6">
        <v>1</v>
      </c>
      <c r="I1897" s="18">
        <v>58</v>
      </c>
      <c r="J1897" s="19">
        <v>46252.5536537037</v>
      </c>
      <c r="K1897" s="6" t="s">
        <v>4880</v>
      </c>
      <c r="L1897" t="str">
        <f t="shared" si="29"/>
        <v>PLACA WRELESS DELL LATITUDE 14 E S470 DW 1820|46253</v>
      </c>
    </row>
    <row r="1898" ht="13.5" customHeight="1" spans="1:12">
      <c r="A1898" s="17">
        <v>46252.5548263889</v>
      </c>
      <c r="B1898" s="6" t="s">
        <v>4876</v>
      </c>
      <c r="C1898" s="6" t="s">
        <v>6048</v>
      </c>
      <c r="D1898" s="6" t="s">
        <v>5224</v>
      </c>
      <c r="E1898" s="6" t="s">
        <v>26</v>
      </c>
      <c r="F1898" s="6" t="s">
        <v>4882</v>
      </c>
      <c r="G1898" s="6" t="s">
        <v>635</v>
      </c>
      <c r="H1898" s="6">
        <v>1</v>
      </c>
      <c r="I1898" s="18">
        <v>147</v>
      </c>
      <c r="J1898" s="19">
        <v>46252.5556324884</v>
      </c>
      <c r="K1898" s="6" t="s">
        <v>4880</v>
      </c>
      <c r="L1898" t="str">
        <f t="shared" si="29"/>
        <v>RAÇÃO P/ PEIXE (LAGUNA)|46253</v>
      </c>
    </row>
    <row r="1899" ht="13.5" customHeight="1" spans="1:12">
      <c r="A1899" s="17">
        <v>46252.5569560185</v>
      </c>
      <c r="B1899" s="6" t="s">
        <v>4876</v>
      </c>
      <c r="C1899" s="6" t="s">
        <v>6048</v>
      </c>
      <c r="D1899" s="6" t="s">
        <v>5453</v>
      </c>
      <c r="E1899" s="6" t="s">
        <v>26</v>
      </c>
      <c r="F1899" s="6" t="s">
        <v>4882</v>
      </c>
      <c r="G1899" s="6" t="s">
        <v>782</v>
      </c>
      <c r="H1899" s="6">
        <v>12</v>
      </c>
      <c r="I1899" s="18">
        <v>180</v>
      </c>
      <c r="J1899" s="19">
        <v>46252.5582829051</v>
      </c>
      <c r="K1899" s="6" t="s">
        <v>4880</v>
      </c>
      <c r="L1899" t="str">
        <f t="shared" si="29"/>
        <v>CRACHAS |46253</v>
      </c>
    </row>
    <row r="1900" ht="13.5" customHeight="1" spans="1:12">
      <c r="A1900" s="17">
        <v>46253.3430555556</v>
      </c>
      <c r="B1900" s="6" t="s">
        <v>4876</v>
      </c>
      <c r="C1900" s="6" t="s">
        <v>5980</v>
      </c>
      <c r="D1900" s="6" t="s">
        <v>110</v>
      </c>
      <c r="E1900" s="6" t="s">
        <v>35</v>
      </c>
      <c r="F1900" s="6" t="s">
        <v>4879</v>
      </c>
      <c r="G1900" s="6" t="s">
        <v>786</v>
      </c>
      <c r="H1900" s="6">
        <v>20</v>
      </c>
      <c r="I1900" s="18">
        <v>660</v>
      </c>
      <c r="J1900" s="19">
        <v>46254.3471560995</v>
      </c>
      <c r="K1900" s="6" t="s">
        <v>4880</v>
      </c>
      <c r="L1900" t="str">
        <f t="shared" si="29"/>
        <v>VASELINA LÍQUIDA 1LT |46253</v>
      </c>
    </row>
    <row r="1901" ht="13.5" customHeight="1" spans="1:12">
      <c r="A1901" s="17">
        <v>46253.3777777778</v>
      </c>
      <c r="B1901" s="6" t="s">
        <v>4876</v>
      </c>
      <c r="C1901" s="6" t="s">
        <v>6051</v>
      </c>
      <c r="D1901" s="6" t="s">
        <v>110</v>
      </c>
      <c r="E1901" s="6" t="s">
        <v>35</v>
      </c>
      <c r="F1901" s="6" t="s">
        <v>4879</v>
      </c>
      <c r="G1901" s="6" t="s">
        <v>792</v>
      </c>
      <c r="H1901" s="6">
        <v>1</v>
      </c>
      <c r="I1901" s="18">
        <v>598</v>
      </c>
      <c r="J1901" s="19">
        <v>46254.3803359954</v>
      </c>
      <c r="K1901" s="6" t="s">
        <v>4880</v>
      </c>
      <c r="L1901" t="str">
        <f t="shared" si="29"/>
        <v>RESERVATORIO AGUA DO VOLKS 515239|46253</v>
      </c>
    </row>
    <row r="1902" ht="13.5" customHeight="1" spans="1:12">
      <c r="A1902" s="17">
        <v>46253.3833333333</v>
      </c>
      <c r="B1902" s="6" t="s">
        <v>4876</v>
      </c>
      <c r="C1902" s="6" t="s">
        <v>6052</v>
      </c>
      <c r="D1902" s="6" t="s">
        <v>5132</v>
      </c>
      <c r="E1902" s="6" t="s">
        <v>26</v>
      </c>
      <c r="F1902" s="6" t="s">
        <v>4882</v>
      </c>
      <c r="G1902" s="6" t="s">
        <v>201</v>
      </c>
      <c r="H1902" s="6">
        <v>1</v>
      </c>
      <c r="I1902" s="18">
        <v>190</v>
      </c>
      <c r="J1902" s="19">
        <v>46254.3901202199</v>
      </c>
      <c r="K1902" s="6" t="s">
        <v>4880</v>
      </c>
      <c r="L1902" t="str">
        <f t="shared" si="29"/>
        <v>FILTRO DML 164 DANFOS |46253</v>
      </c>
    </row>
    <row r="1903" ht="13.5" customHeight="1" spans="1:12">
      <c r="A1903" s="17">
        <v>46253.4041666667</v>
      </c>
      <c r="B1903" s="6" t="s">
        <v>4876</v>
      </c>
      <c r="C1903" s="6" t="s">
        <v>6053</v>
      </c>
      <c r="D1903" s="6" t="s">
        <v>4894</v>
      </c>
      <c r="E1903" s="6" t="s">
        <v>26</v>
      </c>
      <c r="F1903" s="6" t="s">
        <v>4882</v>
      </c>
      <c r="G1903" s="6" t="s">
        <v>3410</v>
      </c>
      <c r="H1903" s="6">
        <v>2</v>
      </c>
      <c r="I1903" s="18">
        <v>58.42</v>
      </c>
      <c r="J1903" s="19">
        <v>46254.4142863773</v>
      </c>
      <c r="K1903" s="6" t="s">
        <v>4880</v>
      </c>
      <c r="L1903" t="str">
        <f t="shared" si="29"/>
        <v>DOBRADIÇA 3X3 S/A PINO BOLA |46253</v>
      </c>
    </row>
    <row r="1904" ht="13.5" customHeight="1" spans="1:12">
      <c r="A1904" s="17">
        <v>46253.5125</v>
      </c>
      <c r="B1904" s="6" t="s">
        <v>4876</v>
      </c>
      <c r="C1904" s="6" t="s">
        <v>6054</v>
      </c>
      <c r="D1904" s="6" t="s">
        <v>4884</v>
      </c>
      <c r="E1904" s="6" t="s">
        <v>414</v>
      </c>
      <c r="F1904" s="6" t="s">
        <v>4879</v>
      </c>
      <c r="G1904" s="6" t="s">
        <v>3202</v>
      </c>
      <c r="H1904" s="6">
        <v>4</v>
      </c>
      <c r="I1904" s="18">
        <v>23.24</v>
      </c>
      <c r="J1904" s="19">
        <v>46254.5251957986</v>
      </c>
      <c r="K1904" s="6" t="s">
        <v>5449</v>
      </c>
      <c r="L1904" t="str">
        <f t="shared" si="29"/>
        <v>FAME EVIDENCE 2885/3894 PLACA 4X2 1 MODULO HO|46254</v>
      </c>
    </row>
    <row r="1905" ht="13.5" customHeight="1" spans="1:12">
      <c r="A1905" s="17">
        <v>46253.5125</v>
      </c>
      <c r="B1905" s="6" t="s">
        <v>4876</v>
      </c>
      <c r="C1905" s="6" t="s">
        <v>6054</v>
      </c>
      <c r="D1905" s="6" t="s">
        <v>4884</v>
      </c>
      <c r="E1905" s="6" t="s">
        <v>414</v>
      </c>
      <c r="F1905" s="6" t="s">
        <v>4879</v>
      </c>
      <c r="G1905" s="6" t="s">
        <v>857</v>
      </c>
      <c r="H1905" s="6">
        <v>4</v>
      </c>
      <c r="I1905" s="18">
        <v>187.88</v>
      </c>
      <c r="J1905" s="19">
        <v>46254.5251954514</v>
      </c>
      <c r="K1905" s="6" t="s">
        <v>5449</v>
      </c>
      <c r="L1905" t="str">
        <f t="shared" si="29"/>
        <v>FAME 0339 MODULARE EVIDENCE MOD INT 1 BS|46254</v>
      </c>
    </row>
    <row r="1906" ht="13.5" customHeight="1" spans="1:12">
      <c r="A1906" s="17">
        <v>46253.5125</v>
      </c>
      <c r="B1906" s="6" t="s">
        <v>4876</v>
      </c>
      <c r="C1906" s="6" t="s">
        <v>6054</v>
      </c>
      <c r="D1906" s="6" t="s">
        <v>4884</v>
      </c>
      <c r="E1906" s="6" t="s">
        <v>414</v>
      </c>
      <c r="F1906" s="6" t="s">
        <v>4879</v>
      </c>
      <c r="G1906" s="6" t="s">
        <v>1247</v>
      </c>
      <c r="H1906" s="6">
        <v>1</v>
      </c>
      <c r="I1906" s="18">
        <v>10.89</v>
      </c>
      <c r="J1906" s="19">
        <v>46254.5251954514</v>
      </c>
      <c r="K1906" s="6" t="s">
        <v>5449</v>
      </c>
      <c r="L1906" t="str">
        <f t="shared" si="29"/>
        <v>TEKBOND COLA MADEIRA 100G|46254</v>
      </c>
    </row>
    <row r="1907" ht="13.5" customHeight="1" spans="1:12">
      <c r="A1907" s="17">
        <v>46253.5125</v>
      </c>
      <c r="B1907" s="6" t="s">
        <v>4876</v>
      </c>
      <c r="C1907" s="6" t="s">
        <v>6054</v>
      </c>
      <c r="D1907" s="6" t="s">
        <v>4884</v>
      </c>
      <c r="E1907" s="6" t="s">
        <v>414</v>
      </c>
      <c r="F1907" s="6" t="s">
        <v>4879</v>
      </c>
      <c r="G1907" s="6" t="s">
        <v>772</v>
      </c>
      <c r="H1907" s="6">
        <v>3</v>
      </c>
      <c r="I1907" s="18">
        <v>237.87</v>
      </c>
      <c r="J1907" s="19">
        <v>46254.5251948727</v>
      </c>
      <c r="K1907" s="6" t="s">
        <v>5449</v>
      </c>
      <c r="L1907" t="str">
        <f t="shared" si="29"/>
        <v>755131 TORNEIRA ESFERA JARDIM C/ALAVANCA 7005|46254</v>
      </c>
    </row>
    <row r="1908" ht="13.5" customHeight="1" spans="1:12">
      <c r="A1908" s="17">
        <v>46253.5736111111</v>
      </c>
      <c r="B1908" s="6" t="s">
        <v>4876</v>
      </c>
      <c r="C1908" s="6" t="s">
        <v>6055</v>
      </c>
      <c r="D1908" s="6" t="s">
        <v>5140</v>
      </c>
      <c r="E1908" s="6" t="s">
        <v>35</v>
      </c>
      <c r="F1908" s="6" t="s">
        <v>4879</v>
      </c>
      <c r="G1908" s="6" t="s">
        <v>2626</v>
      </c>
      <c r="H1908" s="6">
        <v>10</v>
      </c>
      <c r="I1908" s="18">
        <v>1050</v>
      </c>
      <c r="J1908" s="19">
        <v>46258.5743615394</v>
      </c>
      <c r="K1908" s="6" t="s">
        <v>5449</v>
      </c>
      <c r="L1908" t="str">
        <f t="shared" si="29"/>
        <v>LONA FREIO DFW959 DNA28 MARCA DUROLINE|46254</v>
      </c>
    </row>
    <row r="1909" ht="13.5" customHeight="1" spans="1:12">
      <c r="A1909" s="17">
        <v>46254.5708333333</v>
      </c>
      <c r="B1909" s="6" t="s">
        <v>4876</v>
      </c>
      <c r="C1909" s="6" t="s">
        <v>6056</v>
      </c>
      <c r="D1909" s="6" t="s">
        <v>4898</v>
      </c>
      <c r="E1909" s="6" t="s">
        <v>51</v>
      </c>
      <c r="F1909" s="6" t="s">
        <v>4879</v>
      </c>
      <c r="G1909" s="6" t="s">
        <v>499</v>
      </c>
      <c r="H1909" s="6">
        <v>1602.5</v>
      </c>
      <c r="I1909" s="18">
        <v>30447.5</v>
      </c>
      <c r="J1909" s="19">
        <v>46258.5730766551</v>
      </c>
      <c r="K1909" s="6" t="s">
        <v>5449</v>
      </c>
      <c r="L1909" t="str">
        <f t="shared" si="29"/>
        <v>STRETCH MANUAL 500MM X 25 MICRA X 3|46255</v>
      </c>
    </row>
    <row r="1910" ht="13.5" customHeight="1" spans="1:12">
      <c r="A1910" s="17">
        <v>46254.5826388889</v>
      </c>
      <c r="B1910" s="6" t="s">
        <v>4876</v>
      </c>
      <c r="C1910" s="6" t="s">
        <v>6057</v>
      </c>
      <c r="D1910" s="6" t="s">
        <v>4979</v>
      </c>
      <c r="E1910" s="6" t="s">
        <v>35</v>
      </c>
      <c r="F1910" s="6" t="s">
        <v>4879</v>
      </c>
      <c r="G1910" s="6" t="s">
        <v>2618</v>
      </c>
      <c r="H1910" s="6">
        <v>1</v>
      </c>
      <c r="I1910" s="18">
        <v>940</v>
      </c>
      <c r="J1910" s="19">
        <v>46258.5930359607</v>
      </c>
      <c r="K1910" s="6" t="s">
        <v>5449</v>
      </c>
      <c r="L1910" t="str">
        <f t="shared" si="29"/>
        <v>LU QUADRO DA JANELA DIR COMPLETO A9797200353|46255</v>
      </c>
    </row>
    <row r="1911" ht="13.5" customHeight="1" spans="1:12">
      <c r="A1911" s="17">
        <v>46254.5826388889</v>
      </c>
      <c r="B1911" s="6" t="s">
        <v>4876</v>
      </c>
      <c r="C1911" s="6" t="s">
        <v>6057</v>
      </c>
      <c r="D1911" s="6" t="s">
        <v>4979</v>
      </c>
      <c r="E1911" s="6" t="s">
        <v>35</v>
      </c>
      <c r="F1911" s="6" t="s">
        <v>4879</v>
      </c>
      <c r="G1911" s="6" t="s">
        <v>842</v>
      </c>
      <c r="H1911" s="6">
        <v>1</v>
      </c>
      <c r="I1911" s="18">
        <v>985</v>
      </c>
      <c r="J1911" s="19">
        <v>46258.5930352199</v>
      </c>
      <c r="K1911" s="6" t="s">
        <v>5449</v>
      </c>
      <c r="L1911" t="str">
        <f t="shared" si="29"/>
        <v>CJ GRADE FRONTAL DO RADIADOR A9797500018|46255</v>
      </c>
    </row>
    <row r="1912" ht="13.5" customHeight="1" spans="1:12">
      <c r="A1912" s="17">
        <v>46254.5826388889</v>
      </c>
      <c r="B1912" s="6" t="s">
        <v>4876</v>
      </c>
      <c r="C1912" s="6" t="s">
        <v>6057</v>
      </c>
      <c r="D1912" s="6" t="s">
        <v>4979</v>
      </c>
      <c r="E1912" s="6" t="s">
        <v>35</v>
      </c>
      <c r="F1912" s="6" t="s">
        <v>4879</v>
      </c>
      <c r="G1912" s="6" t="s">
        <v>536</v>
      </c>
      <c r="H1912" s="6">
        <v>1</v>
      </c>
      <c r="I1912" s="18">
        <v>410</v>
      </c>
      <c r="J1912" s="19">
        <v>46258.5930337616</v>
      </c>
      <c r="K1912" s="6" t="s">
        <v>5449</v>
      </c>
      <c r="L1912" t="str">
        <f t="shared" si="29"/>
        <v>VEDAÇAO DA JANELA A9799877151|46255</v>
      </c>
    </row>
    <row r="1913" ht="13.5" customHeight="1" spans="1:12">
      <c r="A1913" s="17">
        <v>46254.625</v>
      </c>
      <c r="B1913" s="6" t="s">
        <v>4876</v>
      </c>
      <c r="C1913" s="6" t="s">
        <v>6058</v>
      </c>
      <c r="D1913" s="6" t="s">
        <v>4923</v>
      </c>
      <c r="E1913" s="6" t="s">
        <v>26</v>
      </c>
      <c r="F1913" s="6" t="s">
        <v>4882</v>
      </c>
      <c r="G1913" s="6" t="s">
        <v>4386</v>
      </c>
      <c r="H1913" s="6">
        <v>5</v>
      </c>
      <c r="I1913" s="18">
        <v>320</v>
      </c>
      <c r="J1913" s="19">
        <v>46279.6525977199</v>
      </c>
      <c r="K1913" s="6" t="s">
        <v>4880</v>
      </c>
      <c r="L1913" t="str">
        <f t="shared" si="29"/>
        <v>BLUSA MOLETOM M HELANG MARINHO XGG|46255</v>
      </c>
    </row>
    <row r="1914" ht="13.5" customHeight="1" spans="1:12">
      <c r="A1914" s="17">
        <v>46254.625</v>
      </c>
      <c r="B1914" s="6" t="s">
        <v>4876</v>
      </c>
      <c r="C1914" s="6" t="s">
        <v>6058</v>
      </c>
      <c r="D1914" s="6" t="s">
        <v>4923</v>
      </c>
      <c r="E1914" s="6" t="s">
        <v>26</v>
      </c>
      <c r="F1914" s="6" t="s">
        <v>4882</v>
      </c>
      <c r="G1914" s="6" t="s">
        <v>4385</v>
      </c>
      <c r="H1914" s="6">
        <v>10</v>
      </c>
      <c r="I1914" s="18">
        <v>640</v>
      </c>
      <c r="J1914" s="19">
        <v>46279.6525975347</v>
      </c>
      <c r="K1914" s="6" t="s">
        <v>4880</v>
      </c>
      <c r="L1914" t="str">
        <f t="shared" si="29"/>
        <v>BLUSA MOLETOM MARINHO HELANG GG|46255</v>
      </c>
    </row>
    <row r="1915" ht="13.5" customHeight="1" spans="1:12">
      <c r="A1915" s="17">
        <v>46254.625</v>
      </c>
      <c r="B1915" s="6" t="s">
        <v>4876</v>
      </c>
      <c r="C1915" s="6" t="s">
        <v>6058</v>
      </c>
      <c r="D1915" s="6" t="s">
        <v>4923</v>
      </c>
      <c r="E1915" s="6" t="s">
        <v>26</v>
      </c>
      <c r="F1915" s="6" t="s">
        <v>4882</v>
      </c>
      <c r="G1915" s="6" t="s">
        <v>3986</v>
      </c>
      <c r="H1915" s="6">
        <v>4</v>
      </c>
      <c r="I1915" s="18">
        <v>240</v>
      </c>
      <c r="J1915" s="19">
        <v>46279.6525971875</v>
      </c>
      <c r="K1915" s="6" t="s">
        <v>4880</v>
      </c>
      <c r="L1915" t="str">
        <f t="shared" si="29"/>
        <v>CAMISA POLO PRETA SIPAT MASCULINO (GG)|46255</v>
      </c>
    </row>
    <row r="1916" ht="13.5" customHeight="1" spans="1:12">
      <c r="A1916" s="17">
        <v>46254.625</v>
      </c>
      <c r="B1916" s="6" t="s">
        <v>4876</v>
      </c>
      <c r="C1916" s="6" t="s">
        <v>6058</v>
      </c>
      <c r="D1916" s="6" t="s">
        <v>4923</v>
      </c>
      <c r="E1916" s="6" t="s">
        <v>26</v>
      </c>
      <c r="F1916" s="6" t="s">
        <v>4882</v>
      </c>
      <c r="G1916" s="6" t="s">
        <v>4387</v>
      </c>
      <c r="H1916" s="6">
        <v>10</v>
      </c>
      <c r="I1916" s="18">
        <v>640</v>
      </c>
      <c r="J1916" s="19">
        <v>46279.6525971875</v>
      </c>
      <c r="K1916" s="6" t="s">
        <v>4880</v>
      </c>
      <c r="L1916" t="str">
        <f t="shared" si="29"/>
        <v>BLUSA MOLETOM HELANG MARINHO G|46255</v>
      </c>
    </row>
    <row r="1917" ht="13.5" customHeight="1" spans="1:12">
      <c r="A1917" s="17">
        <v>46254.625</v>
      </c>
      <c r="B1917" s="6" t="s">
        <v>4876</v>
      </c>
      <c r="C1917" s="6" t="s">
        <v>6058</v>
      </c>
      <c r="D1917" s="6" t="s">
        <v>4923</v>
      </c>
      <c r="E1917" s="6" t="s">
        <v>26</v>
      </c>
      <c r="F1917" s="6" t="s">
        <v>4882</v>
      </c>
      <c r="G1917" s="6" t="s">
        <v>3987</v>
      </c>
      <c r="H1917" s="6">
        <v>4</v>
      </c>
      <c r="I1917" s="18">
        <v>240</v>
      </c>
      <c r="J1917" s="19">
        <v>46279.6525969907</v>
      </c>
      <c r="K1917" s="6" t="s">
        <v>4880</v>
      </c>
      <c r="L1917" t="str">
        <f t="shared" si="29"/>
        <v>CAMISA POLO PRETA SIPAT MASCULINO (G)|46255</v>
      </c>
    </row>
    <row r="1918" ht="13.5" customHeight="1" spans="1:12">
      <c r="A1918" s="17">
        <v>46254.625</v>
      </c>
      <c r="B1918" s="6" t="s">
        <v>4876</v>
      </c>
      <c r="C1918" s="6" t="s">
        <v>6058</v>
      </c>
      <c r="D1918" s="6" t="s">
        <v>4923</v>
      </c>
      <c r="E1918" s="6" t="s">
        <v>26</v>
      </c>
      <c r="F1918" s="6" t="s">
        <v>4882</v>
      </c>
      <c r="G1918" s="6" t="s">
        <v>3985</v>
      </c>
      <c r="H1918" s="6">
        <v>4</v>
      </c>
      <c r="I1918" s="18">
        <v>240</v>
      </c>
      <c r="J1918" s="19">
        <v>46279.652596794</v>
      </c>
      <c r="K1918" s="6" t="s">
        <v>4880</v>
      </c>
      <c r="L1918" t="str">
        <f t="shared" si="29"/>
        <v>CAMISA POLO PRETA SIPAT MASCULINO (M)|46255</v>
      </c>
    </row>
    <row r="1919" ht="13.5" customHeight="1" spans="1:12">
      <c r="A1919" s="17">
        <v>46254.625</v>
      </c>
      <c r="B1919" s="6" t="s">
        <v>4876</v>
      </c>
      <c r="C1919" s="6" t="s">
        <v>6058</v>
      </c>
      <c r="D1919" s="6" t="s">
        <v>4923</v>
      </c>
      <c r="E1919" s="6" t="s">
        <v>26</v>
      </c>
      <c r="F1919" s="6" t="s">
        <v>4882</v>
      </c>
      <c r="G1919" s="6" t="s">
        <v>3989</v>
      </c>
      <c r="H1919" s="6">
        <v>2</v>
      </c>
      <c r="I1919" s="18">
        <v>120</v>
      </c>
      <c r="J1919" s="19">
        <v>46279.6525966435</v>
      </c>
      <c r="K1919" s="6" t="s">
        <v>4880</v>
      </c>
      <c r="L1919" t="str">
        <f t="shared" si="29"/>
        <v>CAMISA POLO PRETA SIPAT FEMININO (GG)|46255</v>
      </c>
    </row>
    <row r="1920" ht="13.5" customHeight="1" spans="1:12">
      <c r="A1920" s="17">
        <v>46254.625</v>
      </c>
      <c r="B1920" s="6" t="s">
        <v>4876</v>
      </c>
      <c r="C1920" s="6" t="s">
        <v>6058</v>
      </c>
      <c r="D1920" s="6" t="s">
        <v>4923</v>
      </c>
      <c r="E1920" s="6" t="s">
        <v>26</v>
      </c>
      <c r="F1920" s="6" t="s">
        <v>4882</v>
      </c>
      <c r="G1920" s="6" t="s">
        <v>3988</v>
      </c>
      <c r="H1920" s="6">
        <v>4</v>
      </c>
      <c r="I1920" s="18">
        <v>240</v>
      </c>
      <c r="J1920" s="19">
        <v>46279.6525957176</v>
      </c>
      <c r="K1920" s="6" t="s">
        <v>4880</v>
      </c>
      <c r="L1920" t="str">
        <f t="shared" si="29"/>
        <v>CAMISA POLO PRETA SIPAT FEMININO (M)|46255</v>
      </c>
    </row>
    <row r="1921" ht="13.5" customHeight="1" spans="1:12">
      <c r="A1921" s="17">
        <v>46254.7075462963</v>
      </c>
      <c r="B1921" s="6" t="s">
        <v>4876</v>
      </c>
      <c r="C1921" s="6" t="s">
        <v>6059</v>
      </c>
      <c r="D1921" s="6" t="s">
        <v>110</v>
      </c>
      <c r="E1921" s="6" t="s">
        <v>35</v>
      </c>
      <c r="F1921" s="6" t="s">
        <v>4879</v>
      </c>
      <c r="G1921" s="6" t="s">
        <v>3463</v>
      </c>
      <c r="H1921" s="6">
        <v>6</v>
      </c>
      <c r="I1921" s="18">
        <v>168</v>
      </c>
      <c r="J1921" s="19">
        <v>46254.7084087616</v>
      </c>
      <c r="K1921" s="6" t="s">
        <v>4880</v>
      </c>
      <c r="L1921" t="str">
        <f t="shared" si="29"/>
        <v>DIAFRAGMA N° 24|46255</v>
      </c>
    </row>
    <row r="1922" ht="13.5" customHeight="1" spans="1:12">
      <c r="A1922" s="17">
        <v>46254.7146643519</v>
      </c>
      <c r="B1922" s="6" t="s">
        <v>4876</v>
      </c>
      <c r="C1922" s="6" t="s">
        <v>6060</v>
      </c>
      <c r="D1922" s="6" t="s">
        <v>5811</v>
      </c>
      <c r="E1922" s="6" t="s">
        <v>26</v>
      </c>
      <c r="F1922" s="6" t="s">
        <v>4882</v>
      </c>
      <c r="G1922" s="6" t="s">
        <v>821</v>
      </c>
      <c r="H1922" s="6">
        <v>5</v>
      </c>
      <c r="I1922" s="18">
        <v>50</v>
      </c>
      <c r="J1922" s="19">
        <v>46254.7153007292</v>
      </c>
      <c r="K1922" s="6" t="s">
        <v>4880</v>
      </c>
      <c r="L1922" t="str">
        <f t="shared" ref="L1922:L1985" si="30">IF(G1922="","",G1922&amp;"|"&amp;TEXT(A1922,"0"))</f>
        <v>TOMADA SENSOR DE TEMPERATURA |46255</v>
      </c>
    </row>
    <row r="1923" ht="13.5" customHeight="1" spans="1:12">
      <c r="A1923" s="17">
        <v>46254.7157060185</v>
      </c>
      <c r="B1923" s="6" t="s">
        <v>4876</v>
      </c>
      <c r="C1923" s="6" t="s">
        <v>6061</v>
      </c>
      <c r="D1923" s="6" t="s">
        <v>4954</v>
      </c>
      <c r="E1923" s="6" t="s">
        <v>26</v>
      </c>
      <c r="F1923" s="6" t="s">
        <v>4882</v>
      </c>
      <c r="G1923" s="6" t="s">
        <v>2941</v>
      </c>
      <c r="H1923" s="6">
        <v>1</v>
      </c>
      <c r="I1923" s="18">
        <v>69</v>
      </c>
      <c r="J1923" s="19">
        <v>46254.7194278125</v>
      </c>
      <c r="K1923" s="6" t="s">
        <v>4880</v>
      </c>
      <c r="L1923" t="str">
        <f t="shared" si="30"/>
        <v>GATILHO DE ABRIR  CAP0 ACCELO|46255</v>
      </c>
    </row>
    <row r="1924" ht="13.5" customHeight="1" spans="1:12">
      <c r="A1924" s="17">
        <v>46254.7157060185</v>
      </c>
      <c r="B1924" s="6" t="s">
        <v>4876</v>
      </c>
      <c r="C1924" s="6" t="s">
        <v>6061</v>
      </c>
      <c r="D1924" s="6" t="s">
        <v>4954</v>
      </c>
      <c r="E1924" s="6" t="s">
        <v>26</v>
      </c>
      <c r="F1924" s="6" t="s">
        <v>4882</v>
      </c>
      <c r="G1924" s="6" t="s">
        <v>154</v>
      </c>
      <c r="H1924" s="6">
        <v>4</v>
      </c>
      <c r="I1924" s="18">
        <v>104.92</v>
      </c>
      <c r="J1924" s="19">
        <v>46254.7194274306</v>
      </c>
      <c r="K1924" s="6" t="s">
        <v>4880</v>
      </c>
      <c r="L1924" t="str">
        <f t="shared" si="30"/>
        <v>MACANETA INTERNA ESQUERDA ACCELO / 3233 - A |46255</v>
      </c>
    </row>
    <row r="1925" ht="13.5" customHeight="1" spans="1:12">
      <c r="A1925" s="17">
        <v>46254.7157060185</v>
      </c>
      <c r="B1925" s="6" t="s">
        <v>4876</v>
      </c>
      <c r="C1925" s="6" t="s">
        <v>6061</v>
      </c>
      <c r="D1925" s="6" t="s">
        <v>4954</v>
      </c>
      <c r="E1925" s="6" t="s">
        <v>26</v>
      </c>
      <c r="F1925" s="6" t="s">
        <v>4882</v>
      </c>
      <c r="G1925" s="6" t="s">
        <v>1610</v>
      </c>
      <c r="H1925" s="6">
        <v>4</v>
      </c>
      <c r="I1925" s="18">
        <v>86.4</v>
      </c>
      <c r="J1925" s="19">
        <v>46254.7194256134</v>
      </c>
      <c r="K1925" s="6" t="s">
        <v>4880</v>
      </c>
      <c r="L1925" t="str">
        <f t="shared" si="30"/>
        <v>ROLETE SAPATA DE FREIO -DELIVERY |46255</v>
      </c>
    </row>
    <row r="1926" ht="13.5" customHeight="1" spans="1:12">
      <c r="A1926" s="17">
        <v>46254.7157060185</v>
      </c>
      <c r="B1926" s="6" t="s">
        <v>4876</v>
      </c>
      <c r="C1926" s="6" t="s">
        <v>6061</v>
      </c>
      <c r="D1926" s="6" t="s">
        <v>4954</v>
      </c>
      <c r="E1926" s="6" t="s">
        <v>26</v>
      </c>
      <c r="F1926" s="6" t="s">
        <v>4882</v>
      </c>
      <c r="G1926" s="6" t="s">
        <v>860</v>
      </c>
      <c r="H1926" s="6">
        <v>4</v>
      </c>
      <c r="I1926" s="18">
        <v>76</v>
      </c>
      <c r="J1926" s="19">
        <v>46254.7194252662</v>
      </c>
      <c r="K1926" s="6" t="s">
        <v>4880</v>
      </c>
      <c r="L1926" t="str">
        <f t="shared" si="30"/>
        <v>ROLETE SAPATA DE FREIO  BENDIX (32.OMM)|46255</v>
      </c>
    </row>
    <row r="1927" ht="13.5" customHeight="1" spans="1:12">
      <c r="A1927" s="17">
        <v>46254.7228703704</v>
      </c>
      <c r="B1927" s="6" t="s">
        <v>4876</v>
      </c>
      <c r="C1927" s="6" t="s">
        <v>6062</v>
      </c>
      <c r="D1927" s="6" t="s">
        <v>4905</v>
      </c>
      <c r="E1927" s="6" t="s">
        <v>26</v>
      </c>
      <c r="F1927" s="6" t="s">
        <v>4882</v>
      </c>
      <c r="G1927" s="6" t="s">
        <v>2340</v>
      </c>
      <c r="H1927" s="6">
        <v>2</v>
      </c>
      <c r="I1927" s="18">
        <v>338.38</v>
      </c>
      <c r="J1927" s="19">
        <v>46254.7251732639</v>
      </c>
      <c r="K1927" s="6" t="s">
        <v>4880</v>
      </c>
      <c r="L1927" t="str">
        <f t="shared" si="30"/>
        <v>OLEO P/ COMPRESSOR E SISTEMA HIDRALICOS AW150 IL VONDER|46255</v>
      </c>
    </row>
    <row r="1928" ht="13.5" customHeight="1" spans="1:12">
      <c r="A1928" s="17">
        <v>46255.4597222222</v>
      </c>
      <c r="B1928" s="6" t="s">
        <v>4876</v>
      </c>
      <c r="C1928" s="6" t="s">
        <v>6063</v>
      </c>
      <c r="D1928" s="6" t="s">
        <v>6064</v>
      </c>
      <c r="E1928" s="6" t="s">
        <v>26</v>
      </c>
      <c r="F1928" s="6" t="s">
        <v>4882</v>
      </c>
      <c r="G1928" s="6" t="s">
        <v>834</v>
      </c>
      <c r="H1928" s="6">
        <v>500</v>
      </c>
      <c r="I1928" s="18">
        <v>1545</v>
      </c>
      <c r="J1928" s="19">
        <v>46266.461315081</v>
      </c>
      <c r="K1928" s="6" t="s">
        <v>5449</v>
      </c>
      <c r="L1928" t="str">
        <f t="shared" si="30"/>
        <v>ARLA REDUX32 GRANEL PRODUÇÃO|46255</v>
      </c>
    </row>
    <row r="1929" ht="13.5" customHeight="1" spans="1:12">
      <c r="A1929" s="17">
        <v>46258.5986111111</v>
      </c>
      <c r="B1929" s="6" t="s">
        <v>4876</v>
      </c>
      <c r="C1929" s="6" t="s">
        <v>6065</v>
      </c>
      <c r="D1929" s="6" t="s">
        <v>4894</v>
      </c>
      <c r="E1929" s="6" t="s">
        <v>26</v>
      </c>
      <c r="F1929" s="6" t="s">
        <v>4882</v>
      </c>
      <c r="G1929" s="6" t="s">
        <v>812</v>
      </c>
      <c r="H1929" s="6">
        <v>1</v>
      </c>
      <c r="I1929" s="18">
        <v>23.41</v>
      </c>
      <c r="J1929" s="19">
        <v>46258.603924456</v>
      </c>
      <c r="K1929" s="6" t="s">
        <v>4880</v>
      </c>
      <c r="L1929" t="str">
        <f t="shared" si="30"/>
        <v>CAPACITOR 25UF 250V 2 FIOS|46259</v>
      </c>
    </row>
    <row r="1930" ht="13.5" customHeight="1" spans="1:12">
      <c r="A1930" s="17">
        <v>46258.5993055556</v>
      </c>
      <c r="B1930" s="6" t="s">
        <v>4876</v>
      </c>
      <c r="C1930" s="6" t="s">
        <v>6065</v>
      </c>
      <c r="D1930" s="6" t="s">
        <v>4894</v>
      </c>
      <c r="E1930" s="6" t="s">
        <v>26</v>
      </c>
      <c r="F1930" s="6" t="s">
        <v>4882</v>
      </c>
      <c r="G1930" s="6" t="s">
        <v>3869</v>
      </c>
      <c r="H1930" s="6">
        <v>1</v>
      </c>
      <c r="I1930" s="18">
        <v>18.53</v>
      </c>
      <c r="J1930" s="19">
        <v>46258.603925</v>
      </c>
      <c r="K1930" s="6" t="s">
        <v>4880</v>
      </c>
      <c r="L1930" t="str">
        <f t="shared" si="30"/>
        <v>CHAVE COMBINADA 10MM GEDORE|46259</v>
      </c>
    </row>
    <row r="1931" ht="13.5" customHeight="1" spans="1:12">
      <c r="A1931" s="17">
        <v>46258.6</v>
      </c>
      <c r="B1931" s="6" t="s">
        <v>4876</v>
      </c>
      <c r="C1931" s="6" t="s">
        <v>6065</v>
      </c>
      <c r="D1931" s="6" t="s">
        <v>4894</v>
      </c>
      <c r="E1931" s="6" t="s">
        <v>26</v>
      </c>
      <c r="F1931" s="6" t="s">
        <v>4882</v>
      </c>
      <c r="G1931" s="6" t="s">
        <v>3864</v>
      </c>
      <c r="H1931" s="6">
        <v>1</v>
      </c>
      <c r="I1931" s="18">
        <v>23.87</v>
      </c>
      <c r="J1931" s="19">
        <v>46258.603925382</v>
      </c>
      <c r="K1931" s="6" t="s">
        <v>4880</v>
      </c>
      <c r="L1931" t="str">
        <f t="shared" si="30"/>
        <v>CHAVE COMBINADA 14MM|46259</v>
      </c>
    </row>
    <row r="1932" ht="13.5" customHeight="1" spans="1:12">
      <c r="A1932" s="17">
        <v>46258.6006944445</v>
      </c>
      <c r="B1932" s="6" t="s">
        <v>4876</v>
      </c>
      <c r="C1932" s="6" t="s">
        <v>6065</v>
      </c>
      <c r="D1932" s="6" t="s">
        <v>4894</v>
      </c>
      <c r="E1932" s="6" t="s">
        <v>26</v>
      </c>
      <c r="F1932" s="6" t="s">
        <v>4882</v>
      </c>
      <c r="G1932" s="6" t="s">
        <v>825</v>
      </c>
      <c r="H1932" s="6">
        <v>1</v>
      </c>
      <c r="I1932" s="18">
        <v>25.05</v>
      </c>
      <c r="J1932" s="19">
        <v>46258.6039259259</v>
      </c>
      <c r="K1932" s="6" t="s">
        <v>4880</v>
      </c>
      <c r="L1932" t="str">
        <f t="shared" si="30"/>
        <v>CHAVE ALLEN CURTA C/PO|46259</v>
      </c>
    </row>
    <row r="1933" ht="13.5" customHeight="1" spans="1:12">
      <c r="A1933" s="17">
        <v>46260.4125</v>
      </c>
      <c r="B1933" s="6" t="s">
        <v>4876</v>
      </c>
      <c r="C1933" s="6" t="s">
        <v>6066</v>
      </c>
      <c r="D1933" s="6" t="s">
        <v>4907</v>
      </c>
      <c r="E1933" s="6" t="s">
        <v>182</v>
      </c>
      <c r="F1933" s="6" t="s">
        <v>4879</v>
      </c>
      <c r="G1933" s="6" t="s">
        <v>816</v>
      </c>
      <c r="H1933" s="6">
        <v>4</v>
      </c>
      <c r="I1933" s="18">
        <v>251.52</v>
      </c>
      <c r="J1933" s="19">
        <v>46260.422999537</v>
      </c>
      <c r="K1933" s="6" t="s">
        <v>4880</v>
      </c>
      <c r="L1933" t="str">
        <f t="shared" si="30"/>
        <v>CAIXA PARA CORRESPONDENCIA TRIPLA CRISTAL ESCANINHO |46260</v>
      </c>
    </row>
    <row r="1934" ht="13.5" customHeight="1" spans="1:12">
      <c r="A1934" s="17">
        <v>46260.4125</v>
      </c>
      <c r="B1934" s="6" t="s">
        <v>4876</v>
      </c>
      <c r="C1934" s="6" t="s">
        <v>6066</v>
      </c>
      <c r="D1934" s="6" t="s">
        <v>4907</v>
      </c>
      <c r="E1934" s="6" t="s">
        <v>182</v>
      </c>
      <c r="F1934" s="6" t="s">
        <v>4879</v>
      </c>
      <c r="G1934" s="6" t="s">
        <v>833</v>
      </c>
      <c r="H1934" s="6">
        <v>8</v>
      </c>
      <c r="I1934" s="18">
        <v>41.6</v>
      </c>
      <c r="J1934" s="19">
        <v>46260.422996794</v>
      </c>
      <c r="K1934" s="6" t="s">
        <v>4880</v>
      </c>
      <c r="L1934" t="str">
        <f t="shared" si="30"/>
        <v>CANETA MARCADOR PERMANENTE 1,0MM |46260</v>
      </c>
    </row>
    <row r="1935" ht="13.5" customHeight="1" spans="1:12">
      <c r="A1935" s="17">
        <v>46260.4125</v>
      </c>
      <c r="B1935" s="6" t="s">
        <v>4876</v>
      </c>
      <c r="C1935" s="6" t="s">
        <v>6066</v>
      </c>
      <c r="D1935" s="6" t="s">
        <v>4907</v>
      </c>
      <c r="E1935" s="6" t="s">
        <v>182</v>
      </c>
      <c r="F1935" s="6" t="s">
        <v>4879</v>
      </c>
      <c r="G1935" s="6" t="s">
        <v>898</v>
      </c>
      <c r="H1935" s="6">
        <v>10</v>
      </c>
      <c r="I1935" s="18">
        <v>69.3</v>
      </c>
      <c r="J1935" s="19">
        <v>46260.4229939005</v>
      </c>
      <c r="K1935" s="6" t="s">
        <v>4880</v>
      </c>
      <c r="L1935" t="str">
        <f t="shared" si="30"/>
        <v>TESOURA 20CM|46260</v>
      </c>
    </row>
    <row r="1936" ht="13.5" customHeight="1" spans="1:12">
      <c r="A1936" s="17">
        <v>46260.4125</v>
      </c>
      <c r="B1936" s="6" t="s">
        <v>4876</v>
      </c>
      <c r="C1936" s="6" t="s">
        <v>6066</v>
      </c>
      <c r="D1936" s="6" t="s">
        <v>4907</v>
      </c>
      <c r="E1936" s="6" t="s">
        <v>182</v>
      </c>
      <c r="F1936" s="6" t="s">
        <v>4879</v>
      </c>
      <c r="G1936" s="6" t="s">
        <v>2725</v>
      </c>
      <c r="H1936" s="6">
        <v>10</v>
      </c>
      <c r="I1936" s="18">
        <v>50</v>
      </c>
      <c r="J1936" s="19">
        <v>46260.4229888542</v>
      </c>
      <c r="K1936" s="6" t="s">
        <v>4880</v>
      </c>
      <c r="L1936" t="str">
        <f t="shared" si="30"/>
        <v>LAMINA ESTILETE LARGO 18MM C/10 |46260</v>
      </c>
    </row>
    <row r="1937" ht="13.5" customHeight="1" spans="1:12">
      <c r="A1937" s="17">
        <v>46260.4125</v>
      </c>
      <c r="B1937" s="6" t="s">
        <v>4876</v>
      </c>
      <c r="C1937" s="6" t="s">
        <v>6066</v>
      </c>
      <c r="D1937" s="6" t="s">
        <v>4907</v>
      </c>
      <c r="E1937" s="6" t="s">
        <v>182</v>
      </c>
      <c r="F1937" s="6" t="s">
        <v>4879</v>
      </c>
      <c r="G1937" s="6" t="s">
        <v>2922</v>
      </c>
      <c r="H1937" s="6">
        <v>8</v>
      </c>
      <c r="I1937" s="18">
        <v>8.8</v>
      </c>
      <c r="J1937" s="19">
        <v>46260.422987037</v>
      </c>
      <c r="K1937" s="6" t="s">
        <v>4880</v>
      </c>
      <c r="L1937" t="str">
        <f t="shared" si="30"/>
        <v>GRAFITE PARA LAPISEIRA 0.7 |46260</v>
      </c>
    </row>
    <row r="1938" ht="13.5" customHeight="1" spans="1:12">
      <c r="A1938" s="17">
        <v>46260.4125</v>
      </c>
      <c r="B1938" s="6" t="s">
        <v>4876</v>
      </c>
      <c r="C1938" s="6" t="s">
        <v>6066</v>
      </c>
      <c r="D1938" s="6" t="s">
        <v>4907</v>
      </c>
      <c r="E1938" s="6" t="s">
        <v>182</v>
      </c>
      <c r="F1938" s="6" t="s">
        <v>4879</v>
      </c>
      <c r="G1938" s="6" t="s">
        <v>615</v>
      </c>
      <c r="H1938" s="6">
        <v>8</v>
      </c>
      <c r="I1938" s="18">
        <v>35.68</v>
      </c>
      <c r="J1938" s="19">
        <v>46260.4229846875</v>
      </c>
      <c r="K1938" s="6" t="s">
        <v>4880</v>
      </c>
      <c r="L1938" t="str">
        <f t="shared" si="30"/>
        <v>LAPISEIRAGINASIU 0.7 SORTIDA COMPACTOR|46260</v>
      </c>
    </row>
    <row r="1939" ht="13.5" customHeight="1" spans="1:12">
      <c r="A1939" s="17">
        <v>46260.4125</v>
      </c>
      <c r="B1939" s="6" t="s">
        <v>4876</v>
      </c>
      <c r="C1939" s="6" t="s">
        <v>6066</v>
      </c>
      <c r="D1939" s="6" t="s">
        <v>4907</v>
      </c>
      <c r="E1939" s="6" t="s">
        <v>182</v>
      </c>
      <c r="F1939" s="6" t="s">
        <v>4879</v>
      </c>
      <c r="G1939" s="6" t="s">
        <v>4331</v>
      </c>
      <c r="H1939" s="6">
        <v>8</v>
      </c>
      <c r="I1939" s="18">
        <v>6.4</v>
      </c>
      <c r="J1939" s="19">
        <v>46260.4229787037</v>
      </c>
      <c r="K1939" s="6" t="s">
        <v>4880</v>
      </c>
      <c r="L1939" t="str">
        <f t="shared" si="30"/>
        <v>BORRACHA BRANCA COM CAPA |46260</v>
      </c>
    </row>
    <row r="1940" ht="13.5" customHeight="1" spans="1:12">
      <c r="A1940" s="17">
        <v>46260.4125</v>
      </c>
      <c r="B1940" s="6" t="s">
        <v>4876</v>
      </c>
      <c r="C1940" s="6" t="s">
        <v>6066</v>
      </c>
      <c r="D1940" s="6" t="s">
        <v>4907</v>
      </c>
      <c r="E1940" s="6" t="s">
        <v>182</v>
      </c>
      <c r="F1940" s="6" t="s">
        <v>4879</v>
      </c>
      <c r="G1940" s="6" t="s">
        <v>482</v>
      </c>
      <c r="H1940" s="6">
        <v>12</v>
      </c>
      <c r="I1940" s="18">
        <v>54.6</v>
      </c>
      <c r="J1940" s="19">
        <v>46260.4229743866</v>
      </c>
      <c r="K1940" s="6" t="s">
        <v>4880</v>
      </c>
      <c r="L1940" t="str">
        <f t="shared" si="30"/>
        <v>CORRETIVO FITA TAPE NEON CIS|46260</v>
      </c>
    </row>
    <row r="1941" ht="13.5" customHeight="1" spans="1:12">
      <c r="A1941" s="17">
        <v>46260.4125</v>
      </c>
      <c r="B1941" s="6" t="s">
        <v>4876</v>
      </c>
      <c r="C1941" s="6" t="s">
        <v>6066</v>
      </c>
      <c r="D1941" s="6" t="s">
        <v>4907</v>
      </c>
      <c r="E1941" s="6" t="s">
        <v>182</v>
      </c>
      <c r="F1941" s="6" t="s">
        <v>4879</v>
      </c>
      <c r="G1941" s="6" t="s">
        <v>832</v>
      </c>
      <c r="H1941" s="6">
        <v>10</v>
      </c>
      <c r="I1941" s="18">
        <v>22.6</v>
      </c>
      <c r="J1941" s="19">
        <v>46260.422965706</v>
      </c>
      <c r="K1941" s="6" t="s">
        <v>4880</v>
      </c>
      <c r="L1941" t="str">
        <f t="shared" si="30"/>
        <v>CLIPS 2/0 GALVANIZADO CX C/100 LINHA LEVE|46260</v>
      </c>
    </row>
    <row r="1942" ht="13.5" customHeight="1" spans="1:12">
      <c r="A1942" s="17">
        <v>46260.4125</v>
      </c>
      <c r="B1942" s="6" t="s">
        <v>4876</v>
      </c>
      <c r="C1942" s="6" t="s">
        <v>6066</v>
      </c>
      <c r="D1942" s="6" t="s">
        <v>4907</v>
      </c>
      <c r="E1942" s="6" t="s">
        <v>182</v>
      </c>
      <c r="F1942" s="6" t="s">
        <v>4879</v>
      </c>
      <c r="G1942" s="6" t="s">
        <v>3757</v>
      </c>
      <c r="H1942" s="6">
        <v>10</v>
      </c>
      <c r="I1942" s="18">
        <v>22.6</v>
      </c>
      <c r="J1942" s="19">
        <v>46260.422962963</v>
      </c>
      <c r="K1942" s="6" t="s">
        <v>4880</v>
      </c>
      <c r="L1942" t="str">
        <f t="shared" si="30"/>
        <v>CLIPS 3/0 CX 50UND GALV 0807-7 BACCHI|46260</v>
      </c>
    </row>
    <row r="1943" ht="13.5" customHeight="1" spans="1:12">
      <c r="A1943" s="17">
        <v>46260.4125</v>
      </c>
      <c r="B1943" s="6" t="s">
        <v>4876</v>
      </c>
      <c r="C1943" s="6" t="s">
        <v>6066</v>
      </c>
      <c r="D1943" s="6" t="s">
        <v>4907</v>
      </c>
      <c r="E1943" s="6" t="s">
        <v>182</v>
      </c>
      <c r="F1943" s="6" t="s">
        <v>4879</v>
      </c>
      <c r="G1943" s="6" t="s">
        <v>779</v>
      </c>
      <c r="H1943" s="6">
        <v>10</v>
      </c>
      <c r="I1943" s="18">
        <v>22.3</v>
      </c>
      <c r="J1943" s="19">
        <v>46260.4229595718</v>
      </c>
      <c r="K1943" s="6" t="s">
        <v>4880</v>
      </c>
      <c r="L1943" t="str">
        <f t="shared" si="30"/>
        <v>EXTRATOR DE GRAMPO |46260</v>
      </c>
    </row>
    <row r="1944" ht="13.5" customHeight="1" spans="1:12">
      <c r="A1944" s="17">
        <v>46260.4125</v>
      </c>
      <c r="B1944" s="6" t="s">
        <v>4876</v>
      </c>
      <c r="C1944" s="6" t="s">
        <v>6066</v>
      </c>
      <c r="D1944" s="6" t="s">
        <v>4907</v>
      </c>
      <c r="E1944" s="6" t="s">
        <v>182</v>
      </c>
      <c r="F1944" s="6" t="s">
        <v>4879</v>
      </c>
      <c r="G1944" s="6" t="s">
        <v>534</v>
      </c>
      <c r="H1944" s="6">
        <v>40</v>
      </c>
      <c r="I1944" s="18">
        <v>155.6</v>
      </c>
      <c r="J1944" s="19">
        <v>46260.4229548958</v>
      </c>
      <c r="K1944" s="6" t="s">
        <v>4880</v>
      </c>
      <c r="L1944" t="str">
        <f t="shared" si="30"/>
        <v>GRAMPO 26/6 CX C/5000|46260</v>
      </c>
    </row>
    <row r="1945" ht="13.5" customHeight="1" spans="1:12">
      <c r="A1945" s="17">
        <v>46260.4958333333</v>
      </c>
      <c r="B1945" s="6" t="s">
        <v>4876</v>
      </c>
      <c r="C1945" s="6" t="s">
        <v>6067</v>
      </c>
      <c r="D1945" s="6" t="s">
        <v>6004</v>
      </c>
      <c r="E1945" s="6" t="s">
        <v>35</v>
      </c>
      <c r="F1945" s="6" t="s">
        <v>4879</v>
      </c>
      <c r="G1945" s="6" t="s">
        <v>522</v>
      </c>
      <c r="H1945" s="6">
        <v>1</v>
      </c>
      <c r="I1945" s="18">
        <v>25</v>
      </c>
      <c r="J1945" s="19">
        <v>46261.4992731829</v>
      </c>
      <c r="K1945" s="6" t="s">
        <v>5449</v>
      </c>
      <c r="L1945" t="str">
        <f t="shared" si="30"/>
        <v>CAMARA DE AR (MOTO)|46260</v>
      </c>
    </row>
    <row r="1946" ht="13.5" customHeight="1" spans="1:12">
      <c r="A1946" s="17">
        <v>46260.4958333333</v>
      </c>
      <c r="B1946" s="6" t="s">
        <v>4876</v>
      </c>
      <c r="C1946" s="6" t="s">
        <v>6067</v>
      </c>
      <c r="D1946" s="6" t="s">
        <v>6004</v>
      </c>
      <c r="E1946" s="6" t="s">
        <v>35</v>
      </c>
      <c r="F1946" s="6" t="s">
        <v>4879</v>
      </c>
      <c r="G1946" s="6" t="s">
        <v>823</v>
      </c>
      <c r="H1946" s="6">
        <v>3</v>
      </c>
      <c r="I1946" s="18">
        <v>96</v>
      </c>
      <c r="J1946" s="19">
        <v>46261.4992726505</v>
      </c>
      <c r="K1946" s="6" t="s">
        <v>5449</v>
      </c>
      <c r="L1946" t="str">
        <f t="shared" si="30"/>
        <v>OLEO MOBIL 4T 20W50 SUPERMOTO |46260</v>
      </c>
    </row>
    <row r="1947" ht="13.5" customHeight="1" spans="1:12">
      <c r="A1947" s="17">
        <v>46260.4979166667</v>
      </c>
      <c r="B1947" s="6" t="s">
        <v>4876</v>
      </c>
      <c r="C1947" s="6" t="s">
        <v>6068</v>
      </c>
      <c r="D1947" s="6" t="s">
        <v>5147</v>
      </c>
      <c r="E1947" s="6" t="s">
        <v>390</v>
      </c>
      <c r="F1947" s="6" t="s">
        <v>4879</v>
      </c>
      <c r="G1947" s="6" t="s">
        <v>837</v>
      </c>
      <c r="H1947" s="6">
        <v>3</v>
      </c>
      <c r="I1947" s="18">
        <v>1945.53</v>
      </c>
      <c r="J1947" s="19">
        <v>46266.5020703704</v>
      </c>
      <c r="K1947" s="6" t="s">
        <v>5449</v>
      </c>
      <c r="L1947" t="str">
        <f t="shared" si="30"/>
        <v>SCS PLAST BM 100 22.00X40.00 L 508649|46260</v>
      </c>
    </row>
    <row r="1948" ht="13.5" customHeight="1" spans="1:12">
      <c r="A1948" s="17">
        <v>46260.4979166667</v>
      </c>
      <c r="B1948" s="6" t="s">
        <v>4876</v>
      </c>
      <c r="C1948" s="6" t="s">
        <v>6068</v>
      </c>
      <c r="D1948" s="6" t="s">
        <v>5147</v>
      </c>
      <c r="E1948" s="6" t="s">
        <v>390</v>
      </c>
      <c r="F1948" s="6" t="s">
        <v>4879</v>
      </c>
      <c r="G1948" s="6" t="s">
        <v>835</v>
      </c>
      <c r="H1948" s="6">
        <v>11.5</v>
      </c>
      <c r="I1948" s="18">
        <v>5117.5</v>
      </c>
      <c r="J1948" s="19">
        <v>46266.5020698264</v>
      </c>
      <c r="K1948" s="6" t="s">
        <v>5449</v>
      </c>
      <c r="L1948" t="str">
        <f t="shared" si="30"/>
        <v>SCS PLAST TR PR 20.0X30.0|46260</v>
      </c>
    </row>
    <row r="1949" ht="13.5" customHeight="1" spans="1:12">
      <c r="A1949" s="17">
        <v>46261.3493055556</v>
      </c>
      <c r="B1949" s="6" t="s">
        <v>4876</v>
      </c>
      <c r="C1949" s="6" t="s">
        <v>6069</v>
      </c>
      <c r="D1949" s="6" t="s">
        <v>5175</v>
      </c>
      <c r="E1949" s="6" t="s">
        <v>35</v>
      </c>
      <c r="F1949" s="6" t="s">
        <v>4879</v>
      </c>
      <c r="G1949" s="6" t="s">
        <v>878</v>
      </c>
      <c r="H1949" s="6">
        <v>2</v>
      </c>
      <c r="I1949" s="18">
        <v>500</v>
      </c>
      <c r="J1949" s="19">
        <v>46269.3531851852</v>
      </c>
      <c r="K1949" s="6" t="s">
        <v>4880</v>
      </c>
      <c r="L1949" t="str">
        <f t="shared" si="30"/>
        <v>MANGUEIRA 23B/121101|46261</v>
      </c>
    </row>
    <row r="1950" ht="13.5" customHeight="1" spans="1:12">
      <c r="A1950" s="17">
        <v>46261.3534722222</v>
      </c>
      <c r="B1950" s="6" t="s">
        <v>4876</v>
      </c>
      <c r="C1950" s="6" t="s">
        <v>6070</v>
      </c>
      <c r="D1950" s="6" t="s">
        <v>5175</v>
      </c>
      <c r="E1950" s="6" t="s">
        <v>35</v>
      </c>
      <c r="F1950" s="6" t="s">
        <v>4879</v>
      </c>
      <c r="G1950" s="6" t="s">
        <v>877</v>
      </c>
      <c r="H1950" s="6">
        <v>2</v>
      </c>
      <c r="I1950" s="18">
        <v>260</v>
      </c>
      <c r="J1950" s="19">
        <v>46269.354780787</v>
      </c>
      <c r="K1950" s="6" t="s">
        <v>4880</v>
      </c>
      <c r="L1950" t="str">
        <f t="shared" si="30"/>
        <v>RODAPULSO 23B/614149C|46261</v>
      </c>
    </row>
    <row r="1951" ht="13.5" customHeight="1" spans="1:12">
      <c r="A1951" s="17">
        <v>46262.684375</v>
      </c>
      <c r="B1951" s="6" t="s">
        <v>4876</v>
      </c>
      <c r="C1951" s="6" t="s">
        <v>6071</v>
      </c>
      <c r="D1951" s="6" t="s">
        <v>5369</v>
      </c>
      <c r="E1951" s="6" t="s">
        <v>26</v>
      </c>
      <c r="F1951" s="6" t="s">
        <v>4882</v>
      </c>
      <c r="G1951" s="6" t="s">
        <v>1180</v>
      </c>
      <c r="H1951" s="6">
        <v>1</v>
      </c>
      <c r="I1951" s="18">
        <v>35</v>
      </c>
      <c r="J1951" s="19">
        <v>46262.6872021181</v>
      </c>
      <c r="K1951" s="6" t="s">
        <v>4880</v>
      </c>
      <c r="L1951" t="str">
        <f t="shared" si="30"/>
        <v>TINTA CO MPATIVEL EPSON YELLOW|46263</v>
      </c>
    </row>
    <row r="1952" ht="13.5" customHeight="1" spans="1:12">
      <c r="A1952" s="17">
        <v>46262.684375</v>
      </c>
      <c r="B1952" s="6" t="s">
        <v>4876</v>
      </c>
      <c r="C1952" s="6" t="s">
        <v>6071</v>
      </c>
      <c r="D1952" s="6" t="s">
        <v>5369</v>
      </c>
      <c r="E1952" s="6" t="s">
        <v>26</v>
      </c>
      <c r="F1952" s="6" t="s">
        <v>4882</v>
      </c>
      <c r="G1952" s="6" t="s">
        <v>1174</v>
      </c>
      <c r="H1952" s="6">
        <v>1</v>
      </c>
      <c r="I1952" s="18">
        <v>35</v>
      </c>
      <c r="J1952" s="19">
        <v>46262.6872019329</v>
      </c>
      <c r="K1952" s="6" t="s">
        <v>4880</v>
      </c>
      <c r="L1952" t="str">
        <f t="shared" si="30"/>
        <v>TINTA COMPATIVELEPSON CIANO|46263</v>
      </c>
    </row>
    <row r="1953" ht="13.5" customHeight="1" spans="1:12">
      <c r="A1953" s="17">
        <v>46262.684375</v>
      </c>
      <c r="B1953" s="6" t="s">
        <v>4876</v>
      </c>
      <c r="C1953" s="6" t="s">
        <v>6071</v>
      </c>
      <c r="D1953" s="6" t="s">
        <v>5369</v>
      </c>
      <c r="E1953" s="6" t="s">
        <v>26</v>
      </c>
      <c r="F1953" s="6" t="s">
        <v>4882</v>
      </c>
      <c r="G1953" s="6" t="s">
        <v>1179</v>
      </c>
      <c r="H1953" s="6">
        <v>1</v>
      </c>
      <c r="I1953" s="18">
        <v>35</v>
      </c>
      <c r="J1953" s="19">
        <v>46262.6872017361</v>
      </c>
      <c r="K1953" s="6" t="s">
        <v>4880</v>
      </c>
      <c r="L1953" t="str">
        <f t="shared" si="30"/>
        <v>TINTA COMPATIVEL EPSON BLACK|46263</v>
      </c>
    </row>
    <row r="1954" ht="13.5" customHeight="1" spans="1:12">
      <c r="A1954" s="17">
        <v>46262.684375</v>
      </c>
      <c r="B1954" s="6" t="s">
        <v>4876</v>
      </c>
      <c r="C1954" s="6" t="s">
        <v>6071</v>
      </c>
      <c r="D1954" s="6" t="s">
        <v>5369</v>
      </c>
      <c r="E1954" s="6" t="s">
        <v>26</v>
      </c>
      <c r="F1954" s="6" t="s">
        <v>4882</v>
      </c>
      <c r="G1954" s="6" t="s">
        <v>1178</v>
      </c>
      <c r="H1954" s="6">
        <v>1</v>
      </c>
      <c r="I1954" s="18">
        <v>35</v>
      </c>
      <c r="J1954" s="19">
        <v>46262.6872011921</v>
      </c>
      <c r="K1954" s="6" t="s">
        <v>4880</v>
      </c>
      <c r="L1954" t="str">
        <f t="shared" si="30"/>
        <v>TINTA COMPATIVEL EPSON MAGENTA|46263</v>
      </c>
    </row>
    <row r="1955" ht="13.5" customHeight="1" spans="1:12">
      <c r="A1955" s="17">
        <v>46262.6910069444</v>
      </c>
      <c r="B1955" s="6" t="s">
        <v>4876</v>
      </c>
      <c r="C1955" s="6" t="s">
        <v>6072</v>
      </c>
      <c r="D1955" s="6" t="s">
        <v>5358</v>
      </c>
      <c r="E1955" s="6" t="s">
        <v>26</v>
      </c>
      <c r="F1955" s="6" t="s">
        <v>4882</v>
      </c>
      <c r="G1955" s="6" t="s">
        <v>3615</v>
      </c>
      <c r="H1955" s="6">
        <v>2</v>
      </c>
      <c r="I1955" s="18">
        <v>20.7</v>
      </c>
      <c r="J1955" s="19">
        <v>46262.6925333333</v>
      </c>
      <c r="K1955" s="6" t="s">
        <v>4880</v>
      </c>
      <c r="L1955" t="str">
        <f t="shared" si="30"/>
        <v>COPIAS DE CHAVE |46263</v>
      </c>
    </row>
    <row r="1956" ht="13.5" customHeight="1" spans="1:12">
      <c r="A1956" s="17">
        <v>46262.7084143519</v>
      </c>
      <c r="B1956" s="6" t="s">
        <v>4876</v>
      </c>
      <c r="C1956" s="6" t="s">
        <v>6073</v>
      </c>
      <c r="D1956" s="6" t="s">
        <v>6074</v>
      </c>
      <c r="E1956" s="6" t="s">
        <v>26</v>
      </c>
      <c r="F1956" s="6" t="s">
        <v>4882</v>
      </c>
      <c r="G1956" s="6" t="s">
        <v>4028</v>
      </c>
      <c r="H1956" s="6">
        <v>1</v>
      </c>
      <c r="I1956" s="18">
        <v>199.9</v>
      </c>
      <c r="J1956" s="19">
        <v>46262.7113695255</v>
      </c>
      <c r="K1956" s="6" t="s">
        <v>4880</v>
      </c>
      <c r="L1956" t="str">
        <f t="shared" si="30"/>
        <v>CAMERA TRASEIRA REDMI NOTE 12S ORIGINAL|46263</v>
      </c>
    </row>
    <row r="1957" ht="13.5" customHeight="1" spans="1:12">
      <c r="A1957" s="17">
        <v>46262.7118865741</v>
      </c>
      <c r="B1957" s="6" t="s">
        <v>4876</v>
      </c>
      <c r="C1957" s="6" t="s">
        <v>6075</v>
      </c>
      <c r="D1957" s="6" t="s">
        <v>6076</v>
      </c>
      <c r="E1957" s="6" t="s">
        <v>26</v>
      </c>
      <c r="F1957" s="6" t="s">
        <v>4882</v>
      </c>
      <c r="G1957" s="6" t="s">
        <v>203</v>
      </c>
      <c r="H1957" s="6">
        <v>1</v>
      </c>
      <c r="I1957" s="18">
        <v>132</v>
      </c>
      <c r="J1957" s="19">
        <v>46262.7154626968</v>
      </c>
      <c r="K1957" s="6" t="s">
        <v>4880</v>
      </c>
      <c r="L1957" t="str">
        <f t="shared" si="30"/>
        <v>PUXADOR DE PORTA MERCEDES BENZ ACCELO 715 815 915 1016 LE|46263</v>
      </c>
    </row>
    <row r="1958" ht="13.5" customHeight="1" spans="1:12">
      <c r="A1958" s="17">
        <v>46262.7118865741</v>
      </c>
      <c r="B1958" s="6" t="s">
        <v>4876</v>
      </c>
      <c r="C1958" s="6" t="s">
        <v>6075</v>
      </c>
      <c r="D1958" s="6" t="s">
        <v>6076</v>
      </c>
      <c r="E1958" s="6" t="s">
        <v>26</v>
      </c>
      <c r="F1958" s="6" t="s">
        <v>4882</v>
      </c>
      <c r="G1958" s="6" t="s">
        <v>219</v>
      </c>
      <c r="H1958" s="6">
        <v>1</v>
      </c>
      <c r="I1958" s="18">
        <v>132</v>
      </c>
      <c r="J1958" s="19">
        <v>46262.7154608796</v>
      </c>
      <c r="K1958" s="6" t="s">
        <v>4880</v>
      </c>
      <c r="L1958" t="str">
        <f t="shared" si="30"/>
        <v>PUXADOR DE PORTA MERCEDES BENZ ACCELO 715 815 915 1016 LD|46263</v>
      </c>
    </row>
    <row r="1959" ht="13.5" customHeight="1" spans="1:12">
      <c r="A1959" s="17">
        <v>46262.7169212963</v>
      </c>
      <c r="B1959" s="6" t="s">
        <v>4876</v>
      </c>
      <c r="C1959" s="6" t="s">
        <v>6077</v>
      </c>
      <c r="D1959" s="6" t="s">
        <v>6078</v>
      </c>
      <c r="E1959" s="6" t="s">
        <v>26</v>
      </c>
      <c r="F1959" s="6" t="s">
        <v>4882</v>
      </c>
      <c r="G1959" s="6" t="s">
        <v>749</v>
      </c>
      <c r="H1959" s="6">
        <v>4</v>
      </c>
      <c r="I1959" s="18">
        <v>213</v>
      </c>
      <c r="J1959" s="19">
        <v>46262.7188894676</v>
      </c>
      <c r="K1959" s="6" t="s">
        <v>4880</v>
      </c>
      <c r="L1959" t="str">
        <f t="shared" si="30"/>
        <v>APOIO ERGONOMICO P/OS PES |46263</v>
      </c>
    </row>
    <row r="1960" ht="13.5" customHeight="1" spans="1:12">
      <c r="A1960" s="17">
        <v>46265.50625</v>
      </c>
      <c r="B1960" s="6" t="s">
        <v>4876</v>
      </c>
      <c r="C1960" s="6" t="s">
        <v>6079</v>
      </c>
      <c r="D1960" s="6" t="s">
        <v>4884</v>
      </c>
      <c r="E1960" s="6" t="s">
        <v>26</v>
      </c>
      <c r="F1960" s="6" t="s">
        <v>4882</v>
      </c>
      <c r="G1960" s="6" t="s">
        <v>4126</v>
      </c>
      <c r="H1960" s="6">
        <v>1</v>
      </c>
      <c r="I1960" s="18">
        <v>883.7</v>
      </c>
      <c r="J1960" s="19">
        <v>46266.5096040162</v>
      </c>
      <c r="K1960" s="6" t="s">
        <v>5449</v>
      </c>
      <c r="L1960" t="str">
        <f t="shared" si="30"/>
        <v>CABO FLEX 6.00 MM 750V AZUL|46266</v>
      </c>
    </row>
    <row r="1961" ht="13.5" customHeight="1" spans="1:12">
      <c r="A1961" s="17">
        <v>46265.50625</v>
      </c>
      <c r="B1961" s="6" t="s">
        <v>4876</v>
      </c>
      <c r="C1961" s="6" t="s">
        <v>6079</v>
      </c>
      <c r="D1961" s="6" t="s">
        <v>4884</v>
      </c>
      <c r="E1961" s="6" t="s">
        <v>26</v>
      </c>
      <c r="F1961" s="6" t="s">
        <v>4882</v>
      </c>
      <c r="G1961" s="6" t="s">
        <v>1856</v>
      </c>
      <c r="H1961" s="6">
        <v>1</v>
      </c>
      <c r="I1961" s="18">
        <v>197.35</v>
      </c>
      <c r="J1961" s="19">
        <v>46266.509603669</v>
      </c>
      <c r="K1961" s="6" t="s">
        <v>5449</v>
      </c>
      <c r="L1961" t="str">
        <f t="shared" si="30"/>
        <v>PROJETOR LED 200W 6500K PT BIV|46266</v>
      </c>
    </row>
    <row r="1962" ht="13.5" customHeight="1" spans="1:12">
      <c r="A1962" s="17">
        <v>46265.50625</v>
      </c>
      <c r="B1962" s="6" t="s">
        <v>4876</v>
      </c>
      <c r="C1962" s="6" t="s">
        <v>6079</v>
      </c>
      <c r="D1962" s="6" t="s">
        <v>4884</v>
      </c>
      <c r="E1962" s="6" t="s">
        <v>26</v>
      </c>
      <c r="F1962" s="6" t="s">
        <v>4882</v>
      </c>
      <c r="G1962" s="6" t="s">
        <v>466</v>
      </c>
      <c r="H1962" s="6">
        <v>2</v>
      </c>
      <c r="I1962" s="18">
        <v>104</v>
      </c>
      <c r="J1962" s="19">
        <v>46266.509602581</v>
      </c>
      <c r="K1962" s="6" t="s">
        <v>5449</v>
      </c>
      <c r="L1962" t="str">
        <f t="shared" si="30"/>
        <v>REFLETOR LED 50W 6500K BIV RLT MGC|46266</v>
      </c>
    </row>
    <row r="1963" ht="13.5" customHeight="1" spans="1:12">
      <c r="A1963" s="17">
        <v>46265.5791666667</v>
      </c>
      <c r="B1963" s="6" t="s">
        <v>4876</v>
      </c>
      <c r="C1963" s="6" t="s">
        <v>6080</v>
      </c>
      <c r="D1963" s="6" t="s">
        <v>6081</v>
      </c>
      <c r="E1963" s="6" t="s">
        <v>26</v>
      </c>
      <c r="F1963" s="6" t="s">
        <v>4882</v>
      </c>
      <c r="G1963" s="6" t="s">
        <v>858</v>
      </c>
      <c r="H1963" s="6">
        <v>2</v>
      </c>
      <c r="I1963" s="18">
        <v>791.38</v>
      </c>
      <c r="J1963" s="19">
        <v>46266.5975902431</v>
      </c>
      <c r="K1963" s="6" t="s">
        <v>4880</v>
      </c>
      <c r="L1963" t="str">
        <f t="shared" si="30"/>
        <v>SENSOR INDUTIVO 4 PINOS REDONDO (35MM)|46266</v>
      </c>
    </row>
    <row r="1964" ht="13.5" customHeight="1" spans="1:12">
      <c r="A1964" s="17">
        <v>46265.5791666667</v>
      </c>
      <c r="B1964" s="6" t="s">
        <v>4876</v>
      </c>
      <c r="C1964" s="6" t="s">
        <v>6080</v>
      </c>
      <c r="D1964" s="6" t="s">
        <v>6081</v>
      </c>
      <c r="E1964" s="6" t="s">
        <v>26</v>
      </c>
      <c r="F1964" s="6" t="s">
        <v>4882</v>
      </c>
      <c r="G1964" s="6" t="s">
        <v>2458</v>
      </c>
      <c r="H1964" s="6">
        <v>1</v>
      </c>
      <c r="I1964" s="18">
        <v>795</v>
      </c>
      <c r="J1964" s="19">
        <v>46266.5975895486</v>
      </c>
      <c r="K1964" s="6" t="s">
        <v>4880</v>
      </c>
      <c r="L1964" t="str">
        <f t="shared" si="30"/>
        <v>MAÇANETA EXTERNA PORTA LE DELIVERY|46266</v>
      </c>
    </row>
    <row r="1965" ht="13.5" customHeight="1" spans="1:12">
      <c r="A1965" s="17">
        <v>46265.5791666667</v>
      </c>
      <c r="B1965" s="6" t="s">
        <v>4876</v>
      </c>
      <c r="C1965" s="6" t="s">
        <v>6080</v>
      </c>
      <c r="D1965" s="6" t="s">
        <v>6081</v>
      </c>
      <c r="E1965" s="6" t="s">
        <v>26</v>
      </c>
      <c r="F1965" s="6" t="s">
        <v>4882</v>
      </c>
      <c r="G1965" s="6" t="s">
        <v>893</v>
      </c>
      <c r="H1965" s="6">
        <v>3</v>
      </c>
      <c r="I1965" s="18">
        <v>2085</v>
      </c>
      <c r="J1965" s="19">
        <v>46266.5975891551</v>
      </c>
      <c r="K1965" s="6" t="s">
        <v>4880</v>
      </c>
      <c r="L1965" t="str">
        <f t="shared" si="30"/>
        <v>KIT MAÇANETA INTERNA LE VW DELIVERY |46266</v>
      </c>
    </row>
    <row r="1966" ht="13.5" customHeight="1" spans="1:12">
      <c r="A1966" s="17">
        <v>46266.5607291667</v>
      </c>
      <c r="B1966" s="6" t="s">
        <v>4876</v>
      </c>
      <c r="C1966" s="6" t="s">
        <v>6082</v>
      </c>
      <c r="D1966" s="6" t="s">
        <v>4919</v>
      </c>
      <c r="E1966" s="6" t="s">
        <v>26</v>
      </c>
      <c r="F1966" s="6" t="s">
        <v>4882</v>
      </c>
      <c r="G1966" s="6" t="s">
        <v>854</v>
      </c>
      <c r="H1966" s="6">
        <v>2</v>
      </c>
      <c r="I1966" s="18">
        <v>85.8</v>
      </c>
      <c r="J1966" s="19">
        <v>46266.5659609954</v>
      </c>
      <c r="K1966" s="6" t="s">
        <v>4880</v>
      </c>
      <c r="L1966" t="str">
        <f t="shared" si="30"/>
        <v>MAZA ZARCAO CINZA ESCURO 1/4  15454|46267</v>
      </c>
    </row>
    <row r="1967" ht="13.5" customHeight="1" spans="1:12">
      <c r="A1967" s="17">
        <v>46266.5607291667</v>
      </c>
      <c r="B1967" s="6" t="s">
        <v>4876</v>
      </c>
      <c r="C1967" s="6" t="s">
        <v>6082</v>
      </c>
      <c r="D1967" s="6" t="s">
        <v>4919</v>
      </c>
      <c r="E1967" s="6" t="s">
        <v>26</v>
      </c>
      <c r="F1967" s="6" t="s">
        <v>4882</v>
      </c>
      <c r="G1967" s="6" t="s">
        <v>853</v>
      </c>
      <c r="H1967" s="6">
        <v>1</v>
      </c>
      <c r="I1967" s="18">
        <v>58.2</v>
      </c>
      <c r="J1967" s="19">
        <v>46266.5659564815</v>
      </c>
      <c r="K1967" s="6" t="s">
        <v>4880</v>
      </c>
      <c r="L1967" t="str">
        <f t="shared" si="30"/>
        <v>MAZA MARTELADO VERDE BRASIL 1/4 1137|46267</v>
      </c>
    </row>
    <row r="1968" ht="13.5" customHeight="1" spans="1:12">
      <c r="A1968" s="17">
        <v>46266.5715740741</v>
      </c>
      <c r="B1968" s="6" t="s">
        <v>4876</v>
      </c>
      <c r="C1968" s="6" t="s">
        <v>6083</v>
      </c>
      <c r="D1968" s="6" t="s">
        <v>5369</v>
      </c>
      <c r="E1968" s="6" t="s">
        <v>26</v>
      </c>
      <c r="F1968" s="6" t="s">
        <v>4882</v>
      </c>
      <c r="G1968" s="6" t="s">
        <v>1179</v>
      </c>
      <c r="H1968" s="6">
        <v>1</v>
      </c>
      <c r="I1968" s="18">
        <v>35</v>
      </c>
      <c r="J1968" s="19">
        <v>46266.5747062847</v>
      </c>
      <c r="K1968" s="6" t="s">
        <v>4880</v>
      </c>
      <c r="L1968" t="str">
        <f t="shared" si="30"/>
        <v>TINTA COMPATIVEL EPSON BLACK|46267</v>
      </c>
    </row>
    <row r="1969" ht="13.5" customHeight="1" spans="1:12">
      <c r="A1969" s="17">
        <v>46266.5715740741</v>
      </c>
      <c r="B1969" s="6" t="s">
        <v>4876</v>
      </c>
      <c r="C1969" s="6" t="s">
        <v>6083</v>
      </c>
      <c r="D1969" s="6" t="s">
        <v>5369</v>
      </c>
      <c r="E1969" s="6" t="s">
        <v>26</v>
      </c>
      <c r="F1969" s="6" t="s">
        <v>4882</v>
      </c>
      <c r="G1969" s="6" t="s">
        <v>1180</v>
      </c>
      <c r="H1969" s="6">
        <v>1</v>
      </c>
      <c r="I1969" s="18">
        <v>35</v>
      </c>
      <c r="J1969" s="19">
        <v>46266.5747061343</v>
      </c>
      <c r="K1969" s="6" t="s">
        <v>4880</v>
      </c>
      <c r="L1969" t="str">
        <f t="shared" si="30"/>
        <v>TINTA CO MPATIVEL EPSON YELLOW|46267</v>
      </c>
    </row>
    <row r="1970" ht="13.5" customHeight="1" spans="1:12">
      <c r="A1970" s="17">
        <v>46266.5715740741</v>
      </c>
      <c r="B1970" s="6" t="s">
        <v>4876</v>
      </c>
      <c r="C1970" s="6" t="s">
        <v>6083</v>
      </c>
      <c r="D1970" s="6" t="s">
        <v>5369</v>
      </c>
      <c r="E1970" s="6" t="s">
        <v>26</v>
      </c>
      <c r="F1970" s="6" t="s">
        <v>4882</v>
      </c>
      <c r="G1970" s="6" t="s">
        <v>1174</v>
      </c>
      <c r="H1970" s="6">
        <v>1</v>
      </c>
      <c r="I1970" s="18">
        <v>35</v>
      </c>
      <c r="J1970" s="19">
        <v>46266.5747059375</v>
      </c>
      <c r="K1970" s="6" t="s">
        <v>4880</v>
      </c>
      <c r="L1970" t="str">
        <f t="shared" si="30"/>
        <v>TINTA COMPATIVELEPSON CIANO|46267</v>
      </c>
    </row>
    <row r="1971" ht="13.5" customHeight="1" spans="1:12">
      <c r="A1971" s="17">
        <v>46266.5715740741</v>
      </c>
      <c r="B1971" s="6" t="s">
        <v>4876</v>
      </c>
      <c r="C1971" s="6" t="s">
        <v>6083</v>
      </c>
      <c r="D1971" s="6" t="s">
        <v>5369</v>
      </c>
      <c r="E1971" s="6" t="s">
        <v>26</v>
      </c>
      <c r="F1971" s="6" t="s">
        <v>4882</v>
      </c>
      <c r="G1971" s="6" t="s">
        <v>1178</v>
      </c>
      <c r="H1971" s="6">
        <v>1</v>
      </c>
      <c r="I1971" s="18">
        <v>35</v>
      </c>
      <c r="J1971" s="19">
        <v>46266.5747050116</v>
      </c>
      <c r="K1971" s="6" t="s">
        <v>4880</v>
      </c>
      <c r="L1971" t="str">
        <f t="shared" si="30"/>
        <v>TINTA COMPATIVEL EPSON MAGENTA|46267</v>
      </c>
    </row>
    <row r="1972" ht="13.5" customHeight="1" spans="1:12">
      <c r="A1972" s="17">
        <v>46266.6019791667</v>
      </c>
      <c r="B1972" s="6" t="s">
        <v>4876</v>
      </c>
      <c r="C1972" s="6" t="s">
        <v>6084</v>
      </c>
      <c r="D1972" s="6" t="s">
        <v>5453</v>
      </c>
      <c r="E1972" s="6" t="s">
        <v>26</v>
      </c>
      <c r="F1972" s="6" t="s">
        <v>4882</v>
      </c>
      <c r="G1972" s="6" t="s">
        <v>782</v>
      </c>
      <c r="H1972" s="6">
        <v>15</v>
      </c>
      <c r="I1972" s="18">
        <v>225</v>
      </c>
      <c r="J1972" s="19">
        <v>46266.604069757</v>
      </c>
      <c r="K1972" s="6" t="s">
        <v>4880</v>
      </c>
      <c r="L1972" t="str">
        <f t="shared" si="30"/>
        <v>CRACHAS |46267</v>
      </c>
    </row>
    <row r="1973" ht="13.5" customHeight="1" spans="1:12">
      <c r="A1973" s="17">
        <v>46266.6364814815</v>
      </c>
      <c r="B1973" s="6" t="s">
        <v>4876</v>
      </c>
      <c r="C1973" s="6" t="s">
        <v>6085</v>
      </c>
      <c r="D1973" s="6" t="s">
        <v>5358</v>
      </c>
      <c r="E1973" s="6" t="s">
        <v>26</v>
      </c>
      <c r="F1973" s="6" t="s">
        <v>4882</v>
      </c>
      <c r="G1973" s="6" t="s">
        <v>3615</v>
      </c>
      <c r="H1973" s="6">
        <v>4</v>
      </c>
      <c r="I1973" s="18">
        <v>44</v>
      </c>
      <c r="J1973" s="19">
        <v>46266.6378783565</v>
      </c>
      <c r="K1973" s="6" t="s">
        <v>4880</v>
      </c>
      <c r="L1973" t="str">
        <f t="shared" si="30"/>
        <v>COPIAS DE CHAVE |46267</v>
      </c>
    </row>
    <row r="1974" ht="13.5" customHeight="1" spans="1:12">
      <c r="A1974" s="17">
        <v>46267.6631944445</v>
      </c>
      <c r="B1974" s="6" t="s">
        <v>4876</v>
      </c>
      <c r="C1974" s="6" t="s">
        <v>6086</v>
      </c>
      <c r="D1974" s="6" t="s">
        <v>5018</v>
      </c>
      <c r="E1974" s="6" t="s">
        <v>26</v>
      </c>
      <c r="F1974" s="6" t="s">
        <v>4882</v>
      </c>
      <c r="G1974" s="6" t="s">
        <v>4721</v>
      </c>
      <c r="H1974" s="6">
        <v>1</v>
      </c>
      <c r="I1974" s="18">
        <v>23</v>
      </c>
      <c r="J1974" s="19">
        <v>46269.668178044</v>
      </c>
      <c r="K1974" s="6" t="s">
        <v>4880</v>
      </c>
      <c r="L1974" t="str">
        <f t="shared" si="30"/>
        <v>ABRAÇADEIRA P/ MANG 1/2¨X 25 ZINCO|46268</v>
      </c>
    </row>
    <row r="1975" ht="13.5" customHeight="1" spans="1:12">
      <c r="A1975" s="17">
        <v>46267.6631944445</v>
      </c>
      <c r="B1975" s="6" t="s">
        <v>4876</v>
      </c>
      <c r="C1975" s="6" t="s">
        <v>6086</v>
      </c>
      <c r="D1975" s="6" t="s">
        <v>5018</v>
      </c>
      <c r="E1975" s="6" t="s">
        <v>26</v>
      </c>
      <c r="F1975" s="6" t="s">
        <v>4882</v>
      </c>
      <c r="G1975" s="6" t="s">
        <v>1966</v>
      </c>
      <c r="H1975" s="6">
        <v>1</v>
      </c>
      <c r="I1975" s="18">
        <v>15.9</v>
      </c>
      <c r="J1975" s="19">
        <v>46269.668177662</v>
      </c>
      <c r="K1975" s="6" t="s">
        <v>4880</v>
      </c>
      <c r="L1975" t="str">
        <f t="shared" si="30"/>
        <v>PNEU PRETINHO 500ML|46268</v>
      </c>
    </row>
    <row r="1976" ht="13.5" customHeight="1" spans="1:12">
      <c r="A1976" s="17">
        <v>46268.3425</v>
      </c>
      <c r="B1976" s="6" t="s">
        <v>4876</v>
      </c>
      <c r="C1976" s="6" t="s">
        <v>6087</v>
      </c>
      <c r="D1976" s="6" t="s">
        <v>4901</v>
      </c>
      <c r="E1976" s="6" t="s">
        <v>26</v>
      </c>
      <c r="F1976" s="6" t="s">
        <v>4882</v>
      </c>
      <c r="G1976" s="6" t="s">
        <v>2905</v>
      </c>
      <c r="H1976" s="6">
        <v>1</v>
      </c>
      <c r="I1976" s="18">
        <v>211</v>
      </c>
      <c r="J1976" s="19">
        <v>46268.3432131944</v>
      </c>
      <c r="K1976" s="6" t="s">
        <v>4880</v>
      </c>
      <c r="L1976" t="str">
        <f t="shared" si="30"/>
        <v>GÁS BOTIJÃO P 20|46268</v>
      </c>
    </row>
    <row r="1977" ht="13.5" customHeight="1" spans="1:12">
      <c r="A1977" s="17">
        <v>46268.6430555556</v>
      </c>
      <c r="B1977" s="6" t="s">
        <v>4876</v>
      </c>
      <c r="C1977" s="6" t="s">
        <v>6088</v>
      </c>
      <c r="D1977" s="6" t="s">
        <v>4894</v>
      </c>
      <c r="E1977" s="6" t="s">
        <v>26</v>
      </c>
      <c r="F1977" s="6" t="s">
        <v>4882</v>
      </c>
      <c r="G1977" s="6" t="s">
        <v>885</v>
      </c>
      <c r="H1977" s="6">
        <v>2</v>
      </c>
      <c r="I1977" s="18">
        <v>9.3</v>
      </c>
      <c r="J1977" s="19">
        <v>46269.6554545486</v>
      </c>
      <c r="K1977" s="6" t="s">
        <v>4880</v>
      </c>
      <c r="L1977" t="str">
        <f t="shared" si="30"/>
        <v>BOTÃO FRANCES P&amp;J C/02 PÇS ABS CR|46269</v>
      </c>
    </row>
    <row r="1978" ht="13.5" customHeight="1" spans="1:12">
      <c r="A1978" s="17">
        <v>46268.6430555556</v>
      </c>
      <c r="B1978" s="6" t="s">
        <v>4876</v>
      </c>
      <c r="C1978" s="6" t="s">
        <v>6088</v>
      </c>
      <c r="D1978" s="6" t="s">
        <v>4894</v>
      </c>
      <c r="E1978" s="6" t="s">
        <v>26</v>
      </c>
      <c r="F1978" s="6" t="s">
        <v>4882</v>
      </c>
      <c r="G1978" s="6" t="s">
        <v>881</v>
      </c>
      <c r="H1978" s="6">
        <v>3</v>
      </c>
      <c r="I1978" s="18">
        <v>5.4</v>
      </c>
      <c r="J1978" s="19">
        <v>46269.6554542014</v>
      </c>
      <c r="K1978" s="6" t="s">
        <v>4880</v>
      </c>
      <c r="L1978" t="str">
        <f t="shared" si="30"/>
        <v>CLIPS CABO AÇO 1/4 C02 PSÇ |46269</v>
      </c>
    </row>
    <row r="1979" ht="13.5" customHeight="1" spans="1:12">
      <c r="A1979" s="17">
        <v>46268.6430555556</v>
      </c>
      <c r="B1979" s="6" t="s">
        <v>4876</v>
      </c>
      <c r="C1979" s="6" t="s">
        <v>6088</v>
      </c>
      <c r="D1979" s="6" t="s">
        <v>4894</v>
      </c>
      <c r="E1979" s="6" t="s">
        <v>26</v>
      </c>
      <c r="F1979" s="6" t="s">
        <v>4882</v>
      </c>
      <c r="G1979" s="6" t="s">
        <v>880</v>
      </c>
      <c r="H1979" s="6">
        <v>6</v>
      </c>
      <c r="I1979" s="18">
        <v>34.38</v>
      </c>
      <c r="J1979" s="19">
        <v>46269.655453669</v>
      </c>
      <c r="K1979" s="6" t="s">
        <v>4880</v>
      </c>
      <c r="L1979" t="str">
        <f t="shared" si="30"/>
        <v>ESTICADOR CABO DE AÇO 1/4|46269</v>
      </c>
    </row>
    <row r="1980" ht="13.5" customHeight="1" spans="1:12">
      <c r="A1980" s="17">
        <v>46268.6430555556</v>
      </c>
      <c r="B1980" s="6" t="s">
        <v>4876</v>
      </c>
      <c r="C1980" s="6" t="s">
        <v>6088</v>
      </c>
      <c r="D1980" s="6" t="s">
        <v>4894</v>
      </c>
      <c r="E1980" s="6" t="s">
        <v>26</v>
      </c>
      <c r="F1980" s="6" t="s">
        <v>4882</v>
      </c>
      <c r="G1980" s="6" t="s">
        <v>884</v>
      </c>
      <c r="H1980" s="6">
        <v>20</v>
      </c>
      <c r="I1980" s="18">
        <v>52.4</v>
      </c>
      <c r="J1980" s="19">
        <v>46269.6554534722</v>
      </c>
      <c r="K1980" s="6" t="s">
        <v>4880</v>
      </c>
      <c r="L1980" t="str">
        <f t="shared" si="30"/>
        <v>CABO DE AÇO GALV. 1/8 3,20MM 6X7|46269</v>
      </c>
    </row>
    <row r="1981" ht="13.5" customHeight="1" spans="1:12">
      <c r="A1981" s="17">
        <v>46268.6430555556</v>
      </c>
      <c r="B1981" s="6" t="s">
        <v>4876</v>
      </c>
      <c r="C1981" s="6" t="s">
        <v>6088</v>
      </c>
      <c r="D1981" s="6" t="s">
        <v>4894</v>
      </c>
      <c r="E1981" s="6" t="s">
        <v>26</v>
      </c>
      <c r="F1981" s="6" t="s">
        <v>4882</v>
      </c>
      <c r="G1981" s="6" t="s">
        <v>883</v>
      </c>
      <c r="H1981" s="6">
        <v>4</v>
      </c>
      <c r="I1981" s="18">
        <v>0.36</v>
      </c>
      <c r="J1981" s="19">
        <v>46269.6554529282</v>
      </c>
      <c r="K1981" s="6" t="s">
        <v>4880</v>
      </c>
      <c r="L1981" t="str">
        <f t="shared" si="30"/>
        <v>BUCHA USAF 06 U-BS SC 1000UN 0001|46269</v>
      </c>
    </row>
    <row r="1982" ht="13.5" customHeight="1" spans="1:12">
      <c r="A1982" s="17">
        <v>46268.6430555556</v>
      </c>
      <c r="B1982" s="6" t="s">
        <v>4876</v>
      </c>
      <c r="C1982" s="6" t="s">
        <v>6088</v>
      </c>
      <c r="D1982" s="6" t="s">
        <v>4894</v>
      </c>
      <c r="E1982" s="6" t="s">
        <v>26</v>
      </c>
      <c r="F1982" s="6" t="s">
        <v>4882</v>
      </c>
      <c r="G1982" s="6" t="s">
        <v>882</v>
      </c>
      <c r="H1982" s="6">
        <v>4</v>
      </c>
      <c r="I1982" s="18">
        <v>0.8</v>
      </c>
      <c r="J1982" s="19">
        <v>46269.6554523958</v>
      </c>
      <c r="K1982" s="6" t="s">
        <v>4880</v>
      </c>
      <c r="L1982" t="str">
        <f t="shared" si="30"/>
        <v>P. MDF 4,5X35 100PÇS 1458|46269</v>
      </c>
    </row>
    <row r="1983" ht="13.5" customHeight="1" spans="1:12">
      <c r="A1983" s="17">
        <v>46269.6979166667</v>
      </c>
      <c r="B1983" s="6" t="s">
        <v>4876</v>
      </c>
      <c r="C1983" s="6" t="s">
        <v>6089</v>
      </c>
      <c r="D1983" s="6" t="s">
        <v>109</v>
      </c>
      <c r="E1983" s="6" t="s">
        <v>26</v>
      </c>
      <c r="F1983" s="6" t="s">
        <v>4882</v>
      </c>
      <c r="G1983" s="6" t="s">
        <v>37</v>
      </c>
      <c r="H1983" s="6">
        <v>32</v>
      </c>
      <c r="I1983" s="18">
        <v>330.24</v>
      </c>
      <c r="J1983" s="19">
        <v>46273.7003765394</v>
      </c>
      <c r="K1983" s="6" t="s">
        <v>5449</v>
      </c>
      <c r="L1983" t="str">
        <f t="shared" si="30"/>
        <v>PAPEL HIGIENICO ROLAO 8X300|46270</v>
      </c>
    </row>
    <row r="1984" ht="13.5" customHeight="1" spans="1:12">
      <c r="A1984" s="17">
        <v>46274.5777777778</v>
      </c>
      <c r="B1984" s="6" t="s">
        <v>4876</v>
      </c>
      <c r="C1984" s="6" t="s">
        <v>6090</v>
      </c>
      <c r="D1984" s="6" t="s">
        <v>4903</v>
      </c>
      <c r="E1984" s="6" t="s">
        <v>26</v>
      </c>
      <c r="F1984" s="6" t="s">
        <v>4882</v>
      </c>
      <c r="G1984" s="6" t="s">
        <v>413</v>
      </c>
      <c r="H1984" s="6">
        <v>42.308</v>
      </c>
      <c r="I1984" s="18">
        <v>291.50212</v>
      </c>
      <c r="J1984" s="19">
        <v>46275.5797776273</v>
      </c>
      <c r="K1984" s="6" t="s">
        <v>4880</v>
      </c>
      <c r="L1984" t="str">
        <f t="shared" si="30"/>
        <v>GASOLINA COMUM 01|46275</v>
      </c>
    </row>
    <row r="1985" ht="13.5" customHeight="1" spans="1:12">
      <c r="A1985" s="17">
        <v>46274.6173611111</v>
      </c>
      <c r="B1985" s="6" t="s">
        <v>4876</v>
      </c>
      <c r="C1985" s="6" t="s">
        <v>6091</v>
      </c>
      <c r="D1985" s="6" t="s">
        <v>110</v>
      </c>
      <c r="E1985" s="6" t="s">
        <v>26</v>
      </c>
      <c r="F1985" s="6" t="s">
        <v>4882</v>
      </c>
      <c r="G1985" s="6" t="s">
        <v>28</v>
      </c>
      <c r="H1985" s="6">
        <v>1</v>
      </c>
      <c r="I1985" s="18">
        <v>85</v>
      </c>
      <c r="J1985" s="19">
        <v>46275.6182486921</v>
      </c>
      <c r="K1985" s="6" t="s">
        <v>4880</v>
      </c>
      <c r="L1985" t="str">
        <f t="shared" si="30"/>
        <v>BUZINA BIBI 24V|46275</v>
      </c>
    </row>
    <row r="1986" ht="13.5" customHeight="1" spans="1:12">
      <c r="A1986" s="17">
        <v>46275.5861574074</v>
      </c>
      <c r="B1986" s="6" t="s">
        <v>4876</v>
      </c>
      <c r="C1986" s="6" t="s">
        <v>6092</v>
      </c>
      <c r="D1986" s="6" t="s">
        <v>4894</v>
      </c>
      <c r="E1986" s="6" t="s">
        <v>26</v>
      </c>
      <c r="F1986" s="6" t="s">
        <v>4882</v>
      </c>
      <c r="G1986" s="6" t="s">
        <v>1150</v>
      </c>
      <c r="H1986" s="6">
        <v>1</v>
      </c>
      <c r="I1986" s="18">
        <v>23.23</v>
      </c>
      <c r="J1986" s="19">
        <v>46275.5873114931</v>
      </c>
      <c r="K1986" s="6" t="s">
        <v>4880</v>
      </c>
      <c r="L1986" t="str">
        <f t="shared" ref="L1986:L2009" si="31">IF(G1986="","",G1986&amp;"|"&amp;TEXT(A1986,"0"))</f>
        <v>TOMADA DUPLA 20A |46276</v>
      </c>
    </row>
    <row r="1987" ht="13.5" customHeight="1" spans="1:12">
      <c r="A1987" s="17">
        <v>46275.5861574074</v>
      </c>
      <c r="B1987" s="6" t="s">
        <v>4876</v>
      </c>
      <c r="C1987" s="6" t="s">
        <v>6092</v>
      </c>
      <c r="D1987" s="6" t="s">
        <v>4894</v>
      </c>
      <c r="E1987" s="6" t="s">
        <v>26</v>
      </c>
      <c r="F1987" s="6" t="s">
        <v>4882</v>
      </c>
      <c r="G1987" s="6" t="s">
        <v>2249</v>
      </c>
      <c r="H1987" s="6">
        <v>15</v>
      </c>
      <c r="I1987" s="18">
        <v>41.7</v>
      </c>
      <c r="J1987" s="19">
        <v>46275.5873080671</v>
      </c>
      <c r="K1987" s="6" t="s">
        <v>4880</v>
      </c>
      <c r="L1987" t="str">
        <f t="shared" si="31"/>
        <v>P.SEXT. R. SOB. ZB 5/16 X100|46276</v>
      </c>
    </row>
    <row r="1988" ht="13.5" customHeight="1" spans="1:12">
      <c r="A1988" s="17">
        <v>46275.6107407407</v>
      </c>
      <c r="B1988" s="6" t="s">
        <v>4876</v>
      </c>
      <c r="C1988" s="6" t="s">
        <v>6093</v>
      </c>
      <c r="D1988" s="6" t="s">
        <v>110</v>
      </c>
      <c r="E1988" s="6" t="s">
        <v>26</v>
      </c>
      <c r="F1988" s="6" t="s">
        <v>4882</v>
      </c>
      <c r="G1988" s="6" t="s">
        <v>29</v>
      </c>
      <c r="H1988" s="6">
        <v>1</v>
      </c>
      <c r="I1988" s="18">
        <v>330</v>
      </c>
      <c r="J1988" s="19">
        <v>46275.6133121181</v>
      </c>
      <c r="K1988" s="6" t="s">
        <v>4880</v>
      </c>
      <c r="L1988" t="str">
        <f t="shared" si="31"/>
        <v>RESERVATORIO DE ÁGUA ACCELO TANQUE EXPANSÃO PARALELA|46276</v>
      </c>
    </row>
    <row r="1989" ht="13.5" customHeight="1" spans="1:12">
      <c r="A1989" s="17">
        <v>46275.6107407407</v>
      </c>
      <c r="B1989" s="6" t="s">
        <v>4876</v>
      </c>
      <c r="C1989" s="6" t="s">
        <v>6093</v>
      </c>
      <c r="D1989" s="6" t="s">
        <v>110</v>
      </c>
      <c r="E1989" s="6" t="s">
        <v>26</v>
      </c>
      <c r="F1989" s="6" t="s">
        <v>4882</v>
      </c>
      <c r="G1989" s="6" t="s">
        <v>383</v>
      </c>
      <c r="H1989" s="6">
        <v>1</v>
      </c>
      <c r="I1989" s="18">
        <v>220</v>
      </c>
      <c r="J1989" s="19">
        <v>46275.6133106829</v>
      </c>
      <c r="K1989" s="6" t="s">
        <v>4880</v>
      </c>
      <c r="L1989" t="str">
        <f t="shared" si="31"/>
        <v>BRAÇO RETROVISOR LD ACCELO MARCA BEPO |46276</v>
      </c>
    </row>
    <row r="1990" ht="13.5" customHeight="1" spans="1:12">
      <c r="A1990" s="17">
        <v>46275.6136805556</v>
      </c>
      <c r="B1990" s="6" t="s">
        <v>4876</v>
      </c>
      <c r="C1990" s="6" t="s">
        <v>6094</v>
      </c>
      <c r="D1990" s="6" t="s">
        <v>4965</v>
      </c>
      <c r="E1990" s="6" t="s">
        <v>26</v>
      </c>
      <c r="F1990" s="6" t="s">
        <v>4882</v>
      </c>
      <c r="G1990" s="6" t="s">
        <v>894</v>
      </c>
      <c r="H1990" s="6">
        <v>9</v>
      </c>
      <c r="I1990" s="18">
        <v>64.71</v>
      </c>
      <c r="J1990" s="19">
        <v>46275.6165032755</v>
      </c>
      <c r="K1990" s="6" t="s">
        <v>4880</v>
      </c>
      <c r="L1990" t="str">
        <f t="shared" si="31"/>
        <v>DIPIRONA SODICA 500MG C/10|46276</v>
      </c>
    </row>
    <row r="1991" ht="13.5" customHeight="1" spans="1:12">
      <c r="A1991" s="17">
        <v>46275.6136805556</v>
      </c>
      <c r="B1991" s="6" t="s">
        <v>4876</v>
      </c>
      <c r="C1991" s="6" t="s">
        <v>6094</v>
      </c>
      <c r="D1991" s="6" t="s">
        <v>4965</v>
      </c>
      <c r="E1991" s="6" t="s">
        <v>26</v>
      </c>
      <c r="F1991" s="6" t="s">
        <v>4882</v>
      </c>
      <c r="G1991" s="6" t="s">
        <v>618</v>
      </c>
      <c r="H1991" s="6">
        <v>3</v>
      </c>
      <c r="I1991" s="18">
        <v>78.69</v>
      </c>
      <c r="J1991" s="19">
        <v>46275.6165020023</v>
      </c>
      <c r="K1991" s="6" t="s">
        <v>4880</v>
      </c>
      <c r="L1991" t="str">
        <f t="shared" si="31"/>
        <v>DORFLEX CAIXA|46276</v>
      </c>
    </row>
    <row r="1992" ht="13.5" customHeight="1" spans="1:12">
      <c r="A1992" s="17">
        <v>46275.6136805556</v>
      </c>
      <c r="B1992" s="6" t="s">
        <v>4876</v>
      </c>
      <c r="C1992" s="6" t="s">
        <v>6094</v>
      </c>
      <c r="D1992" s="6" t="s">
        <v>4965</v>
      </c>
      <c r="E1992" s="6" t="s">
        <v>26</v>
      </c>
      <c r="F1992" s="6" t="s">
        <v>4882</v>
      </c>
      <c r="G1992" s="6" t="s">
        <v>619</v>
      </c>
      <c r="H1992" s="6">
        <v>3</v>
      </c>
      <c r="I1992" s="18">
        <v>116.55</v>
      </c>
      <c r="J1992" s="19">
        <v>46275.6165011227</v>
      </c>
      <c r="K1992" s="6" t="s">
        <v>4880</v>
      </c>
      <c r="L1992" t="str">
        <f t="shared" si="31"/>
        <v>TORSILAX CAIXA|46276</v>
      </c>
    </row>
    <row r="1993" ht="13.5" customHeight="1" spans="1:12">
      <c r="A1993" s="17">
        <v>46276.3743055556</v>
      </c>
      <c r="B1993" s="6" t="s">
        <v>4876</v>
      </c>
      <c r="C1993" s="6" t="s">
        <v>6095</v>
      </c>
      <c r="D1993" s="6" t="s">
        <v>4892</v>
      </c>
      <c r="E1993" s="6" t="s">
        <v>26</v>
      </c>
      <c r="F1993" s="6" t="s">
        <v>4882</v>
      </c>
      <c r="G1993" s="6" t="s">
        <v>899</v>
      </c>
      <c r="H1993" s="6">
        <v>1</v>
      </c>
      <c r="I1993" s="18">
        <v>850</v>
      </c>
      <c r="J1993" s="19">
        <v>46279.3771103357</v>
      </c>
      <c r="K1993" s="6" t="s">
        <v>4880</v>
      </c>
      <c r="L1993" t="str">
        <f t="shared" si="31"/>
        <v>ALAVANCA  DE MACHA SPRINTER 2002/2012 IMPORTADA|46276</v>
      </c>
    </row>
    <row r="1994" ht="13.5" customHeight="1" spans="1:12">
      <c r="A1994" s="17">
        <v>46279.3784722222</v>
      </c>
      <c r="B1994" s="6" t="s">
        <v>4876</v>
      </c>
      <c r="C1994" s="6" t="s">
        <v>6096</v>
      </c>
      <c r="D1994" s="6" t="s">
        <v>6097</v>
      </c>
      <c r="E1994" s="6" t="s">
        <v>414</v>
      </c>
      <c r="F1994" s="6" t="s">
        <v>4879</v>
      </c>
      <c r="G1994" s="6" t="s">
        <v>1694</v>
      </c>
      <c r="H1994" s="6">
        <v>1</v>
      </c>
      <c r="I1994" s="18">
        <v>400</v>
      </c>
      <c r="J1994" s="19">
        <v>46279.3804368403</v>
      </c>
      <c r="K1994" s="6" t="s">
        <v>4880</v>
      </c>
      <c r="L1994" t="str">
        <f t="shared" si="31"/>
        <v>REV RODA DE APOIO RR5000 215X185 X 70 C/ 8 FUROS|46279</v>
      </c>
    </row>
    <row r="1995" ht="13.5" customHeight="1" spans="1:12">
      <c r="A1995" s="17">
        <v>46279.6529398148</v>
      </c>
      <c r="B1995" s="6" t="s">
        <v>4876</v>
      </c>
      <c r="C1995" s="6" t="s">
        <v>6098</v>
      </c>
      <c r="D1995" s="6" t="s">
        <v>5161</v>
      </c>
      <c r="E1995" s="6" t="s">
        <v>26</v>
      </c>
      <c r="F1995" s="6" t="s">
        <v>4882</v>
      </c>
      <c r="G1995" s="6" t="s">
        <v>843</v>
      </c>
      <c r="H1995" s="6">
        <v>1</v>
      </c>
      <c r="I1995" s="18">
        <v>24</v>
      </c>
      <c r="J1995" s="19">
        <v>46279.6543976505</v>
      </c>
      <c r="K1995" s="6" t="s">
        <v>4880</v>
      </c>
      <c r="L1995" t="str">
        <f t="shared" si="31"/>
        <v>CORREIA A-38|46280</v>
      </c>
    </row>
    <row r="1996" ht="13.5" customHeight="1" spans="1:12">
      <c r="A1996" s="17">
        <v>46281.642337963</v>
      </c>
      <c r="B1996" s="6" t="s">
        <v>4876</v>
      </c>
      <c r="C1996" s="6" t="s">
        <v>6099</v>
      </c>
      <c r="D1996" s="6" t="s">
        <v>5895</v>
      </c>
      <c r="E1996" s="6" t="s">
        <v>26</v>
      </c>
      <c r="F1996" s="6" t="s">
        <v>4882</v>
      </c>
      <c r="G1996" s="6" t="s">
        <v>4436</v>
      </c>
      <c r="H1996" s="6">
        <v>5</v>
      </c>
      <c r="I1996" s="18">
        <v>3250</v>
      </c>
      <c r="J1996" s="19">
        <v>46281.6646211806</v>
      </c>
      <c r="K1996" s="6" t="s">
        <v>5449</v>
      </c>
      <c r="L1996" t="str">
        <f t="shared" si="31"/>
        <v>BATERIA HELIAR H100LE|46282</v>
      </c>
    </row>
    <row r="1997" ht="13.5" customHeight="1" spans="1:12">
      <c r="A1997" s="17">
        <v>46282.5756944444</v>
      </c>
      <c r="B1997" s="6" t="s">
        <v>4876</v>
      </c>
      <c r="C1997" s="6" t="s">
        <v>6100</v>
      </c>
      <c r="D1997" s="6" t="s">
        <v>6101</v>
      </c>
      <c r="E1997" s="6" t="s">
        <v>26</v>
      </c>
      <c r="F1997" s="6" t="s">
        <v>4882</v>
      </c>
      <c r="G1997" s="6" t="s">
        <v>3921</v>
      </c>
      <c r="H1997" s="6">
        <v>1</v>
      </c>
      <c r="I1997" s="18">
        <v>2170</v>
      </c>
      <c r="J1997" s="19">
        <v>46283.5833252662</v>
      </c>
      <c r="K1997" s="6" t="s">
        <v>4880</v>
      </c>
      <c r="L1997" t="str">
        <f t="shared" si="31"/>
        <v>CARDAN RENAN C/FRANGE RETIFICADO ACCELO|46283</v>
      </c>
    </row>
    <row r="1998" ht="13.5" customHeight="1" spans="1:12">
      <c r="A1998" s="17">
        <v>46282.5756944444</v>
      </c>
      <c r="B1998" s="6" t="s">
        <v>4876</v>
      </c>
      <c r="C1998" s="6" t="s">
        <v>6100</v>
      </c>
      <c r="D1998" s="6" t="s">
        <v>6101</v>
      </c>
      <c r="E1998" s="6" t="s">
        <v>26</v>
      </c>
      <c r="F1998" s="6" t="s">
        <v>4882</v>
      </c>
      <c r="G1998" s="6" t="s">
        <v>2763</v>
      </c>
      <c r="H1998" s="6">
        <v>1</v>
      </c>
      <c r="I1998" s="18">
        <v>180</v>
      </c>
      <c r="J1998" s="19">
        <v>46283.5833252662</v>
      </c>
      <c r="K1998" s="6" t="s">
        <v>4880</v>
      </c>
      <c r="L1998" t="str">
        <f t="shared" si="31"/>
        <v>KIT DE ALGEMA PARAFUSSOS CRUZETA FLANGE|46283</v>
      </c>
    </row>
    <row r="1999" ht="13.5" customHeight="1" spans="1:12">
      <c r="A1999" s="17">
        <v>46282.5756944444</v>
      </c>
      <c r="B1999" s="6" t="s">
        <v>4876</v>
      </c>
      <c r="C1999" s="6" t="s">
        <v>6100</v>
      </c>
      <c r="D1999" s="6" t="s">
        <v>6101</v>
      </c>
      <c r="E1999" s="6" t="s">
        <v>26</v>
      </c>
      <c r="F1999" s="6" t="s">
        <v>4882</v>
      </c>
      <c r="G1999" s="6" t="s">
        <v>3523</v>
      </c>
      <c r="H1999" s="6">
        <v>1</v>
      </c>
      <c r="I1999" s="18">
        <v>190</v>
      </c>
      <c r="J1999" s="19">
        <v>46283.5833251157</v>
      </c>
      <c r="K1999" s="6" t="s">
        <v>4880</v>
      </c>
      <c r="L1999" t="str">
        <f t="shared" si="31"/>
        <v>CRUZETA TRANSMISSAO ACCELO 815 9MB97902ESO28661|46283</v>
      </c>
    </row>
    <row r="2000" ht="13.5" customHeight="1" spans="1:12">
      <c r="A2000" s="17">
        <v>46282.5756944444</v>
      </c>
      <c r="B2000" s="6" t="s">
        <v>4876</v>
      </c>
      <c r="C2000" s="6" t="s">
        <v>6100</v>
      </c>
      <c r="D2000" s="6" t="s">
        <v>6101</v>
      </c>
      <c r="E2000" s="6" t="s">
        <v>26</v>
      </c>
      <c r="F2000" s="6" t="s">
        <v>4882</v>
      </c>
      <c r="G2000" s="6" t="s">
        <v>4336</v>
      </c>
      <c r="H2000" s="6">
        <v>1</v>
      </c>
      <c r="I2000" s="18">
        <v>1394</v>
      </c>
      <c r="J2000" s="19">
        <v>46283.5833247338</v>
      </c>
      <c r="K2000" s="6" t="s">
        <v>4880</v>
      </c>
      <c r="L2000" t="str">
        <f t="shared" si="31"/>
        <v>BOMBA DIREÇAO HIDRAULICA ACCELO|46283</v>
      </c>
    </row>
    <row r="2001" ht="13.5" customHeight="1" spans="1:12">
      <c r="A2001" s="17">
        <v>46282.5833333333</v>
      </c>
      <c r="B2001" s="6" t="s">
        <v>4876</v>
      </c>
      <c r="C2001" s="6" t="s">
        <v>6102</v>
      </c>
      <c r="D2001" s="6" t="s">
        <v>109</v>
      </c>
      <c r="E2001" s="6" t="s">
        <v>26</v>
      </c>
      <c r="F2001" s="6" t="s">
        <v>4882</v>
      </c>
      <c r="G2001" s="6" t="s">
        <v>829</v>
      </c>
      <c r="H2001" s="6">
        <v>36</v>
      </c>
      <c r="I2001" s="18">
        <v>73.44</v>
      </c>
      <c r="J2001" s="19">
        <v>46283.5887417477</v>
      </c>
      <c r="K2001" s="6" t="s">
        <v>4880</v>
      </c>
      <c r="L2001" t="str">
        <f t="shared" si="31"/>
        <v>SABONETE ESPUMA PRIMAVERA CX (6X800ML)|46283</v>
      </c>
    </row>
    <row r="2002" ht="13.5" customHeight="1" spans="1:12">
      <c r="A2002" s="17">
        <v>46282.5833333333</v>
      </c>
      <c r="B2002" s="6" t="s">
        <v>4876</v>
      </c>
      <c r="C2002" s="6" t="s">
        <v>6102</v>
      </c>
      <c r="D2002" s="6" t="s">
        <v>109</v>
      </c>
      <c r="E2002" s="6" t="s">
        <v>26</v>
      </c>
      <c r="F2002" s="6" t="s">
        <v>4882</v>
      </c>
      <c r="G2002" s="6" t="s">
        <v>37</v>
      </c>
      <c r="H2002" s="6">
        <v>40</v>
      </c>
      <c r="I2002" s="18">
        <v>412.8</v>
      </c>
      <c r="J2002" s="19">
        <v>46283.5887412037</v>
      </c>
      <c r="K2002" s="6" t="s">
        <v>4880</v>
      </c>
      <c r="L2002" t="str">
        <f t="shared" si="31"/>
        <v>PAPEL HIGIENICO ROLAO 8X300|46283</v>
      </c>
    </row>
    <row r="2003" ht="13.5" customHeight="1" spans="1:12">
      <c r="A2003" s="17">
        <v>46282.6382986111</v>
      </c>
      <c r="B2003" s="6" t="s">
        <v>4876</v>
      </c>
      <c r="C2003" s="6" t="s">
        <v>6103</v>
      </c>
      <c r="D2003" s="6" t="s">
        <v>6104</v>
      </c>
      <c r="E2003" s="6" t="s">
        <v>26</v>
      </c>
      <c r="F2003" s="6" t="s">
        <v>4882</v>
      </c>
      <c r="G2003" s="6" t="s">
        <v>4828</v>
      </c>
      <c r="H2003" s="6">
        <v>2</v>
      </c>
      <c r="I2003" s="18">
        <v>3842</v>
      </c>
      <c r="J2003" s="19">
        <v>46282.6444130787</v>
      </c>
      <c r="K2003" s="6" t="s">
        <v>5449</v>
      </c>
      <c r="L2003" t="str">
        <f t="shared" si="31"/>
        <v>275/80R22,5 STM AGS-121760 PNEU 275/80R2|46283</v>
      </c>
    </row>
    <row r="2004" ht="13.5" customHeight="1" spans="1:12">
      <c r="A2004" s="17">
        <v>46282.6546759259</v>
      </c>
      <c r="B2004" s="6" t="s">
        <v>4876</v>
      </c>
      <c r="C2004" s="6" t="s">
        <v>6105</v>
      </c>
      <c r="D2004" s="6" t="s">
        <v>4882</v>
      </c>
      <c r="E2004" s="6" t="s">
        <v>26</v>
      </c>
      <c r="F2004" s="6" t="s">
        <v>4882</v>
      </c>
      <c r="G2004" s="6" t="s">
        <v>904</v>
      </c>
      <c r="H2004" s="6">
        <v>2</v>
      </c>
      <c r="I2004" s="18">
        <v>51.48</v>
      </c>
      <c r="J2004" s="19">
        <v>46282.6580206366</v>
      </c>
      <c r="K2004" s="6" t="s">
        <v>5449</v>
      </c>
      <c r="L2004" t="str">
        <f t="shared" si="31"/>
        <v>LAMPADA H4 24V MARCA WURTH|46283</v>
      </c>
    </row>
    <row r="2005" ht="13.5" customHeight="1" spans="1:12">
      <c r="A2005" s="17">
        <v>46283.5719791667</v>
      </c>
      <c r="B2005" s="6" t="s">
        <v>4876</v>
      </c>
      <c r="C2005" s="6" t="s">
        <v>6106</v>
      </c>
      <c r="D2005" s="6" t="s">
        <v>110</v>
      </c>
      <c r="E2005" s="6" t="s">
        <v>26</v>
      </c>
      <c r="F2005" s="6" t="s">
        <v>4882</v>
      </c>
      <c r="G2005" s="6" t="s">
        <v>170</v>
      </c>
      <c r="H2005" s="6">
        <v>3</v>
      </c>
      <c r="I2005" s="18">
        <v>87</v>
      </c>
      <c r="J2005" s="19">
        <v>46283.5752965625</v>
      </c>
      <c r="K2005" s="6" t="s">
        <v>4880</v>
      </c>
      <c r="L2005" t="str">
        <f t="shared" si="31"/>
        <v>RELE PISCA 24V 4 SAÍDAS|46284</v>
      </c>
    </row>
    <row r="2006" ht="13.5" customHeight="1" spans="1:12">
      <c r="A2006" s="17">
        <v>46283.6702314815</v>
      </c>
      <c r="B2006" s="6" t="s">
        <v>4876</v>
      </c>
      <c r="C2006" s="6" t="s">
        <v>6107</v>
      </c>
      <c r="D2006" s="6" t="s">
        <v>4882</v>
      </c>
      <c r="E2006" s="6" t="s">
        <v>26</v>
      </c>
      <c r="F2006" s="6" t="s">
        <v>4882</v>
      </c>
      <c r="G2006" s="6" t="s">
        <v>66</v>
      </c>
      <c r="H2006" s="6">
        <v>1</v>
      </c>
      <c r="I2006" s="18">
        <v>360</v>
      </c>
      <c r="J2006" s="19">
        <v>46283.6708713773</v>
      </c>
      <c r="K2006" s="6" t="s">
        <v>4880</v>
      </c>
      <c r="L2006" t="str">
        <f t="shared" si="31"/>
        <v>ELEVADOR VIDRO 23B837502 LD|46284</v>
      </c>
    </row>
    <row r="2007" ht="13.5" customHeight="1" spans="1:12">
      <c r="A2007" s="17">
        <v>46283.7012731481</v>
      </c>
      <c r="B2007" s="6" t="s">
        <v>4876</v>
      </c>
      <c r="C2007" s="6" t="s">
        <v>6105</v>
      </c>
      <c r="D2007" s="6" t="s">
        <v>4882</v>
      </c>
      <c r="E2007" s="6" t="s">
        <v>26</v>
      </c>
      <c r="F2007" s="6" t="s">
        <v>4882</v>
      </c>
      <c r="G2007" s="6" t="s">
        <v>2707</v>
      </c>
      <c r="H2007" s="6">
        <v>3</v>
      </c>
      <c r="I2007" s="18">
        <v>0.03</v>
      </c>
      <c r="J2007" s="19">
        <v>46283.7031198727</v>
      </c>
      <c r="K2007" s="6" t="s">
        <v>5449</v>
      </c>
      <c r="L2007" t="str">
        <f t="shared" si="31"/>
        <v>LAMPADA H7 24V MARCA WURTH|46284</v>
      </c>
    </row>
    <row r="2008" ht="13.5" customHeight="1" spans="1:12">
      <c r="A2008" s="17">
        <v>46283.703125</v>
      </c>
      <c r="B2008" s="6" t="s">
        <v>4876</v>
      </c>
      <c r="C2008" s="6" t="s">
        <v>6105</v>
      </c>
      <c r="D2008" s="6" t="s">
        <v>4879</v>
      </c>
      <c r="E2008" s="6" t="s">
        <v>35</v>
      </c>
      <c r="F2008" s="6" t="s">
        <v>4879</v>
      </c>
      <c r="G2008" s="6" t="s">
        <v>2707</v>
      </c>
      <c r="H2008" s="6">
        <v>2</v>
      </c>
      <c r="I2008" s="18">
        <v>0.02</v>
      </c>
      <c r="J2008" s="19">
        <v>46283.7036286227</v>
      </c>
      <c r="K2008" s="6" t="s">
        <v>5449</v>
      </c>
      <c r="L2008" t="str">
        <f t="shared" si="31"/>
        <v>LAMPADA H7 24V MARCA WURTH|46284</v>
      </c>
    </row>
    <row r="2009" ht="13.5" customHeight="1" spans="1:12">
      <c r="A2009" s="17">
        <v>46283.7121296296</v>
      </c>
      <c r="B2009" s="6" t="s">
        <v>4876</v>
      </c>
      <c r="C2009" s="6" t="s">
        <v>6105</v>
      </c>
      <c r="D2009" s="6" t="s">
        <v>4879</v>
      </c>
      <c r="E2009" s="6" t="s">
        <v>35</v>
      </c>
      <c r="F2009" s="6" t="s">
        <v>4879</v>
      </c>
      <c r="G2009" s="6" t="s">
        <v>904</v>
      </c>
      <c r="H2009" s="6">
        <v>1</v>
      </c>
      <c r="I2009" s="18">
        <v>0.01</v>
      </c>
      <c r="J2009" s="19">
        <v>46283.7133205671</v>
      </c>
      <c r="K2009" s="6" t="s">
        <v>5449</v>
      </c>
      <c r="L2009" t="str">
        <f t="shared" si="31"/>
        <v>LAMPADA H4 24V MARCA WURTH|46284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2"/>
  <sheetViews>
    <sheetView workbookViewId="0">
      <pane ySplit="4" topLeftCell="A5" activePane="bottomLeft" state="frozen"/>
      <selection/>
      <selection pane="bottomLeft" activeCell="A6" sqref="A6"/>
    </sheetView>
  </sheetViews>
  <sheetFormatPr defaultColWidth="8.67619047619048" defaultRowHeight="15"/>
  <cols>
    <col min="1" max="1" width="14" customWidth="1"/>
    <col min="2" max="2" width="20" customWidth="1"/>
    <col min="3" max="3" width="14" customWidth="1"/>
    <col min="4" max="4" width="12" customWidth="1"/>
    <col min="5" max="6" width="14" customWidth="1"/>
    <col min="7" max="7" width="12" customWidth="1"/>
    <col min="8" max="8" width="14" customWidth="1"/>
    <col min="10" max="10" width="24" customWidth="1"/>
    <col min="11" max="11" width="16" customWidth="1"/>
  </cols>
  <sheetData>
    <row r="1" ht="17.25" customHeight="1" spans="1:11">
      <c r="A1" s="1" t="s">
        <v>6108</v>
      </c>
      <c r="J1" s="8" t="s">
        <v>6109</v>
      </c>
      <c r="K1" s="8"/>
    </row>
    <row r="2" ht="25.5" customHeight="1" spans="1:11">
      <c r="A2" s="2" t="s">
        <v>6110</v>
      </c>
      <c r="J2" s="9" t="s">
        <v>6111</v>
      </c>
      <c r="K2" s="10">
        <f ca="1">TODAY()</f>
        <v>46288</v>
      </c>
    </row>
    <row r="3" spans="10:11">
      <c r="J3" s="9" t="s">
        <v>914</v>
      </c>
      <c r="K3" s="11">
        <f>Analises_Gerais!B9</f>
        <v>5119194.71732004</v>
      </c>
    </row>
    <row r="4" ht="30" customHeight="1" spans="1:11">
      <c r="A4" s="3" t="s">
        <v>6112</v>
      </c>
      <c r="B4" s="3" t="s">
        <v>914</v>
      </c>
      <c r="C4" s="3" t="s">
        <v>6113</v>
      </c>
      <c r="D4" s="3" t="s">
        <v>6114</v>
      </c>
      <c r="E4" s="3" t="s">
        <v>6115</v>
      </c>
      <c r="F4" s="3" t="s">
        <v>6116</v>
      </c>
      <c r="G4" s="3" t="s">
        <v>6117</v>
      </c>
      <c r="H4" s="3" t="s">
        <v>6118</v>
      </c>
      <c r="J4" s="9" t="s">
        <v>6113</v>
      </c>
      <c r="K4" s="12">
        <f>Analises_Gerais!B4</f>
        <v>5480</v>
      </c>
    </row>
    <row r="5" spans="1:11">
      <c r="A5" s="4">
        <v>46286</v>
      </c>
      <c r="B5" s="5">
        <v>5119194.72</v>
      </c>
      <c r="C5" s="6">
        <v>5480</v>
      </c>
      <c r="D5" s="6">
        <v>4484</v>
      </c>
      <c r="E5" s="6">
        <v>990</v>
      </c>
      <c r="F5" s="6">
        <v>6</v>
      </c>
      <c r="G5" s="6">
        <v>668</v>
      </c>
      <c r="H5" s="6">
        <v>41</v>
      </c>
      <c r="J5" s="9" t="s">
        <v>6114</v>
      </c>
      <c r="K5" s="12">
        <f>Analises_Gerais!B5</f>
        <v>4484</v>
      </c>
    </row>
    <row r="6" spans="1:11">
      <c r="A6" s="7"/>
      <c r="B6" s="7"/>
      <c r="C6" s="7"/>
      <c r="D6" s="7"/>
      <c r="E6" s="7"/>
      <c r="F6" s="7"/>
      <c r="G6" s="7"/>
      <c r="H6" s="7"/>
      <c r="J6" s="9" t="s">
        <v>6115</v>
      </c>
      <c r="K6" s="12">
        <f>Analises_Gerais!B6</f>
        <v>990</v>
      </c>
    </row>
    <row r="7" spans="1:11">
      <c r="A7" s="7"/>
      <c r="B7" s="7"/>
      <c r="C7" s="7"/>
      <c r="D7" s="7"/>
      <c r="E7" s="7"/>
      <c r="F7" s="7"/>
      <c r="G7" s="7"/>
      <c r="H7" s="7"/>
      <c r="J7" s="9" t="s">
        <v>6116</v>
      </c>
      <c r="K7" s="12">
        <f>Analises_Gerais!B7</f>
        <v>6</v>
      </c>
    </row>
    <row r="8" spans="1:11">
      <c r="A8" s="7"/>
      <c r="B8" s="7"/>
      <c r="C8" s="7"/>
      <c r="D8" s="7"/>
      <c r="E8" s="7"/>
      <c r="F8" s="7"/>
      <c r="G8" s="7"/>
      <c r="H8" s="7"/>
      <c r="J8" s="9" t="s">
        <v>6118</v>
      </c>
      <c r="K8" s="12">
        <f>COUNTIFS(Controle_Estoque!E8:E150,"&lt;&gt;",Controle_Estoque!F8:F150,"&lt;&gt;")</f>
        <v>41</v>
      </c>
    </row>
    <row r="9" spans="1:8">
      <c r="A9" s="7"/>
      <c r="B9" s="7"/>
      <c r="C9" s="7"/>
      <c r="D9" s="7"/>
      <c r="E9" s="7"/>
      <c r="F9" s="7"/>
      <c r="G9" s="7"/>
      <c r="H9" s="7"/>
    </row>
    <row r="10" customHeight="1" spans="1:11">
      <c r="A10" s="7"/>
      <c r="B10" s="7"/>
      <c r="C10" s="7"/>
      <c r="D10" s="7"/>
      <c r="E10" s="7"/>
      <c r="F10" s="7"/>
      <c r="G10" s="7"/>
      <c r="H10" s="7"/>
      <c r="J10" s="13" t="s">
        <v>6119</v>
      </c>
      <c r="K10" s="13"/>
    </row>
    <row r="11" spans="1:11">
      <c r="A11" s="7"/>
      <c r="B11" s="7"/>
      <c r="C11" s="7"/>
      <c r="D11" s="7"/>
      <c r="E11" s="7"/>
      <c r="F11" s="7"/>
      <c r="G11" s="7"/>
      <c r="H11" s="7"/>
      <c r="J11" s="13"/>
      <c r="K11" s="13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7"/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spans="1:8">
      <c r="A85" s="7"/>
      <c r="B85" s="7"/>
      <c r="C85" s="7"/>
      <c r="D85" s="7"/>
      <c r="E85" s="7"/>
      <c r="F85" s="7"/>
      <c r="G85" s="7"/>
      <c r="H85" s="7"/>
    </row>
    <row r="86" spans="1:8">
      <c r="A86" s="7"/>
      <c r="B86" s="7"/>
      <c r="C86" s="7"/>
      <c r="D86" s="7"/>
      <c r="E86" s="7"/>
      <c r="F86" s="7"/>
      <c r="G86" s="7"/>
      <c r="H86" s="7"/>
    </row>
    <row r="87" spans="1:8">
      <c r="A87" s="7"/>
      <c r="B87" s="7"/>
      <c r="C87" s="7"/>
      <c r="D87" s="7"/>
      <c r="E87" s="7"/>
      <c r="F87" s="7"/>
      <c r="G87" s="7"/>
      <c r="H87" s="7"/>
    </row>
    <row r="88" spans="1:8">
      <c r="A88" s="7"/>
      <c r="B88" s="7"/>
      <c r="C88" s="7"/>
      <c r="D88" s="7"/>
      <c r="E88" s="7"/>
      <c r="F88" s="7"/>
      <c r="G88" s="7"/>
      <c r="H88" s="7"/>
    </row>
    <row r="89" spans="1:8">
      <c r="A89" s="7"/>
      <c r="B89" s="7"/>
      <c r="C89" s="7"/>
      <c r="D89" s="7"/>
      <c r="E89" s="7"/>
      <c r="F89" s="7"/>
      <c r="G89" s="7"/>
      <c r="H89" s="7"/>
    </row>
    <row r="90" spans="1:8">
      <c r="A90" s="7"/>
      <c r="B90" s="7"/>
      <c r="C90" s="7"/>
      <c r="D90" s="7"/>
      <c r="E90" s="7"/>
      <c r="F90" s="7"/>
      <c r="G90" s="7"/>
      <c r="H90" s="7"/>
    </row>
    <row r="91" spans="1:8">
      <c r="A91" s="7"/>
      <c r="B91" s="7"/>
      <c r="C91" s="7"/>
      <c r="D91" s="7"/>
      <c r="E91" s="7"/>
      <c r="F91" s="7"/>
      <c r="G91" s="7"/>
      <c r="H91" s="7"/>
    </row>
    <row r="92" spans="1:8">
      <c r="A92" s="7"/>
      <c r="B92" s="7"/>
      <c r="C92" s="7"/>
      <c r="D92" s="7"/>
      <c r="E92" s="7"/>
      <c r="F92" s="7"/>
      <c r="G92" s="7"/>
      <c r="H92" s="7"/>
    </row>
    <row r="93" spans="1:8">
      <c r="A93" s="7"/>
      <c r="B93" s="7"/>
      <c r="C93" s="7"/>
      <c r="D93" s="7"/>
      <c r="E93" s="7"/>
      <c r="F93" s="7"/>
      <c r="G93" s="7"/>
      <c r="H93" s="7"/>
    </row>
    <row r="94" spans="1:8">
      <c r="A94" s="7"/>
      <c r="B94" s="7"/>
      <c r="C94" s="7"/>
      <c r="D94" s="7"/>
      <c r="E94" s="7"/>
      <c r="F94" s="7"/>
      <c r="G94" s="7"/>
      <c r="H94" s="7"/>
    </row>
    <row r="95" spans="1:8">
      <c r="A95" s="7"/>
      <c r="B95" s="7"/>
      <c r="C95" s="7"/>
      <c r="D95" s="7"/>
      <c r="E95" s="7"/>
      <c r="F95" s="7"/>
      <c r="G95" s="7"/>
      <c r="H95" s="7"/>
    </row>
    <row r="96" spans="1:8">
      <c r="A96" s="7"/>
      <c r="B96" s="7"/>
      <c r="C96" s="7"/>
      <c r="D96" s="7"/>
      <c r="E96" s="7"/>
      <c r="F96" s="7"/>
      <c r="G96" s="7"/>
      <c r="H96" s="7"/>
    </row>
    <row r="97" spans="1:8">
      <c r="A97" s="7"/>
      <c r="B97" s="7"/>
      <c r="C97" s="7"/>
      <c r="D97" s="7"/>
      <c r="E97" s="7"/>
      <c r="F97" s="7"/>
      <c r="G97" s="7"/>
      <c r="H97" s="7"/>
    </row>
    <row r="98" spans="1:8">
      <c r="A98" s="7"/>
      <c r="B98" s="7"/>
      <c r="C98" s="7"/>
      <c r="D98" s="7"/>
      <c r="E98" s="7"/>
      <c r="F98" s="7"/>
      <c r="G98" s="7"/>
      <c r="H98" s="7"/>
    </row>
    <row r="99" spans="1:8">
      <c r="A99" s="7"/>
      <c r="B99" s="7"/>
      <c r="C99" s="7"/>
      <c r="D99" s="7"/>
      <c r="E99" s="7"/>
      <c r="F99" s="7"/>
      <c r="G99" s="7"/>
      <c r="H99" s="7"/>
    </row>
    <row r="100" spans="1:8">
      <c r="A100" s="7"/>
      <c r="B100" s="7"/>
      <c r="C100" s="7"/>
      <c r="D100" s="7"/>
      <c r="E100" s="7"/>
      <c r="F100" s="7"/>
      <c r="G100" s="7"/>
      <c r="H100" s="7"/>
    </row>
    <row r="101" spans="1:8">
      <c r="A101" s="7"/>
      <c r="B101" s="7"/>
      <c r="C101" s="7"/>
      <c r="D101" s="7"/>
      <c r="E101" s="7"/>
      <c r="F101" s="7"/>
      <c r="G101" s="7"/>
      <c r="H101" s="7"/>
    </row>
    <row r="102" spans="1:8">
      <c r="A102" s="7"/>
      <c r="B102" s="7"/>
      <c r="C102" s="7"/>
      <c r="D102" s="7"/>
      <c r="E102" s="7"/>
      <c r="F102" s="7"/>
      <c r="G102" s="7"/>
      <c r="H102" s="7"/>
    </row>
    <row r="103" spans="1:8">
      <c r="A103" s="7"/>
      <c r="B103" s="7"/>
      <c r="C103" s="7"/>
      <c r="D103" s="7"/>
      <c r="E103" s="7"/>
      <c r="F103" s="7"/>
      <c r="G103" s="7"/>
      <c r="H103" s="7"/>
    </row>
    <row r="104" spans="1:8">
      <c r="A104" s="7"/>
      <c r="B104" s="7"/>
      <c r="C104" s="7"/>
      <c r="D104" s="7"/>
      <c r="E104" s="7"/>
      <c r="F104" s="7"/>
      <c r="G104" s="7"/>
      <c r="H104" s="7"/>
    </row>
    <row r="105" spans="1:8">
      <c r="A105" s="7"/>
      <c r="B105" s="7"/>
      <c r="C105" s="7"/>
      <c r="D105" s="7"/>
      <c r="E105" s="7"/>
      <c r="F105" s="7"/>
      <c r="G105" s="7"/>
      <c r="H105" s="7"/>
    </row>
    <row r="106" spans="1:8">
      <c r="A106" s="7"/>
      <c r="B106" s="7"/>
      <c r="C106" s="7"/>
      <c r="D106" s="7"/>
      <c r="E106" s="7"/>
      <c r="F106" s="7"/>
      <c r="G106" s="7"/>
      <c r="H106" s="7"/>
    </row>
    <row r="107" spans="1:8">
      <c r="A107" s="7"/>
      <c r="B107" s="7"/>
      <c r="C107" s="7"/>
      <c r="D107" s="7"/>
      <c r="E107" s="7"/>
      <c r="F107" s="7"/>
      <c r="G107" s="7"/>
      <c r="H107" s="7"/>
    </row>
    <row r="108" spans="1:8">
      <c r="A108" s="7"/>
      <c r="B108" s="7"/>
      <c r="C108" s="7"/>
      <c r="D108" s="7"/>
      <c r="E108" s="7"/>
      <c r="F108" s="7"/>
      <c r="G108" s="7"/>
      <c r="H108" s="7"/>
    </row>
    <row r="109" spans="1:8">
      <c r="A109" s="7"/>
      <c r="B109" s="7"/>
      <c r="C109" s="7"/>
      <c r="D109" s="7"/>
      <c r="E109" s="7"/>
      <c r="F109" s="7"/>
      <c r="G109" s="7"/>
      <c r="H109" s="7"/>
    </row>
    <row r="110" spans="1:8">
      <c r="A110" s="7"/>
      <c r="B110" s="7"/>
      <c r="C110" s="7"/>
      <c r="D110" s="7"/>
      <c r="E110" s="7"/>
      <c r="F110" s="7"/>
      <c r="G110" s="7"/>
      <c r="H110" s="7"/>
    </row>
    <row r="111" spans="1:8">
      <c r="A111" s="7"/>
      <c r="B111" s="7"/>
      <c r="C111" s="7"/>
      <c r="D111" s="7"/>
      <c r="E111" s="7"/>
      <c r="F111" s="7"/>
      <c r="G111" s="7"/>
      <c r="H111" s="7"/>
    </row>
    <row r="112" spans="1:8">
      <c r="A112" s="7"/>
      <c r="B112" s="7"/>
      <c r="C112" s="7"/>
      <c r="D112" s="7"/>
      <c r="E112" s="7"/>
      <c r="F112" s="7"/>
      <c r="G112" s="7"/>
      <c r="H112" s="7"/>
    </row>
    <row r="113" spans="1:8">
      <c r="A113" s="7"/>
      <c r="B113" s="7"/>
      <c r="C113" s="7"/>
      <c r="D113" s="7"/>
      <c r="E113" s="7"/>
      <c r="F113" s="7"/>
      <c r="G113" s="7"/>
      <c r="H113" s="7"/>
    </row>
    <row r="114" spans="1:8">
      <c r="A114" s="7"/>
      <c r="B114" s="7"/>
      <c r="C114" s="7"/>
      <c r="D114" s="7"/>
      <c r="E114" s="7"/>
      <c r="F114" s="7"/>
      <c r="G114" s="7"/>
      <c r="H114" s="7"/>
    </row>
    <row r="115" spans="1:8">
      <c r="A115" s="7"/>
      <c r="B115" s="7"/>
      <c r="C115" s="7"/>
      <c r="D115" s="7"/>
      <c r="E115" s="7"/>
      <c r="F115" s="7"/>
      <c r="G115" s="7"/>
      <c r="H115" s="7"/>
    </row>
    <row r="116" spans="1:8">
      <c r="A116" s="7"/>
      <c r="B116" s="7"/>
      <c r="C116" s="7"/>
      <c r="D116" s="7"/>
      <c r="E116" s="7"/>
      <c r="F116" s="7"/>
      <c r="G116" s="7"/>
      <c r="H116" s="7"/>
    </row>
    <row r="117" spans="1:8">
      <c r="A117" s="7"/>
      <c r="B117" s="7"/>
      <c r="C117" s="7"/>
      <c r="D117" s="7"/>
      <c r="E117" s="7"/>
      <c r="F117" s="7"/>
      <c r="G117" s="7"/>
      <c r="H117" s="7"/>
    </row>
    <row r="118" spans="1:8">
      <c r="A118" s="7"/>
      <c r="B118" s="7"/>
      <c r="C118" s="7"/>
      <c r="D118" s="7"/>
      <c r="E118" s="7"/>
      <c r="F118" s="7"/>
      <c r="G118" s="7"/>
      <c r="H118" s="7"/>
    </row>
    <row r="119" spans="1:8">
      <c r="A119" s="7"/>
      <c r="B119" s="7"/>
      <c r="C119" s="7"/>
      <c r="D119" s="7"/>
      <c r="E119" s="7"/>
      <c r="F119" s="7"/>
      <c r="G119" s="7"/>
      <c r="H119" s="7"/>
    </row>
    <row r="120" spans="1:8">
      <c r="A120" s="7"/>
      <c r="B120" s="7"/>
      <c r="C120" s="7"/>
      <c r="D120" s="7"/>
      <c r="E120" s="7"/>
      <c r="F120" s="7"/>
      <c r="G120" s="7"/>
      <c r="H120" s="7"/>
    </row>
    <row r="121" spans="1:8">
      <c r="A121" s="7"/>
      <c r="B121" s="7"/>
      <c r="C121" s="7"/>
      <c r="D121" s="7"/>
      <c r="E121" s="7"/>
      <c r="F121" s="7"/>
      <c r="G121" s="7"/>
      <c r="H121" s="7"/>
    </row>
    <row r="122" spans="1:8">
      <c r="A122" s="7"/>
      <c r="B122" s="7"/>
      <c r="C122" s="7"/>
      <c r="D122" s="7"/>
      <c r="E122" s="7"/>
      <c r="F122" s="7"/>
      <c r="G122" s="7"/>
      <c r="H122" s="7"/>
    </row>
    <row r="123" spans="1:8">
      <c r="A123" s="7"/>
      <c r="B123" s="7"/>
      <c r="C123" s="7"/>
      <c r="D123" s="7"/>
      <c r="E123" s="7"/>
      <c r="F123" s="7"/>
      <c r="G123" s="7"/>
      <c r="H123" s="7"/>
    </row>
    <row r="124" spans="1:8">
      <c r="A124" s="7"/>
      <c r="B124" s="7"/>
      <c r="C124" s="7"/>
      <c r="D124" s="7"/>
      <c r="E124" s="7"/>
      <c r="F124" s="7"/>
      <c r="G124" s="7"/>
      <c r="H124" s="7"/>
    </row>
    <row r="125" spans="1:8">
      <c r="A125" s="7"/>
      <c r="B125" s="7"/>
      <c r="C125" s="7"/>
      <c r="D125" s="7"/>
      <c r="E125" s="7"/>
      <c r="F125" s="7"/>
      <c r="G125" s="7"/>
      <c r="H125" s="7"/>
    </row>
    <row r="126" spans="1:8">
      <c r="A126" s="7"/>
      <c r="B126" s="7"/>
      <c r="C126" s="7"/>
      <c r="D126" s="7"/>
      <c r="E126" s="7"/>
      <c r="F126" s="7"/>
      <c r="G126" s="7"/>
      <c r="H126" s="7"/>
    </row>
    <row r="127" spans="1:8">
      <c r="A127" s="7"/>
      <c r="B127" s="7"/>
      <c r="C127" s="7"/>
      <c r="D127" s="7"/>
      <c r="E127" s="7"/>
      <c r="F127" s="7"/>
      <c r="G127" s="7"/>
      <c r="H127" s="7"/>
    </row>
    <row r="128" spans="1:8">
      <c r="A128" s="7"/>
      <c r="B128" s="7"/>
      <c r="C128" s="7"/>
      <c r="D128" s="7"/>
      <c r="E128" s="7"/>
      <c r="F128" s="7"/>
      <c r="G128" s="7"/>
      <c r="H128" s="7"/>
    </row>
    <row r="129" spans="1:8">
      <c r="A129" s="7"/>
      <c r="B129" s="7"/>
      <c r="C129" s="7"/>
      <c r="D129" s="7"/>
      <c r="E129" s="7"/>
      <c r="F129" s="7"/>
      <c r="G129" s="7"/>
      <c r="H129" s="7"/>
    </row>
    <row r="130" spans="1:8">
      <c r="A130" s="7"/>
      <c r="B130" s="7"/>
      <c r="C130" s="7"/>
      <c r="D130" s="7"/>
      <c r="E130" s="7"/>
      <c r="F130" s="7"/>
      <c r="G130" s="7"/>
      <c r="H130" s="7"/>
    </row>
    <row r="131" spans="1:8">
      <c r="A131" s="7"/>
      <c r="B131" s="7"/>
      <c r="C131" s="7"/>
      <c r="D131" s="7"/>
      <c r="E131" s="7"/>
      <c r="F131" s="7"/>
      <c r="G131" s="7"/>
      <c r="H131" s="7"/>
    </row>
    <row r="132" spans="1:8">
      <c r="A132" s="7"/>
      <c r="B132" s="7"/>
      <c r="C132" s="7"/>
      <c r="D132" s="7"/>
      <c r="E132" s="7"/>
      <c r="F132" s="7"/>
      <c r="G132" s="7"/>
      <c r="H132" s="7"/>
    </row>
    <row r="133" spans="1:8">
      <c r="A133" s="7"/>
      <c r="B133" s="7"/>
      <c r="C133" s="7"/>
      <c r="D133" s="7"/>
      <c r="E133" s="7"/>
      <c r="F133" s="7"/>
      <c r="G133" s="7"/>
      <c r="H133" s="7"/>
    </row>
    <row r="134" spans="1:8">
      <c r="A134" s="7"/>
      <c r="B134" s="7"/>
      <c r="C134" s="7"/>
      <c r="D134" s="7"/>
      <c r="E134" s="7"/>
      <c r="F134" s="7"/>
      <c r="G134" s="7"/>
      <c r="H134" s="7"/>
    </row>
    <row r="135" spans="1:8">
      <c r="A135" s="7"/>
      <c r="B135" s="7"/>
      <c r="C135" s="7"/>
      <c r="D135" s="7"/>
      <c r="E135" s="7"/>
      <c r="F135" s="7"/>
      <c r="G135" s="7"/>
      <c r="H135" s="7"/>
    </row>
    <row r="136" spans="1:8">
      <c r="A136" s="7"/>
      <c r="B136" s="7"/>
      <c r="C136" s="7"/>
      <c r="D136" s="7"/>
      <c r="E136" s="7"/>
      <c r="F136" s="7"/>
      <c r="G136" s="7"/>
      <c r="H136" s="7"/>
    </row>
    <row r="137" spans="1:8">
      <c r="A137" s="7"/>
      <c r="B137" s="7"/>
      <c r="C137" s="7"/>
      <c r="D137" s="7"/>
      <c r="E137" s="7"/>
      <c r="F137" s="7"/>
      <c r="G137" s="7"/>
      <c r="H137" s="7"/>
    </row>
    <row r="138" spans="1:8">
      <c r="A138" s="7"/>
      <c r="B138" s="7"/>
      <c r="C138" s="7"/>
      <c r="D138" s="7"/>
      <c r="E138" s="7"/>
      <c r="F138" s="7"/>
      <c r="G138" s="7"/>
      <c r="H138" s="7"/>
    </row>
    <row r="139" spans="1:8">
      <c r="A139" s="7"/>
      <c r="B139" s="7"/>
      <c r="C139" s="7"/>
      <c r="D139" s="7"/>
      <c r="E139" s="7"/>
      <c r="F139" s="7"/>
      <c r="G139" s="7"/>
      <c r="H139" s="7"/>
    </row>
    <row r="140" spans="1:8">
      <c r="A140" s="7"/>
      <c r="B140" s="7"/>
      <c r="C140" s="7"/>
      <c r="D140" s="7"/>
      <c r="E140" s="7"/>
      <c r="F140" s="7"/>
      <c r="G140" s="7"/>
      <c r="H140" s="7"/>
    </row>
    <row r="141" spans="1:8">
      <c r="A141" s="7"/>
      <c r="B141" s="7"/>
      <c r="C141" s="7"/>
      <c r="D141" s="7"/>
      <c r="E141" s="7"/>
      <c r="F141" s="7"/>
      <c r="G141" s="7"/>
      <c r="H141" s="7"/>
    </row>
    <row r="142" spans="1:8">
      <c r="A142" s="7"/>
      <c r="B142" s="7"/>
      <c r="C142" s="7"/>
      <c r="D142" s="7"/>
      <c r="E142" s="7"/>
      <c r="F142" s="7"/>
      <c r="G142" s="7"/>
      <c r="H142" s="7"/>
    </row>
    <row r="143" spans="1:8">
      <c r="A143" s="7"/>
      <c r="B143" s="7"/>
      <c r="C143" s="7"/>
      <c r="D143" s="7"/>
      <c r="E143" s="7"/>
      <c r="F143" s="7"/>
      <c r="G143" s="7"/>
      <c r="H143" s="7"/>
    </row>
    <row r="144" spans="1:8">
      <c r="A144" s="7"/>
      <c r="B144" s="7"/>
      <c r="C144" s="7"/>
      <c r="D144" s="7"/>
      <c r="E144" s="7"/>
      <c r="F144" s="7"/>
      <c r="G144" s="7"/>
      <c r="H144" s="7"/>
    </row>
    <row r="145" spans="1:8">
      <c r="A145" s="7"/>
      <c r="B145" s="7"/>
      <c r="C145" s="7"/>
      <c r="D145" s="7"/>
      <c r="E145" s="7"/>
      <c r="F145" s="7"/>
      <c r="G145" s="7"/>
      <c r="H145" s="7"/>
    </row>
    <row r="146" spans="1:8">
      <c r="A146" s="7"/>
      <c r="B146" s="7"/>
      <c r="C146" s="7"/>
      <c r="D146" s="7"/>
      <c r="E146" s="7"/>
      <c r="F146" s="7"/>
      <c r="G146" s="7"/>
      <c r="H146" s="7"/>
    </row>
    <row r="147" spans="1:8">
      <c r="A147" s="7"/>
      <c r="B147" s="7"/>
      <c r="C147" s="7"/>
      <c r="D147" s="7"/>
      <c r="E147" s="7"/>
      <c r="F147" s="7"/>
      <c r="G147" s="7"/>
      <c r="H147" s="7"/>
    </row>
    <row r="148" spans="1:8">
      <c r="A148" s="7"/>
      <c r="B148" s="7"/>
      <c r="C148" s="7"/>
      <c r="D148" s="7"/>
      <c r="E148" s="7"/>
      <c r="F148" s="7"/>
      <c r="G148" s="7"/>
      <c r="H148" s="7"/>
    </row>
    <row r="149" spans="1:8">
      <c r="A149" s="7"/>
      <c r="B149" s="7"/>
      <c r="C149" s="7"/>
      <c r="D149" s="7"/>
      <c r="E149" s="7"/>
      <c r="F149" s="7"/>
      <c r="G149" s="7"/>
      <c r="H149" s="7"/>
    </row>
    <row r="150" spans="1:8">
      <c r="A150" s="7"/>
      <c r="B150" s="7"/>
      <c r="C150" s="7"/>
      <c r="D150" s="7"/>
      <c r="E150" s="7"/>
      <c r="F150" s="7"/>
      <c r="G150" s="7"/>
      <c r="H150" s="7"/>
    </row>
    <row r="151" spans="1:8">
      <c r="A151" s="7"/>
      <c r="B151" s="7"/>
      <c r="C151" s="7"/>
      <c r="D151" s="7"/>
      <c r="E151" s="7"/>
      <c r="F151" s="7"/>
      <c r="G151" s="7"/>
      <c r="H151" s="7"/>
    </row>
    <row r="152" spans="1:8">
      <c r="A152" s="7"/>
      <c r="B152" s="7"/>
      <c r="C152" s="7"/>
      <c r="D152" s="7"/>
      <c r="E152" s="7"/>
      <c r="F152" s="7"/>
      <c r="G152" s="7"/>
      <c r="H152" s="7"/>
    </row>
    <row r="153" spans="1:8">
      <c r="A153" s="7"/>
      <c r="B153" s="7"/>
      <c r="C153" s="7"/>
      <c r="D153" s="7"/>
      <c r="E153" s="7"/>
      <c r="F153" s="7"/>
      <c r="G153" s="7"/>
      <c r="H153" s="7"/>
    </row>
    <row r="154" spans="1:8">
      <c r="A154" s="7"/>
      <c r="B154" s="7"/>
      <c r="C154" s="7"/>
      <c r="D154" s="7"/>
      <c r="E154" s="7"/>
      <c r="F154" s="7"/>
      <c r="G154" s="7"/>
      <c r="H154" s="7"/>
    </row>
    <row r="155" spans="1:8">
      <c r="A155" s="7"/>
      <c r="B155" s="7"/>
      <c r="C155" s="7"/>
      <c r="D155" s="7"/>
      <c r="E155" s="7"/>
      <c r="F155" s="7"/>
      <c r="G155" s="7"/>
      <c r="H155" s="7"/>
    </row>
    <row r="156" spans="1:8">
      <c r="A156" s="7"/>
      <c r="B156" s="7"/>
      <c r="C156" s="7"/>
      <c r="D156" s="7"/>
      <c r="E156" s="7"/>
      <c r="F156" s="7"/>
      <c r="G156" s="7"/>
      <c r="H156" s="7"/>
    </row>
    <row r="157" spans="1:8">
      <c r="A157" s="7"/>
      <c r="B157" s="7"/>
      <c r="C157" s="7"/>
      <c r="D157" s="7"/>
      <c r="E157" s="7"/>
      <c r="F157" s="7"/>
      <c r="G157" s="7"/>
      <c r="H157" s="7"/>
    </row>
    <row r="158" spans="1:8">
      <c r="A158" s="7"/>
      <c r="B158" s="7"/>
      <c r="C158" s="7"/>
      <c r="D158" s="7"/>
      <c r="E158" s="7"/>
      <c r="F158" s="7"/>
      <c r="G158" s="7"/>
      <c r="H158" s="7"/>
    </row>
    <row r="159" spans="1:8">
      <c r="A159" s="7"/>
      <c r="B159" s="7"/>
      <c r="C159" s="7"/>
      <c r="D159" s="7"/>
      <c r="E159" s="7"/>
      <c r="F159" s="7"/>
      <c r="G159" s="7"/>
      <c r="H159" s="7"/>
    </row>
    <row r="160" spans="1:8">
      <c r="A160" s="7"/>
      <c r="B160" s="7"/>
      <c r="C160" s="7"/>
      <c r="D160" s="7"/>
      <c r="E160" s="7"/>
      <c r="F160" s="7"/>
      <c r="G160" s="7"/>
      <c r="H160" s="7"/>
    </row>
    <row r="161" spans="1:8">
      <c r="A161" s="7"/>
      <c r="B161" s="7"/>
      <c r="C161" s="7"/>
      <c r="D161" s="7"/>
      <c r="E161" s="7"/>
      <c r="F161" s="7"/>
      <c r="G161" s="7"/>
      <c r="H161" s="7"/>
    </row>
    <row r="162" spans="1:8">
      <c r="A162" s="7"/>
      <c r="B162" s="7"/>
      <c r="C162" s="7"/>
      <c r="D162" s="7"/>
      <c r="E162" s="7"/>
      <c r="F162" s="7"/>
      <c r="G162" s="7"/>
      <c r="H162" s="7"/>
    </row>
    <row r="163" spans="1:8">
      <c r="A163" s="7"/>
      <c r="B163" s="7"/>
      <c r="C163" s="7"/>
      <c r="D163" s="7"/>
      <c r="E163" s="7"/>
      <c r="F163" s="7"/>
      <c r="G163" s="7"/>
      <c r="H163" s="7"/>
    </row>
    <row r="164" spans="1:8">
      <c r="A164" s="7"/>
      <c r="B164" s="7"/>
      <c r="C164" s="7"/>
      <c r="D164" s="7"/>
      <c r="E164" s="7"/>
      <c r="F164" s="7"/>
      <c r="G164" s="7"/>
      <c r="H164" s="7"/>
    </row>
    <row r="165" spans="1:8">
      <c r="A165" s="7"/>
      <c r="B165" s="7"/>
      <c r="C165" s="7"/>
      <c r="D165" s="7"/>
      <c r="E165" s="7"/>
      <c r="F165" s="7"/>
      <c r="G165" s="7"/>
      <c r="H165" s="7"/>
    </row>
    <row r="166" spans="1:8">
      <c r="A166" s="7"/>
      <c r="B166" s="7"/>
      <c r="C166" s="7"/>
      <c r="D166" s="7"/>
      <c r="E166" s="7"/>
      <c r="F166" s="7"/>
      <c r="G166" s="7"/>
      <c r="H166" s="7"/>
    </row>
    <row r="167" spans="1:8">
      <c r="A167" s="7"/>
      <c r="B167" s="7"/>
      <c r="C167" s="7"/>
      <c r="D167" s="7"/>
      <c r="E167" s="7"/>
      <c r="F167" s="7"/>
      <c r="G167" s="7"/>
      <c r="H167" s="7"/>
    </row>
    <row r="168" spans="1:8">
      <c r="A168" s="7"/>
      <c r="B168" s="7"/>
      <c r="C168" s="7"/>
      <c r="D168" s="7"/>
      <c r="E168" s="7"/>
      <c r="F168" s="7"/>
      <c r="G168" s="7"/>
      <c r="H168" s="7"/>
    </row>
    <row r="169" spans="1:8">
      <c r="A169" s="7"/>
      <c r="B169" s="7"/>
      <c r="C169" s="7"/>
      <c r="D169" s="7"/>
      <c r="E169" s="7"/>
      <c r="F169" s="7"/>
      <c r="G169" s="7"/>
      <c r="H169" s="7"/>
    </row>
    <row r="170" spans="1:8">
      <c r="A170" s="7"/>
      <c r="B170" s="7"/>
      <c r="C170" s="7"/>
      <c r="D170" s="7"/>
      <c r="E170" s="7"/>
      <c r="F170" s="7"/>
      <c r="G170" s="7"/>
      <c r="H170" s="7"/>
    </row>
    <row r="171" spans="1:8">
      <c r="A171" s="7"/>
      <c r="B171" s="7"/>
      <c r="C171" s="7"/>
      <c r="D171" s="7"/>
      <c r="E171" s="7"/>
      <c r="F171" s="7"/>
      <c r="G171" s="7"/>
      <c r="H171" s="7"/>
    </row>
    <row r="172" spans="1:8">
      <c r="A172" s="7"/>
      <c r="B172" s="7"/>
      <c r="C172" s="7"/>
      <c r="D172" s="7"/>
      <c r="E172" s="7"/>
      <c r="F172" s="7"/>
      <c r="G172" s="7"/>
      <c r="H172" s="7"/>
    </row>
    <row r="173" spans="1:8">
      <c r="A173" s="7"/>
      <c r="B173" s="7"/>
      <c r="C173" s="7"/>
      <c r="D173" s="7"/>
      <c r="E173" s="7"/>
      <c r="F173" s="7"/>
      <c r="G173" s="7"/>
      <c r="H173" s="7"/>
    </row>
    <row r="174" spans="1:8">
      <c r="A174" s="7"/>
      <c r="B174" s="7"/>
      <c r="C174" s="7"/>
      <c r="D174" s="7"/>
      <c r="E174" s="7"/>
      <c r="F174" s="7"/>
      <c r="G174" s="7"/>
      <c r="H174" s="7"/>
    </row>
    <row r="175" spans="1:8">
      <c r="A175" s="7"/>
      <c r="B175" s="7"/>
      <c r="C175" s="7"/>
      <c r="D175" s="7"/>
      <c r="E175" s="7"/>
      <c r="F175" s="7"/>
      <c r="G175" s="7"/>
      <c r="H175" s="7"/>
    </row>
    <row r="176" spans="1:8">
      <c r="A176" s="7"/>
      <c r="B176" s="7"/>
      <c r="C176" s="7"/>
      <c r="D176" s="7"/>
      <c r="E176" s="7"/>
      <c r="F176" s="7"/>
      <c r="G176" s="7"/>
      <c r="H176" s="7"/>
    </row>
    <row r="177" spans="1:8">
      <c r="A177" s="7"/>
      <c r="B177" s="7"/>
      <c r="C177" s="7"/>
      <c r="D177" s="7"/>
      <c r="E177" s="7"/>
      <c r="F177" s="7"/>
      <c r="G177" s="7"/>
      <c r="H177" s="7"/>
    </row>
    <row r="178" spans="1:8">
      <c r="A178" s="7"/>
      <c r="B178" s="7"/>
      <c r="C178" s="7"/>
      <c r="D178" s="7"/>
      <c r="E178" s="7"/>
      <c r="F178" s="7"/>
      <c r="G178" s="7"/>
      <c r="H178" s="7"/>
    </row>
    <row r="179" spans="1:8">
      <c r="A179" s="7"/>
      <c r="B179" s="7"/>
      <c r="C179" s="7"/>
      <c r="D179" s="7"/>
      <c r="E179" s="7"/>
      <c r="F179" s="7"/>
      <c r="G179" s="7"/>
      <c r="H179" s="7"/>
    </row>
    <row r="180" spans="1:8">
      <c r="A180" s="7"/>
      <c r="B180" s="7"/>
      <c r="C180" s="7"/>
      <c r="D180" s="7"/>
      <c r="E180" s="7"/>
      <c r="F180" s="7"/>
      <c r="G180" s="7"/>
      <c r="H180" s="7"/>
    </row>
    <row r="181" spans="1:8">
      <c r="A181" s="7"/>
      <c r="B181" s="7"/>
      <c r="C181" s="7"/>
      <c r="D181" s="7"/>
      <c r="E181" s="7"/>
      <c r="F181" s="7"/>
      <c r="G181" s="7"/>
      <c r="H181" s="7"/>
    </row>
    <row r="182" spans="1:8">
      <c r="A182" s="7"/>
      <c r="B182" s="7"/>
      <c r="C182" s="7"/>
      <c r="D182" s="7"/>
      <c r="E182" s="7"/>
      <c r="F182" s="7"/>
      <c r="G182" s="7"/>
      <c r="H182" s="7"/>
    </row>
    <row r="183" spans="1:8">
      <c r="A183" s="7"/>
      <c r="B183" s="7"/>
      <c r="C183" s="7"/>
      <c r="D183" s="7"/>
      <c r="E183" s="7"/>
      <c r="F183" s="7"/>
      <c r="G183" s="7"/>
      <c r="H183" s="7"/>
    </row>
    <row r="184" spans="1:8">
      <c r="A184" s="7"/>
      <c r="B184" s="7"/>
      <c r="C184" s="7"/>
      <c r="D184" s="7"/>
      <c r="E184" s="7"/>
      <c r="F184" s="7"/>
      <c r="G184" s="7"/>
      <c r="H184" s="7"/>
    </row>
    <row r="185" spans="1:8">
      <c r="A185" s="7"/>
      <c r="B185" s="7"/>
      <c r="C185" s="7"/>
      <c r="D185" s="7"/>
      <c r="E185" s="7"/>
      <c r="F185" s="7"/>
      <c r="G185" s="7"/>
      <c r="H185" s="7"/>
    </row>
    <row r="186" spans="1:8">
      <c r="A186" s="7"/>
      <c r="B186" s="7"/>
      <c r="C186" s="7"/>
      <c r="D186" s="7"/>
      <c r="E186" s="7"/>
      <c r="F186" s="7"/>
      <c r="G186" s="7"/>
      <c r="H186" s="7"/>
    </row>
    <row r="187" spans="1:8">
      <c r="A187" s="7"/>
      <c r="B187" s="7"/>
      <c r="C187" s="7"/>
      <c r="D187" s="7"/>
      <c r="E187" s="7"/>
      <c r="F187" s="7"/>
      <c r="G187" s="7"/>
      <c r="H187" s="7"/>
    </row>
    <row r="188" spans="1:8">
      <c r="A188" s="7"/>
      <c r="B188" s="7"/>
      <c r="C188" s="7"/>
      <c r="D188" s="7"/>
      <c r="E188" s="7"/>
      <c r="F188" s="7"/>
      <c r="G188" s="7"/>
      <c r="H188" s="7"/>
    </row>
    <row r="189" spans="1:8">
      <c r="A189" s="7"/>
      <c r="B189" s="7"/>
      <c r="C189" s="7"/>
      <c r="D189" s="7"/>
      <c r="E189" s="7"/>
      <c r="F189" s="7"/>
      <c r="G189" s="7"/>
      <c r="H189" s="7"/>
    </row>
    <row r="190" spans="1:8">
      <c r="A190" s="7"/>
      <c r="B190" s="7"/>
      <c r="C190" s="7"/>
      <c r="D190" s="7"/>
      <c r="E190" s="7"/>
      <c r="F190" s="7"/>
      <c r="G190" s="7"/>
      <c r="H190" s="7"/>
    </row>
    <row r="191" spans="1:8">
      <c r="A191" s="7"/>
      <c r="B191" s="7"/>
      <c r="C191" s="7"/>
      <c r="D191" s="7"/>
      <c r="E191" s="7"/>
      <c r="F191" s="7"/>
      <c r="G191" s="7"/>
      <c r="H191" s="7"/>
    </row>
    <row r="192" spans="1:8">
      <c r="A192" s="7"/>
      <c r="B192" s="7"/>
      <c r="C192" s="7"/>
      <c r="D192" s="7"/>
      <c r="E192" s="7"/>
      <c r="F192" s="7"/>
      <c r="G192" s="7"/>
      <c r="H192" s="7"/>
    </row>
    <row r="193" spans="1:8">
      <c r="A193" s="7"/>
      <c r="B193" s="7"/>
      <c r="C193" s="7"/>
      <c r="D193" s="7"/>
      <c r="E193" s="7"/>
      <c r="F193" s="7"/>
      <c r="G193" s="7"/>
      <c r="H193" s="7"/>
    </row>
    <row r="194" spans="1:8">
      <c r="A194" s="7"/>
      <c r="B194" s="7"/>
      <c r="C194" s="7"/>
      <c r="D194" s="7"/>
      <c r="E194" s="7"/>
      <c r="F194" s="7"/>
      <c r="G194" s="7"/>
      <c r="H194" s="7"/>
    </row>
    <row r="195" spans="1:8">
      <c r="A195" s="7"/>
      <c r="B195" s="7"/>
      <c r="C195" s="7"/>
      <c r="D195" s="7"/>
      <c r="E195" s="7"/>
      <c r="F195" s="7"/>
      <c r="G195" s="7"/>
      <c r="H195" s="7"/>
    </row>
    <row r="196" spans="1:8">
      <c r="A196" s="7"/>
      <c r="B196" s="7"/>
      <c r="C196" s="7"/>
      <c r="D196" s="7"/>
      <c r="E196" s="7"/>
      <c r="F196" s="7"/>
      <c r="G196" s="7"/>
      <c r="H196" s="7"/>
    </row>
    <row r="197" spans="1:8">
      <c r="A197" s="7"/>
      <c r="B197" s="7"/>
      <c r="C197" s="7"/>
      <c r="D197" s="7"/>
      <c r="E197" s="7"/>
      <c r="F197" s="7"/>
      <c r="G197" s="7"/>
      <c r="H197" s="7"/>
    </row>
    <row r="198" spans="1:8">
      <c r="A198" s="7"/>
      <c r="B198" s="7"/>
      <c r="C198" s="7"/>
      <c r="D198" s="7"/>
      <c r="E198" s="7"/>
      <c r="F198" s="7"/>
      <c r="G198" s="7"/>
      <c r="H198" s="7"/>
    </row>
    <row r="199" spans="1:8">
      <c r="A199" s="7"/>
      <c r="B199" s="7"/>
      <c r="C199" s="7"/>
      <c r="D199" s="7"/>
      <c r="E199" s="7"/>
      <c r="F199" s="7"/>
      <c r="G199" s="7"/>
      <c r="H199" s="7"/>
    </row>
    <row r="200" spans="1:8">
      <c r="A200" s="7"/>
      <c r="B200" s="7"/>
      <c r="C200" s="7"/>
      <c r="D200" s="7"/>
      <c r="E200" s="7"/>
      <c r="F200" s="7"/>
      <c r="G200" s="7"/>
      <c r="H200" s="7"/>
    </row>
    <row r="201" spans="1:8">
      <c r="A201" s="7"/>
      <c r="B201" s="7"/>
      <c r="C201" s="7"/>
      <c r="D201" s="7"/>
      <c r="E201" s="7"/>
      <c r="F201" s="7"/>
      <c r="G201" s="7"/>
      <c r="H201" s="7"/>
    </row>
    <row r="202" spans="1:8">
      <c r="A202" s="7"/>
      <c r="B202" s="7"/>
      <c r="C202" s="7"/>
      <c r="D202" s="7"/>
      <c r="E202" s="7"/>
      <c r="F202" s="7"/>
      <c r="G202" s="7"/>
      <c r="H202" s="7"/>
    </row>
    <row r="203" spans="1:8">
      <c r="A203" s="7"/>
      <c r="B203" s="7"/>
      <c r="C203" s="7"/>
      <c r="D203" s="7"/>
      <c r="E203" s="7"/>
      <c r="F203" s="7"/>
      <c r="G203" s="7"/>
      <c r="H203" s="7"/>
    </row>
    <row r="204" spans="1:8">
      <c r="A204" s="7"/>
      <c r="B204" s="7"/>
      <c r="C204" s="7"/>
      <c r="D204" s="7"/>
      <c r="E204" s="7"/>
      <c r="F204" s="7"/>
      <c r="G204" s="7"/>
      <c r="H204" s="7"/>
    </row>
    <row r="205" spans="1:8">
      <c r="A205" s="7"/>
      <c r="B205" s="7"/>
      <c r="C205" s="7"/>
      <c r="D205" s="7"/>
      <c r="E205" s="7"/>
      <c r="F205" s="7"/>
      <c r="G205" s="7"/>
      <c r="H205" s="7"/>
    </row>
    <row r="206" spans="1:8">
      <c r="A206" s="7"/>
      <c r="B206" s="7"/>
      <c r="C206" s="7"/>
      <c r="D206" s="7"/>
      <c r="E206" s="7"/>
      <c r="F206" s="7"/>
      <c r="G206" s="7"/>
      <c r="H206" s="7"/>
    </row>
    <row r="207" spans="1:8">
      <c r="A207" s="7"/>
      <c r="B207" s="7"/>
      <c r="C207" s="7"/>
      <c r="D207" s="7"/>
      <c r="E207" s="7"/>
      <c r="F207" s="7"/>
      <c r="G207" s="7"/>
      <c r="H207" s="7"/>
    </row>
    <row r="208" spans="1:8">
      <c r="A208" s="7"/>
      <c r="B208" s="7"/>
      <c r="C208" s="7"/>
      <c r="D208" s="7"/>
      <c r="E208" s="7"/>
      <c r="F208" s="7"/>
      <c r="G208" s="7"/>
      <c r="H208" s="7"/>
    </row>
    <row r="209" spans="1:8">
      <c r="A209" s="7"/>
      <c r="B209" s="7"/>
      <c r="C209" s="7"/>
      <c r="D209" s="7"/>
      <c r="E209" s="7"/>
      <c r="F209" s="7"/>
      <c r="G209" s="7"/>
      <c r="H209" s="7"/>
    </row>
    <row r="210" spans="1:8">
      <c r="A210" s="7"/>
      <c r="B210" s="7"/>
      <c r="C210" s="7"/>
      <c r="D210" s="7"/>
      <c r="E210" s="7"/>
      <c r="F210" s="7"/>
      <c r="G210" s="7"/>
      <c r="H210" s="7"/>
    </row>
    <row r="211" spans="1:8">
      <c r="A211" s="7"/>
      <c r="B211" s="7"/>
      <c r="C211" s="7"/>
      <c r="D211" s="7"/>
      <c r="E211" s="7"/>
      <c r="F211" s="7"/>
      <c r="G211" s="7"/>
      <c r="H211" s="7"/>
    </row>
    <row r="212" spans="1:8">
      <c r="A212" s="7"/>
      <c r="B212" s="7"/>
      <c r="C212" s="7"/>
      <c r="D212" s="7"/>
      <c r="E212" s="7"/>
      <c r="F212" s="7"/>
      <c r="G212" s="7"/>
      <c r="H212" s="7"/>
    </row>
    <row r="213" spans="1:8">
      <c r="A213" s="7"/>
      <c r="B213" s="7"/>
      <c r="C213" s="7"/>
      <c r="D213" s="7"/>
      <c r="E213" s="7"/>
      <c r="F213" s="7"/>
      <c r="G213" s="7"/>
      <c r="H213" s="7"/>
    </row>
    <row r="214" spans="1:8">
      <c r="A214" s="7"/>
      <c r="B214" s="7"/>
      <c r="C214" s="7"/>
      <c r="D214" s="7"/>
      <c r="E214" s="7"/>
      <c r="F214" s="7"/>
      <c r="G214" s="7"/>
      <c r="H214" s="7"/>
    </row>
    <row r="215" spans="1:8">
      <c r="A215" s="7"/>
      <c r="B215" s="7"/>
      <c r="C215" s="7"/>
      <c r="D215" s="7"/>
      <c r="E215" s="7"/>
      <c r="F215" s="7"/>
      <c r="G215" s="7"/>
      <c r="H215" s="7"/>
    </row>
    <row r="216" spans="1:8">
      <c r="A216" s="7"/>
      <c r="B216" s="7"/>
      <c r="C216" s="7"/>
      <c r="D216" s="7"/>
      <c r="E216" s="7"/>
      <c r="F216" s="7"/>
      <c r="G216" s="7"/>
      <c r="H216" s="7"/>
    </row>
    <row r="217" spans="1:8">
      <c r="A217" s="7"/>
      <c r="B217" s="7"/>
      <c r="C217" s="7"/>
      <c r="D217" s="7"/>
      <c r="E217" s="7"/>
      <c r="F217" s="7"/>
      <c r="G217" s="7"/>
      <c r="H217" s="7"/>
    </row>
    <row r="218" spans="1:8">
      <c r="A218" s="7"/>
      <c r="B218" s="7"/>
      <c r="C218" s="7"/>
      <c r="D218" s="7"/>
      <c r="E218" s="7"/>
      <c r="F218" s="7"/>
      <c r="G218" s="7"/>
      <c r="H218" s="7"/>
    </row>
    <row r="219" spans="1:8">
      <c r="A219" s="7"/>
      <c r="B219" s="7"/>
      <c r="C219" s="7"/>
      <c r="D219" s="7"/>
      <c r="E219" s="7"/>
      <c r="F219" s="7"/>
      <c r="G219" s="7"/>
      <c r="H219" s="7"/>
    </row>
    <row r="220" spans="1:8">
      <c r="A220" s="7"/>
      <c r="B220" s="7"/>
      <c r="C220" s="7"/>
      <c r="D220" s="7"/>
      <c r="E220" s="7"/>
      <c r="F220" s="7"/>
      <c r="G220" s="7"/>
      <c r="H220" s="7"/>
    </row>
    <row r="221" spans="1:8">
      <c r="A221" s="7"/>
      <c r="B221" s="7"/>
      <c r="C221" s="7"/>
      <c r="D221" s="7"/>
      <c r="E221" s="7"/>
      <c r="F221" s="7"/>
      <c r="G221" s="7"/>
      <c r="H221" s="7"/>
    </row>
    <row r="222" spans="1:8">
      <c r="A222" s="7"/>
      <c r="B222" s="7"/>
      <c r="C222" s="7"/>
      <c r="D222" s="7"/>
      <c r="E222" s="7"/>
      <c r="F222" s="7"/>
      <c r="G222" s="7"/>
      <c r="H222" s="7"/>
    </row>
    <row r="223" spans="1:8">
      <c r="A223" s="7"/>
      <c r="B223" s="7"/>
      <c r="C223" s="7"/>
      <c r="D223" s="7"/>
      <c r="E223" s="7"/>
      <c r="F223" s="7"/>
      <c r="G223" s="7"/>
      <c r="H223" s="7"/>
    </row>
    <row r="224" spans="1:8">
      <c r="A224" s="7"/>
      <c r="B224" s="7"/>
      <c r="C224" s="7"/>
      <c r="D224" s="7"/>
      <c r="E224" s="7"/>
      <c r="F224" s="7"/>
      <c r="G224" s="7"/>
      <c r="H224" s="7"/>
    </row>
    <row r="225" spans="1:8">
      <c r="A225" s="7"/>
      <c r="B225" s="7"/>
      <c r="C225" s="7"/>
      <c r="D225" s="7"/>
      <c r="E225" s="7"/>
      <c r="F225" s="7"/>
      <c r="G225" s="7"/>
      <c r="H225" s="7"/>
    </row>
    <row r="226" spans="1:8">
      <c r="A226" s="7"/>
      <c r="B226" s="7"/>
      <c r="C226" s="7"/>
      <c r="D226" s="7"/>
      <c r="E226" s="7"/>
      <c r="F226" s="7"/>
      <c r="G226" s="7"/>
      <c r="H226" s="7"/>
    </row>
    <row r="227" spans="1:8">
      <c r="A227" s="7"/>
      <c r="B227" s="7"/>
      <c r="C227" s="7"/>
      <c r="D227" s="7"/>
      <c r="E227" s="7"/>
      <c r="F227" s="7"/>
      <c r="G227" s="7"/>
      <c r="H227" s="7"/>
    </row>
    <row r="228" spans="1:8">
      <c r="A228" s="7"/>
      <c r="B228" s="7"/>
      <c r="C228" s="7"/>
      <c r="D228" s="7"/>
      <c r="E228" s="7"/>
      <c r="F228" s="7"/>
      <c r="G228" s="7"/>
      <c r="H228" s="7"/>
    </row>
    <row r="229" spans="1:8">
      <c r="A229" s="7"/>
      <c r="B229" s="7"/>
      <c r="C229" s="7"/>
      <c r="D229" s="7"/>
      <c r="E229" s="7"/>
      <c r="F229" s="7"/>
      <c r="G229" s="7"/>
      <c r="H229" s="7"/>
    </row>
    <row r="230" spans="1:8">
      <c r="A230" s="7"/>
      <c r="B230" s="7"/>
      <c r="C230" s="7"/>
      <c r="D230" s="7"/>
      <c r="E230" s="7"/>
      <c r="F230" s="7"/>
      <c r="G230" s="7"/>
      <c r="H230" s="7"/>
    </row>
    <row r="231" spans="1:8">
      <c r="A231" s="7"/>
      <c r="B231" s="7"/>
      <c r="C231" s="7"/>
      <c r="D231" s="7"/>
      <c r="E231" s="7"/>
      <c r="F231" s="7"/>
      <c r="G231" s="7"/>
      <c r="H231" s="7"/>
    </row>
    <row r="232" spans="1:8">
      <c r="A232" s="7"/>
      <c r="B232" s="7"/>
      <c r="C232" s="7"/>
      <c r="D232" s="7"/>
      <c r="E232" s="7"/>
      <c r="F232" s="7"/>
      <c r="G232" s="7"/>
      <c r="H232" s="7"/>
    </row>
    <row r="233" spans="1:8">
      <c r="A233" s="7"/>
      <c r="B233" s="7"/>
      <c r="C233" s="7"/>
      <c r="D233" s="7"/>
      <c r="E233" s="7"/>
      <c r="F233" s="7"/>
      <c r="G233" s="7"/>
      <c r="H233" s="7"/>
    </row>
    <row r="234" spans="1:8">
      <c r="A234" s="7"/>
      <c r="B234" s="7"/>
      <c r="C234" s="7"/>
      <c r="D234" s="7"/>
      <c r="E234" s="7"/>
      <c r="F234" s="7"/>
      <c r="G234" s="7"/>
      <c r="H234" s="7"/>
    </row>
    <row r="235" spans="1:8">
      <c r="A235" s="7"/>
      <c r="B235" s="7"/>
      <c r="C235" s="7"/>
      <c r="D235" s="7"/>
      <c r="E235" s="7"/>
      <c r="F235" s="7"/>
      <c r="G235" s="7"/>
      <c r="H235" s="7"/>
    </row>
    <row r="236" spans="1:8">
      <c r="A236" s="7"/>
      <c r="B236" s="7"/>
      <c r="C236" s="7"/>
      <c r="D236" s="7"/>
      <c r="E236" s="7"/>
      <c r="F236" s="7"/>
      <c r="G236" s="7"/>
      <c r="H236" s="7"/>
    </row>
    <row r="237" spans="1:8">
      <c r="A237" s="7"/>
      <c r="B237" s="7"/>
      <c r="C237" s="7"/>
      <c r="D237" s="7"/>
      <c r="E237" s="7"/>
      <c r="F237" s="7"/>
      <c r="G237" s="7"/>
      <c r="H237" s="7"/>
    </row>
    <row r="238" spans="1:8">
      <c r="A238" s="7"/>
      <c r="B238" s="7"/>
      <c r="C238" s="7"/>
      <c r="D238" s="7"/>
      <c r="E238" s="7"/>
      <c r="F238" s="7"/>
      <c r="G238" s="7"/>
      <c r="H238" s="7"/>
    </row>
    <row r="239" spans="1:8">
      <c r="A239" s="7"/>
      <c r="B239" s="7"/>
      <c r="C239" s="7"/>
      <c r="D239" s="7"/>
      <c r="E239" s="7"/>
      <c r="F239" s="7"/>
      <c r="G239" s="7"/>
      <c r="H239" s="7"/>
    </row>
    <row r="240" spans="1:8">
      <c r="A240" s="7"/>
      <c r="B240" s="7"/>
      <c r="C240" s="7"/>
      <c r="D240" s="7"/>
      <c r="E240" s="7"/>
      <c r="F240" s="7"/>
      <c r="G240" s="7"/>
      <c r="H240" s="7"/>
    </row>
    <row r="241" spans="1:8">
      <c r="A241" s="7"/>
      <c r="B241" s="7"/>
      <c r="C241" s="7"/>
      <c r="D241" s="7"/>
      <c r="E241" s="7"/>
      <c r="F241" s="7"/>
      <c r="G241" s="7"/>
      <c r="H241" s="7"/>
    </row>
    <row r="242" spans="1:8">
      <c r="A242" s="7"/>
      <c r="B242" s="7"/>
      <c r="C242" s="7"/>
      <c r="D242" s="7"/>
      <c r="E242" s="7"/>
      <c r="F242" s="7"/>
      <c r="G242" s="7"/>
      <c r="H242" s="7"/>
    </row>
    <row r="243" spans="1:8">
      <c r="A243" s="7"/>
      <c r="B243" s="7"/>
      <c r="C243" s="7"/>
      <c r="D243" s="7"/>
      <c r="E243" s="7"/>
      <c r="F243" s="7"/>
      <c r="G243" s="7"/>
      <c r="H243" s="7"/>
    </row>
    <row r="244" spans="1:8">
      <c r="A244" s="7"/>
      <c r="B244" s="7"/>
      <c r="C244" s="7"/>
      <c r="D244" s="7"/>
      <c r="E244" s="7"/>
      <c r="F244" s="7"/>
      <c r="G244" s="7"/>
      <c r="H244" s="7"/>
    </row>
    <row r="245" spans="1:8">
      <c r="A245" s="7"/>
      <c r="B245" s="7"/>
      <c r="C245" s="7"/>
      <c r="D245" s="7"/>
      <c r="E245" s="7"/>
      <c r="F245" s="7"/>
      <c r="G245" s="7"/>
      <c r="H245" s="7"/>
    </row>
    <row r="246" spans="1:8">
      <c r="A246" s="7"/>
      <c r="B246" s="7"/>
      <c r="C246" s="7"/>
      <c r="D246" s="7"/>
      <c r="E246" s="7"/>
      <c r="F246" s="7"/>
      <c r="G246" s="7"/>
      <c r="H246" s="7"/>
    </row>
    <row r="247" spans="1:8">
      <c r="A247" s="7"/>
      <c r="B247" s="7"/>
      <c r="C247" s="7"/>
      <c r="D247" s="7"/>
      <c r="E247" s="7"/>
      <c r="F247" s="7"/>
      <c r="G247" s="7"/>
      <c r="H247" s="7"/>
    </row>
    <row r="248" spans="1:8">
      <c r="A248" s="7"/>
      <c r="B248" s="7"/>
      <c r="C248" s="7"/>
      <c r="D248" s="7"/>
      <c r="E248" s="7"/>
      <c r="F248" s="7"/>
      <c r="G248" s="7"/>
      <c r="H248" s="7"/>
    </row>
    <row r="249" spans="1:8">
      <c r="A249" s="7"/>
      <c r="B249" s="7"/>
      <c r="C249" s="7"/>
      <c r="D249" s="7"/>
      <c r="E249" s="7"/>
      <c r="F249" s="7"/>
      <c r="G249" s="7"/>
      <c r="H249" s="7"/>
    </row>
    <row r="250" spans="1:8">
      <c r="A250" s="7"/>
      <c r="B250" s="7"/>
      <c r="C250" s="7"/>
      <c r="D250" s="7"/>
      <c r="E250" s="7"/>
      <c r="F250" s="7"/>
      <c r="G250" s="7"/>
      <c r="H250" s="7"/>
    </row>
    <row r="251" spans="1:8">
      <c r="A251" s="7"/>
      <c r="B251" s="7"/>
      <c r="C251" s="7"/>
      <c r="D251" s="7"/>
      <c r="E251" s="7"/>
      <c r="F251" s="7"/>
      <c r="G251" s="7"/>
      <c r="H251" s="7"/>
    </row>
    <row r="252" spans="1:8">
      <c r="A252" s="7"/>
      <c r="B252" s="7"/>
      <c r="C252" s="7"/>
      <c r="D252" s="7"/>
      <c r="E252" s="7"/>
      <c r="F252" s="7"/>
      <c r="G252" s="7"/>
      <c r="H252" s="7"/>
    </row>
    <row r="253" spans="1:8">
      <c r="A253" s="7"/>
      <c r="B253" s="7"/>
      <c r="C253" s="7"/>
      <c r="D253" s="7"/>
      <c r="E253" s="7"/>
      <c r="F253" s="7"/>
      <c r="G253" s="7"/>
      <c r="H253" s="7"/>
    </row>
    <row r="254" spans="1:8">
      <c r="A254" s="7"/>
      <c r="B254" s="7"/>
      <c r="C254" s="7"/>
      <c r="D254" s="7"/>
      <c r="E254" s="7"/>
      <c r="F254" s="7"/>
      <c r="G254" s="7"/>
      <c r="H254" s="7"/>
    </row>
    <row r="255" spans="1:8">
      <c r="A255" s="7"/>
      <c r="B255" s="7"/>
      <c r="C255" s="7"/>
      <c r="D255" s="7"/>
      <c r="E255" s="7"/>
      <c r="F255" s="7"/>
      <c r="G255" s="7"/>
      <c r="H255" s="7"/>
    </row>
    <row r="256" spans="1:8">
      <c r="A256" s="7"/>
      <c r="B256" s="7"/>
      <c r="C256" s="7"/>
      <c r="D256" s="7"/>
      <c r="E256" s="7"/>
      <c r="F256" s="7"/>
      <c r="G256" s="7"/>
      <c r="H256" s="7"/>
    </row>
    <row r="257" spans="1:8">
      <c r="A257" s="7"/>
      <c r="B257" s="7"/>
      <c r="C257" s="7"/>
      <c r="D257" s="7"/>
      <c r="E257" s="7"/>
      <c r="F257" s="7"/>
      <c r="G257" s="7"/>
      <c r="H257" s="7"/>
    </row>
    <row r="258" spans="1:8">
      <c r="A258" s="7"/>
      <c r="B258" s="7"/>
      <c r="C258" s="7"/>
      <c r="D258" s="7"/>
      <c r="E258" s="7"/>
      <c r="F258" s="7"/>
      <c r="G258" s="7"/>
      <c r="H258" s="7"/>
    </row>
    <row r="259" spans="1:8">
      <c r="A259" s="7"/>
      <c r="B259" s="7"/>
      <c r="C259" s="7"/>
      <c r="D259" s="7"/>
      <c r="E259" s="7"/>
      <c r="F259" s="7"/>
      <c r="G259" s="7"/>
      <c r="H259" s="7"/>
    </row>
    <row r="260" spans="1:8">
      <c r="A260" s="7"/>
      <c r="B260" s="7"/>
      <c r="C260" s="7"/>
      <c r="D260" s="7"/>
      <c r="E260" s="7"/>
      <c r="F260" s="7"/>
      <c r="G260" s="7"/>
      <c r="H260" s="7"/>
    </row>
    <row r="261" spans="1:8">
      <c r="A261" s="7"/>
      <c r="B261" s="7"/>
      <c r="C261" s="7"/>
      <c r="D261" s="7"/>
      <c r="E261" s="7"/>
      <c r="F261" s="7"/>
      <c r="G261" s="7"/>
      <c r="H261" s="7"/>
    </row>
    <row r="262" spans="1:8">
      <c r="A262" s="7"/>
      <c r="B262" s="7"/>
      <c r="C262" s="7"/>
      <c r="D262" s="7"/>
      <c r="E262" s="7"/>
      <c r="F262" s="7"/>
      <c r="G262" s="7"/>
      <c r="H262" s="7"/>
    </row>
    <row r="263" spans="1:8">
      <c r="A263" s="7"/>
      <c r="B263" s="7"/>
      <c r="C263" s="7"/>
      <c r="D263" s="7"/>
      <c r="E263" s="7"/>
      <c r="F263" s="7"/>
      <c r="G263" s="7"/>
      <c r="H263" s="7"/>
    </row>
    <row r="264" spans="1:8">
      <c r="A264" s="7"/>
      <c r="B264" s="7"/>
      <c r="C264" s="7"/>
      <c r="D264" s="7"/>
      <c r="E264" s="7"/>
      <c r="F264" s="7"/>
      <c r="G264" s="7"/>
      <c r="H264" s="7"/>
    </row>
    <row r="265" spans="1:8">
      <c r="A265" s="7"/>
      <c r="B265" s="7"/>
      <c r="C265" s="7"/>
      <c r="D265" s="7"/>
      <c r="E265" s="7"/>
      <c r="F265" s="7"/>
      <c r="G265" s="7"/>
      <c r="H265" s="7"/>
    </row>
    <row r="266" spans="1:8">
      <c r="A266" s="7"/>
      <c r="B266" s="7"/>
      <c r="C266" s="7"/>
      <c r="D266" s="7"/>
      <c r="E266" s="7"/>
      <c r="F266" s="7"/>
      <c r="G266" s="7"/>
      <c r="H266" s="7"/>
    </row>
    <row r="267" spans="1:8">
      <c r="A267" s="7"/>
      <c r="B267" s="7"/>
      <c r="C267" s="7"/>
      <c r="D267" s="7"/>
      <c r="E267" s="7"/>
      <c r="F267" s="7"/>
      <c r="G267" s="7"/>
      <c r="H267" s="7"/>
    </row>
    <row r="268" spans="1:8">
      <c r="A268" s="7"/>
      <c r="B268" s="7"/>
      <c r="C268" s="7"/>
      <c r="D268" s="7"/>
      <c r="E268" s="7"/>
      <c r="F268" s="7"/>
      <c r="G268" s="7"/>
      <c r="H268" s="7"/>
    </row>
    <row r="269" spans="1:8">
      <c r="A269" s="7"/>
      <c r="B269" s="7"/>
      <c r="C269" s="7"/>
      <c r="D269" s="7"/>
      <c r="E269" s="7"/>
      <c r="F269" s="7"/>
      <c r="G269" s="7"/>
      <c r="H269" s="7"/>
    </row>
    <row r="270" spans="1:8">
      <c r="A270" s="7"/>
      <c r="B270" s="7"/>
      <c r="C270" s="7"/>
      <c r="D270" s="7"/>
      <c r="E270" s="7"/>
      <c r="F270" s="7"/>
      <c r="G270" s="7"/>
      <c r="H270" s="7"/>
    </row>
    <row r="271" spans="1:8">
      <c r="A271" s="7"/>
      <c r="B271" s="7"/>
      <c r="C271" s="7"/>
      <c r="D271" s="7"/>
      <c r="E271" s="7"/>
      <c r="F271" s="7"/>
      <c r="G271" s="7"/>
      <c r="H271" s="7"/>
    </row>
    <row r="272" spans="1:8">
      <c r="A272" s="7"/>
      <c r="B272" s="7"/>
      <c r="C272" s="7"/>
      <c r="D272" s="7"/>
      <c r="E272" s="7"/>
      <c r="F272" s="7"/>
      <c r="G272" s="7"/>
      <c r="H272" s="7"/>
    </row>
    <row r="273" spans="1:8">
      <c r="A273" s="7"/>
      <c r="B273" s="7"/>
      <c r="C273" s="7"/>
      <c r="D273" s="7"/>
      <c r="E273" s="7"/>
      <c r="F273" s="7"/>
      <c r="G273" s="7"/>
      <c r="H273" s="7"/>
    </row>
    <row r="274" spans="1:8">
      <c r="A274" s="7"/>
      <c r="B274" s="7"/>
      <c r="C274" s="7"/>
      <c r="D274" s="7"/>
      <c r="E274" s="7"/>
      <c r="F274" s="7"/>
      <c r="G274" s="7"/>
      <c r="H274" s="7"/>
    </row>
    <row r="275" spans="1:8">
      <c r="A275" s="7"/>
      <c r="B275" s="7"/>
      <c r="C275" s="7"/>
      <c r="D275" s="7"/>
      <c r="E275" s="7"/>
      <c r="F275" s="7"/>
      <c r="G275" s="7"/>
      <c r="H275" s="7"/>
    </row>
    <row r="276" spans="1:8">
      <c r="A276" s="7"/>
      <c r="B276" s="7"/>
      <c r="C276" s="7"/>
      <c r="D276" s="7"/>
      <c r="E276" s="7"/>
      <c r="F276" s="7"/>
      <c r="G276" s="7"/>
      <c r="H276" s="7"/>
    </row>
    <row r="277" spans="1:8">
      <c r="A277" s="7"/>
      <c r="B277" s="7"/>
      <c r="C277" s="7"/>
      <c r="D277" s="7"/>
      <c r="E277" s="7"/>
      <c r="F277" s="7"/>
      <c r="G277" s="7"/>
      <c r="H277" s="7"/>
    </row>
    <row r="278" spans="1:8">
      <c r="A278" s="7"/>
      <c r="B278" s="7"/>
      <c r="C278" s="7"/>
      <c r="D278" s="7"/>
      <c r="E278" s="7"/>
      <c r="F278" s="7"/>
      <c r="G278" s="7"/>
      <c r="H278" s="7"/>
    </row>
    <row r="279" spans="1:8">
      <c r="A279" s="7"/>
      <c r="B279" s="7"/>
      <c r="C279" s="7"/>
      <c r="D279" s="7"/>
      <c r="E279" s="7"/>
      <c r="F279" s="7"/>
      <c r="G279" s="7"/>
      <c r="H279" s="7"/>
    </row>
    <row r="280" spans="1:8">
      <c r="A280" s="7"/>
      <c r="B280" s="7"/>
      <c r="C280" s="7"/>
      <c r="D280" s="7"/>
      <c r="E280" s="7"/>
      <c r="F280" s="7"/>
      <c r="G280" s="7"/>
      <c r="H280" s="7"/>
    </row>
    <row r="281" spans="1:8">
      <c r="A281" s="7"/>
      <c r="B281" s="7"/>
      <c r="C281" s="7"/>
      <c r="D281" s="7"/>
      <c r="E281" s="7"/>
      <c r="F281" s="7"/>
      <c r="G281" s="7"/>
      <c r="H281" s="7"/>
    </row>
    <row r="282" spans="1:8">
      <c r="A282" s="7"/>
      <c r="B282" s="7"/>
      <c r="C282" s="7"/>
      <c r="D282" s="7"/>
      <c r="E282" s="7"/>
      <c r="F282" s="7"/>
      <c r="G282" s="7"/>
      <c r="H282" s="7"/>
    </row>
    <row r="283" spans="1:8">
      <c r="A283" s="7"/>
      <c r="B283" s="7"/>
      <c r="C283" s="7"/>
      <c r="D283" s="7"/>
      <c r="E283" s="7"/>
      <c r="F283" s="7"/>
      <c r="G283" s="7"/>
      <c r="H283" s="7"/>
    </row>
    <row r="284" spans="1:8">
      <c r="A284" s="7"/>
      <c r="B284" s="7"/>
      <c r="C284" s="7"/>
      <c r="D284" s="7"/>
      <c r="E284" s="7"/>
      <c r="F284" s="7"/>
      <c r="G284" s="7"/>
      <c r="H284" s="7"/>
    </row>
    <row r="285" spans="1:8">
      <c r="A285" s="7"/>
      <c r="B285" s="7"/>
      <c r="C285" s="7"/>
      <c r="D285" s="7"/>
      <c r="E285" s="7"/>
      <c r="F285" s="7"/>
      <c r="G285" s="7"/>
      <c r="H285" s="7"/>
    </row>
    <row r="286" spans="1:8">
      <c r="A286" s="7"/>
      <c r="B286" s="7"/>
      <c r="C286" s="7"/>
      <c r="D286" s="7"/>
      <c r="E286" s="7"/>
      <c r="F286" s="7"/>
      <c r="G286" s="7"/>
      <c r="H286" s="7"/>
    </row>
    <row r="287" spans="1:8">
      <c r="A287" s="7"/>
      <c r="B287" s="7"/>
      <c r="C287" s="7"/>
      <c r="D287" s="7"/>
      <c r="E287" s="7"/>
      <c r="F287" s="7"/>
      <c r="G287" s="7"/>
      <c r="H287" s="7"/>
    </row>
    <row r="288" spans="1:8">
      <c r="A288" s="7"/>
      <c r="B288" s="7"/>
      <c r="C288" s="7"/>
      <c r="D288" s="7"/>
      <c r="E288" s="7"/>
      <c r="F288" s="7"/>
      <c r="G288" s="7"/>
      <c r="H288" s="7"/>
    </row>
    <row r="289" spans="1:8">
      <c r="A289" s="7"/>
      <c r="B289" s="7"/>
      <c r="C289" s="7"/>
      <c r="D289" s="7"/>
      <c r="E289" s="7"/>
      <c r="F289" s="7"/>
      <c r="G289" s="7"/>
      <c r="H289" s="7"/>
    </row>
    <row r="290" spans="1:8">
      <c r="A290" s="7"/>
      <c r="B290" s="7"/>
      <c r="C290" s="7"/>
      <c r="D290" s="7"/>
      <c r="E290" s="7"/>
      <c r="F290" s="7"/>
      <c r="G290" s="7"/>
      <c r="H290" s="7"/>
    </row>
    <row r="291" spans="1:8">
      <c r="A291" s="7"/>
      <c r="B291" s="7"/>
      <c r="C291" s="7"/>
      <c r="D291" s="7"/>
      <c r="E291" s="7"/>
      <c r="F291" s="7"/>
      <c r="G291" s="7"/>
      <c r="H291" s="7"/>
    </row>
    <row r="292" spans="1:8">
      <c r="A292" s="7"/>
      <c r="B292" s="7"/>
      <c r="C292" s="7"/>
      <c r="D292" s="7"/>
      <c r="E292" s="7"/>
      <c r="F292" s="7"/>
      <c r="G292" s="7"/>
      <c r="H292" s="7"/>
    </row>
    <row r="293" spans="1:8">
      <c r="A293" s="7"/>
      <c r="B293" s="7"/>
      <c r="C293" s="7"/>
      <c r="D293" s="7"/>
      <c r="E293" s="7"/>
      <c r="F293" s="7"/>
      <c r="G293" s="7"/>
      <c r="H293" s="7"/>
    </row>
    <row r="294" spans="1:8">
      <c r="A294" s="7"/>
      <c r="B294" s="7"/>
      <c r="C294" s="7"/>
      <c r="D294" s="7"/>
      <c r="E294" s="7"/>
      <c r="F294" s="7"/>
      <c r="G294" s="7"/>
      <c r="H294" s="7"/>
    </row>
    <row r="295" spans="1:8">
      <c r="A295" s="7"/>
      <c r="B295" s="7"/>
      <c r="C295" s="7"/>
      <c r="D295" s="7"/>
      <c r="E295" s="7"/>
      <c r="F295" s="7"/>
      <c r="G295" s="7"/>
      <c r="H295" s="7"/>
    </row>
    <row r="296" spans="1:8">
      <c r="A296" s="7"/>
      <c r="B296" s="7"/>
      <c r="C296" s="7"/>
      <c r="D296" s="7"/>
      <c r="E296" s="7"/>
      <c r="F296" s="7"/>
      <c r="G296" s="7"/>
      <c r="H296" s="7"/>
    </row>
    <row r="297" spans="1:8">
      <c r="A297" s="7"/>
      <c r="B297" s="7"/>
      <c r="C297" s="7"/>
      <c r="D297" s="7"/>
      <c r="E297" s="7"/>
      <c r="F297" s="7"/>
      <c r="G297" s="7"/>
      <c r="H297" s="7"/>
    </row>
    <row r="298" spans="1:8">
      <c r="A298" s="7"/>
      <c r="B298" s="7"/>
      <c r="C298" s="7"/>
      <c r="D298" s="7"/>
      <c r="E298" s="7"/>
      <c r="F298" s="7"/>
      <c r="G298" s="7"/>
      <c r="H298" s="7"/>
    </row>
    <row r="299" spans="1:8">
      <c r="A299" s="7"/>
      <c r="B299" s="7"/>
      <c r="C299" s="7"/>
      <c r="D299" s="7"/>
      <c r="E299" s="7"/>
      <c r="F299" s="7"/>
      <c r="G299" s="7"/>
      <c r="H299" s="7"/>
    </row>
    <row r="300" spans="1:8">
      <c r="A300" s="7"/>
      <c r="B300" s="7"/>
      <c r="C300" s="7"/>
      <c r="D300" s="7"/>
      <c r="E300" s="7"/>
      <c r="F300" s="7"/>
      <c r="G300" s="7"/>
      <c r="H300" s="7"/>
    </row>
    <row r="301" spans="1:8">
      <c r="A301" s="7"/>
      <c r="B301" s="7"/>
      <c r="C301" s="7"/>
      <c r="D301" s="7"/>
      <c r="E301" s="7"/>
      <c r="F301" s="7"/>
      <c r="G301" s="7"/>
      <c r="H301" s="7"/>
    </row>
    <row r="302" spans="1:8">
      <c r="A302" s="7"/>
      <c r="B302" s="7"/>
      <c r="C302" s="7"/>
      <c r="D302" s="7"/>
      <c r="E302" s="7"/>
      <c r="F302" s="7"/>
      <c r="G302" s="7"/>
      <c r="H302" s="7"/>
    </row>
    <row r="303" spans="1:8">
      <c r="A303" s="7"/>
      <c r="B303" s="7"/>
      <c r="C303" s="7"/>
      <c r="D303" s="7"/>
      <c r="E303" s="7"/>
      <c r="F303" s="7"/>
      <c r="G303" s="7"/>
      <c r="H303" s="7"/>
    </row>
    <row r="304" spans="1:8">
      <c r="A304" s="7"/>
      <c r="B304" s="7"/>
      <c r="C304" s="7"/>
      <c r="D304" s="7"/>
      <c r="E304" s="7"/>
      <c r="F304" s="7"/>
      <c r="G304" s="7"/>
      <c r="H304" s="7"/>
    </row>
    <row r="305" spans="1:8">
      <c r="A305" s="7"/>
      <c r="B305" s="7"/>
      <c r="C305" s="7"/>
      <c r="D305" s="7"/>
      <c r="E305" s="7"/>
      <c r="F305" s="7"/>
      <c r="G305" s="7"/>
      <c r="H305" s="7"/>
    </row>
    <row r="308" ht="15.75" spans="1:1">
      <c r="A308" s="14" t="s">
        <v>6120</v>
      </c>
    </row>
    <row r="309" ht="27.75" customHeight="1" spans="1:8">
      <c r="A309" s="15" t="s">
        <v>6121</v>
      </c>
      <c r="B309" s="15"/>
      <c r="C309" s="15"/>
      <c r="D309" s="15"/>
      <c r="E309" s="15"/>
      <c r="F309" s="15"/>
      <c r="G309" s="15"/>
      <c r="H309" s="15"/>
    </row>
    <row r="310" ht="27.75" customHeight="1" spans="1:8">
      <c r="A310" s="15" t="s">
        <v>6122</v>
      </c>
      <c r="B310" s="15"/>
      <c r="C310" s="15"/>
      <c r="D310" s="15"/>
      <c r="E310" s="15"/>
      <c r="F310" s="15"/>
      <c r="G310" s="15"/>
      <c r="H310" s="15"/>
    </row>
    <row r="311" ht="27.75" customHeight="1" spans="1:8">
      <c r="A311" s="15" t="s">
        <v>6123</v>
      </c>
      <c r="B311" s="15"/>
      <c r="C311" s="15"/>
      <c r="D311" s="15"/>
      <c r="E311" s="15"/>
      <c r="F311" s="15"/>
      <c r="G311" s="15"/>
      <c r="H311" s="15"/>
    </row>
    <row r="312" ht="27.75" customHeight="1" spans="1:8">
      <c r="A312" s="15" t="s">
        <v>6124</v>
      </c>
      <c r="B312" s="15"/>
      <c r="C312" s="15"/>
      <c r="D312" s="15"/>
      <c r="E312" s="15"/>
      <c r="F312" s="15"/>
      <c r="G312" s="15"/>
      <c r="H312" s="15"/>
    </row>
  </sheetData>
  <autoFilter ref="A4:H305">
    <extLst/>
  </autoFilter>
  <mergeCells count="6">
    <mergeCell ref="J1:K1"/>
    <mergeCell ref="A309:H309"/>
    <mergeCell ref="A310:H310"/>
    <mergeCell ref="A311:H311"/>
    <mergeCell ref="A312:H312"/>
    <mergeCell ref="J10:K1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Controle_Estoque</vt:lpstr>
      <vt:lpstr>Historico_Pedidos</vt:lpstr>
      <vt:lpstr>Analises_Gerais</vt:lpstr>
      <vt:lpstr>Historico_Saidas</vt:lpstr>
      <vt:lpstr>Base_Gestran</vt:lpstr>
      <vt:lpstr>Historico_Entradas</vt:lpstr>
      <vt:lpstr>Historico_Snapshot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wlima</cp:lastModifiedBy>
  <cp:revision>1</cp:revision>
  <dcterms:created xsi:type="dcterms:W3CDTF">2026-09-17T19:22:00Z</dcterms:created>
  <dcterms:modified xsi:type="dcterms:W3CDTF">2026-09-23T15:09:53Z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64A93078F44441EF95C7D1C2B361E321</vt:lpwstr>
  </property>
  <property fmtid="{D5CDD505-2E9C-101B-9397-08002B2CF9AE}" pid="3" name="KSOProductBuildVer">
    <vt:lpwstr>1046-11.2.0.11380</vt:lpwstr>
  </property>
</Properties>
</file>